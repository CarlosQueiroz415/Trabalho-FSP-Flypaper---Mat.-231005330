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S:\EspaceDESL\Fonctions\Finances\préparation publication\Comptes de gestion définitifs\CD Commune\CG2024\"/>
    </mc:Choice>
  </mc:AlternateContent>
  <bookViews>
    <workbookView xWindow="0" yWindow="0" windowWidth="28800" windowHeight="13635"/>
  </bookViews>
  <sheets>
    <sheet name="Couv" sheetId="44" r:id="rId1"/>
    <sheet name="Index" sheetId="36" r:id="rId2"/>
    <sheet name="T 1.1" sheetId="2" r:id="rId3"/>
    <sheet name="T 1.2" sheetId="1" r:id="rId4"/>
    <sheet name="T 1.3" sheetId="3" r:id="rId5"/>
    <sheet name="T 1.4" sheetId="37" r:id="rId6"/>
    <sheet name="T 1.5" sheetId="38" r:id="rId7"/>
    <sheet name="T 2.1" sheetId="7" r:id="rId8"/>
    <sheet name="T 2.2" sheetId="8" r:id="rId9"/>
    <sheet name="T 2.3" sheetId="10" r:id="rId10"/>
    <sheet name="T 3" sheetId="12" r:id="rId11"/>
    <sheet name="T 4.1" sheetId="14" r:id="rId12"/>
    <sheet name="T 4.2" sheetId="15" r:id="rId13"/>
    <sheet name="T 4.3" sheetId="16" r:id="rId14"/>
    <sheet name="T 4.4" sheetId="34" r:id="rId15"/>
    <sheet name="T 4.5" sheetId="35" r:id="rId16"/>
    <sheet name="T 4.6" sheetId="18" r:id="rId17"/>
    <sheet name="T 4.7" sheetId="20" r:id="rId18"/>
    <sheet name="T 4.8" sheetId="23" r:id="rId19"/>
    <sheet name="T 4.9" sheetId="43" r:id="rId20"/>
    <sheet name="T 4.10" sheetId="42" r:id="rId21"/>
    <sheet name="T 5.1" sheetId="25" r:id="rId22"/>
    <sheet name="T 5.2" sheetId="26" r:id="rId23"/>
    <sheet name="T 5.3" sheetId="27" r:id="rId24"/>
    <sheet name="T 5.4" sheetId="28" r:id="rId25"/>
    <sheet name="T 5.5" sheetId="29" r:id="rId26"/>
    <sheet name="T 5.6" sheetId="39" r:id="rId27"/>
    <sheet name="T 6.1" sheetId="47" r:id="rId28"/>
    <sheet name="T 6.2" sheetId="46" r:id="rId29"/>
    <sheet name="T 6.3" sheetId="45" r:id="rId30"/>
    <sheet name="Annexe 1" sheetId="32" r:id="rId31"/>
    <sheet name="Annexe 2" sheetId="40" r:id="rId32"/>
    <sheet name="Annexe 3" sheetId="41" r:id="rId33"/>
  </sheets>
  <definedNames>
    <definedName name="_xlnm.Print_Area" localSheetId="30">'Annexe 1'!$A$1:$I$64</definedName>
    <definedName name="_xlnm.Print_Area" localSheetId="0">Couv!$A$1:$A$108</definedName>
    <definedName name="_xlnm.Print_Area" localSheetId="1">Index!$A$1:$G$44</definedName>
    <definedName name="_xlnm.Print_Area" localSheetId="2">'T 1.1'!$A$1:$J$30</definedName>
    <definedName name="_xlnm.Print_Area" localSheetId="3">'T 1.2'!$A$1:$O$96</definedName>
    <definedName name="_xlnm.Print_Area" localSheetId="4">'T 1.3'!$A$1:$O$57</definedName>
    <definedName name="_xlnm.Print_Area" localSheetId="5">'T 1.4'!$A$1:$O$85</definedName>
    <definedName name="_xlnm.Print_Area" localSheetId="6">'T 1.5'!$A$1:$O$76</definedName>
    <definedName name="_xlnm.Print_Area" localSheetId="7">'T 2.1'!$A$1:$O$123</definedName>
    <definedName name="_xlnm.Print_Area" localSheetId="8">'T 2.2'!$A$1:$O$86</definedName>
    <definedName name="_xlnm.Print_Area" localSheetId="9">'T 2.3'!$A$1:$O$96</definedName>
    <definedName name="_xlnm.Print_Area" localSheetId="10">'T 3'!$A$1:$O$205,'T 3'!$A$207:$O$229</definedName>
    <definedName name="_xlnm.Print_Area" localSheetId="11">'T 4.1'!$A$1:$P$183</definedName>
    <definedName name="_xlnm.Print_Area" localSheetId="20">'T 4.10'!$A$1:$P$181</definedName>
    <definedName name="_xlnm.Print_Area" localSheetId="12">'T 4.2'!$A$1:$P$182</definedName>
    <definedName name="_xlnm.Print_Area" localSheetId="13">'T 4.3'!$A$1:$P$182</definedName>
    <definedName name="_xlnm.Print_Area" localSheetId="14">'T 4.4'!$A$1:$P$183</definedName>
    <definedName name="_xlnm.Print_Area" localSheetId="15">'T 4.5'!$A$1:$P$181</definedName>
    <definedName name="_xlnm.Print_Area" localSheetId="16">'T 4.6'!$A$1:$P$163</definedName>
    <definedName name="_xlnm.Print_Area" localSheetId="17">'T 4.7'!$A$1:$P$159,'T 4.7'!$A$161:$P$164</definedName>
    <definedName name="_xlnm.Print_Area" localSheetId="18">'T 4.8'!$A$1:$P$167</definedName>
    <definedName name="_xlnm.Print_Area" localSheetId="19">'T 4.9'!$A$1:$P$163</definedName>
    <definedName name="_xlnm.Print_Area" localSheetId="21">'T 5.1'!$A$1:$BL$49</definedName>
    <definedName name="_xlnm.Print_Area" localSheetId="22">'T 5.2'!$A$1:$AV$50,'T 5.2'!$AX$4:$BL$50,'T 5.2'!$BN$4:$CB$50,'T 5.2'!$CE$4:$DI$50</definedName>
    <definedName name="_xlnm.Print_Area" localSheetId="23">'T 5.3'!$A$1:$DX$50</definedName>
    <definedName name="_xlnm.Print_Area" localSheetId="24">'T 5.4'!$A$1:$DJ$50</definedName>
    <definedName name="_xlnm.Print_Area" localSheetId="25">'T 5.5'!$A$1:$CD$50</definedName>
    <definedName name="_xlnm.Print_Area" localSheetId="26">'T 5.6'!$A$1:$CR$50</definedName>
    <definedName name="_xlnm.Print_Area" localSheetId="27">'T 6.1'!$A$1:$J$72,'T 6.1'!$A$74:$J$142,'T 6.1'!$A$145:$J$215</definedName>
    <definedName name="_xlnm.Print_Area" localSheetId="28">'T 6.2'!$A$1:$J$215</definedName>
    <definedName name="_xlnm.Print_Area" localSheetId="29">'T 6.3'!$A$1:$J$220</definedName>
  </definedNames>
  <calcPr calcId="162913"/>
</workbook>
</file>

<file path=xl/calcChain.xml><?xml version="1.0" encoding="utf-8"?>
<calcChain xmlns="http://schemas.openxmlformats.org/spreadsheetml/2006/main">
  <c r="I68" i="46" l="1"/>
  <c r="H68" i="46"/>
  <c r="J68" i="46" s="1"/>
  <c r="I69" i="47"/>
  <c r="H69" i="47"/>
  <c r="J69" i="47" s="1"/>
  <c r="I68" i="47"/>
  <c r="H68" i="47"/>
  <c r="J68" i="47" s="1"/>
  <c r="P67" i="43" l="1"/>
  <c r="P68" i="43"/>
  <c r="P69" i="43"/>
  <c r="P70" i="43"/>
  <c r="P71" i="43"/>
  <c r="P72" i="43"/>
  <c r="P73" i="43"/>
  <c r="P74" i="43"/>
  <c r="P75" i="43"/>
  <c r="P76" i="43"/>
  <c r="P77" i="43"/>
  <c r="P78" i="43"/>
  <c r="P79" i="43"/>
  <c r="P80" i="43"/>
  <c r="P81" i="43"/>
  <c r="P82" i="43"/>
  <c r="P83" i="43"/>
  <c r="P84" i="43"/>
  <c r="P86" i="43"/>
  <c r="P87" i="43"/>
  <c r="P88" i="43"/>
  <c r="P89" i="43"/>
  <c r="P90" i="43"/>
  <c r="P91" i="43"/>
  <c r="P92" i="43"/>
  <c r="P93" i="43"/>
  <c r="I14" i="2" l="1"/>
  <c r="I13" i="2"/>
  <c r="J13" i="2" s="1"/>
  <c r="H13" i="2"/>
  <c r="J214" i="45" l="1"/>
  <c r="I214" i="45"/>
  <c r="H214" i="45"/>
  <c r="G214" i="45"/>
  <c r="F214" i="45"/>
  <c r="E214" i="45"/>
  <c r="D214" i="45"/>
  <c r="C214" i="45"/>
  <c r="B214" i="45"/>
  <c r="J213" i="45"/>
  <c r="I213" i="45"/>
  <c r="H213" i="45"/>
  <c r="G213" i="45"/>
  <c r="F213" i="45"/>
  <c r="E213" i="45"/>
  <c r="D213" i="45"/>
  <c r="C213" i="45"/>
  <c r="B213" i="45"/>
  <c r="J69" i="45"/>
  <c r="I69" i="45"/>
  <c r="H69" i="45"/>
  <c r="G69" i="45"/>
  <c r="F69" i="45"/>
  <c r="E69" i="45"/>
  <c r="D69" i="45"/>
  <c r="C69" i="45"/>
  <c r="B69" i="45"/>
  <c r="J139" i="46"/>
  <c r="I139" i="46"/>
  <c r="H139" i="46"/>
  <c r="G139" i="46"/>
  <c r="F139" i="46"/>
  <c r="E139" i="46"/>
  <c r="D139" i="46"/>
  <c r="C139" i="46"/>
  <c r="B139" i="46"/>
  <c r="G138" i="46"/>
  <c r="F138" i="46"/>
  <c r="E138" i="46"/>
  <c r="D138" i="46"/>
  <c r="C138" i="46"/>
  <c r="B138" i="46"/>
  <c r="G137" i="46"/>
  <c r="F137" i="46"/>
  <c r="E137" i="46"/>
  <c r="D137" i="46"/>
  <c r="C137" i="46"/>
  <c r="B137" i="46"/>
  <c r="G136" i="46"/>
  <c r="F136" i="46"/>
  <c r="E136" i="46"/>
  <c r="D136" i="46"/>
  <c r="C136" i="46"/>
  <c r="B136" i="46"/>
  <c r="G135" i="46"/>
  <c r="F135" i="46"/>
  <c r="E135" i="46"/>
  <c r="D135" i="46"/>
  <c r="C135" i="46"/>
  <c r="B135" i="46"/>
  <c r="G134" i="46"/>
  <c r="F134" i="46"/>
  <c r="E134" i="46"/>
  <c r="D134" i="46"/>
  <c r="C134" i="46"/>
  <c r="B134" i="46"/>
  <c r="G133" i="46"/>
  <c r="F133" i="46"/>
  <c r="E133" i="46"/>
  <c r="D133" i="46"/>
  <c r="C133" i="46"/>
  <c r="B133" i="46"/>
  <c r="G132" i="46"/>
  <c r="F132" i="46"/>
  <c r="E132" i="46"/>
  <c r="D132" i="46"/>
  <c r="C132" i="46"/>
  <c r="B132" i="46"/>
  <c r="G131" i="46"/>
  <c r="F131" i="46"/>
  <c r="E131" i="46"/>
  <c r="D131" i="46"/>
  <c r="C131" i="46"/>
  <c r="B131" i="46"/>
  <c r="G130" i="46"/>
  <c r="F130" i="46"/>
  <c r="E130" i="46"/>
  <c r="D130" i="46"/>
  <c r="C130" i="46"/>
  <c r="B130" i="46"/>
  <c r="G129" i="46"/>
  <c r="F129" i="46"/>
  <c r="E129" i="46"/>
  <c r="D129" i="46"/>
  <c r="C129" i="46"/>
  <c r="B129" i="46"/>
  <c r="G128" i="46"/>
  <c r="F128" i="46"/>
  <c r="E128" i="46"/>
  <c r="D128" i="46"/>
  <c r="C128" i="46"/>
  <c r="B128" i="46"/>
  <c r="G127" i="46"/>
  <c r="F127" i="46"/>
  <c r="E127" i="46"/>
  <c r="D127" i="46"/>
  <c r="C127" i="46"/>
  <c r="B127" i="46"/>
  <c r="G126" i="46"/>
  <c r="F126" i="46"/>
  <c r="E126" i="46"/>
  <c r="D126" i="46"/>
  <c r="C126" i="46"/>
  <c r="B126" i="46"/>
  <c r="G125" i="46"/>
  <c r="F125" i="46"/>
  <c r="E125" i="46"/>
  <c r="D125" i="46"/>
  <c r="C125" i="46"/>
  <c r="B125" i="46"/>
  <c r="G124" i="46"/>
  <c r="F124" i="46"/>
  <c r="E124" i="46"/>
  <c r="D124" i="46"/>
  <c r="C124" i="46"/>
  <c r="B124" i="46"/>
  <c r="G123" i="46"/>
  <c r="F123" i="46"/>
  <c r="E123" i="46"/>
  <c r="D123" i="46"/>
  <c r="C123" i="46"/>
  <c r="B123" i="46"/>
  <c r="G122" i="46"/>
  <c r="F122" i="46"/>
  <c r="E122" i="46"/>
  <c r="D122" i="46"/>
  <c r="C122" i="46"/>
  <c r="B122" i="46"/>
  <c r="G121" i="46"/>
  <c r="F121" i="46"/>
  <c r="E121" i="46"/>
  <c r="D121" i="46"/>
  <c r="C121" i="46"/>
  <c r="B121" i="46"/>
  <c r="G120" i="46"/>
  <c r="F120" i="46"/>
  <c r="E120" i="46"/>
  <c r="D120" i="46"/>
  <c r="C120" i="46"/>
  <c r="B120" i="46"/>
  <c r="G119" i="46"/>
  <c r="F119" i="46"/>
  <c r="E119" i="46"/>
  <c r="D119" i="46"/>
  <c r="C119" i="46"/>
  <c r="B119" i="46"/>
  <c r="G118" i="46"/>
  <c r="F118" i="46"/>
  <c r="E118" i="46"/>
  <c r="D118" i="46"/>
  <c r="C118" i="46"/>
  <c r="B118" i="46"/>
  <c r="G117" i="46"/>
  <c r="F117" i="46"/>
  <c r="E117" i="46"/>
  <c r="D117" i="46"/>
  <c r="C117" i="46"/>
  <c r="B117" i="46"/>
  <c r="G116" i="46"/>
  <c r="F116" i="46"/>
  <c r="E116" i="46"/>
  <c r="D116" i="46"/>
  <c r="C116" i="46"/>
  <c r="B116" i="46"/>
  <c r="G115" i="46"/>
  <c r="F115" i="46"/>
  <c r="E115" i="46"/>
  <c r="D115" i="46"/>
  <c r="C115" i="46"/>
  <c r="B115" i="46"/>
  <c r="G114" i="46"/>
  <c r="F114" i="46"/>
  <c r="E114" i="46"/>
  <c r="D114" i="46"/>
  <c r="C114" i="46"/>
  <c r="B114" i="46"/>
  <c r="G113" i="46"/>
  <c r="F113" i="46"/>
  <c r="E113" i="46"/>
  <c r="D113" i="46"/>
  <c r="C113" i="46"/>
  <c r="B113" i="46"/>
  <c r="G112" i="46"/>
  <c r="F112" i="46"/>
  <c r="E112" i="46"/>
  <c r="D112" i="46"/>
  <c r="C112" i="46"/>
  <c r="B112" i="46"/>
  <c r="G111" i="46"/>
  <c r="F111" i="46"/>
  <c r="E111" i="46"/>
  <c r="D111" i="46"/>
  <c r="C111" i="46"/>
  <c r="B111" i="46"/>
  <c r="G110" i="46"/>
  <c r="F110" i="46"/>
  <c r="E110" i="46"/>
  <c r="D110" i="46"/>
  <c r="C110" i="46"/>
  <c r="B110" i="46"/>
  <c r="G109" i="46"/>
  <c r="F109" i="46"/>
  <c r="E109" i="46"/>
  <c r="D109" i="46"/>
  <c r="C109" i="46"/>
  <c r="B109" i="46"/>
  <c r="G108" i="46"/>
  <c r="F108" i="46"/>
  <c r="E108" i="46"/>
  <c r="D108" i="46"/>
  <c r="C108" i="46"/>
  <c r="B108" i="46"/>
  <c r="G107" i="46"/>
  <c r="F107" i="46"/>
  <c r="E107" i="46"/>
  <c r="D107" i="46"/>
  <c r="C107" i="46"/>
  <c r="B107" i="46"/>
  <c r="G106" i="46"/>
  <c r="F106" i="46"/>
  <c r="E106" i="46"/>
  <c r="D106" i="46"/>
  <c r="C106" i="46"/>
  <c r="B106" i="46"/>
  <c r="G105" i="46"/>
  <c r="F105" i="46"/>
  <c r="E105" i="46"/>
  <c r="D105" i="46"/>
  <c r="C105" i="46"/>
  <c r="B105" i="46"/>
  <c r="G104" i="46"/>
  <c r="F104" i="46"/>
  <c r="E104" i="46"/>
  <c r="D104" i="46"/>
  <c r="C104" i="46"/>
  <c r="B104" i="46"/>
  <c r="G103" i="46"/>
  <c r="F103" i="46"/>
  <c r="E103" i="46"/>
  <c r="D103" i="46"/>
  <c r="C103" i="46"/>
  <c r="B103" i="46"/>
  <c r="G102" i="46"/>
  <c r="F102" i="46"/>
  <c r="E102" i="46"/>
  <c r="D102" i="46"/>
  <c r="C102" i="46"/>
  <c r="B102" i="46"/>
  <c r="G101" i="46"/>
  <c r="F101" i="46"/>
  <c r="E101" i="46"/>
  <c r="D101" i="46"/>
  <c r="C101" i="46"/>
  <c r="B101" i="46"/>
  <c r="G100" i="46"/>
  <c r="F100" i="46"/>
  <c r="E100" i="46"/>
  <c r="D100" i="46"/>
  <c r="C100" i="46"/>
  <c r="B100" i="46"/>
  <c r="G99" i="46"/>
  <c r="F99" i="46"/>
  <c r="E99" i="46"/>
  <c r="D99" i="46"/>
  <c r="C99" i="46"/>
  <c r="B99" i="46"/>
  <c r="G98" i="46"/>
  <c r="F98" i="46"/>
  <c r="E98" i="46"/>
  <c r="D98" i="46"/>
  <c r="C98" i="46"/>
  <c r="B98" i="46"/>
  <c r="G97" i="46"/>
  <c r="F97" i="46"/>
  <c r="E97" i="46"/>
  <c r="D97" i="46"/>
  <c r="C97" i="46"/>
  <c r="B97" i="46"/>
  <c r="G96" i="46"/>
  <c r="F96" i="46"/>
  <c r="E96" i="46"/>
  <c r="D96" i="46"/>
  <c r="C96" i="46"/>
  <c r="B96" i="46"/>
  <c r="G95" i="46"/>
  <c r="F95" i="46"/>
  <c r="E95" i="46"/>
  <c r="D95" i="46"/>
  <c r="C95" i="46"/>
  <c r="B95" i="46"/>
  <c r="G94" i="46"/>
  <c r="F94" i="46"/>
  <c r="E94" i="46"/>
  <c r="D94" i="46"/>
  <c r="C94" i="46"/>
  <c r="B94" i="46"/>
  <c r="G93" i="46"/>
  <c r="F93" i="46"/>
  <c r="E93" i="46"/>
  <c r="D93" i="46"/>
  <c r="C93" i="46"/>
  <c r="B93" i="46"/>
  <c r="G92" i="46"/>
  <c r="F92" i="46"/>
  <c r="E92" i="46"/>
  <c r="D92" i="46"/>
  <c r="C92" i="46"/>
  <c r="B92" i="46"/>
  <c r="G91" i="46"/>
  <c r="F91" i="46"/>
  <c r="E91" i="46"/>
  <c r="D91" i="46"/>
  <c r="C91" i="46"/>
  <c r="B91" i="46"/>
  <c r="G90" i="46"/>
  <c r="F90" i="46"/>
  <c r="E90" i="46"/>
  <c r="D90" i="46"/>
  <c r="C90" i="46"/>
  <c r="B90" i="46"/>
  <c r="G89" i="46"/>
  <c r="F89" i="46"/>
  <c r="E89" i="46"/>
  <c r="D89" i="46"/>
  <c r="C89" i="46"/>
  <c r="B89" i="46"/>
  <c r="G88" i="46"/>
  <c r="F88" i="46"/>
  <c r="E88" i="46"/>
  <c r="D88" i="46"/>
  <c r="C88" i="46"/>
  <c r="B88" i="46"/>
  <c r="G87" i="46"/>
  <c r="F87" i="46"/>
  <c r="E87" i="46"/>
  <c r="D87" i="46"/>
  <c r="C87" i="46"/>
  <c r="B87" i="46"/>
  <c r="G86" i="46"/>
  <c r="F86" i="46"/>
  <c r="E86" i="46"/>
  <c r="D86" i="46"/>
  <c r="C86" i="46"/>
  <c r="B86" i="46"/>
  <c r="G85" i="46"/>
  <c r="F85" i="46"/>
  <c r="E85" i="46"/>
  <c r="D85" i="46"/>
  <c r="C85" i="46"/>
  <c r="B85" i="46"/>
  <c r="G84" i="46"/>
  <c r="F84" i="46"/>
  <c r="E84" i="46"/>
  <c r="D84" i="46"/>
  <c r="C84" i="46"/>
  <c r="B84" i="46"/>
  <c r="G83" i="46"/>
  <c r="F83" i="46"/>
  <c r="E83" i="46"/>
  <c r="D83" i="46"/>
  <c r="C83" i="46"/>
  <c r="B83" i="46"/>
  <c r="G82" i="46"/>
  <c r="F82" i="46"/>
  <c r="E82" i="46"/>
  <c r="D82" i="46"/>
  <c r="C82" i="46"/>
  <c r="B82" i="46"/>
  <c r="G81" i="46"/>
  <c r="F81" i="46"/>
  <c r="E81" i="46"/>
  <c r="D81" i="46"/>
  <c r="C81" i="46"/>
  <c r="B81" i="46"/>
  <c r="G80" i="46"/>
  <c r="F80" i="46"/>
  <c r="E80" i="46"/>
  <c r="D80" i="46"/>
  <c r="C80" i="46"/>
  <c r="B80" i="46"/>
  <c r="J139" i="47"/>
  <c r="I139" i="47"/>
  <c r="H139" i="47"/>
  <c r="G139" i="47"/>
  <c r="F139" i="47"/>
  <c r="E139" i="47"/>
  <c r="D139" i="47"/>
  <c r="C139" i="47"/>
  <c r="B139" i="47"/>
  <c r="G138" i="47"/>
  <c r="F138" i="47"/>
  <c r="E138" i="47"/>
  <c r="D138" i="47"/>
  <c r="C138" i="47"/>
  <c r="B138" i="47"/>
  <c r="G137" i="47"/>
  <c r="F137" i="47"/>
  <c r="E137" i="47"/>
  <c r="D137" i="47"/>
  <c r="C137" i="47"/>
  <c r="B137" i="47"/>
  <c r="G136" i="47"/>
  <c r="F136" i="47"/>
  <c r="E136" i="47"/>
  <c r="D136" i="47"/>
  <c r="C136" i="47"/>
  <c r="B136" i="47"/>
  <c r="G135" i="47"/>
  <c r="F135" i="47"/>
  <c r="E135" i="47"/>
  <c r="D135" i="47"/>
  <c r="C135" i="47"/>
  <c r="B135" i="47"/>
  <c r="G134" i="47"/>
  <c r="F134" i="47"/>
  <c r="E134" i="47"/>
  <c r="D134" i="47"/>
  <c r="C134" i="47"/>
  <c r="B134" i="47"/>
  <c r="G133" i="47"/>
  <c r="F133" i="47"/>
  <c r="E133" i="47"/>
  <c r="D133" i="47"/>
  <c r="C133" i="47"/>
  <c r="B133" i="47"/>
  <c r="G132" i="47"/>
  <c r="F132" i="47"/>
  <c r="E132" i="47"/>
  <c r="D132" i="47"/>
  <c r="C132" i="47"/>
  <c r="B132" i="47"/>
  <c r="G131" i="47"/>
  <c r="F131" i="47"/>
  <c r="E131" i="47"/>
  <c r="D131" i="47"/>
  <c r="C131" i="47"/>
  <c r="B131" i="47"/>
  <c r="G130" i="47"/>
  <c r="F130" i="47"/>
  <c r="E130" i="47"/>
  <c r="D130" i="47"/>
  <c r="C130" i="47"/>
  <c r="B130" i="47"/>
  <c r="G129" i="47"/>
  <c r="F129" i="47"/>
  <c r="E129" i="47"/>
  <c r="D129" i="47"/>
  <c r="C129" i="47"/>
  <c r="B129" i="47"/>
  <c r="G128" i="47"/>
  <c r="F128" i="47"/>
  <c r="E128" i="47"/>
  <c r="D128" i="47"/>
  <c r="C128" i="47"/>
  <c r="B128" i="47"/>
  <c r="G127" i="47"/>
  <c r="F127" i="47"/>
  <c r="E127" i="47"/>
  <c r="D127" i="47"/>
  <c r="C127" i="47"/>
  <c r="B127" i="47"/>
  <c r="G126" i="47"/>
  <c r="F126" i="47"/>
  <c r="E126" i="47"/>
  <c r="D126" i="47"/>
  <c r="C126" i="47"/>
  <c r="B126" i="47"/>
  <c r="G125" i="47"/>
  <c r="F125" i="47"/>
  <c r="E125" i="47"/>
  <c r="D125" i="47"/>
  <c r="C125" i="47"/>
  <c r="B125" i="47"/>
  <c r="G124" i="47"/>
  <c r="F124" i="47"/>
  <c r="E124" i="47"/>
  <c r="D124" i="47"/>
  <c r="C124" i="47"/>
  <c r="B124" i="47"/>
  <c r="G123" i="47"/>
  <c r="F123" i="47"/>
  <c r="E123" i="47"/>
  <c r="D123" i="47"/>
  <c r="C123" i="47"/>
  <c r="B123" i="47"/>
  <c r="G122" i="47"/>
  <c r="F122" i="47"/>
  <c r="E122" i="47"/>
  <c r="D122" i="47"/>
  <c r="C122" i="47"/>
  <c r="B122" i="47"/>
  <c r="G121" i="47"/>
  <c r="F121" i="47"/>
  <c r="E121" i="47"/>
  <c r="D121" i="47"/>
  <c r="C121" i="47"/>
  <c r="B121" i="47"/>
  <c r="G120" i="47"/>
  <c r="F120" i="47"/>
  <c r="E120" i="47"/>
  <c r="D120" i="47"/>
  <c r="C120" i="47"/>
  <c r="B120" i="47"/>
  <c r="G119" i="47"/>
  <c r="F119" i="47"/>
  <c r="E119" i="47"/>
  <c r="D119" i="47"/>
  <c r="C119" i="47"/>
  <c r="B119" i="47"/>
  <c r="G118" i="47"/>
  <c r="F118" i="47"/>
  <c r="E118" i="47"/>
  <c r="D118" i="47"/>
  <c r="C118" i="47"/>
  <c r="B118" i="47"/>
  <c r="G117" i="47"/>
  <c r="F117" i="47"/>
  <c r="E117" i="47"/>
  <c r="D117" i="47"/>
  <c r="C117" i="47"/>
  <c r="B117" i="47"/>
  <c r="G116" i="47"/>
  <c r="F116" i="47"/>
  <c r="E116" i="47"/>
  <c r="D116" i="47"/>
  <c r="C116" i="47"/>
  <c r="B116" i="47"/>
  <c r="G115" i="47"/>
  <c r="F115" i="47"/>
  <c r="E115" i="47"/>
  <c r="D115" i="47"/>
  <c r="C115" i="47"/>
  <c r="B115" i="47"/>
  <c r="G114" i="47"/>
  <c r="F114" i="47"/>
  <c r="E114" i="47"/>
  <c r="D114" i="47"/>
  <c r="C114" i="47"/>
  <c r="B114" i="47"/>
  <c r="G113" i="47"/>
  <c r="F113" i="47"/>
  <c r="E113" i="47"/>
  <c r="D113" i="47"/>
  <c r="C113" i="47"/>
  <c r="B113" i="47"/>
  <c r="G112" i="47"/>
  <c r="F112" i="47"/>
  <c r="E112" i="47"/>
  <c r="D112" i="47"/>
  <c r="C112" i="47"/>
  <c r="B112" i="47"/>
  <c r="G111" i="47"/>
  <c r="F111" i="47"/>
  <c r="E111" i="47"/>
  <c r="D111" i="47"/>
  <c r="C111" i="47"/>
  <c r="B111" i="47"/>
  <c r="G110" i="47"/>
  <c r="F110" i="47"/>
  <c r="E110" i="47"/>
  <c r="D110" i="47"/>
  <c r="C110" i="47"/>
  <c r="B110" i="47"/>
  <c r="G109" i="47"/>
  <c r="F109" i="47"/>
  <c r="E109" i="47"/>
  <c r="D109" i="47"/>
  <c r="C109" i="47"/>
  <c r="B109" i="47"/>
  <c r="G108" i="47"/>
  <c r="F108" i="47"/>
  <c r="E108" i="47"/>
  <c r="D108" i="47"/>
  <c r="C108" i="47"/>
  <c r="B108" i="47"/>
  <c r="G107" i="47"/>
  <c r="F107" i="47"/>
  <c r="E107" i="47"/>
  <c r="D107" i="47"/>
  <c r="C107" i="47"/>
  <c r="B107" i="47"/>
  <c r="G106" i="47"/>
  <c r="F106" i="47"/>
  <c r="E106" i="47"/>
  <c r="D106" i="47"/>
  <c r="C106" i="47"/>
  <c r="B106" i="47"/>
  <c r="G105" i="47"/>
  <c r="F105" i="47"/>
  <c r="E105" i="47"/>
  <c r="D105" i="47"/>
  <c r="C105" i="47"/>
  <c r="B105" i="47"/>
  <c r="G104" i="47"/>
  <c r="F104" i="47"/>
  <c r="E104" i="47"/>
  <c r="D104" i="47"/>
  <c r="C104" i="47"/>
  <c r="B104" i="47"/>
  <c r="G103" i="47"/>
  <c r="F103" i="47"/>
  <c r="E103" i="47"/>
  <c r="D103" i="47"/>
  <c r="C103" i="47"/>
  <c r="B103" i="47"/>
  <c r="G102" i="47"/>
  <c r="F102" i="47"/>
  <c r="E102" i="47"/>
  <c r="D102" i="47"/>
  <c r="C102" i="47"/>
  <c r="B102" i="47"/>
  <c r="G101" i="47"/>
  <c r="F101" i="47"/>
  <c r="E101" i="47"/>
  <c r="D101" i="47"/>
  <c r="C101" i="47"/>
  <c r="B101" i="47"/>
  <c r="G100" i="47"/>
  <c r="F100" i="47"/>
  <c r="E100" i="47"/>
  <c r="D100" i="47"/>
  <c r="C100" i="47"/>
  <c r="B100" i="47"/>
  <c r="G99" i="47"/>
  <c r="F99" i="47"/>
  <c r="E99" i="47"/>
  <c r="D99" i="47"/>
  <c r="C99" i="47"/>
  <c r="B99" i="47"/>
  <c r="G98" i="47"/>
  <c r="F98" i="47"/>
  <c r="E98" i="47"/>
  <c r="D98" i="47"/>
  <c r="C98" i="47"/>
  <c r="B98" i="47"/>
  <c r="G97" i="47"/>
  <c r="F97" i="47"/>
  <c r="E97" i="47"/>
  <c r="D97" i="47"/>
  <c r="C97" i="47"/>
  <c r="B97" i="47"/>
  <c r="G96" i="47"/>
  <c r="F96" i="47"/>
  <c r="E96" i="47"/>
  <c r="D96" i="47"/>
  <c r="C96" i="47"/>
  <c r="B96" i="47"/>
  <c r="G95" i="47"/>
  <c r="F95" i="47"/>
  <c r="E95" i="47"/>
  <c r="D95" i="47"/>
  <c r="C95" i="47"/>
  <c r="B95" i="47"/>
  <c r="G94" i="47"/>
  <c r="F94" i="47"/>
  <c r="E94" i="47"/>
  <c r="D94" i="47"/>
  <c r="C94" i="47"/>
  <c r="B94" i="47"/>
  <c r="G93" i="47"/>
  <c r="F93" i="47"/>
  <c r="E93" i="47"/>
  <c r="D93" i="47"/>
  <c r="C93" i="47"/>
  <c r="B93" i="47"/>
  <c r="G92" i="47"/>
  <c r="F92" i="47"/>
  <c r="E92" i="47"/>
  <c r="D92" i="47"/>
  <c r="C92" i="47"/>
  <c r="B92" i="47"/>
  <c r="G91" i="47"/>
  <c r="F91" i="47"/>
  <c r="E91" i="47"/>
  <c r="D91" i="47"/>
  <c r="C91" i="47"/>
  <c r="B91" i="47"/>
  <c r="G90" i="47"/>
  <c r="F90" i="47"/>
  <c r="E90" i="47"/>
  <c r="D90" i="47"/>
  <c r="C90" i="47"/>
  <c r="B90" i="47"/>
  <c r="G89" i="47"/>
  <c r="F89" i="47"/>
  <c r="E89" i="47"/>
  <c r="D89" i="47"/>
  <c r="C89" i="47"/>
  <c r="B89" i="47"/>
  <c r="G88" i="47"/>
  <c r="F88" i="47"/>
  <c r="E88" i="47"/>
  <c r="D88" i="47"/>
  <c r="C88" i="47"/>
  <c r="B88" i="47"/>
  <c r="G87" i="47"/>
  <c r="F87" i="47"/>
  <c r="E87" i="47"/>
  <c r="D87" i="47"/>
  <c r="C87" i="47"/>
  <c r="B87" i="47"/>
  <c r="G86" i="47"/>
  <c r="F86" i="47"/>
  <c r="E86" i="47"/>
  <c r="D86" i="47"/>
  <c r="C86" i="47"/>
  <c r="B86" i="47"/>
  <c r="G85" i="47"/>
  <c r="F85" i="47"/>
  <c r="E85" i="47"/>
  <c r="D85" i="47"/>
  <c r="C85" i="47"/>
  <c r="B85" i="47"/>
  <c r="G84" i="47"/>
  <c r="F84" i="47"/>
  <c r="E84" i="47"/>
  <c r="D84" i="47"/>
  <c r="C84" i="47"/>
  <c r="B84" i="47"/>
  <c r="G83" i="47"/>
  <c r="F83" i="47"/>
  <c r="E83" i="47"/>
  <c r="D83" i="47"/>
  <c r="C83" i="47"/>
  <c r="B83" i="47"/>
  <c r="G82" i="47"/>
  <c r="F82" i="47"/>
  <c r="E82" i="47"/>
  <c r="D82" i="47"/>
  <c r="C82" i="47"/>
  <c r="B82" i="47"/>
  <c r="G81" i="47"/>
  <c r="F81" i="47"/>
  <c r="E81" i="47"/>
  <c r="D81" i="47"/>
  <c r="C81" i="47"/>
  <c r="B81" i="47"/>
  <c r="G80" i="47"/>
  <c r="F80" i="47"/>
  <c r="E80" i="47"/>
  <c r="D80" i="47"/>
  <c r="C80" i="47"/>
  <c r="B80" i="47"/>
  <c r="C93" i="20" l="1"/>
  <c r="C92" i="20"/>
  <c r="C91" i="20"/>
  <c r="C90" i="20"/>
  <c r="C89" i="20"/>
  <c r="C87" i="20"/>
  <c r="C86" i="20"/>
  <c r="C84" i="20"/>
  <c r="C83" i="20"/>
  <c r="C82" i="20"/>
  <c r="C81" i="20"/>
  <c r="C80" i="20"/>
  <c r="C79" i="20"/>
  <c r="C78" i="20"/>
  <c r="C77" i="20"/>
  <c r="C76" i="20"/>
  <c r="C75" i="20"/>
  <c r="C74" i="20"/>
  <c r="C73" i="20"/>
  <c r="C72" i="20"/>
  <c r="C71" i="20"/>
  <c r="C70" i="20"/>
  <c r="C69" i="20"/>
  <c r="C68" i="20"/>
  <c r="C67" i="20"/>
  <c r="G12" i="2" l="1"/>
  <c r="H12" i="2"/>
  <c r="I12" i="2"/>
  <c r="J12" i="2" l="1"/>
  <c r="J212" i="45"/>
  <c r="I212" i="45"/>
  <c r="H212" i="45"/>
  <c r="G212" i="45"/>
  <c r="F212" i="45"/>
  <c r="E212" i="45"/>
  <c r="D212" i="45"/>
  <c r="C212" i="45"/>
  <c r="B212" i="45"/>
  <c r="J211" i="45"/>
  <c r="I211" i="45"/>
  <c r="H211" i="45"/>
  <c r="G211" i="45"/>
  <c r="F211" i="45"/>
  <c r="E211" i="45"/>
  <c r="D211" i="45"/>
  <c r="C211" i="45"/>
  <c r="B211" i="45"/>
  <c r="J210" i="45"/>
  <c r="I210" i="45"/>
  <c r="H210" i="45"/>
  <c r="G210" i="45"/>
  <c r="F210" i="45"/>
  <c r="E210" i="45"/>
  <c r="D210" i="45"/>
  <c r="C210" i="45"/>
  <c r="B210" i="45"/>
  <c r="J209" i="45"/>
  <c r="I209" i="45"/>
  <c r="H209" i="45"/>
  <c r="G209" i="45"/>
  <c r="F209" i="45"/>
  <c r="E209" i="45"/>
  <c r="D209" i="45"/>
  <c r="C209" i="45"/>
  <c r="B209" i="45"/>
  <c r="J208" i="45"/>
  <c r="I208" i="45"/>
  <c r="H208" i="45"/>
  <c r="G208" i="45"/>
  <c r="F208" i="45"/>
  <c r="E208" i="45"/>
  <c r="D208" i="45"/>
  <c r="C208" i="45"/>
  <c r="B208" i="45"/>
  <c r="J207" i="45"/>
  <c r="I207" i="45"/>
  <c r="H207" i="45"/>
  <c r="G207" i="45"/>
  <c r="F207" i="45"/>
  <c r="E207" i="45"/>
  <c r="D207" i="45"/>
  <c r="C207" i="45"/>
  <c r="B207" i="45"/>
  <c r="J206" i="45"/>
  <c r="I206" i="45"/>
  <c r="H206" i="45"/>
  <c r="G206" i="45"/>
  <c r="F206" i="45"/>
  <c r="E206" i="45"/>
  <c r="D206" i="45"/>
  <c r="C206" i="45"/>
  <c r="B206" i="45"/>
  <c r="J205" i="45"/>
  <c r="I205" i="45"/>
  <c r="H205" i="45"/>
  <c r="G205" i="45"/>
  <c r="F205" i="45"/>
  <c r="E205" i="45"/>
  <c r="D205" i="45"/>
  <c r="C205" i="45"/>
  <c r="B205" i="45"/>
  <c r="J204" i="45"/>
  <c r="I204" i="45"/>
  <c r="H204" i="45"/>
  <c r="G204" i="45"/>
  <c r="F204" i="45"/>
  <c r="E204" i="45"/>
  <c r="D204" i="45"/>
  <c r="C204" i="45"/>
  <c r="B204" i="45"/>
  <c r="J203" i="45"/>
  <c r="I203" i="45"/>
  <c r="H203" i="45"/>
  <c r="G203" i="45"/>
  <c r="F203" i="45"/>
  <c r="E203" i="45"/>
  <c r="D203" i="45"/>
  <c r="C203" i="45"/>
  <c r="B203" i="45"/>
  <c r="J202" i="45"/>
  <c r="I202" i="45"/>
  <c r="H202" i="45"/>
  <c r="G202" i="45"/>
  <c r="F202" i="45"/>
  <c r="E202" i="45"/>
  <c r="D202" i="45"/>
  <c r="C202" i="45"/>
  <c r="B202" i="45"/>
  <c r="J201" i="45"/>
  <c r="I201" i="45"/>
  <c r="H201" i="45"/>
  <c r="G201" i="45"/>
  <c r="F201" i="45"/>
  <c r="E201" i="45"/>
  <c r="D201" i="45"/>
  <c r="C201" i="45"/>
  <c r="B201" i="45"/>
  <c r="J200" i="45"/>
  <c r="I200" i="45"/>
  <c r="H200" i="45"/>
  <c r="G200" i="45"/>
  <c r="F200" i="45"/>
  <c r="E200" i="45"/>
  <c r="D200" i="45"/>
  <c r="C200" i="45"/>
  <c r="B200" i="45"/>
  <c r="J199" i="45"/>
  <c r="I199" i="45"/>
  <c r="H199" i="45"/>
  <c r="G199" i="45"/>
  <c r="F199" i="45"/>
  <c r="E199" i="45"/>
  <c r="D199" i="45"/>
  <c r="C199" i="45"/>
  <c r="B199" i="45"/>
  <c r="J198" i="45"/>
  <c r="I198" i="45"/>
  <c r="H198" i="45"/>
  <c r="G198" i="45"/>
  <c r="F198" i="45"/>
  <c r="E198" i="45"/>
  <c r="D198" i="45"/>
  <c r="C198" i="45"/>
  <c r="B198" i="45"/>
  <c r="J197" i="45"/>
  <c r="I197" i="45"/>
  <c r="H197" i="45"/>
  <c r="G197" i="45"/>
  <c r="F197" i="45"/>
  <c r="E197" i="45"/>
  <c r="D197" i="45"/>
  <c r="C197" i="45"/>
  <c r="B197" i="45"/>
  <c r="J196" i="45"/>
  <c r="I196" i="45"/>
  <c r="H196" i="45"/>
  <c r="G196" i="45"/>
  <c r="F196" i="45"/>
  <c r="E196" i="45"/>
  <c r="D196" i="45"/>
  <c r="C196" i="45"/>
  <c r="B196" i="45"/>
  <c r="J195" i="45"/>
  <c r="I195" i="45"/>
  <c r="H195" i="45"/>
  <c r="G195" i="45"/>
  <c r="F195" i="45"/>
  <c r="E195" i="45"/>
  <c r="D195" i="45"/>
  <c r="C195" i="45"/>
  <c r="B195" i="45"/>
  <c r="J194" i="45"/>
  <c r="I194" i="45"/>
  <c r="H194" i="45"/>
  <c r="G194" i="45"/>
  <c r="F194" i="45"/>
  <c r="E194" i="45"/>
  <c r="D194" i="45"/>
  <c r="C194" i="45"/>
  <c r="B194" i="45"/>
  <c r="J193" i="45"/>
  <c r="I193" i="45"/>
  <c r="H193" i="45"/>
  <c r="G193" i="45"/>
  <c r="F193" i="45"/>
  <c r="E193" i="45"/>
  <c r="D193" i="45"/>
  <c r="C193" i="45"/>
  <c r="B193" i="45"/>
  <c r="J192" i="45"/>
  <c r="I192" i="45"/>
  <c r="H192" i="45"/>
  <c r="G192" i="45"/>
  <c r="F192" i="45"/>
  <c r="E192" i="45"/>
  <c r="D192" i="45"/>
  <c r="C192" i="45"/>
  <c r="B192" i="45"/>
  <c r="J191" i="45"/>
  <c r="I191" i="45"/>
  <c r="H191" i="45"/>
  <c r="G191" i="45"/>
  <c r="F191" i="45"/>
  <c r="E191" i="45"/>
  <c r="D191" i="45"/>
  <c r="C191" i="45"/>
  <c r="B191" i="45"/>
  <c r="J190" i="45"/>
  <c r="I190" i="45"/>
  <c r="H190" i="45"/>
  <c r="G190" i="45"/>
  <c r="F190" i="45"/>
  <c r="E190" i="45"/>
  <c r="D190" i="45"/>
  <c r="C190" i="45"/>
  <c r="B190" i="45"/>
  <c r="J189" i="45"/>
  <c r="I189" i="45"/>
  <c r="H189" i="45"/>
  <c r="G189" i="45"/>
  <c r="F189" i="45"/>
  <c r="E189" i="45"/>
  <c r="D189" i="45"/>
  <c r="C189" i="45"/>
  <c r="B189" i="45"/>
  <c r="J188" i="45"/>
  <c r="I188" i="45"/>
  <c r="H188" i="45"/>
  <c r="G188" i="45"/>
  <c r="F188" i="45"/>
  <c r="E188" i="45"/>
  <c r="D188" i="45"/>
  <c r="C188" i="45"/>
  <c r="B188" i="45"/>
  <c r="J187" i="45"/>
  <c r="I187" i="45"/>
  <c r="H187" i="45"/>
  <c r="G187" i="45"/>
  <c r="F187" i="45"/>
  <c r="E187" i="45"/>
  <c r="D187" i="45"/>
  <c r="C187" i="45"/>
  <c r="B187" i="45"/>
  <c r="J186" i="45"/>
  <c r="I186" i="45"/>
  <c r="H186" i="45"/>
  <c r="G186" i="45"/>
  <c r="F186" i="45"/>
  <c r="E186" i="45"/>
  <c r="D186" i="45"/>
  <c r="C186" i="45"/>
  <c r="B186" i="45"/>
  <c r="J185" i="45"/>
  <c r="I185" i="45"/>
  <c r="H185" i="45"/>
  <c r="G185" i="45"/>
  <c r="F185" i="45"/>
  <c r="E185" i="45"/>
  <c r="D185" i="45"/>
  <c r="C185" i="45"/>
  <c r="B185" i="45"/>
  <c r="J184" i="45"/>
  <c r="I184" i="45"/>
  <c r="H184" i="45"/>
  <c r="G184" i="45"/>
  <c r="F184" i="45"/>
  <c r="E184" i="45"/>
  <c r="D184" i="45"/>
  <c r="C184" i="45"/>
  <c r="B184" i="45"/>
  <c r="J183" i="45"/>
  <c r="I183" i="45"/>
  <c r="H183" i="45"/>
  <c r="G183" i="45"/>
  <c r="F183" i="45"/>
  <c r="E183" i="45"/>
  <c r="D183" i="45"/>
  <c r="C183" i="45"/>
  <c r="B183" i="45"/>
  <c r="J182" i="45"/>
  <c r="I182" i="45"/>
  <c r="H182" i="45"/>
  <c r="G182" i="45"/>
  <c r="F182" i="45"/>
  <c r="E182" i="45"/>
  <c r="D182" i="45"/>
  <c r="C182" i="45"/>
  <c r="B182" i="45"/>
  <c r="J181" i="45"/>
  <c r="I181" i="45"/>
  <c r="H181" i="45"/>
  <c r="G181" i="45"/>
  <c r="F181" i="45"/>
  <c r="E181" i="45"/>
  <c r="D181" i="45"/>
  <c r="C181" i="45"/>
  <c r="B181" i="45"/>
  <c r="J180" i="45"/>
  <c r="I180" i="45"/>
  <c r="H180" i="45"/>
  <c r="G180" i="45"/>
  <c r="F180" i="45"/>
  <c r="E180" i="45"/>
  <c r="D180" i="45"/>
  <c r="C180" i="45"/>
  <c r="B180" i="45"/>
  <c r="J179" i="45"/>
  <c r="I179" i="45"/>
  <c r="H179" i="45"/>
  <c r="G179" i="45"/>
  <c r="F179" i="45"/>
  <c r="E179" i="45"/>
  <c r="D179" i="45"/>
  <c r="C179" i="45"/>
  <c r="B179" i="45"/>
  <c r="J178" i="45"/>
  <c r="I178" i="45"/>
  <c r="H178" i="45"/>
  <c r="G178" i="45"/>
  <c r="F178" i="45"/>
  <c r="E178" i="45"/>
  <c r="D178" i="45"/>
  <c r="C178" i="45"/>
  <c r="B178" i="45"/>
  <c r="J177" i="45"/>
  <c r="I177" i="45"/>
  <c r="H177" i="45"/>
  <c r="G177" i="45"/>
  <c r="F177" i="45"/>
  <c r="E177" i="45"/>
  <c r="D177" i="45"/>
  <c r="C177" i="45"/>
  <c r="B177" i="45"/>
  <c r="J176" i="45"/>
  <c r="I176" i="45"/>
  <c r="H176" i="45"/>
  <c r="G176" i="45"/>
  <c r="F176" i="45"/>
  <c r="E176" i="45"/>
  <c r="D176" i="45"/>
  <c r="C176" i="45"/>
  <c r="B176" i="45"/>
  <c r="J175" i="45"/>
  <c r="I175" i="45"/>
  <c r="H175" i="45"/>
  <c r="G175" i="45"/>
  <c r="F175" i="45"/>
  <c r="E175" i="45"/>
  <c r="D175" i="45"/>
  <c r="C175" i="45"/>
  <c r="B175" i="45"/>
  <c r="J174" i="45"/>
  <c r="I174" i="45"/>
  <c r="H174" i="45"/>
  <c r="G174" i="45"/>
  <c r="F174" i="45"/>
  <c r="E174" i="45"/>
  <c r="D174" i="45"/>
  <c r="C174" i="45"/>
  <c r="B174" i="45"/>
  <c r="J173" i="45"/>
  <c r="I173" i="45"/>
  <c r="H173" i="45"/>
  <c r="G173" i="45"/>
  <c r="F173" i="45"/>
  <c r="E173" i="45"/>
  <c r="D173" i="45"/>
  <c r="C173" i="45"/>
  <c r="B173" i="45"/>
  <c r="J172" i="45"/>
  <c r="I172" i="45"/>
  <c r="H172" i="45"/>
  <c r="G172" i="45"/>
  <c r="F172" i="45"/>
  <c r="E172" i="45"/>
  <c r="D172" i="45"/>
  <c r="C172" i="45"/>
  <c r="B172" i="45"/>
  <c r="J171" i="45"/>
  <c r="I171" i="45"/>
  <c r="H171" i="45"/>
  <c r="G171" i="45"/>
  <c r="F171" i="45"/>
  <c r="E171" i="45"/>
  <c r="D171" i="45"/>
  <c r="C171" i="45"/>
  <c r="B171" i="45"/>
  <c r="J170" i="45"/>
  <c r="I170" i="45"/>
  <c r="H170" i="45"/>
  <c r="G170" i="45"/>
  <c r="F170" i="45"/>
  <c r="E170" i="45"/>
  <c r="D170" i="45"/>
  <c r="C170" i="45"/>
  <c r="B170" i="45"/>
  <c r="J169" i="45"/>
  <c r="I169" i="45"/>
  <c r="H169" i="45"/>
  <c r="G169" i="45"/>
  <c r="F169" i="45"/>
  <c r="E169" i="45"/>
  <c r="D169" i="45"/>
  <c r="C169" i="45"/>
  <c r="B169" i="45"/>
  <c r="J168" i="45"/>
  <c r="I168" i="45"/>
  <c r="H168" i="45"/>
  <c r="G168" i="45"/>
  <c r="F168" i="45"/>
  <c r="E168" i="45"/>
  <c r="D168" i="45"/>
  <c r="C168" i="45"/>
  <c r="B168" i="45"/>
  <c r="J167" i="45"/>
  <c r="I167" i="45"/>
  <c r="H167" i="45"/>
  <c r="G167" i="45"/>
  <c r="F167" i="45"/>
  <c r="E167" i="45"/>
  <c r="D167" i="45"/>
  <c r="C167" i="45"/>
  <c r="B167" i="45"/>
  <c r="J166" i="45"/>
  <c r="I166" i="45"/>
  <c r="H166" i="45"/>
  <c r="G166" i="45"/>
  <c r="F166" i="45"/>
  <c r="E166" i="45"/>
  <c r="D166" i="45"/>
  <c r="C166" i="45"/>
  <c r="B166" i="45"/>
  <c r="J165" i="45"/>
  <c r="I165" i="45"/>
  <c r="H165" i="45"/>
  <c r="G165" i="45"/>
  <c r="F165" i="45"/>
  <c r="E165" i="45"/>
  <c r="D165" i="45"/>
  <c r="C165" i="45"/>
  <c r="B165" i="45"/>
  <c r="J164" i="45"/>
  <c r="I164" i="45"/>
  <c r="H164" i="45"/>
  <c r="G164" i="45"/>
  <c r="F164" i="45"/>
  <c r="E164" i="45"/>
  <c r="D164" i="45"/>
  <c r="C164" i="45"/>
  <c r="B164" i="45"/>
  <c r="J163" i="45"/>
  <c r="I163" i="45"/>
  <c r="H163" i="45"/>
  <c r="G163" i="45"/>
  <c r="F163" i="45"/>
  <c r="E163" i="45"/>
  <c r="D163" i="45"/>
  <c r="C163" i="45"/>
  <c r="B163" i="45"/>
  <c r="J162" i="45"/>
  <c r="I162" i="45"/>
  <c r="H162" i="45"/>
  <c r="G162" i="45"/>
  <c r="F162" i="45"/>
  <c r="E162" i="45"/>
  <c r="D162" i="45"/>
  <c r="C162" i="45"/>
  <c r="B162" i="45"/>
  <c r="J161" i="45"/>
  <c r="I161" i="45"/>
  <c r="H161" i="45"/>
  <c r="G161" i="45"/>
  <c r="F161" i="45"/>
  <c r="E161" i="45"/>
  <c r="D161" i="45"/>
  <c r="C161" i="45"/>
  <c r="B161" i="45"/>
  <c r="J160" i="45"/>
  <c r="I160" i="45"/>
  <c r="H160" i="45"/>
  <c r="G160" i="45"/>
  <c r="F160" i="45"/>
  <c r="E160" i="45"/>
  <c r="D160" i="45"/>
  <c r="C160" i="45"/>
  <c r="B160" i="45"/>
  <c r="J159" i="45"/>
  <c r="I159" i="45"/>
  <c r="H159" i="45"/>
  <c r="G159" i="45"/>
  <c r="F159" i="45"/>
  <c r="E159" i="45"/>
  <c r="D159" i="45"/>
  <c r="C159" i="45"/>
  <c r="B159" i="45"/>
  <c r="J158" i="45"/>
  <c r="I158" i="45"/>
  <c r="H158" i="45"/>
  <c r="G158" i="45"/>
  <c r="F158" i="45"/>
  <c r="E158" i="45"/>
  <c r="D158" i="45"/>
  <c r="C158" i="45"/>
  <c r="B158" i="45"/>
  <c r="J157" i="45"/>
  <c r="I157" i="45"/>
  <c r="H157" i="45"/>
  <c r="G157" i="45"/>
  <c r="F157" i="45"/>
  <c r="E157" i="45"/>
  <c r="D157" i="45"/>
  <c r="C157" i="45"/>
  <c r="B157" i="45"/>
  <c r="J156" i="45"/>
  <c r="I156" i="45"/>
  <c r="H156" i="45"/>
  <c r="G156" i="45"/>
  <c r="F156" i="45"/>
  <c r="E156" i="45"/>
  <c r="D156" i="45"/>
  <c r="C156" i="45"/>
  <c r="B156" i="45"/>
  <c r="J155" i="45"/>
  <c r="I155" i="45"/>
  <c r="H155" i="45"/>
  <c r="G155" i="45"/>
  <c r="F155" i="45"/>
  <c r="E155" i="45"/>
  <c r="D155" i="45"/>
  <c r="C155" i="45"/>
  <c r="B155" i="45"/>
  <c r="J154" i="45"/>
  <c r="I154" i="45"/>
  <c r="H154" i="45"/>
  <c r="G154" i="45"/>
  <c r="F154" i="45"/>
  <c r="E154" i="45"/>
  <c r="D154" i="45"/>
  <c r="C154" i="45"/>
  <c r="B154" i="45"/>
  <c r="G68" i="45"/>
  <c r="F68" i="45"/>
  <c r="E68" i="45"/>
  <c r="D68" i="45"/>
  <c r="C68" i="45"/>
  <c r="B68" i="45"/>
  <c r="G67" i="45"/>
  <c r="F67" i="45"/>
  <c r="E67" i="45"/>
  <c r="D67" i="45"/>
  <c r="C67" i="45"/>
  <c r="C140" i="45" s="1"/>
  <c r="B67" i="45"/>
  <c r="G66" i="45"/>
  <c r="F66" i="45"/>
  <c r="E66" i="45"/>
  <c r="D66" i="45"/>
  <c r="C66" i="45"/>
  <c r="B66" i="45"/>
  <c r="G65" i="45"/>
  <c r="G138" i="45" s="1"/>
  <c r="F65" i="45"/>
  <c r="F138" i="45" s="1"/>
  <c r="E65" i="45"/>
  <c r="D65" i="45"/>
  <c r="C65" i="45"/>
  <c r="C138" i="45" s="1"/>
  <c r="B65" i="45"/>
  <c r="G64" i="45"/>
  <c r="G137" i="45" s="1"/>
  <c r="F64" i="45"/>
  <c r="F137" i="45" s="1"/>
  <c r="E64" i="45"/>
  <c r="E137" i="45" s="1"/>
  <c r="D64" i="45"/>
  <c r="D137" i="45" s="1"/>
  <c r="C64" i="45"/>
  <c r="B64" i="45"/>
  <c r="G63" i="45"/>
  <c r="F63" i="45"/>
  <c r="E63" i="45"/>
  <c r="D63" i="45"/>
  <c r="C63" i="45"/>
  <c r="B63" i="45"/>
  <c r="G62" i="45"/>
  <c r="F62" i="45"/>
  <c r="E62" i="45"/>
  <c r="D62" i="45"/>
  <c r="C62" i="45"/>
  <c r="C135" i="45" s="1"/>
  <c r="B62" i="45"/>
  <c r="G61" i="45"/>
  <c r="G134" i="45" s="1"/>
  <c r="F61" i="45"/>
  <c r="F134" i="45" s="1"/>
  <c r="E61" i="45"/>
  <c r="D61" i="45"/>
  <c r="C61" i="45"/>
  <c r="C134" i="45" s="1"/>
  <c r="B61" i="45"/>
  <c r="G60" i="45"/>
  <c r="G133" i="45" s="1"/>
  <c r="F60" i="45"/>
  <c r="F133" i="45" s="1"/>
  <c r="E60" i="45"/>
  <c r="E133" i="45" s="1"/>
  <c r="D60" i="45"/>
  <c r="D133" i="45" s="1"/>
  <c r="C60" i="45"/>
  <c r="C133" i="45" s="1"/>
  <c r="B60" i="45"/>
  <c r="B133" i="45" s="1"/>
  <c r="G59" i="45"/>
  <c r="G132" i="45" s="1"/>
  <c r="F59" i="45"/>
  <c r="E59" i="45"/>
  <c r="D59" i="45"/>
  <c r="C59" i="45"/>
  <c r="B59" i="45"/>
  <c r="G58" i="45"/>
  <c r="G131" i="45" s="1"/>
  <c r="F58" i="45"/>
  <c r="E58" i="45"/>
  <c r="D58" i="45"/>
  <c r="C58" i="45"/>
  <c r="C131" i="45" s="1"/>
  <c r="B58" i="45"/>
  <c r="B131" i="45" s="1"/>
  <c r="G57" i="45"/>
  <c r="G130" i="45" s="1"/>
  <c r="F57" i="45"/>
  <c r="F130" i="45" s="1"/>
  <c r="E57" i="45"/>
  <c r="D57" i="45"/>
  <c r="C57" i="45"/>
  <c r="B57" i="45"/>
  <c r="G56" i="45"/>
  <c r="G129" i="45" s="1"/>
  <c r="F56" i="45"/>
  <c r="F129" i="45" s="1"/>
  <c r="E56" i="45"/>
  <c r="E129" i="45" s="1"/>
  <c r="D56" i="45"/>
  <c r="D129" i="45" s="1"/>
  <c r="C56" i="45"/>
  <c r="C129" i="45" s="1"/>
  <c r="B56" i="45"/>
  <c r="B129" i="45" s="1"/>
  <c r="G55" i="45"/>
  <c r="G128" i="45" s="1"/>
  <c r="F55" i="45"/>
  <c r="F128" i="45" s="1"/>
  <c r="E55" i="45"/>
  <c r="D55" i="45"/>
  <c r="C55" i="45"/>
  <c r="C128" i="45" s="1"/>
  <c r="B55" i="45"/>
  <c r="B128" i="45" s="1"/>
  <c r="G54" i="45"/>
  <c r="G127" i="45" s="1"/>
  <c r="F54" i="45"/>
  <c r="E54" i="45"/>
  <c r="D54" i="45"/>
  <c r="C54" i="45"/>
  <c r="C127" i="45" s="1"/>
  <c r="B54" i="45"/>
  <c r="B127" i="45" s="1"/>
  <c r="G53" i="45"/>
  <c r="G126" i="45" s="1"/>
  <c r="F53" i="45"/>
  <c r="F126" i="45" s="1"/>
  <c r="E53" i="45"/>
  <c r="D53" i="45"/>
  <c r="C53" i="45"/>
  <c r="C126" i="45" s="1"/>
  <c r="B53" i="45"/>
  <c r="B126" i="45" s="1"/>
  <c r="G52" i="45"/>
  <c r="G125" i="45" s="1"/>
  <c r="F52" i="45"/>
  <c r="F125" i="45" s="1"/>
  <c r="E52" i="45"/>
  <c r="E125" i="45" s="1"/>
  <c r="D52" i="45"/>
  <c r="C52" i="45"/>
  <c r="B52" i="45"/>
  <c r="B125" i="45" s="1"/>
  <c r="G51" i="45"/>
  <c r="G124" i="45" s="1"/>
  <c r="F51" i="45"/>
  <c r="F124" i="45" s="1"/>
  <c r="E51" i="45"/>
  <c r="D51" i="45"/>
  <c r="C51" i="45"/>
  <c r="C124" i="45" s="1"/>
  <c r="B51" i="45"/>
  <c r="B124" i="45" s="1"/>
  <c r="G50" i="45"/>
  <c r="G123" i="45" s="1"/>
  <c r="F50" i="45"/>
  <c r="F123" i="45" s="1"/>
  <c r="E50" i="45"/>
  <c r="D50" i="45"/>
  <c r="C50" i="45"/>
  <c r="B50" i="45"/>
  <c r="B123" i="45" s="1"/>
  <c r="G49" i="45"/>
  <c r="G122" i="45" s="1"/>
  <c r="F49" i="45"/>
  <c r="F122" i="45" s="1"/>
  <c r="E49" i="45"/>
  <c r="D49" i="45"/>
  <c r="C49" i="45"/>
  <c r="C122" i="45" s="1"/>
  <c r="B49" i="45"/>
  <c r="B122" i="45" s="1"/>
  <c r="G48" i="45"/>
  <c r="G121" i="45" s="1"/>
  <c r="F48" i="45"/>
  <c r="F121" i="45" s="1"/>
  <c r="E48" i="45"/>
  <c r="E121" i="45" s="1"/>
  <c r="D48" i="45"/>
  <c r="D121" i="45" s="1"/>
  <c r="C48" i="45"/>
  <c r="C121" i="45" s="1"/>
  <c r="B48" i="45"/>
  <c r="B121" i="45" s="1"/>
  <c r="G47" i="45"/>
  <c r="G120" i="45" s="1"/>
  <c r="F47" i="45"/>
  <c r="F120" i="45" s="1"/>
  <c r="E47" i="45"/>
  <c r="D47" i="45"/>
  <c r="C47" i="45"/>
  <c r="C120" i="45" s="1"/>
  <c r="B47" i="45"/>
  <c r="B120" i="45" s="1"/>
  <c r="G46" i="45"/>
  <c r="G119" i="45" s="1"/>
  <c r="F46" i="45"/>
  <c r="F119" i="45" s="1"/>
  <c r="E46" i="45"/>
  <c r="D46" i="45"/>
  <c r="C46" i="45"/>
  <c r="C119" i="45" s="1"/>
  <c r="B46" i="45"/>
  <c r="B119" i="45" s="1"/>
  <c r="G45" i="45"/>
  <c r="G118" i="45" s="1"/>
  <c r="F45" i="45"/>
  <c r="F118" i="45" s="1"/>
  <c r="E45" i="45"/>
  <c r="D45" i="45"/>
  <c r="C45" i="45"/>
  <c r="C118" i="45" s="1"/>
  <c r="B45" i="45"/>
  <c r="B118" i="45" s="1"/>
  <c r="G44" i="45"/>
  <c r="G117" i="45" s="1"/>
  <c r="F44" i="45"/>
  <c r="F117" i="45" s="1"/>
  <c r="E44" i="45"/>
  <c r="E117" i="45" s="1"/>
  <c r="D44" i="45"/>
  <c r="D117" i="45" s="1"/>
  <c r="C44" i="45"/>
  <c r="C117" i="45" s="1"/>
  <c r="B44" i="45"/>
  <c r="B117" i="45" s="1"/>
  <c r="G43" i="45"/>
  <c r="G116" i="45" s="1"/>
  <c r="F43" i="45"/>
  <c r="F116" i="45" s="1"/>
  <c r="E43" i="45"/>
  <c r="D43" i="45"/>
  <c r="C43" i="45"/>
  <c r="C116" i="45" s="1"/>
  <c r="B43" i="45"/>
  <c r="B116" i="45" s="1"/>
  <c r="G42" i="45"/>
  <c r="G115" i="45" s="1"/>
  <c r="F42" i="45"/>
  <c r="F115" i="45" s="1"/>
  <c r="E42" i="45"/>
  <c r="D42" i="45"/>
  <c r="C42" i="45"/>
  <c r="C115" i="45" s="1"/>
  <c r="B42" i="45"/>
  <c r="B115" i="45" s="1"/>
  <c r="G41" i="45"/>
  <c r="G114" i="45" s="1"/>
  <c r="F41" i="45"/>
  <c r="F114" i="45" s="1"/>
  <c r="E41" i="45"/>
  <c r="D41" i="45"/>
  <c r="C41" i="45"/>
  <c r="C114" i="45" s="1"/>
  <c r="B41" i="45"/>
  <c r="B114" i="45" s="1"/>
  <c r="G40" i="45"/>
  <c r="G113" i="45" s="1"/>
  <c r="F40" i="45"/>
  <c r="F113" i="45" s="1"/>
  <c r="E40" i="45"/>
  <c r="E113" i="45" s="1"/>
  <c r="D40" i="45"/>
  <c r="D113" i="45" s="1"/>
  <c r="C40" i="45"/>
  <c r="C113" i="45" s="1"/>
  <c r="B40" i="45"/>
  <c r="B113" i="45" s="1"/>
  <c r="G39" i="45"/>
  <c r="G112" i="45" s="1"/>
  <c r="F39" i="45"/>
  <c r="F112" i="45" s="1"/>
  <c r="E39" i="45"/>
  <c r="D39" i="45"/>
  <c r="C39" i="45"/>
  <c r="C112" i="45" s="1"/>
  <c r="B39" i="45"/>
  <c r="B112" i="45" s="1"/>
  <c r="G38" i="45"/>
  <c r="G111" i="45" s="1"/>
  <c r="F38" i="45"/>
  <c r="F111" i="45" s="1"/>
  <c r="E38" i="45"/>
  <c r="D38" i="45"/>
  <c r="C38" i="45"/>
  <c r="C111" i="45" s="1"/>
  <c r="B38" i="45"/>
  <c r="B111" i="45" s="1"/>
  <c r="G37" i="45"/>
  <c r="G110" i="45" s="1"/>
  <c r="F37" i="45"/>
  <c r="F110" i="45" s="1"/>
  <c r="E37" i="45"/>
  <c r="D37" i="45"/>
  <c r="C37" i="45"/>
  <c r="C110" i="45" s="1"/>
  <c r="B37" i="45"/>
  <c r="B110" i="45" s="1"/>
  <c r="G36" i="45"/>
  <c r="G109" i="45" s="1"/>
  <c r="F36" i="45"/>
  <c r="F109" i="45" s="1"/>
  <c r="E36" i="45"/>
  <c r="E109" i="45" s="1"/>
  <c r="D36" i="45"/>
  <c r="D109" i="45" s="1"/>
  <c r="C36" i="45"/>
  <c r="C109" i="45" s="1"/>
  <c r="B36" i="45"/>
  <c r="B109" i="45" s="1"/>
  <c r="G35" i="45"/>
  <c r="G108" i="45" s="1"/>
  <c r="F35" i="45"/>
  <c r="F108" i="45" s="1"/>
  <c r="E35" i="45"/>
  <c r="D35" i="45"/>
  <c r="C35" i="45"/>
  <c r="C108" i="45" s="1"/>
  <c r="B35" i="45"/>
  <c r="B108" i="45" s="1"/>
  <c r="G34" i="45"/>
  <c r="G107" i="45" s="1"/>
  <c r="F34" i="45"/>
  <c r="F107" i="45" s="1"/>
  <c r="E34" i="45"/>
  <c r="D34" i="45"/>
  <c r="C34" i="45"/>
  <c r="C107" i="45" s="1"/>
  <c r="B34" i="45"/>
  <c r="B107" i="45" s="1"/>
  <c r="G33" i="45"/>
  <c r="G106" i="45" s="1"/>
  <c r="F33" i="45"/>
  <c r="F106" i="45" s="1"/>
  <c r="E33" i="45"/>
  <c r="D33" i="45"/>
  <c r="C33" i="45"/>
  <c r="C106" i="45" s="1"/>
  <c r="B33" i="45"/>
  <c r="B106" i="45" s="1"/>
  <c r="G32" i="45"/>
  <c r="G105" i="45" s="1"/>
  <c r="F32" i="45"/>
  <c r="F105" i="45" s="1"/>
  <c r="E32" i="45"/>
  <c r="E105" i="45" s="1"/>
  <c r="D32" i="45"/>
  <c r="D105" i="45" s="1"/>
  <c r="C32" i="45"/>
  <c r="C105" i="45" s="1"/>
  <c r="B32" i="45"/>
  <c r="B105" i="45" s="1"/>
  <c r="G31" i="45"/>
  <c r="G104" i="45" s="1"/>
  <c r="F31" i="45"/>
  <c r="F104" i="45" s="1"/>
  <c r="E31" i="45"/>
  <c r="D31" i="45"/>
  <c r="C31" i="45"/>
  <c r="C104" i="45" s="1"/>
  <c r="B31" i="45"/>
  <c r="B104" i="45" s="1"/>
  <c r="G30" i="45"/>
  <c r="G103" i="45" s="1"/>
  <c r="F30" i="45"/>
  <c r="F103" i="45" s="1"/>
  <c r="E30" i="45"/>
  <c r="D30" i="45"/>
  <c r="C30" i="45"/>
  <c r="C103" i="45" s="1"/>
  <c r="B30" i="45"/>
  <c r="B103" i="45" s="1"/>
  <c r="G29" i="45"/>
  <c r="G102" i="45" s="1"/>
  <c r="F29" i="45"/>
  <c r="F102" i="45" s="1"/>
  <c r="E29" i="45"/>
  <c r="D29" i="45"/>
  <c r="C29" i="45"/>
  <c r="C102" i="45" s="1"/>
  <c r="B29" i="45"/>
  <c r="B102" i="45" s="1"/>
  <c r="G28" i="45"/>
  <c r="G101" i="45" s="1"/>
  <c r="F28" i="45"/>
  <c r="F101" i="45" s="1"/>
  <c r="E28" i="45"/>
  <c r="E101" i="45" s="1"/>
  <c r="D28" i="45"/>
  <c r="D101" i="45" s="1"/>
  <c r="C28" i="45"/>
  <c r="C101" i="45" s="1"/>
  <c r="B28" i="45"/>
  <c r="B101" i="45" s="1"/>
  <c r="G27" i="45"/>
  <c r="G100" i="45" s="1"/>
  <c r="F27" i="45"/>
  <c r="F100" i="45" s="1"/>
  <c r="E27" i="45"/>
  <c r="D27" i="45"/>
  <c r="C27" i="45"/>
  <c r="C100" i="45" s="1"/>
  <c r="B27" i="45"/>
  <c r="B100" i="45" s="1"/>
  <c r="G26" i="45"/>
  <c r="G99" i="45" s="1"/>
  <c r="F26" i="45"/>
  <c r="F99" i="45" s="1"/>
  <c r="E26" i="45"/>
  <c r="D26" i="45"/>
  <c r="C26" i="45"/>
  <c r="C99" i="45" s="1"/>
  <c r="B26" i="45"/>
  <c r="B99" i="45" s="1"/>
  <c r="G25" i="45"/>
  <c r="G98" i="45" s="1"/>
  <c r="F25" i="45"/>
  <c r="F98" i="45" s="1"/>
  <c r="E25" i="45"/>
  <c r="D25" i="45"/>
  <c r="C25" i="45"/>
  <c r="C98" i="45" s="1"/>
  <c r="B25" i="45"/>
  <c r="B98" i="45" s="1"/>
  <c r="G24" i="45"/>
  <c r="G97" i="45" s="1"/>
  <c r="F24" i="45"/>
  <c r="F97" i="45" s="1"/>
  <c r="E24" i="45"/>
  <c r="E97" i="45" s="1"/>
  <c r="D24" i="45"/>
  <c r="D97" i="45" s="1"/>
  <c r="C24" i="45"/>
  <c r="C97" i="45" s="1"/>
  <c r="B24" i="45"/>
  <c r="B97" i="45" s="1"/>
  <c r="G23" i="45"/>
  <c r="G96" i="45" s="1"/>
  <c r="F23" i="45"/>
  <c r="F96" i="45" s="1"/>
  <c r="E23" i="45"/>
  <c r="D23" i="45"/>
  <c r="C23" i="45"/>
  <c r="C96" i="45" s="1"/>
  <c r="B23" i="45"/>
  <c r="B96" i="45" s="1"/>
  <c r="G22" i="45"/>
  <c r="G95" i="45" s="1"/>
  <c r="F22" i="45"/>
  <c r="F95" i="45" s="1"/>
  <c r="E22" i="45"/>
  <c r="D22" i="45"/>
  <c r="C22" i="45"/>
  <c r="C95" i="45" s="1"/>
  <c r="B22" i="45"/>
  <c r="B95" i="45" s="1"/>
  <c r="G21" i="45"/>
  <c r="G94" i="45" s="1"/>
  <c r="F21" i="45"/>
  <c r="F94" i="45" s="1"/>
  <c r="E21" i="45"/>
  <c r="D21" i="45"/>
  <c r="C21" i="45"/>
  <c r="C94" i="45" s="1"/>
  <c r="B21" i="45"/>
  <c r="B94" i="45" s="1"/>
  <c r="G20" i="45"/>
  <c r="G93" i="45" s="1"/>
  <c r="F20" i="45"/>
  <c r="F93" i="45" s="1"/>
  <c r="E20" i="45"/>
  <c r="E93" i="45" s="1"/>
  <c r="D20" i="45"/>
  <c r="D93" i="45" s="1"/>
  <c r="C20" i="45"/>
  <c r="C93" i="45" s="1"/>
  <c r="B20" i="45"/>
  <c r="B93" i="45" s="1"/>
  <c r="G19" i="45"/>
  <c r="G92" i="45" s="1"/>
  <c r="F19" i="45"/>
  <c r="F92" i="45" s="1"/>
  <c r="E19" i="45"/>
  <c r="D19" i="45"/>
  <c r="C19" i="45"/>
  <c r="C92" i="45" s="1"/>
  <c r="B19" i="45"/>
  <c r="B92" i="45" s="1"/>
  <c r="G18" i="45"/>
  <c r="G91" i="45" s="1"/>
  <c r="F18" i="45"/>
  <c r="F91" i="45" s="1"/>
  <c r="E18" i="45"/>
  <c r="D18" i="45"/>
  <c r="C18" i="45"/>
  <c r="C91" i="45" s="1"/>
  <c r="B18" i="45"/>
  <c r="B91" i="45" s="1"/>
  <c r="G17" i="45"/>
  <c r="G90" i="45" s="1"/>
  <c r="F17" i="45"/>
  <c r="F90" i="45" s="1"/>
  <c r="E17" i="45"/>
  <c r="D17" i="45"/>
  <c r="C17" i="45"/>
  <c r="C90" i="45" s="1"/>
  <c r="B17" i="45"/>
  <c r="B90" i="45" s="1"/>
  <c r="G16" i="45"/>
  <c r="G89" i="45" s="1"/>
  <c r="F16" i="45"/>
  <c r="F89" i="45" s="1"/>
  <c r="E16" i="45"/>
  <c r="E89" i="45" s="1"/>
  <c r="D16" i="45"/>
  <c r="D89" i="45" s="1"/>
  <c r="C16" i="45"/>
  <c r="C89" i="45" s="1"/>
  <c r="B16" i="45"/>
  <c r="B89" i="45" s="1"/>
  <c r="G15" i="45"/>
  <c r="G88" i="45" s="1"/>
  <c r="F15" i="45"/>
  <c r="F88" i="45" s="1"/>
  <c r="E15" i="45"/>
  <c r="D15" i="45"/>
  <c r="C15" i="45"/>
  <c r="C88" i="45" s="1"/>
  <c r="B15" i="45"/>
  <c r="B88" i="45" s="1"/>
  <c r="G14" i="45"/>
  <c r="G87" i="45" s="1"/>
  <c r="F14" i="45"/>
  <c r="F87" i="45" s="1"/>
  <c r="E14" i="45"/>
  <c r="D14" i="45"/>
  <c r="C14" i="45"/>
  <c r="C87" i="45" s="1"/>
  <c r="B14" i="45"/>
  <c r="B87" i="45" s="1"/>
  <c r="G13" i="45"/>
  <c r="G86" i="45" s="1"/>
  <c r="F13" i="45"/>
  <c r="F86" i="45" s="1"/>
  <c r="E13" i="45"/>
  <c r="D13" i="45"/>
  <c r="C13" i="45"/>
  <c r="C86" i="45" s="1"/>
  <c r="B13" i="45"/>
  <c r="B86" i="45" s="1"/>
  <c r="G12" i="45"/>
  <c r="G85" i="45" s="1"/>
  <c r="F12" i="45"/>
  <c r="F85" i="45" s="1"/>
  <c r="E12" i="45"/>
  <c r="E85" i="45" s="1"/>
  <c r="D12" i="45"/>
  <c r="D85" i="45" s="1"/>
  <c r="C12" i="45"/>
  <c r="C85" i="45" s="1"/>
  <c r="B12" i="45"/>
  <c r="B85" i="45" s="1"/>
  <c r="G11" i="45"/>
  <c r="G84" i="45" s="1"/>
  <c r="F11" i="45"/>
  <c r="F84" i="45" s="1"/>
  <c r="E11" i="45"/>
  <c r="D11" i="45"/>
  <c r="C11" i="45"/>
  <c r="C84" i="45" s="1"/>
  <c r="B11" i="45"/>
  <c r="B84" i="45" s="1"/>
  <c r="G10" i="45"/>
  <c r="G83" i="45" s="1"/>
  <c r="F10" i="45"/>
  <c r="F83" i="45" s="1"/>
  <c r="E10" i="45"/>
  <c r="D10" i="45"/>
  <c r="C10" i="45"/>
  <c r="C83" i="45" s="1"/>
  <c r="B10" i="45"/>
  <c r="B83" i="45" s="1"/>
  <c r="G9" i="45"/>
  <c r="G82" i="45" s="1"/>
  <c r="F9" i="45"/>
  <c r="F82" i="45" s="1"/>
  <c r="E9" i="45"/>
  <c r="D9" i="45"/>
  <c r="C9" i="45"/>
  <c r="C82" i="45" s="1"/>
  <c r="B9" i="45"/>
  <c r="B82" i="45" s="1"/>
  <c r="I67" i="46"/>
  <c r="I138" i="46" s="1"/>
  <c r="H67" i="46"/>
  <c r="H138" i="46" s="1"/>
  <c r="I66" i="46"/>
  <c r="I137" i="46" s="1"/>
  <c r="H66" i="46"/>
  <c r="H137" i="46" s="1"/>
  <c r="I65" i="46"/>
  <c r="I136" i="46" s="1"/>
  <c r="H65" i="46"/>
  <c r="H136" i="46" s="1"/>
  <c r="I64" i="46"/>
  <c r="I135" i="46" s="1"/>
  <c r="H64" i="46"/>
  <c r="H135" i="46" s="1"/>
  <c r="I63" i="46"/>
  <c r="I134" i="46" s="1"/>
  <c r="H63" i="46"/>
  <c r="H134" i="46" s="1"/>
  <c r="I62" i="46"/>
  <c r="I133" i="46" s="1"/>
  <c r="H62" i="46"/>
  <c r="H133" i="46" s="1"/>
  <c r="I61" i="46"/>
  <c r="I132" i="46" s="1"/>
  <c r="H61" i="46"/>
  <c r="H132" i="46" s="1"/>
  <c r="I60" i="46"/>
  <c r="I131" i="46" s="1"/>
  <c r="H60" i="46"/>
  <c r="H131" i="46" s="1"/>
  <c r="I59" i="46"/>
  <c r="I130" i="46" s="1"/>
  <c r="H59" i="46"/>
  <c r="H130" i="46" s="1"/>
  <c r="I58" i="46"/>
  <c r="I129" i="46" s="1"/>
  <c r="H58" i="46"/>
  <c r="H129" i="46" s="1"/>
  <c r="I57" i="46"/>
  <c r="I128" i="46" s="1"/>
  <c r="H57" i="46"/>
  <c r="H128" i="46" s="1"/>
  <c r="I56" i="46"/>
  <c r="I127" i="46" s="1"/>
  <c r="H56" i="46"/>
  <c r="H127" i="46" s="1"/>
  <c r="I55" i="46"/>
  <c r="I126" i="46" s="1"/>
  <c r="H55" i="46"/>
  <c r="H126" i="46" s="1"/>
  <c r="I54" i="46"/>
  <c r="I125" i="46" s="1"/>
  <c r="H54" i="46"/>
  <c r="H125" i="46" s="1"/>
  <c r="I53" i="46"/>
  <c r="I124" i="46" s="1"/>
  <c r="H53" i="46"/>
  <c r="H124" i="46" s="1"/>
  <c r="I52" i="46"/>
  <c r="I123" i="46" s="1"/>
  <c r="H52" i="46"/>
  <c r="H123" i="46" s="1"/>
  <c r="I51" i="46"/>
  <c r="I122" i="46" s="1"/>
  <c r="H51" i="46"/>
  <c r="H122" i="46" s="1"/>
  <c r="I50" i="46"/>
  <c r="I121" i="46" s="1"/>
  <c r="H50" i="46"/>
  <c r="H121" i="46" s="1"/>
  <c r="I49" i="46"/>
  <c r="I120" i="46" s="1"/>
  <c r="H49" i="46"/>
  <c r="H120" i="46" s="1"/>
  <c r="I48" i="46"/>
  <c r="I119" i="46" s="1"/>
  <c r="H48" i="46"/>
  <c r="H119" i="46" s="1"/>
  <c r="I47" i="46"/>
  <c r="I118" i="46" s="1"/>
  <c r="H47" i="46"/>
  <c r="H118" i="46" s="1"/>
  <c r="I46" i="46"/>
  <c r="I117" i="46" s="1"/>
  <c r="H46" i="46"/>
  <c r="H117" i="46" s="1"/>
  <c r="I45" i="46"/>
  <c r="I116" i="46" s="1"/>
  <c r="H45" i="46"/>
  <c r="H116" i="46" s="1"/>
  <c r="I44" i="46"/>
  <c r="I115" i="46" s="1"/>
  <c r="H44" i="46"/>
  <c r="H115" i="46" s="1"/>
  <c r="I43" i="46"/>
  <c r="I114" i="46" s="1"/>
  <c r="H43" i="46"/>
  <c r="H114" i="46" s="1"/>
  <c r="I42" i="46"/>
  <c r="I113" i="46" s="1"/>
  <c r="H42" i="46"/>
  <c r="H113" i="46" s="1"/>
  <c r="I41" i="46"/>
  <c r="I112" i="46" s="1"/>
  <c r="H41" i="46"/>
  <c r="H112" i="46" s="1"/>
  <c r="I40" i="46"/>
  <c r="I111" i="46" s="1"/>
  <c r="H40" i="46"/>
  <c r="H111" i="46" s="1"/>
  <c r="I39" i="46"/>
  <c r="I110" i="46" s="1"/>
  <c r="H39" i="46"/>
  <c r="I38" i="46"/>
  <c r="I109" i="46" s="1"/>
  <c r="H38" i="46"/>
  <c r="H109" i="46" s="1"/>
  <c r="I37" i="46"/>
  <c r="I108" i="46" s="1"/>
  <c r="H37" i="46"/>
  <c r="H108" i="46" s="1"/>
  <c r="I36" i="46"/>
  <c r="I107" i="46" s="1"/>
  <c r="H36" i="46"/>
  <c r="H107" i="46" s="1"/>
  <c r="I35" i="46"/>
  <c r="I106" i="46" s="1"/>
  <c r="H35" i="46"/>
  <c r="I34" i="46"/>
  <c r="I105" i="46" s="1"/>
  <c r="H34" i="46"/>
  <c r="H105" i="46" s="1"/>
  <c r="I33" i="46"/>
  <c r="I104" i="46" s="1"/>
  <c r="H33" i="46"/>
  <c r="H104" i="46" s="1"/>
  <c r="I32" i="46"/>
  <c r="I103" i="46" s="1"/>
  <c r="H32" i="46"/>
  <c r="H103" i="46" s="1"/>
  <c r="I31" i="46"/>
  <c r="I102" i="46" s="1"/>
  <c r="H31" i="46"/>
  <c r="I30" i="46"/>
  <c r="I101" i="46" s="1"/>
  <c r="H30" i="46"/>
  <c r="H101" i="46" s="1"/>
  <c r="I29" i="46"/>
  <c r="I100" i="46" s="1"/>
  <c r="H29" i="46"/>
  <c r="H100" i="46" s="1"/>
  <c r="I28" i="46"/>
  <c r="I99" i="46" s="1"/>
  <c r="H28" i="46"/>
  <c r="H99" i="46" s="1"/>
  <c r="I27" i="46"/>
  <c r="I98" i="46" s="1"/>
  <c r="H27" i="46"/>
  <c r="H98" i="46" s="1"/>
  <c r="I26" i="46"/>
  <c r="I97" i="46" s="1"/>
  <c r="H26" i="46"/>
  <c r="H97" i="46" s="1"/>
  <c r="I25" i="46"/>
  <c r="I96" i="46" s="1"/>
  <c r="H25" i="46"/>
  <c r="H96" i="46" s="1"/>
  <c r="I24" i="46"/>
  <c r="I95" i="46" s="1"/>
  <c r="H24" i="46"/>
  <c r="H95" i="46" s="1"/>
  <c r="I23" i="46"/>
  <c r="I94" i="46" s="1"/>
  <c r="H23" i="46"/>
  <c r="I22" i="46"/>
  <c r="I93" i="46" s="1"/>
  <c r="H22" i="46"/>
  <c r="H93" i="46" s="1"/>
  <c r="I21" i="46"/>
  <c r="I92" i="46" s="1"/>
  <c r="H21" i="46"/>
  <c r="H92" i="46" s="1"/>
  <c r="I20" i="46"/>
  <c r="I91" i="46" s="1"/>
  <c r="H20" i="46"/>
  <c r="H91" i="46" s="1"/>
  <c r="I19" i="46"/>
  <c r="I90" i="46" s="1"/>
  <c r="H19" i="46"/>
  <c r="H90" i="46" s="1"/>
  <c r="I18" i="46"/>
  <c r="I89" i="46" s="1"/>
  <c r="H18" i="46"/>
  <c r="H89" i="46" s="1"/>
  <c r="I17" i="46"/>
  <c r="I88" i="46" s="1"/>
  <c r="H17" i="46"/>
  <c r="H88" i="46" s="1"/>
  <c r="I16" i="46"/>
  <c r="I87" i="46" s="1"/>
  <c r="H16" i="46"/>
  <c r="H87" i="46" s="1"/>
  <c r="I15" i="46"/>
  <c r="I86" i="46" s="1"/>
  <c r="H15" i="46"/>
  <c r="H86" i="46" s="1"/>
  <c r="I14" i="46"/>
  <c r="I85" i="46" s="1"/>
  <c r="H14" i="46"/>
  <c r="H85" i="46" s="1"/>
  <c r="I13" i="46"/>
  <c r="I84" i="46" s="1"/>
  <c r="H13" i="46"/>
  <c r="H84" i="46" s="1"/>
  <c r="I12" i="46"/>
  <c r="I83" i="46" s="1"/>
  <c r="H12" i="46"/>
  <c r="H83" i="46" s="1"/>
  <c r="I11" i="46"/>
  <c r="I82" i="46" s="1"/>
  <c r="H11" i="46"/>
  <c r="I10" i="46"/>
  <c r="I81" i="46" s="1"/>
  <c r="H10" i="46"/>
  <c r="H81" i="46" s="1"/>
  <c r="I9" i="46"/>
  <c r="I80" i="46" s="1"/>
  <c r="H9" i="46"/>
  <c r="H80" i="46" s="1"/>
  <c r="C136" i="45" l="1"/>
  <c r="C125" i="45"/>
  <c r="C132" i="45"/>
  <c r="C139" i="45"/>
  <c r="D125" i="45"/>
  <c r="B137" i="45"/>
  <c r="C123" i="45"/>
  <c r="C130" i="45"/>
  <c r="C137" i="45"/>
  <c r="G136" i="45"/>
  <c r="G140" i="45"/>
  <c r="G135" i="45"/>
  <c r="G139" i="45"/>
  <c r="B132" i="45"/>
  <c r="B136" i="45"/>
  <c r="B140" i="45"/>
  <c r="B135" i="45"/>
  <c r="B139" i="45"/>
  <c r="B130" i="45"/>
  <c r="B134" i="45"/>
  <c r="B138" i="45"/>
  <c r="D84" i="45"/>
  <c r="D88" i="45"/>
  <c r="D92" i="45"/>
  <c r="D96" i="45"/>
  <c r="D100" i="45"/>
  <c r="D104" i="45"/>
  <c r="D108" i="45"/>
  <c r="D112" i="45"/>
  <c r="D116" i="45"/>
  <c r="D120" i="45"/>
  <c r="D124" i="45"/>
  <c r="D128" i="45"/>
  <c r="D132" i="45"/>
  <c r="D136" i="45"/>
  <c r="D140" i="45"/>
  <c r="E84" i="45"/>
  <c r="E88" i="45"/>
  <c r="E92" i="45"/>
  <c r="E96" i="45"/>
  <c r="E100" i="45"/>
  <c r="E104" i="45"/>
  <c r="E108" i="45"/>
  <c r="E112" i="45"/>
  <c r="E116" i="45"/>
  <c r="E120" i="45"/>
  <c r="E124" i="45"/>
  <c r="E128" i="45"/>
  <c r="E132" i="45"/>
  <c r="E136" i="45"/>
  <c r="E140" i="45"/>
  <c r="D83" i="45"/>
  <c r="D87" i="45"/>
  <c r="D91" i="45"/>
  <c r="D95" i="45"/>
  <c r="D99" i="45"/>
  <c r="D103" i="45"/>
  <c r="D107" i="45"/>
  <c r="D111" i="45"/>
  <c r="D115" i="45"/>
  <c r="D119" i="45"/>
  <c r="D123" i="45"/>
  <c r="D127" i="45"/>
  <c r="D131" i="45"/>
  <c r="F132" i="45"/>
  <c r="D135" i="45"/>
  <c r="F136" i="45"/>
  <c r="D139" i="45"/>
  <c r="F140" i="45"/>
  <c r="E83" i="45"/>
  <c r="E123" i="45"/>
  <c r="E127" i="45"/>
  <c r="E131" i="45"/>
  <c r="E139" i="45"/>
  <c r="E87" i="45"/>
  <c r="E91" i="45"/>
  <c r="E95" i="45"/>
  <c r="E99" i="45"/>
  <c r="E103" i="45"/>
  <c r="E107" i="45"/>
  <c r="E111" i="45"/>
  <c r="E115" i="45"/>
  <c r="E135" i="45"/>
  <c r="D82" i="45"/>
  <c r="D86" i="45"/>
  <c r="D90" i="45"/>
  <c r="D94" i="45"/>
  <c r="D98" i="45"/>
  <c r="D102" i="45"/>
  <c r="D106" i="45"/>
  <c r="D110" i="45"/>
  <c r="D114" i="45"/>
  <c r="D118" i="45"/>
  <c r="D122" i="45"/>
  <c r="D126" i="45"/>
  <c r="F127" i="45"/>
  <c r="D130" i="45"/>
  <c r="F131" i="45"/>
  <c r="D134" i="45"/>
  <c r="F135" i="45"/>
  <c r="D138" i="45"/>
  <c r="F139" i="45"/>
  <c r="E119" i="45"/>
  <c r="E82" i="45"/>
  <c r="E86" i="45"/>
  <c r="E90" i="45"/>
  <c r="E94" i="45"/>
  <c r="E98" i="45"/>
  <c r="E102" i="45"/>
  <c r="E106" i="45"/>
  <c r="E110" i="45"/>
  <c r="E114" i="45"/>
  <c r="E118" i="45"/>
  <c r="E122" i="45"/>
  <c r="E126" i="45"/>
  <c r="E130" i="45"/>
  <c r="E134" i="45"/>
  <c r="E138" i="45"/>
  <c r="J11" i="46"/>
  <c r="J82" i="46" s="1"/>
  <c r="H82" i="46"/>
  <c r="J23" i="46"/>
  <c r="J94" i="46" s="1"/>
  <c r="H94" i="46"/>
  <c r="J31" i="46"/>
  <c r="J102" i="46" s="1"/>
  <c r="H102" i="46"/>
  <c r="J35" i="46"/>
  <c r="J106" i="46" s="1"/>
  <c r="H106" i="46"/>
  <c r="J39" i="46"/>
  <c r="J110" i="46" s="1"/>
  <c r="H110" i="46"/>
  <c r="J9" i="46"/>
  <c r="J80" i="46" s="1"/>
  <c r="J13" i="46"/>
  <c r="J84" i="46" s="1"/>
  <c r="J17" i="46"/>
  <c r="J88" i="46" s="1"/>
  <c r="J41" i="46"/>
  <c r="J112" i="46" s="1"/>
  <c r="J45" i="46"/>
  <c r="J116" i="46" s="1"/>
  <c r="J49" i="46"/>
  <c r="J120" i="46" s="1"/>
  <c r="J53" i="46"/>
  <c r="J124" i="46" s="1"/>
  <c r="J65" i="46"/>
  <c r="J136" i="46" s="1"/>
  <c r="J42" i="46"/>
  <c r="J113" i="46" s="1"/>
  <c r="J46" i="46"/>
  <c r="J117" i="46" s="1"/>
  <c r="J54" i="46"/>
  <c r="J125" i="46" s="1"/>
  <c r="J55" i="46"/>
  <c r="J126" i="46" s="1"/>
  <c r="J36" i="46"/>
  <c r="J107" i="46" s="1"/>
  <c r="J40" i="46"/>
  <c r="J111" i="46" s="1"/>
  <c r="J44" i="46"/>
  <c r="J115" i="46" s="1"/>
  <c r="J52" i="46"/>
  <c r="J123" i="46" s="1"/>
  <c r="J56" i="46"/>
  <c r="J127" i="46" s="1"/>
  <c r="J60" i="46"/>
  <c r="J131" i="46" s="1"/>
  <c r="J64" i="46"/>
  <c r="J135" i="46" s="1"/>
  <c r="J66" i="46"/>
  <c r="J137" i="46" s="1"/>
  <c r="J47" i="46"/>
  <c r="J118" i="46" s="1"/>
  <c r="J63" i="46"/>
  <c r="J134" i="46" s="1"/>
  <c r="J62" i="46"/>
  <c r="J133" i="46" s="1"/>
  <c r="J12" i="46"/>
  <c r="J83" i="46" s="1"/>
  <c r="J28" i="46"/>
  <c r="J99" i="46" s="1"/>
  <c r="J25" i="46"/>
  <c r="J96" i="46" s="1"/>
  <c r="J33" i="46"/>
  <c r="J104" i="46" s="1"/>
  <c r="J10" i="46"/>
  <c r="J81" i="46" s="1"/>
  <c r="J18" i="46"/>
  <c r="J89" i="46" s="1"/>
  <c r="J22" i="46"/>
  <c r="J93" i="46" s="1"/>
  <c r="J30" i="46"/>
  <c r="J101" i="46" s="1"/>
  <c r="J34" i="46"/>
  <c r="J105" i="46" s="1"/>
  <c r="J20" i="46"/>
  <c r="J91" i="46" s="1"/>
  <c r="J24" i="46"/>
  <c r="J95" i="46" s="1"/>
  <c r="J32" i="46"/>
  <c r="J103" i="46" s="1"/>
  <c r="J57" i="46"/>
  <c r="J128" i="46" s="1"/>
  <c r="J61" i="46"/>
  <c r="J132" i="46" s="1"/>
  <c r="J48" i="46"/>
  <c r="J119" i="46" s="1"/>
  <c r="J16" i="46"/>
  <c r="J87" i="46" s="1"/>
  <c r="J14" i="46"/>
  <c r="J85" i="46" s="1"/>
  <c r="J21" i="46"/>
  <c r="J92" i="46" s="1"/>
  <c r="J38" i="46"/>
  <c r="J109" i="46" s="1"/>
  <c r="J51" i="46"/>
  <c r="J122" i="46" s="1"/>
  <c r="J67" i="46"/>
  <c r="J138" i="46" s="1"/>
  <c r="J15" i="46"/>
  <c r="J86" i="46" s="1"/>
  <c r="J19" i="46"/>
  <c r="J90" i="46" s="1"/>
  <c r="J29" i="46"/>
  <c r="J100" i="46" s="1"/>
  <c r="J58" i="46"/>
  <c r="J129" i="46" s="1"/>
  <c r="J26" i="46"/>
  <c r="J97" i="46" s="1"/>
  <c r="J43" i="46"/>
  <c r="J114" i="46" s="1"/>
  <c r="J59" i="46"/>
  <c r="J130" i="46" s="1"/>
  <c r="J27" i="46"/>
  <c r="J98" i="46" s="1"/>
  <c r="J37" i="46"/>
  <c r="J108" i="46" s="1"/>
  <c r="J50" i="46"/>
  <c r="J121" i="46" s="1"/>
  <c r="I68" i="45"/>
  <c r="I67" i="47"/>
  <c r="I138" i="47" s="1"/>
  <c r="H67" i="47"/>
  <c r="H138" i="47" s="1"/>
  <c r="I66" i="47"/>
  <c r="I137" i="47" s="1"/>
  <c r="H66" i="47"/>
  <c r="H137" i="47" s="1"/>
  <c r="I65" i="47"/>
  <c r="I136" i="47" s="1"/>
  <c r="H65" i="47"/>
  <c r="H136" i="47" s="1"/>
  <c r="I64" i="47"/>
  <c r="I135" i="47" s="1"/>
  <c r="H64" i="47"/>
  <c r="I63" i="47"/>
  <c r="H63" i="47"/>
  <c r="H134" i="47" s="1"/>
  <c r="I62" i="47"/>
  <c r="I133" i="47" s="1"/>
  <c r="H62" i="47"/>
  <c r="H133" i="47" s="1"/>
  <c r="I61" i="47"/>
  <c r="I132" i="47" s="1"/>
  <c r="H61" i="47"/>
  <c r="H132" i="47" s="1"/>
  <c r="I60" i="47"/>
  <c r="I131" i="47" s="1"/>
  <c r="H60" i="47"/>
  <c r="H131" i="47" s="1"/>
  <c r="I59" i="47"/>
  <c r="I130" i="47" s="1"/>
  <c r="H59" i="47"/>
  <c r="H130" i="47" s="1"/>
  <c r="I58" i="47"/>
  <c r="I129" i="47" s="1"/>
  <c r="H58" i="47"/>
  <c r="H129" i="47" s="1"/>
  <c r="I57" i="47"/>
  <c r="I128" i="47" s="1"/>
  <c r="H57" i="47"/>
  <c r="H128" i="47" s="1"/>
  <c r="I56" i="47"/>
  <c r="I127" i="47" s="1"/>
  <c r="H56" i="47"/>
  <c r="H127" i="47" s="1"/>
  <c r="I55" i="47"/>
  <c r="I126" i="47" s="1"/>
  <c r="H55" i="47"/>
  <c r="I54" i="47"/>
  <c r="I125" i="47" s="1"/>
  <c r="H54" i="47"/>
  <c r="I53" i="47"/>
  <c r="I124" i="47" s="1"/>
  <c r="H53" i="47"/>
  <c r="H124" i="47" s="1"/>
  <c r="I52" i="47"/>
  <c r="I123" i="47" s="1"/>
  <c r="H52" i="47"/>
  <c r="H123" i="47" s="1"/>
  <c r="I51" i="47"/>
  <c r="I122" i="47" s="1"/>
  <c r="H51" i="47"/>
  <c r="H122" i="47" s="1"/>
  <c r="I50" i="47"/>
  <c r="I121" i="47" s="1"/>
  <c r="H50" i="47"/>
  <c r="H121" i="47" s="1"/>
  <c r="I49" i="47"/>
  <c r="I120" i="47" s="1"/>
  <c r="H49" i="47"/>
  <c r="H120" i="47" s="1"/>
  <c r="I48" i="47"/>
  <c r="I119" i="47" s="1"/>
  <c r="H48" i="47"/>
  <c r="H119" i="47" s="1"/>
  <c r="I47" i="47"/>
  <c r="H47" i="47"/>
  <c r="H118" i="47" s="1"/>
  <c r="I46" i="47"/>
  <c r="I117" i="47" s="1"/>
  <c r="H46" i="47"/>
  <c r="H117" i="47" s="1"/>
  <c r="I45" i="47"/>
  <c r="I116" i="47" s="1"/>
  <c r="H45" i="47"/>
  <c r="I44" i="47"/>
  <c r="H44" i="47"/>
  <c r="H115" i="47" s="1"/>
  <c r="I43" i="47"/>
  <c r="I114" i="47" s="1"/>
  <c r="H43" i="47"/>
  <c r="H114" i="47" s="1"/>
  <c r="I42" i="47"/>
  <c r="I113" i="47" s="1"/>
  <c r="H42" i="47"/>
  <c r="H113" i="47" s="1"/>
  <c r="I41" i="47"/>
  <c r="I112" i="47" s="1"/>
  <c r="H41" i="47"/>
  <c r="H112" i="47" s="1"/>
  <c r="I40" i="47"/>
  <c r="I111" i="47" s="1"/>
  <c r="H40" i="47"/>
  <c r="I39" i="47"/>
  <c r="H39" i="47"/>
  <c r="I38" i="47"/>
  <c r="I109" i="47" s="1"/>
  <c r="H38" i="47"/>
  <c r="H109" i="47" s="1"/>
  <c r="I37" i="47"/>
  <c r="I108" i="47" s="1"/>
  <c r="H37" i="47"/>
  <c r="H108" i="47" s="1"/>
  <c r="I36" i="47"/>
  <c r="I107" i="47" s="1"/>
  <c r="H36" i="47"/>
  <c r="H107" i="47" s="1"/>
  <c r="I35" i="47"/>
  <c r="I106" i="47" s="1"/>
  <c r="H35" i="47"/>
  <c r="H106" i="47" s="1"/>
  <c r="I34" i="47"/>
  <c r="I105" i="47" s="1"/>
  <c r="H34" i="47"/>
  <c r="H105" i="47" s="1"/>
  <c r="I33" i="47"/>
  <c r="I104" i="47" s="1"/>
  <c r="H33" i="47"/>
  <c r="H104" i="47" s="1"/>
  <c r="I32" i="47"/>
  <c r="I103" i="47" s="1"/>
  <c r="H32" i="47"/>
  <c r="H103" i="47" s="1"/>
  <c r="I31" i="47"/>
  <c r="H31" i="47"/>
  <c r="H102" i="47" s="1"/>
  <c r="I30" i="47"/>
  <c r="I101" i="47" s="1"/>
  <c r="H30" i="47"/>
  <c r="I29" i="47"/>
  <c r="I100" i="47" s="1"/>
  <c r="H29" i="47"/>
  <c r="H100" i="47" s="1"/>
  <c r="I28" i="47"/>
  <c r="I99" i="47" s="1"/>
  <c r="H28" i="47"/>
  <c r="H99" i="47" s="1"/>
  <c r="I27" i="47"/>
  <c r="I98" i="47" s="1"/>
  <c r="H27" i="47"/>
  <c r="H98" i="47" s="1"/>
  <c r="I26" i="47"/>
  <c r="I97" i="47" s="1"/>
  <c r="H26" i="47"/>
  <c r="I25" i="47"/>
  <c r="I96" i="47" s="1"/>
  <c r="H25" i="47"/>
  <c r="H96" i="47" s="1"/>
  <c r="I24" i="47"/>
  <c r="I95" i="47" s="1"/>
  <c r="H24" i="47"/>
  <c r="H95" i="47" s="1"/>
  <c r="I23" i="47"/>
  <c r="H23" i="47"/>
  <c r="I22" i="47"/>
  <c r="I93" i="47" s="1"/>
  <c r="H22" i="47"/>
  <c r="H93" i="47" s="1"/>
  <c r="I21" i="47"/>
  <c r="I92" i="47" s="1"/>
  <c r="H21" i="47"/>
  <c r="H92" i="47" s="1"/>
  <c r="I20" i="47"/>
  <c r="H20" i="47"/>
  <c r="H91" i="47" s="1"/>
  <c r="I19" i="47"/>
  <c r="I90" i="47" s="1"/>
  <c r="H19" i="47"/>
  <c r="H90" i="47" s="1"/>
  <c r="I18" i="47"/>
  <c r="I89" i="47" s="1"/>
  <c r="H18" i="47"/>
  <c r="H89" i="47" s="1"/>
  <c r="I17" i="47"/>
  <c r="I88" i="47" s="1"/>
  <c r="H17" i="47"/>
  <c r="H88" i="47" s="1"/>
  <c r="I16" i="47"/>
  <c r="I87" i="47" s="1"/>
  <c r="H16" i="47"/>
  <c r="H87" i="47" s="1"/>
  <c r="I15" i="47"/>
  <c r="H15" i="47"/>
  <c r="H86" i="47" s="1"/>
  <c r="I14" i="47"/>
  <c r="I85" i="47" s="1"/>
  <c r="H14" i="47"/>
  <c r="H85" i="47" s="1"/>
  <c r="I13" i="47"/>
  <c r="I84" i="47" s="1"/>
  <c r="H13" i="47"/>
  <c r="I12" i="47"/>
  <c r="H12" i="47"/>
  <c r="H83" i="47" s="1"/>
  <c r="I11" i="47"/>
  <c r="I82" i="47" s="1"/>
  <c r="H11" i="47"/>
  <c r="H82" i="47" s="1"/>
  <c r="I10" i="47"/>
  <c r="I81" i="47" s="1"/>
  <c r="H10" i="47"/>
  <c r="H81" i="47" s="1"/>
  <c r="I9" i="47"/>
  <c r="I80" i="47" s="1"/>
  <c r="H9" i="47"/>
  <c r="H80" i="47" s="1"/>
  <c r="I39" i="45" l="1"/>
  <c r="I112" i="45" s="1"/>
  <c r="I110" i="47"/>
  <c r="I63" i="45"/>
  <c r="I136" i="45" s="1"/>
  <c r="I134" i="47"/>
  <c r="I15" i="45"/>
  <c r="I88" i="45" s="1"/>
  <c r="I86" i="47"/>
  <c r="I31" i="45"/>
  <c r="I104" i="45" s="1"/>
  <c r="I102" i="47"/>
  <c r="I12" i="45"/>
  <c r="I85" i="45" s="1"/>
  <c r="I83" i="47"/>
  <c r="I20" i="45"/>
  <c r="I93" i="45" s="1"/>
  <c r="I91" i="47"/>
  <c r="I44" i="45"/>
  <c r="I117" i="45" s="1"/>
  <c r="I115" i="47"/>
  <c r="H23" i="45"/>
  <c r="H94" i="47"/>
  <c r="I47" i="45"/>
  <c r="I120" i="45" s="1"/>
  <c r="I118" i="47"/>
  <c r="H40" i="45"/>
  <c r="H111" i="47"/>
  <c r="H13" i="45"/>
  <c r="H84" i="47"/>
  <c r="H45" i="45"/>
  <c r="H116" i="47"/>
  <c r="H64" i="45"/>
  <c r="H135" i="47"/>
  <c r="H30" i="45"/>
  <c r="H101" i="47"/>
  <c r="H54" i="45"/>
  <c r="H125" i="47"/>
  <c r="H39" i="45"/>
  <c r="H110" i="47"/>
  <c r="H55" i="45"/>
  <c r="H126" i="47"/>
  <c r="I23" i="45"/>
  <c r="I96" i="45" s="1"/>
  <c r="I94" i="47"/>
  <c r="H26" i="45"/>
  <c r="H97" i="47"/>
  <c r="J41" i="47"/>
  <c r="J38" i="47"/>
  <c r="H38" i="45"/>
  <c r="I53" i="45"/>
  <c r="I126" i="45" s="1"/>
  <c r="H11" i="45"/>
  <c r="I30" i="45"/>
  <c r="I103" i="45" s="1"/>
  <c r="J46" i="47"/>
  <c r="H46" i="45"/>
  <c r="J62" i="47"/>
  <c r="H62" i="45"/>
  <c r="J11" i="47"/>
  <c r="I11" i="45"/>
  <c r="I84" i="45" s="1"/>
  <c r="J19" i="47"/>
  <c r="I19" i="45"/>
  <c r="I92" i="45" s="1"/>
  <c r="J27" i="47"/>
  <c r="H27" i="45"/>
  <c r="J31" i="47"/>
  <c r="H31" i="45"/>
  <c r="H104" i="45" s="1"/>
  <c r="H35" i="45"/>
  <c r="I42" i="45"/>
  <c r="I115" i="45" s="1"/>
  <c r="I46" i="45"/>
  <c r="I119" i="45" s="1"/>
  <c r="I50" i="45"/>
  <c r="I123" i="45" s="1"/>
  <c r="I54" i="45"/>
  <c r="I127" i="45" s="1"/>
  <c r="I58" i="45"/>
  <c r="I131" i="45" s="1"/>
  <c r="I62" i="45"/>
  <c r="I135" i="45" s="1"/>
  <c r="H66" i="45"/>
  <c r="I14" i="45"/>
  <c r="I87" i="45" s="1"/>
  <c r="I61" i="45"/>
  <c r="I134" i="45" s="1"/>
  <c r="I26" i="45"/>
  <c r="I99" i="45" s="1"/>
  <c r="H12" i="45"/>
  <c r="J16" i="47"/>
  <c r="H16" i="45"/>
  <c r="H20" i="45"/>
  <c r="J24" i="47"/>
  <c r="H24" i="45"/>
  <c r="I27" i="45"/>
  <c r="I100" i="45" s="1"/>
  <c r="I35" i="45"/>
  <c r="I108" i="45" s="1"/>
  <c r="J43" i="47"/>
  <c r="H43" i="45"/>
  <c r="J47" i="47"/>
  <c r="H47" i="45"/>
  <c r="H51" i="45"/>
  <c r="J59" i="47"/>
  <c r="H59" i="45"/>
  <c r="J63" i="47"/>
  <c r="H63" i="45"/>
  <c r="I66" i="45"/>
  <c r="I139" i="45" s="1"/>
  <c r="I45" i="45"/>
  <c r="I118" i="45" s="1"/>
  <c r="I57" i="45"/>
  <c r="I130" i="45" s="1"/>
  <c r="J42" i="47"/>
  <c r="H42" i="45"/>
  <c r="H9" i="45"/>
  <c r="I16" i="45"/>
  <c r="I89" i="45" s="1"/>
  <c r="I24" i="45"/>
  <c r="I97" i="45" s="1"/>
  <c r="H28" i="45"/>
  <c r="J32" i="47"/>
  <c r="H32" i="45"/>
  <c r="H36" i="45"/>
  <c r="I43" i="45"/>
  <c r="I116" i="45" s="1"/>
  <c r="I51" i="45"/>
  <c r="I124" i="45" s="1"/>
  <c r="I55" i="45"/>
  <c r="I128" i="45" s="1"/>
  <c r="I59" i="45"/>
  <c r="I132" i="45" s="1"/>
  <c r="J67" i="47"/>
  <c r="H67" i="45"/>
  <c r="I32" i="45"/>
  <c r="I105" i="45" s="1"/>
  <c r="H52" i="45"/>
  <c r="I67" i="45"/>
  <c r="I140" i="45" s="1"/>
  <c r="I22" i="45"/>
  <c r="I95" i="45" s="1"/>
  <c r="J49" i="47"/>
  <c r="I49" i="45"/>
  <c r="I122" i="45" s="1"/>
  <c r="I65" i="45"/>
  <c r="I138" i="45" s="1"/>
  <c r="J15" i="47"/>
  <c r="H15" i="45"/>
  <c r="H88" i="45" s="1"/>
  <c r="I38" i="45"/>
  <c r="I111" i="45" s="1"/>
  <c r="J58" i="47"/>
  <c r="H58" i="45"/>
  <c r="I9" i="45"/>
  <c r="I82" i="45" s="1"/>
  <c r="H25" i="45"/>
  <c r="I40" i="45"/>
  <c r="I113" i="45" s="1"/>
  <c r="H60" i="45"/>
  <c r="J9" i="47"/>
  <c r="I13" i="45"/>
  <c r="I86" i="45" s="1"/>
  <c r="I17" i="45"/>
  <c r="I90" i="45" s="1"/>
  <c r="I21" i="45"/>
  <c r="I94" i="45" s="1"/>
  <c r="I25" i="45"/>
  <c r="I98" i="45" s="1"/>
  <c r="J29" i="47"/>
  <c r="H29" i="45"/>
  <c r="H102" i="45" s="1"/>
  <c r="J33" i="47"/>
  <c r="H33" i="45"/>
  <c r="J37" i="47"/>
  <c r="H37" i="45"/>
  <c r="H41" i="45"/>
  <c r="I48" i="45"/>
  <c r="I121" i="45" s="1"/>
  <c r="J52" i="47"/>
  <c r="I52" i="45"/>
  <c r="I125" i="45" s="1"/>
  <c r="I56" i="45"/>
  <c r="I129" i="45" s="1"/>
  <c r="J60" i="47"/>
  <c r="I60" i="45"/>
  <c r="I133" i="45" s="1"/>
  <c r="I64" i="45"/>
  <c r="I137" i="45" s="1"/>
  <c r="H68" i="45"/>
  <c r="I10" i="45"/>
  <c r="I83" i="45" s="1"/>
  <c r="I18" i="45"/>
  <c r="I91" i="45" s="1"/>
  <c r="J34" i="47"/>
  <c r="H34" i="45"/>
  <c r="H19" i="45"/>
  <c r="I34" i="45"/>
  <c r="I107" i="45" s="1"/>
  <c r="H50" i="45"/>
  <c r="J65" i="47"/>
  <c r="J17" i="47"/>
  <c r="H17" i="45"/>
  <c r="J21" i="47"/>
  <c r="H21" i="45"/>
  <c r="I28" i="45"/>
  <c r="I101" i="45" s="1"/>
  <c r="J36" i="47"/>
  <c r="I36" i="45"/>
  <c r="I109" i="45" s="1"/>
  <c r="H44" i="45"/>
  <c r="H117" i="45" s="1"/>
  <c r="J48" i="47"/>
  <c r="H48" i="45"/>
  <c r="J56" i="47"/>
  <c r="H56" i="45"/>
  <c r="H10" i="45"/>
  <c r="H14" i="45"/>
  <c r="J18" i="47"/>
  <c r="H18" i="45"/>
  <c r="J22" i="47"/>
  <c r="H22" i="45"/>
  <c r="J25" i="47"/>
  <c r="I29" i="45"/>
  <c r="I102" i="45" s="1"/>
  <c r="I33" i="45"/>
  <c r="I106" i="45" s="1"/>
  <c r="I37" i="45"/>
  <c r="I110" i="45" s="1"/>
  <c r="I41" i="45"/>
  <c r="I114" i="45" s="1"/>
  <c r="H49" i="45"/>
  <c r="J53" i="47"/>
  <c r="H53" i="45"/>
  <c r="J57" i="47"/>
  <c r="H57" i="45"/>
  <c r="J61" i="47"/>
  <c r="H61" i="45"/>
  <c r="H65" i="45"/>
  <c r="J26" i="47"/>
  <c r="J97" i="47" s="1"/>
  <c r="J44" i="47"/>
  <c r="J115" i="47" s="1"/>
  <c r="J23" i="47"/>
  <c r="J30" i="47"/>
  <c r="J45" i="47"/>
  <c r="J116" i="47" s="1"/>
  <c r="J64" i="47"/>
  <c r="J135" i="47" s="1"/>
  <c r="J12" i="47"/>
  <c r="J13" i="47"/>
  <c r="J84" i="47" s="1"/>
  <c r="J20" i="47"/>
  <c r="J91" i="47" s="1"/>
  <c r="J35" i="47"/>
  <c r="J106" i="47" s="1"/>
  <c r="J39" i="47"/>
  <c r="J110" i="47" s="1"/>
  <c r="J50" i="47"/>
  <c r="J54" i="47"/>
  <c r="J125" i="47" s="1"/>
  <c r="J10" i="47"/>
  <c r="J81" i="47" s="1"/>
  <c r="J14" i="47"/>
  <c r="J85" i="47" s="1"/>
  <c r="J28" i="47"/>
  <c r="J99" i="47" s="1"/>
  <c r="J40" i="47"/>
  <c r="J111" i="47" s="1"/>
  <c r="J51" i="47"/>
  <c r="J122" i="47" s="1"/>
  <c r="J55" i="47"/>
  <c r="J126" i="47" s="1"/>
  <c r="J66" i="47"/>
  <c r="J137" i="47" s="1"/>
  <c r="H120" i="45" l="1"/>
  <c r="H124" i="45"/>
  <c r="H105" i="45"/>
  <c r="H95" i="45"/>
  <c r="H94" i="45"/>
  <c r="H91" i="45"/>
  <c r="H87" i="45"/>
  <c r="H135" i="45"/>
  <c r="H83" i="45"/>
  <c r="H126" i="45"/>
  <c r="H92" i="45"/>
  <c r="H90" i="45"/>
  <c r="H139" i="45"/>
  <c r="H130" i="45"/>
  <c r="H125" i="45"/>
  <c r="H122" i="45"/>
  <c r="H121" i="45"/>
  <c r="H107" i="45"/>
  <c r="H109" i="45"/>
  <c r="H134" i="45"/>
  <c r="H129" i="45"/>
  <c r="H106" i="45"/>
  <c r="H93" i="45"/>
  <c r="H133" i="45"/>
  <c r="H140" i="45"/>
  <c r="H89" i="45"/>
  <c r="H100" i="45"/>
  <c r="H119" i="45"/>
  <c r="H101" i="45"/>
  <c r="H116" i="45"/>
  <c r="H99" i="45"/>
  <c r="H98" i="45"/>
  <c r="H136" i="45"/>
  <c r="H85" i="45"/>
  <c r="H138" i="45"/>
  <c r="H123" i="45"/>
  <c r="H110" i="45"/>
  <c r="H112" i="45"/>
  <c r="H118" i="45"/>
  <c r="H96" i="45"/>
  <c r="H127" i="45"/>
  <c r="H86" i="45"/>
  <c r="H84" i="45"/>
  <c r="H103" i="45"/>
  <c r="H113" i="45"/>
  <c r="H114" i="45"/>
  <c r="H131" i="45"/>
  <c r="H82" i="45"/>
  <c r="H132" i="45"/>
  <c r="H115" i="45"/>
  <c r="H97" i="45"/>
  <c r="H108" i="45"/>
  <c r="H111" i="45"/>
  <c r="H128" i="45"/>
  <c r="H137" i="45"/>
  <c r="J18" i="45"/>
  <c r="J89" i="47"/>
  <c r="J65" i="45"/>
  <c r="J136" i="47"/>
  <c r="J11" i="45"/>
  <c r="J82" i="47"/>
  <c r="J24" i="45"/>
  <c r="J95" i="47"/>
  <c r="J61" i="45"/>
  <c r="J132" i="47"/>
  <c r="J36" i="45"/>
  <c r="J107" i="47"/>
  <c r="J58" i="45"/>
  <c r="J129" i="47"/>
  <c r="J47" i="45"/>
  <c r="J118" i="47"/>
  <c r="J38" i="45"/>
  <c r="J109" i="47"/>
  <c r="J50" i="45"/>
  <c r="J121" i="47"/>
  <c r="J30" i="45"/>
  <c r="J101" i="47"/>
  <c r="J37" i="45"/>
  <c r="J108" i="47"/>
  <c r="J16" i="45"/>
  <c r="J87" i="47"/>
  <c r="J31" i="45"/>
  <c r="J102" i="47"/>
  <c r="J62" i="45"/>
  <c r="J133" i="47"/>
  <c r="J12" i="45"/>
  <c r="J83" i="47"/>
  <c r="J49" i="45"/>
  <c r="J120" i="47"/>
  <c r="J9" i="45"/>
  <c r="J80" i="47"/>
  <c r="J63" i="45"/>
  <c r="J134" i="47"/>
  <c r="J43" i="45"/>
  <c r="J114" i="47"/>
  <c r="J56" i="45"/>
  <c r="J127" i="47"/>
  <c r="J21" i="45"/>
  <c r="J92" i="47"/>
  <c r="J33" i="45"/>
  <c r="J104" i="47"/>
  <c r="J15" i="45"/>
  <c r="J86" i="47"/>
  <c r="J27" i="45"/>
  <c r="J98" i="47"/>
  <c r="J46" i="45"/>
  <c r="J117" i="47"/>
  <c r="J41" i="45"/>
  <c r="J112" i="47"/>
  <c r="J57" i="45"/>
  <c r="J128" i="47"/>
  <c r="J25" i="45"/>
  <c r="J96" i="47"/>
  <c r="J53" i="45"/>
  <c r="J124" i="47"/>
  <c r="J34" i="45"/>
  <c r="J105" i="47"/>
  <c r="J42" i="45"/>
  <c r="J113" i="47"/>
  <c r="J59" i="45"/>
  <c r="J130" i="47"/>
  <c r="J23" i="45"/>
  <c r="J94" i="47"/>
  <c r="J60" i="45"/>
  <c r="J131" i="47"/>
  <c r="J22" i="45"/>
  <c r="J93" i="47"/>
  <c r="J48" i="45"/>
  <c r="J119" i="47"/>
  <c r="J17" i="45"/>
  <c r="J88" i="47"/>
  <c r="J52" i="45"/>
  <c r="J123" i="47"/>
  <c r="J29" i="45"/>
  <c r="J100" i="47"/>
  <c r="J67" i="45"/>
  <c r="J138" i="47"/>
  <c r="J32" i="45"/>
  <c r="J105" i="45" s="1"/>
  <c r="J103" i="47"/>
  <c r="J19" i="45"/>
  <c r="J90" i="47"/>
  <c r="J14" i="45"/>
  <c r="J54" i="45"/>
  <c r="J68" i="45"/>
  <c r="J39" i="45"/>
  <c r="J28" i="45"/>
  <c r="J101" i="45" s="1"/>
  <c r="J66" i="45"/>
  <c r="J35" i="45"/>
  <c r="J55" i="45"/>
  <c r="J20" i="45"/>
  <c r="J64" i="45"/>
  <c r="J44" i="45"/>
  <c r="J51" i="45"/>
  <c r="J45" i="45"/>
  <c r="J118" i="45" s="1"/>
  <c r="J26" i="45"/>
  <c r="J10" i="45"/>
  <c r="J13" i="45"/>
  <c r="J40" i="45"/>
  <c r="J90" i="45" l="1"/>
  <c r="J96" i="45"/>
  <c r="J126" i="45"/>
  <c r="J119" i="45"/>
  <c r="J94" i="45"/>
  <c r="J82" i="45"/>
  <c r="J104" i="45"/>
  <c r="J109" i="45"/>
  <c r="J140" i="45"/>
  <c r="J113" i="45"/>
  <c r="J93" i="45"/>
  <c r="J123" i="45"/>
  <c r="J138" i="45"/>
  <c r="J124" i="45"/>
  <c r="J117" i="45"/>
  <c r="J87" i="45"/>
  <c r="J86" i="45"/>
  <c r="J83" i="45"/>
  <c r="J108" i="45"/>
  <c r="J92" i="45"/>
  <c r="J125" i="45"/>
  <c r="J133" i="45"/>
  <c r="J107" i="45"/>
  <c r="J114" i="45"/>
  <c r="J106" i="45"/>
  <c r="J136" i="45"/>
  <c r="J135" i="45"/>
  <c r="J103" i="45"/>
  <c r="J131" i="45"/>
  <c r="J84" i="45"/>
  <c r="J112" i="45"/>
  <c r="J102" i="45"/>
  <c r="J128" i="45"/>
  <c r="J99" i="45"/>
  <c r="J139" i="45"/>
  <c r="J132" i="45"/>
  <c r="J98" i="45"/>
  <c r="J129" i="45"/>
  <c r="J122" i="45"/>
  <c r="J89" i="45"/>
  <c r="J111" i="45"/>
  <c r="J134" i="45"/>
  <c r="J91" i="45"/>
  <c r="J121" i="45"/>
  <c r="J100" i="45"/>
  <c r="J137" i="45"/>
  <c r="J127" i="45"/>
  <c r="J95" i="45"/>
  <c r="J115" i="45"/>
  <c r="J130" i="45"/>
  <c r="J88" i="45"/>
  <c r="J116" i="45"/>
  <c r="J85" i="45"/>
  <c r="J110" i="45"/>
  <c r="J120" i="45"/>
  <c r="J97" i="45"/>
  <c r="O57" i="38"/>
  <c r="O70" i="38" s="1"/>
  <c r="N57" i="38"/>
  <c r="N70" i="38" s="1"/>
  <c r="M57" i="38"/>
  <c r="M69" i="38" s="1"/>
  <c r="L57" i="38"/>
  <c r="K57" i="38"/>
  <c r="J57" i="38"/>
  <c r="J66" i="38" s="1"/>
  <c r="I57" i="38"/>
  <c r="I67" i="38" s="1"/>
  <c r="H57" i="38"/>
  <c r="H67" i="38" s="1"/>
  <c r="G57" i="38"/>
  <c r="G70" i="38" s="1"/>
  <c r="F57" i="38"/>
  <c r="F70" i="38" s="1"/>
  <c r="E57" i="38"/>
  <c r="E69" i="38" s="1"/>
  <c r="D57" i="38"/>
  <c r="D69" i="38" s="1"/>
  <c r="C57" i="38"/>
  <c r="B57" i="38"/>
  <c r="B68" i="38" s="1"/>
  <c r="O48" i="38"/>
  <c r="O59" i="38" s="1"/>
  <c r="N48" i="38"/>
  <c r="N61" i="38" s="1"/>
  <c r="M48" i="38"/>
  <c r="M61" i="38" s="1"/>
  <c r="L48" i="38"/>
  <c r="L60" i="38" s="1"/>
  <c r="K48" i="38"/>
  <c r="K60" i="38" s="1"/>
  <c r="J48" i="38"/>
  <c r="J59" i="38" s="1"/>
  <c r="I48" i="38"/>
  <c r="I59" i="38" s="1"/>
  <c r="H48" i="38"/>
  <c r="H59" i="38" s="1"/>
  <c r="G48" i="38"/>
  <c r="G61" i="38" s="1"/>
  <c r="F48" i="38"/>
  <c r="F61" i="38" s="1"/>
  <c r="E48" i="38"/>
  <c r="E61" i="38" s="1"/>
  <c r="D48" i="38"/>
  <c r="D60" i="38" s="1"/>
  <c r="C48" i="38"/>
  <c r="C59" i="38" s="1"/>
  <c r="B48" i="38"/>
  <c r="B59" i="38" s="1"/>
  <c r="C68" i="38" l="1"/>
  <c r="C65" i="38"/>
  <c r="E60" i="38"/>
  <c r="F60" i="38"/>
  <c r="M60" i="38"/>
  <c r="N64" i="38"/>
  <c r="N68" i="38"/>
  <c r="N60" i="38"/>
  <c r="O60" i="38"/>
  <c r="G59" i="38"/>
  <c r="F59" i="38"/>
  <c r="M59" i="38"/>
  <c r="N59" i="38"/>
  <c r="I66" i="38"/>
  <c r="O68" i="38"/>
  <c r="O64" i="38"/>
  <c r="K63" i="38"/>
  <c r="G65" i="38"/>
  <c r="O66" i="38"/>
  <c r="G69" i="38"/>
  <c r="E64" i="38"/>
  <c r="H65" i="38"/>
  <c r="E68" i="38"/>
  <c r="H69" i="38"/>
  <c r="F64" i="38"/>
  <c r="O65" i="38"/>
  <c r="F68" i="38"/>
  <c r="O69" i="38"/>
  <c r="G64" i="38"/>
  <c r="G68" i="38"/>
  <c r="B70" i="38"/>
  <c r="H64" i="38"/>
  <c r="G66" i="38"/>
  <c r="H68" i="38"/>
  <c r="I70" i="38"/>
  <c r="M64" i="38"/>
  <c r="H66" i="38"/>
  <c r="M68" i="38"/>
  <c r="J70" i="38"/>
  <c r="G60" i="38"/>
  <c r="E59" i="38"/>
  <c r="H60" i="38"/>
  <c r="B61" i="38"/>
  <c r="J61" i="38"/>
  <c r="L63" i="38"/>
  <c r="D67" i="38"/>
  <c r="O61" i="38"/>
  <c r="D59" i="38"/>
  <c r="H61" i="38"/>
  <c r="J63" i="38"/>
  <c r="L64" i="38"/>
  <c r="F65" i="38"/>
  <c r="N65" i="38"/>
  <c r="B67" i="38"/>
  <c r="J67" i="38"/>
  <c r="D68" i="38"/>
  <c r="F69" i="38"/>
  <c r="H70" i="38"/>
  <c r="I61" i="38"/>
  <c r="I60" i="38"/>
  <c r="C61" i="38"/>
  <c r="K61" i="38"/>
  <c r="E63" i="38"/>
  <c r="M63" i="38"/>
  <c r="I65" i="38"/>
  <c r="E67" i="38"/>
  <c r="M67" i="38"/>
  <c r="C70" i="38"/>
  <c r="K70" i="38"/>
  <c r="J60" i="38"/>
  <c r="D61" i="38"/>
  <c r="L61" i="38"/>
  <c r="F63" i="38"/>
  <c r="N63" i="38"/>
  <c r="J65" i="38"/>
  <c r="D66" i="38"/>
  <c r="F67" i="38"/>
  <c r="N67" i="38"/>
  <c r="B69" i="38"/>
  <c r="D70" i="38"/>
  <c r="L70" i="38"/>
  <c r="G63" i="38"/>
  <c r="O63" i="38"/>
  <c r="I64" i="38"/>
  <c r="E66" i="38"/>
  <c r="M66" i="38"/>
  <c r="G67" i="38"/>
  <c r="O67" i="38"/>
  <c r="I68" i="38"/>
  <c r="C69" i="38"/>
  <c r="E70" i="38"/>
  <c r="M70" i="38"/>
  <c r="H63" i="38"/>
  <c r="J64" i="38"/>
  <c r="D65" i="38"/>
  <c r="F66" i="38"/>
  <c r="N66" i="38"/>
  <c r="C67" i="38"/>
  <c r="I63" i="38"/>
  <c r="K64" i="38"/>
  <c r="E65" i="38"/>
  <c r="M65" i="38"/>
  <c r="O20" i="38"/>
  <c r="N20" i="38"/>
  <c r="M20" i="38"/>
  <c r="L20" i="38"/>
  <c r="K20" i="38"/>
  <c r="J20" i="38"/>
  <c r="I20" i="38"/>
  <c r="H20" i="38"/>
  <c r="G20" i="38"/>
  <c r="F20" i="38"/>
  <c r="E20" i="38"/>
  <c r="D20" i="38"/>
  <c r="C20" i="38"/>
  <c r="C28" i="38" s="1"/>
  <c r="B20" i="38"/>
  <c r="O11" i="38"/>
  <c r="N11" i="38"/>
  <c r="M11" i="38"/>
  <c r="L11" i="38"/>
  <c r="K11" i="38"/>
  <c r="J11" i="38"/>
  <c r="I11" i="38"/>
  <c r="H11" i="38"/>
  <c r="G11" i="38"/>
  <c r="F11" i="38"/>
  <c r="E11" i="38"/>
  <c r="D11" i="38"/>
  <c r="C11" i="38"/>
  <c r="B11" i="38"/>
  <c r="G23" i="38" l="1"/>
  <c r="G24" i="38"/>
  <c r="G22" i="38"/>
  <c r="O23" i="38"/>
  <c r="O24" i="38"/>
  <c r="O22" i="38"/>
  <c r="B33" i="38"/>
  <c r="B31" i="38"/>
  <c r="B30" i="38"/>
  <c r="B32" i="38"/>
  <c r="C30" i="38"/>
  <c r="C32" i="38"/>
  <c r="C31" i="38"/>
  <c r="C33" i="38"/>
  <c r="K24" i="38"/>
  <c r="K23" i="38"/>
  <c r="I33" i="38"/>
  <c r="I29" i="38"/>
  <c r="I26" i="38"/>
  <c r="I31" i="38"/>
  <c r="I27" i="38"/>
  <c r="I30" i="38"/>
  <c r="I28" i="38"/>
  <c r="H23" i="38"/>
  <c r="H24" i="38"/>
  <c r="H22" i="38"/>
  <c r="J33" i="38"/>
  <c r="J29" i="38"/>
  <c r="J30" i="38"/>
  <c r="J26" i="38"/>
  <c r="J27" i="38"/>
  <c r="J28" i="38"/>
  <c r="I24" i="38"/>
  <c r="I22" i="38"/>
  <c r="I23" i="38"/>
  <c r="K26" i="38"/>
  <c r="K27" i="38"/>
  <c r="K33" i="38"/>
  <c r="B24" i="38"/>
  <c r="B22" i="38"/>
  <c r="J24" i="38"/>
  <c r="J22" i="38"/>
  <c r="J23" i="38"/>
  <c r="D30" i="38"/>
  <c r="D32" i="38"/>
  <c r="D28" i="38"/>
  <c r="D31" i="38"/>
  <c r="D33" i="38"/>
  <c r="D29" i="38"/>
  <c r="L26" i="38"/>
  <c r="L27" i="38"/>
  <c r="L33" i="38"/>
  <c r="C22" i="38"/>
  <c r="C24" i="38"/>
  <c r="E31" i="38"/>
  <c r="E27" i="38"/>
  <c r="E28" i="38"/>
  <c r="E33" i="38"/>
  <c r="E29" i="38"/>
  <c r="E32" i="38"/>
  <c r="E30" i="38"/>
  <c r="E26" i="38"/>
  <c r="M31" i="38"/>
  <c r="M27" i="38"/>
  <c r="M28" i="38"/>
  <c r="M33" i="38"/>
  <c r="M32" i="38"/>
  <c r="M29" i="38"/>
  <c r="M30" i="38"/>
  <c r="M26" i="38"/>
  <c r="D22" i="38"/>
  <c r="D23" i="38"/>
  <c r="D24" i="38"/>
  <c r="L23" i="38"/>
  <c r="L24" i="38"/>
  <c r="F31" i="38"/>
  <c r="F27" i="38"/>
  <c r="F33" i="38"/>
  <c r="F32" i="38"/>
  <c r="F28" i="38"/>
  <c r="F29" i="38"/>
  <c r="F30" i="38"/>
  <c r="F26" i="38"/>
  <c r="N31" i="38"/>
  <c r="N27" i="38"/>
  <c r="N33" i="38"/>
  <c r="N29" i="38"/>
  <c r="N28" i="38"/>
  <c r="N30" i="38"/>
  <c r="N26" i="38"/>
  <c r="E22" i="38"/>
  <c r="E24" i="38"/>
  <c r="E23" i="38"/>
  <c r="M22" i="38"/>
  <c r="M23" i="38"/>
  <c r="M24" i="38"/>
  <c r="G30" i="38"/>
  <c r="G32" i="38"/>
  <c r="G28" i="38"/>
  <c r="G33" i="38"/>
  <c r="G29" i="38"/>
  <c r="G26" i="38"/>
  <c r="G31" i="38"/>
  <c r="G27" i="38"/>
  <c r="O26" i="38"/>
  <c r="O32" i="38"/>
  <c r="O28" i="38"/>
  <c r="O29" i="38"/>
  <c r="O30" i="38"/>
  <c r="O33" i="38"/>
  <c r="O31" i="38"/>
  <c r="O27" i="38"/>
  <c r="F22" i="38"/>
  <c r="F24" i="38"/>
  <c r="F23" i="38"/>
  <c r="N22" i="38"/>
  <c r="N23" i="38"/>
  <c r="N24" i="38"/>
  <c r="H32" i="38"/>
  <c r="H28" i="38"/>
  <c r="H26" i="38"/>
  <c r="H33" i="38"/>
  <c r="H29" i="38"/>
  <c r="H30" i="38"/>
  <c r="H31" i="38"/>
  <c r="H27" i="38"/>
  <c r="J93" i="18" l="1"/>
  <c r="J92" i="18"/>
  <c r="J91" i="18"/>
  <c r="J90" i="18"/>
  <c r="J89" i="18"/>
  <c r="J88" i="18"/>
  <c r="J87" i="18"/>
  <c r="J86" i="18"/>
  <c r="J84" i="18"/>
  <c r="J83" i="18"/>
  <c r="J82" i="18"/>
  <c r="J81" i="18"/>
  <c r="J80" i="18"/>
  <c r="J79" i="18"/>
  <c r="J78" i="18"/>
  <c r="J77" i="18"/>
  <c r="J76" i="18"/>
  <c r="J75" i="18"/>
  <c r="J74" i="18"/>
  <c r="J73" i="18"/>
  <c r="J72" i="18"/>
  <c r="J71" i="18"/>
  <c r="J70" i="18"/>
  <c r="J69" i="18"/>
  <c r="J68" i="18"/>
  <c r="J67" i="18"/>
  <c r="B81" i="15"/>
  <c r="B78" i="15"/>
  <c r="D90" i="1" l="1"/>
  <c r="D87" i="1"/>
  <c r="D14" i="2"/>
  <c r="H25" i="2"/>
  <c r="H24" i="2"/>
  <c r="H23" i="2"/>
  <c r="H22" i="2"/>
  <c r="H21" i="2"/>
  <c r="H20" i="2"/>
  <c r="H19" i="2"/>
  <c r="H18" i="2"/>
  <c r="H17" i="2"/>
  <c r="H16" i="2"/>
  <c r="H15" i="2"/>
  <c r="H14" i="2"/>
  <c r="B82" i="35"/>
  <c r="B45" i="37"/>
  <c r="C45" i="37"/>
  <c r="D45" i="37"/>
  <c r="E45" i="37"/>
  <c r="F45" i="37"/>
  <c r="G45" i="37"/>
  <c r="H45" i="37"/>
  <c r="I45" i="37"/>
  <c r="J45" i="37"/>
  <c r="K45" i="37"/>
  <c r="M45" i="37"/>
  <c r="N45" i="37"/>
  <c r="O45" i="37"/>
  <c r="B21" i="1" l="1"/>
  <c r="C21" i="1"/>
  <c r="D21" i="1"/>
  <c r="E21" i="1"/>
  <c r="F21" i="1"/>
  <c r="G21" i="1"/>
  <c r="H21" i="1"/>
  <c r="I21" i="1"/>
  <c r="J21" i="1"/>
  <c r="K21" i="1"/>
  <c r="L21" i="1"/>
  <c r="M21" i="1"/>
  <c r="N21" i="1"/>
  <c r="O21" i="1"/>
  <c r="N80" i="18" l="1"/>
  <c r="I80" i="18"/>
  <c r="O92" i="1" l="1"/>
  <c r="N92" i="1"/>
  <c r="M92" i="1"/>
  <c r="O91" i="1"/>
  <c r="N91" i="1"/>
  <c r="M91" i="1"/>
  <c r="O90" i="1"/>
  <c r="N90" i="1"/>
  <c r="M90" i="1"/>
  <c r="O89" i="1"/>
  <c r="N89" i="1"/>
  <c r="M89" i="1"/>
  <c r="O88" i="1"/>
  <c r="N88" i="1"/>
  <c r="M88" i="1"/>
  <c r="L91" i="1"/>
  <c r="K92" i="1"/>
  <c r="J92" i="1"/>
  <c r="I92" i="1"/>
  <c r="H92" i="1"/>
  <c r="K91" i="1"/>
  <c r="J91" i="1"/>
  <c r="I91" i="1"/>
  <c r="H91" i="1"/>
  <c r="K90" i="1"/>
  <c r="J90" i="1"/>
  <c r="I90" i="1"/>
  <c r="H90" i="1"/>
  <c r="G90" i="1"/>
  <c r="F90" i="1"/>
  <c r="E90" i="1"/>
  <c r="K89" i="1"/>
  <c r="J89" i="1"/>
  <c r="I89" i="1"/>
  <c r="H89" i="1"/>
  <c r="G89" i="1"/>
  <c r="F89" i="1"/>
  <c r="E89" i="1"/>
  <c r="K88" i="1"/>
  <c r="J88" i="1"/>
  <c r="I88" i="1"/>
  <c r="H88" i="1"/>
  <c r="G88" i="1"/>
  <c r="F88" i="1"/>
  <c r="E88" i="1"/>
  <c r="I93" i="18" l="1"/>
  <c r="I92" i="18"/>
  <c r="I91" i="18"/>
  <c r="I90" i="18"/>
  <c r="I89" i="18"/>
  <c r="I88" i="18"/>
  <c r="I87" i="18"/>
  <c r="I86" i="18"/>
  <c r="I84" i="18"/>
  <c r="I83" i="18"/>
  <c r="I82" i="18"/>
  <c r="I81" i="18"/>
  <c r="I79" i="18"/>
  <c r="I78" i="18"/>
  <c r="I77" i="18"/>
  <c r="I76" i="18"/>
  <c r="I75" i="18"/>
  <c r="I74" i="18"/>
  <c r="I73" i="18"/>
  <c r="I72" i="18"/>
  <c r="I71" i="18"/>
  <c r="I70" i="18"/>
  <c r="I69" i="18"/>
  <c r="I68" i="18"/>
  <c r="I67" i="18"/>
  <c r="N93" i="18"/>
  <c r="N92" i="18"/>
  <c r="N91" i="18"/>
  <c r="N90" i="18"/>
  <c r="N89" i="18"/>
  <c r="N88" i="18"/>
  <c r="N87" i="18"/>
  <c r="N86" i="18"/>
  <c r="N84" i="18"/>
  <c r="N83" i="18"/>
  <c r="N82" i="18"/>
  <c r="N81" i="18"/>
  <c r="N79" i="18"/>
  <c r="N78" i="18"/>
  <c r="N77" i="18"/>
  <c r="N76" i="18"/>
  <c r="N75" i="18"/>
  <c r="N74" i="18"/>
  <c r="N73" i="18"/>
  <c r="N72" i="18"/>
  <c r="N71" i="18"/>
  <c r="N70" i="18"/>
  <c r="N69" i="18"/>
  <c r="N68" i="18"/>
  <c r="N67" i="18"/>
  <c r="P94" i="34"/>
  <c r="P93" i="34"/>
  <c r="P92" i="34"/>
  <c r="P91" i="34"/>
  <c r="P90" i="34"/>
  <c r="P89" i="34"/>
  <c r="P88" i="34"/>
  <c r="P87" i="34"/>
  <c r="P85" i="34"/>
  <c r="P84" i="34"/>
  <c r="P83" i="34"/>
  <c r="P82" i="34"/>
  <c r="P81" i="34"/>
  <c r="P80" i="34"/>
  <c r="P79" i="34"/>
  <c r="P78" i="34"/>
  <c r="P77" i="34"/>
  <c r="P76" i="34"/>
  <c r="P75" i="34"/>
  <c r="P74" i="34"/>
  <c r="P73" i="34"/>
  <c r="P72" i="34"/>
  <c r="P71" i="34"/>
  <c r="P70" i="34"/>
  <c r="P69" i="34"/>
  <c r="P68" i="34"/>
  <c r="P68" i="16" l="1"/>
  <c r="P69" i="16"/>
  <c r="P70" i="16"/>
  <c r="P71" i="16"/>
  <c r="P72" i="16"/>
  <c r="P73" i="16"/>
  <c r="P74" i="16"/>
  <c r="P75" i="16"/>
  <c r="P76" i="16"/>
  <c r="P77" i="16"/>
  <c r="P78" i="16"/>
  <c r="P79" i="16"/>
  <c r="P80" i="16"/>
  <c r="P81" i="16"/>
  <c r="P82" i="16"/>
  <c r="P83" i="16"/>
  <c r="P84" i="16"/>
  <c r="P85" i="16"/>
  <c r="P87" i="16"/>
  <c r="P88" i="16"/>
  <c r="P89" i="16"/>
  <c r="P90" i="16"/>
  <c r="P91" i="16"/>
  <c r="P92" i="16"/>
  <c r="P93" i="16"/>
  <c r="P94" i="16"/>
  <c r="B17" i="37" l="1"/>
  <c r="C17" i="37"/>
  <c r="D17" i="37"/>
  <c r="E17" i="37"/>
  <c r="F17" i="37"/>
  <c r="G17" i="37"/>
  <c r="H17" i="37"/>
  <c r="I17" i="37"/>
  <c r="J17" i="37"/>
  <c r="K17" i="37"/>
  <c r="L17" i="37"/>
  <c r="M17" i="37"/>
  <c r="N17" i="37"/>
  <c r="O17" i="37"/>
  <c r="B13" i="37"/>
  <c r="C13" i="37"/>
  <c r="D13" i="37"/>
  <c r="E13" i="37"/>
  <c r="F13" i="37"/>
  <c r="G13" i="37"/>
  <c r="H13" i="37"/>
  <c r="I13" i="37"/>
  <c r="J13" i="37"/>
  <c r="K13" i="37"/>
  <c r="M13" i="37"/>
  <c r="N13" i="37"/>
  <c r="O13" i="37"/>
  <c r="B44" i="3"/>
  <c r="C44" i="3"/>
  <c r="D44" i="3"/>
  <c r="E44" i="3"/>
  <c r="F44" i="3"/>
  <c r="G44" i="3"/>
  <c r="H44" i="3"/>
  <c r="H50" i="3" s="1"/>
  <c r="I44" i="3"/>
  <c r="J44" i="3"/>
  <c r="K44" i="3"/>
  <c r="K48" i="3" s="1"/>
  <c r="L44" i="3"/>
  <c r="M44" i="3"/>
  <c r="N44" i="3"/>
  <c r="O44" i="3"/>
  <c r="B14" i="3"/>
  <c r="C14" i="3"/>
  <c r="D14" i="3"/>
  <c r="E14" i="3"/>
  <c r="F14" i="3"/>
  <c r="G14" i="3"/>
  <c r="H14" i="3"/>
  <c r="H20" i="3" s="1"/>
  <c r="I14" i="3"/>
  <c r="J14" i="3"/>
  <c r="K14" i="3"/>
  <c r="K18" i="3" s="1"/>
  <c r="L14" i="3"/>
  <c r="M14" i="3"/>
  <c r="N14" i="3"/>
  <c r="O14" i="3"/>
  <c r="O87" i="1"/>
  <c r="N87" i="1"/>
  <c r="M87" i="1"/>
  <c r="L87" i="1"/>
  <c r="K87" i="1"/>
  <c r="J87" i="1"/>
  <c r="I87" i="1"/>
  <c r="H87" i="1"/>
  <c r="G87" i="1"/>
  <c r="F87" i="1"/>
  <c r="E87" i="1"/>
  <c r="O85" i="1"/>
  <c r="N85" i="1"/>
  <c r="M85" i="1"/>
  <c r="L85" i="1"/>
  <c r="K85" i="1"/>
  <c r="J85" i="1"/>
  <c r="I85" i="1"/>
  <c r="H85" i="1"/>
  <c r="G85" i="1"/>
  <c r="F85" i="1"/>
  <c r="E85" i="1"/>
  <c r="D85" i="1"/>
  <c r="C85" i="1"/>
  <c r="B85" i="1"/>
  <c r="O84" i="1"/>
  <c r="N84" i="1"/>
  <c r="M84" i="1"/>
  <c r="L84" i="1"/>
  <c r="K84" i="1"/>
  <c r="J84" i="1"/>
  <c r="I84" i="1"/>
  <c r="H84" i="1"/>
  <c r="G84" i="1"/>
  <c r="F84" i="1"/>
  <c r="E84" i="1"/>
  <c r="D84" i="1"/>
  <c r="C84" i="1"/>
  <c r="B84" i="1"/>
  <c r="O83" i="1"/>
  <c r="N83" i="1"/>
  <c r="M83" i="1"/>
  <c r="L83" i="1"/>
  <c r="K83" i="1"/>
  <c r="J83" i="1"/>
  <c r="I83" i="1"/>
  <c r="H83" i="1"/>
  <c r="G83" i="1"/>
  <c r="F83" i="1"/>
  <c r="E83" i="1"/>
  <c r="D83" i="1"/>
  <c r="C83" i="1"/>
  <c r="B83" i="1"/>
  <c r="O82" i="1"/>
  <c r="N82" i="1"/>
  <c r="M82" i="1"/>
  <c r="L82" i="1"/>
  <c r="K82" i="1"/>
  <c r="J82" i="1"/>
  <c r="I82" i="1"/>
  <c r="H82" i="1"/>
  <c r="G82" i="1"/>
  <c r="F82" i="1"/>
  <c r="E82" i="1"/>
  <c r="D82" i="1"/>
  <c r="C82" i="1"/>
  <c r="B82" i="1"/>
  <c r="O81" i="1"/>
  <c r="N81" i="1"/>
  <c r="M81" i="1"/>
  <c r="L81" i="1"/>
  <c r="K81" i="1"/>
  <c r="J81" i="1"/>
  <c r="I81" i="1"/>
  <c r="H81" i="1"/>
  <c r="G81" i="1"/>
  <c r="F81" i="1"/>
  <c r="E81" i="1"/>
  <c r="D81" i="1"/>
  <c r="C81" i="1"/>
  <c r="B81" i="1"/>
  <c r="O80" i="1"/>
  <c r="N80" i="1"/>
  <c r="M80" i="1"/>
  <c r="L80" i="1"/>
  <c r="K80" i="1"/>
  <c r="J80" i="1"/>
  <c r="I80" i="1"/>
  <c r="H80" i="1"/>
  <c r="G80" i="1"/>
  <c r="F80" i="1"/>
  <c r="E80" i="1"/>
  <c r="D80" i="1"/>
  <c r="C80" i="1"/>
  <c r="B80" i="1"/>
  <c r="O79" i="1"/>
  <c r="N79" i="1"/>
  <c r="M79" i="1"/>
  <c r="L79" i="1"/>
  <c r="K79" i="1"/>
  <c r="J79" i="1"/>
  <c r="I79" i="1"/>
  <c r="H79" i="1"/>
  <c r="G79" i="1"/>
  <c r="F79" i="1"/>
  <c r="E79" i="1"/>
  <c r="D79" i="1"/>
  <c r="C79" i="1"/>
  <c r="B79" i="1"/>
  <c r="O78" i="1"/>
  <c r="N78" i="1"/>
  <c r="M78" i="1"/>
  <c r="L78" i="1"/>
  <c r="K78" i="1"/>
  <c r="J78" i="1"/>
  <c r="I78" i="1"/>
  <c r="H78" i="1"/>
  <c r="G78" i="1"/>
  <c r="F78" i="1"/>
  <c r="E78" i="1"/>
  <c r="D78" i="1"/>
  <c r="C78" i="1"/>
  <c r="B78" i="1"/>
  <c r="O77" i="1"/>
  <c r="N77" i="1"/>
  <c r="M77" i="1"/>
  <c r="K77" i="1"/>
  <c r="J77" i="1"/>
  <c r="I77" i="1"/>
  <c r="H77" i="1"/>
  <c r="G77" i="1"/>
  <c r="F77" i="1"/>
  <c r="E77" i="1"/>
  <c r="D77" i="1"/>
  <c r="C77" i="1"/>
  <c r="B77" i="1"/>
  <c r="O76" i="1"/>
  <c r="N76" i="1"/>
  <c r="M76" i="1"/>
  <c r="L76" i="1"/>
  <c r="K76" i="1"/>
  <c r="J76" i="1"/>
  <c r="I76" i="1"/>
  <c r="H76" i="1"/>
  <c r="G76" i="1"/>
  <c r="F76" i="1"/>
  <c r="E76" i="1"/>
  <c r="D76" i="1"/>
  <c r="C76" i="1"/>
  <c r="B76" i="1"/>
  <c r="O75" i="1"/>
  <c r="N75" i="1"/>
  <c r="M75" i="1"/>
  <c r="L75" i="1"/>
  <c r="K75" i="1"/>
  <c r="J75" i="1"/>
  <c r="I75" i="1"/>
  <c r="H75" i="1"/>
  <c r="G75" i="1"/>
  <c r="F75" i="1"/>
  <c r="E75" i="1"/>
  <c r="D75" i="1"/>
  <c r="C75" i="1"/>
  <c r="B75" i="1"/>
  <c r="O74" i="1"/>
  <c r="N74" i="1"/>
  <c r="M74" i="1"/>
  <c r="L74" i="1"/>
  <c r="J74" i="1"/>
  <c r="I74" i="1"/>
  <c r="H74" i="1"/>
  <c r="G74" i="1"/>
  <c r="F74" i="1"/>
  <c r="E74" i="1"/>
  <c r="D74" i="1"/>
  <c r="C74" i="1"/>
  <c r="B74" i="1"/>
  <c r="O73" i="1"/>
  <c r="N73" i="1"/>
  <c r="M73" i="1"/>
  <c r="L73" i="1"/>
  <c r="K73" i="1"/>
  <c r="J73" i="1"/>
  <c r="I73" i="1"/>
  <c r="H73" i="1"/>
  <c r="G73" i="1"/>
  <c r="F73" i="1"/>
  <c r="E73" i="1"/>
  <c r="D73" i="1"/>
  <c r="C73" i="1"/>
  <c r="B73" i="1"/>
  <c r="B54" i="1"/>
  <c r="B61" i="1" s="1"/>
  <c r="C54" i="1"/>
  <c r="C61" i="1" s="1"/>
  <c r="D54" i="1"/>
  <c r="D61" i="1" s="1"/>
  <c r="E54" i="1"/>
  <c r="E61" i="1" s="1"/>
  <c r="F54" i="1"/>
  <c r="F61" i="1" s="1"/>
  <c r="G54" i="1"/>
  <c r="G61" i="1" s="1"/>
  <c r="H54" i="1"/>
  <c r="H61" i="1" s="1"/>
  <c r="I54" i="1"/>
  <c r="I61" i="1" s="1"/>
  <c r="J54" i="1"/>
  <c r="J61" i="1" s="1"/>
  <c r="K54" i="1"/>
  <c r="K61" i="1" s="1"/>
  <c r="L54" i="1"/>
  <c r="L61" i="1" s="1"/>
  <c r="M54" i="1"/>
  <c r="M61" i="1" s="1"/>
  <c r="N54" i="1"/>
  <c r="N61" i="1" s="1"/>
  <c r="O54" i="1"/>
  <c r="O61" i="1" s="1"/>
  <c r="F28" i="1"/>
  <c r="I28" i="1"/>
  <c r="M28" i="1"/>
  <c r="N28" i="1"/>
  <c r="B28" i="1"/>
  <c r="C86" i="1"/>
  <c r="E28" i="1"/>
  <c r="J28" i="1"/>
  <c r="L28" i="1"/>
  <c r="O28" i="1"/>
  <c r="J14" i="2"/>
  <c r="I25" i="2"/>
  <c r="J25" i="2" s="1"/>
  <c r="I24" i="2"/>
  <c r="J24" i="2" s="1"/>
  <c r="I23" i="2"/>
  <c r="I22" i="2"/>
  <c r="J22" i="2" s="1"/>
  <c r="I21" i="2"/>
  <c r="J21" i="2" s="1"/>
  <c r="I20" i="2"/>
  <c r="J20" i="2" s="1"/>
  <c r="I19" i="2"/>
  <c r="J19" i="2" s="1"/>
  <c r="I18" i="2"/>
  <c r="J18" i="2" s="1"/>
  <c r="I17" i="2"/>
  <c r="J17" i="2" s="1"/>
  <c r="I16" i="2"/>
  <c r="J16" i="2" s="1"/>
  <c r="I15" i="2"/>
  <c r="J15" i="2" s="1"/>
  <c r="D25" i="2"/>
  <c r="D24" i="2"/>
  <c r="D23" i="2"/>
  <c r="D22" i="2"/>
  <c r="D21" i="2"/>
  <c r="D20" i="2"/>
  <c r="D19" i="2"/>
  <c r="D18" i="2"/>
  <c r="D17" i="2"/>
  <c r="D16" i="2"/>
  <c r="D15" i="2"/>
  <c r="G25" i="2"/>
  <c r="G24" i="2"/>
  <c r="G23" i="2"/>
  <c r="G22" i="2"/>
  <c r="G21" i="2"/>
  <c r="G20" i="2"/>
  <c r="G19" i="2"/>
  <c r="G18" i="2"/>
  <c r="G17" i="2"/>
  <c r="G16" i="2"/>
  <c r="G15" i="2"/>
  <c r="G14" i="2"/>
  <c r="G13" i="2"/>
  <c r="J23" i="2"/>
  <c r="P93" i="18"/>
  <c r="P92" i="18"/>
  <c r="P91" i="18"/>
  <c r="P90" i="18"/>
  <c r="P89" i="18"/>
  <c r="P88" i="18"/>
  <c r="P87" i="18"/>
  <c r="P86" i="18"/>
  <c r="P84" i="18"/>
  <c r="P83" i="18"/>
  <c r="P82" i="18"/>
  <c r="P81" i="18"/>
  <c r="P80" i="18"/>
  <c r="P79" i="18"/>
  <c r="P78" i="18"/>
  <c r="P77" i="18"/>
  <c r="P76" i="18"/>
  <c r="P75" i="18"/>
  <c r="P74" i="18"/>
  <c r="P73" i="18"/>
  <c r="P72" i="18"/>
  <c r="P71" i="18"/>
  <c r="P70" i="18"/>
  <c r="P69" i="18"/>
  <c r="P68" i="18"/>
  <c r="P67" i="18"/>
  <c r="N86" i="1" l="1"/>
  <c r="F86" i="1"/>
  <c r="K86" i="1"/>
  <c r="J93" i="1"/>
  <c r="B93" i="1"/>
  <c r="D86" i="1"/>
  <c r="M86" i="1"/>
  <c r="E93" i="1"/>
  <c r="F93" i="1"/>
  <c r="O93" i="1"/>
  <c r="G86" i="1"/>
  <c r="I93" i="1"/>
  <c r="H86" i="1"/>
  <c r="M93" i="1"/>
  <c r="I86" i="1"/>
  <c r="N93" i="1"/>
  <c r="K28" i="1"/>
  <c r="K93" i="1" s="1"/>
  <c r="C28" i="1"/>
  <c r="C93" i="1" s="1"/>
  <c r="D28" i="1"/>
  <c r="D93" i="1" s="1"/>
  <c r="O86" i="1"/>
  <c r="E86" i="1"/>
  <c r="G28" i="1"/>
  <c r="G93" i="1" s="1"/>
  <c r="H28" i="1"/>
  <c r="H93" i="1" s="1"/>
  <c r="B86" i="1"/>
  <c r="J86" i="1"/>
  <c r="L86" i="1"/>
  <c r="L93" i="1"/>
  <c r="BM8" i="27"/>
  <c r="CC7" i="27" s="1"/>
  <c r="CS6" i="27" s="1"/>
  <c r="DI7" i="27" s="1"/>
  <c r="CE8" i="26"/>
  <c r="CU7" i="26" s="1"/>
  <c r="AG8" i="26"/>
  <c r="AX8" i="26" s="1"/>
  <c r="O93" i="42"/>
  <c r="N93" i="42"/>
  <c r="M93" i="42"/>
  <c r="L93" i="42"/>
  <c r="K93" i="42"/>
  <c r="J93" i="42"/>
  <c r="I93" i="42"/>
  <c r="H93" i="42"/>
  <c r="G93" i="42"/>
  <c r="F93" i="42"/>
  <c r="E93" i="42"/>
  <c r="D93" i="42"/>
  <c r="C93" i="42"/>
  <c r="B93" i="42"/>
  <c r="O92" i="42"/>
  <c r="N92" i="42"/>
  <c r="M92" i="42"/>
  <c r="L92" i="42"/>
  <c r="K92" i="42"/>
  <c r="J92" i="42"/>
  <c r="I92" i="42"/>
  <c r="H92" i="42"/>
  <c r="G92" i="42"/>
  <c r="F92" i="42"/>
  <c r="E92" i="42"/>
  <c r="D92" i="42"/>
  <c r="C92" i="42"/>
  <c r="B92" i="42"/>
  <c r="O91" i="42"/>
  <c r="N91" i="42"/>
  <c r="M91" i="42"/>
  <c r="L91" i="42"/>
  <c r="K91" i="42"/>
  <c r="J91" i="42"/>
  <c r="I91" i="42"/>
  <c r="H91" i="42"/>
  <c r="G91" i="42"/>
  <c r="F91" i="42"/>
  <c r="E91" i="42"/>
  <c r="D91" i="42"/>
  <c r="C91" i="42"/>
  <c r="B91" i="42"/>
  <c r="O90" i="42"/>
  <c r="N90" i="42"/>
  <c r="M90" i="42"/>
  <c r="L90" i="42"/>
  <c r="K90" i="42"/>
  <c r="J90" i="42"/>
  <c r="I90" i="42"/>
  <c r="H90" i="42"/>
  <c r="G90" i="42"/>
  <c r="F90" i="42"/>
  <c r="E90" i="42"/>
  <c r="D90" i="42"/>
  <c r="C90" i="42"/>
  <c r="B90" i="42"/>
  <c r="O89" i="42"/>
  <c r="N89" i="42"/>
  <c r="M89" i="42"/>
  <c r="L89" i="42"/>
  <c r="K89" i="42"/>
  <c r="J89" i="42"/>
  <c r="I89" i="42"/>
  <c r="H89" i="42"/>
  <c r="G89" i="42"/>
  <c r="F89" i="42"/>
  <c r="E89" i="42"/>
  <c r="D89" i="42"/>
  <c r="C89" i="42"/>
  <c r="B89" i="42"/>
  <c r="O88" i="42"/>
  <c r="N88" i="42"/>
  <c r="M88" i="42"/>
  <c r="L88" i="42"/>
  <c r="K88" i="42"/>
  <c r="J88" i="42"/>
  <c r="I88" i="42"/>
  <c r="H88" i="42"/>
  <c r="G88" i="42"/>
  <c r="F88" i="42"/>
  <c r="E88" i="42"/>
  <c r="D88" i="42"/>
  <c r="C88" i="42"/>
  <c r="B88" i="42"/>
  <c r="O87" i="42"/>
  <c r="N87" i="42"/>
  <c r="M87" i="42"/>
  <c r="L87" i="42"/>
  <c r="K87" i="42"/>
  <c r="J87" i="42"/>
  <c r="I87" i="42"/>
  <c r="H87" i="42"/>
  <c r="G87" i="42"/>
  <c r="F87" i="42"/>
  <c r="E87" i="42"/>
  <c r="D87" i="42"/>
  <c r="C87" i="42"/>
  <c r="B87" i="42"/>
  <c r="O86" i="42"/>
  <c r="N86" i="42"/>
  <c r="M86" i="42"/>
  <c r="L86" i="42"/>
  <c r="K86" i="42"/>
  <c r="J86" i="42"/>
  <c r="I86" i="42"/>
  <c r="H86" i="42"/>
  <c r="G86" i="42"/>
  <c r="F86" i="42"/>
  <c r="E86" i="42"/>
  <c r="D86" i="42"/>
  <c r="C86" i="42"/>
  <c r="B86" i="42"/>
  <c r="O84" i="42"/>
  <c r="N84" i="42"/>
  <c r="M84" i="42"/>
  <c r="L84" i="42"/>
  <c r="K84" i="42"/>
  <c r="J84" i="42"/>
  <c r="I84" i="42"/>
  <c r="H84" i="42"/>
  <c r="G84" i="42"/>
  <c r="F84" i="42"/>
  <c r="E84" i="42"/>
  <c r="D84" i="42"/>
  <c r="C84" i="42"/>
  <c r="B84" i="42"/>
  <c r="O83" i="42"/>
  <c r="N83" i="42"/>
  <c r="M83" i="42"/>
  <c r="L83" i="42"/>
  <c r="K83" i="42"/>
  <c r="J83" i="42"/>
  <c r="I83" i="42"/>
  <c r="H83" i="42"/>
  <c r="G83" i="42"/>
  <c r="F83" i="42"/>
  <c r="E83" i="42"/>
  <c r="D83" i="42"/>
  <c r="C83" i="42"/>
  <c r="B83" i="42"/>
  <c r="O82" i="42"/>
  <c r="N82" i="42"/>
  <c r="M82" i="42"/>
  <c r="L82" i="42"/>
  <c r="K82" i="42"/>
  <c r="J82" i="42"/>
  <c r="I82" i="42"/>
  <c r="H82" i="42"/>
  <c r="G82" i="42"/>
  <c r="F82" i="42"/>
  <c r="E82" i="42"/>
  <c r="D82" i="42"/>
  <c r="C82" i="42"/>
  <c r="B82" i="42"/>
  <c r="O81" i="42"/>
  <c r="N81" i="42"/>
  <c r="M81" i="42"/>
  <c r="L81" i="42"/>
  <c r="K81" i="42"/>
  <c r="J81" i="42"/>
  <c r="I81" i="42"/>
  <c r="H81" i="42"/>
  <c r="G81" i="42"/>
  <c r="F81" i="42"/>
  <c r="E81" i="42"/>
  <c r="D81" i="42"/>
  <c r="C81" i="42"/>
  <c r="B81" i="42"/>
  <c r="O80" i="42"/>
  <c r="N80" i="42"/>
  <c r="M80" i="42"/>
  <c r="L80" i="42"/>
  <c r="K80" i="42"/>
  <c r="J80" i="42"/>
  <c r="I80" i="42"/>
  <c r="H80" i="42"/>
  <c r="G80" i="42"/>
  <c r="F80" i="42"/>
  <c r="E80" i="42"/>
  <c r="D80" i="42"/>
  <c r="C80" i="42"/>
  <c r="B80" i="42"/>
  <c r="O79" i="42"/>
  <c r="N79" i="42"/>
  <c r="M79" i="42"/>
  <c r="L79" i="42"/>
  <c r="K79" i="42"/>
  <c r="J79" i="42"/>
  <c r="I79" i="42"/>
  <c r="H79" i="42"/>
  <c r="G79" i="42"/>
  <c r="F79" i="42"/>
  <c r="E79" i="42"/>
  <c r="D79" i="42"/>
  <c r="C79" i="42"/>
  <c r="B79" i="42"/>
  <c r="O78" i="42"/>
  <c r="N78" i="42"/>
  <c r="M78" i="42"/>
  <c r="L78" i="42"/>
  <c r="K78" i="42"/>
  <c r="J78" i="42"/>
  <c r="I78" i="42"/>
  <c r="H78" i="42"/>
  <c r="G78" i="42"/>
  <c r="F78" i="42"/>
  <c r="E78" i="42"/>
  <c r="D78" i="42"/>
  <c r="C78" i="42"/>
  <c r="B78" i="42"/>
  <c r="O77" i="42"/>
  <c r="N77" i="42"/>
  <c r="M77" i="42"/>
  <c r="L77" i="42"/>
  <c r="K77" i="42"/>
  <c r="J77" i="42"/>
  <c r="I77" i="42"/>
  <c r="H77" i="42"/>
  <c r="G77" i="42"/>
  <c r="F77" i="42"/>
  <c r="E77" i="42"/>
  <c r="D77" i="42"/>
  <c r="C77" i="42"/>
  <c r="B77" i="42"/>
  <c r="O76" i="42"/>
  <c r="N76" i="42"/>
  <c r="M76" i="42"/>
  <c r="L76" i="42"/>
  <c r="K76" i="42"/>
  <c r="J76" i="42"/>
  <c r="I76" i="42"/>
  <c r="H76" i="42"/>
  <c r="G76" i="42"/>
  <c r="F76" i="42"/>
  <c r="E76" i="42"/>
  <c r="D76" i="42"/>
  <c r="C76" i="42"/>
  <c r="B76" i="42"/>
  <c r="O75" i="42"/>
  <c r="N75" i="42"/>
  <c r="M75" i="42"/>
  <c r="L75" i="42"/>
  <c r="K75" i="42"/>
  <c r="J75" i="42"/>
  <c r="I75" i="42"/>
  <c r="H75" i="42"/>
  <c r="G75" i="42"/>
  <c r="F75" i="42"/>
  <c r="E75" i="42"/>
  <c r="D75" i="42"/>
  <c r="C75" i="42"/>
  <c r="B75" i="42"/>
  <c r="O74" i="42"/>
  <c r="N74" i="42"/>
  <c r="M74" i="42"/>
  <c r="L74" i="42"/>
  <c r="K74" i="42"/>
  <c r="J74" i="42"/>
  <c r="I74" i="42"/>
  <c r="H74" i="42"/>
  <c r="G74" i="42"/>
  <c r="F74" i="42"/>
  <c r="E74" i="42"/>
  <c r="D74" i="42"/>
  <c r="C74" i="42"/>
  <c r="B74" i="42"/>
  <c r="O73" i="42"/>
  <c r="N73" i="42"/>
  <c r="M73" i="42"/>
  <c r="L73" i="42"/>
  <c r="K73" i="42"/>
  <c r="J73" i="42"/>
  <c r="I73" i="42"/>
  <c r="H73" i="42"/>
  <c r="G73" i="42"/>
  <c r="F73" i="42"/>
  <c r="E73" i="42"/>
  <c r="D73" i="42"/>
  <c r="C73" i="42"/>
  <c r="B73" i="42"/>
  <c r="O72" i="42"/>
  <c r="N72" i="42"/>
  <c r="M72" i="42"/>
  <c r="L72" i="42"/>
  <c r="K72" i="42"/>
  <c r="J72" i="42"/>
  <c r="I72" i="42"/>
  <c r="H72" i="42"/>
  <c r="G72" i="42"/>
  <c r="F72" i="42"/>
  <c r="E72" i="42"/>
  <c r="D72" i="42"/>
  <c r="C72" i="42"/>
  <c r="B72" i="42"/>
  <c r="O71" i="42"/>
  <c r="N71" i="42"/>
  <c r="M71" i="42"/>
  <c r="L71" i="42"/>
  <c r="K71" i="42"/>
  <c r="J71" i="42"/>
  <c r="I71" i="42"/>
  <c r="H71" i="42"/>
  <c r="G71" i="42"/>
  <c r="F71" i="42"/>
  <c r="E71" i="42"/>
  <c r="D71" i="42"/>
  <c r="C71" i="42"/>
  <c r="B71" i="42"/>
  <c r="O70" i="42"/>
  <c r="N70" i="42"/>
  <c r="M70" i="42"/>
  <c r="L70" i="42"/>
  <c r="K70" i="42"/>
  <c r="J70" i="42"/>
  <c r="I70" i="42"/>
  <c r="H70" i="42"/>
  <c r="G70" i="42"/>
  <c r="F70" i="42"/>
  <c r="E70" i="42"/>
  <c r="D70" i="42"/>
  <c r="C70" i="42"/>
  <c r="B70" i="42"/>
  <c r="O69" i="42"/>
  <c r="N69" i="42"/>
  <c r="M69" i="42"/>
  <c r="L69" i="42"/>
  <c r="K69" i="42"/>
  <c r="J69" i="42"/>
  <c r="I69" i="42"/>
  <c r="H69" i="42"/>
  <c r="G69" i="42"/>
  <c r="F69" i="42"/>
  <c r="E69" i="42"/>
  <c r="D69" i="42"/>
  <c r="C69" i="42"/>
  <c r="B69" i="42"/>
  <c r="O68" i="42"/>
  <c r="N68" i="42"/>
  <c r="M68" i="42"/>
  <c r="L68" i="42"/>
  <c r="K68" i="42"/>
  <c r="J68" i="42"/>
  <c r="I68" i="42"/>
  <c r="H68" i="42"/>
  <c r="G68" i="42"/>
  <c r="F68" i="42"/>
  <c r="E68" i="42"/>
  <c r="D68" i="42"/>
  <c r="C68" i="42"/>
  <c r="B68" i="42"/>
  <c r="O67" i="42"/>
  <c r="N67" i="42"/>
  <c r="M67" i="42"/>
  <c r="L67" i="42"/>
  <c r="K67" i="42"/>
  <c r="J67" i="42"/>
  <c r="I67" i="42"/>
  <c r="H67" i="42"/>
  <c r="G67" i="42"/>
  <c r="F67" i="42"/>
  <c r="E67" i="42"/>
  <c r="D67" i="42"/>
  <c r="C67" i="42"/>
  <c r="B67" i="42"/>
  <c r="P93" i="42"/>
  <c r="P92" i="42"/>
  <c r="P91" i="42"/>
  <c r="P90" i="42"/>
  <c r="P89" i="42"/>
  <c r="P88" i="42"/>
  <c r="P87" i="42"/>
  <c r="P86" i="42"/>
  <c r="P84" i="42"/>
  <c r="P83" i="42"/>
  <c r="P82" i="42"/>
  <c r="P81" i="42"/>
  <c r="P80" i="42"/>
  <c r="P79" i="42"/>
  <c r="P78" i="42"/>
  <c r="P77" i="42"/>
  <c r="P76" i="42"/>
  <c r="P75" i="42"/>
  <c r="P74" i="42"/>
  <c r="P73" i="42"/>
  <c r="P72" i="42"/>
  <c r="P71" i="42"/>
  <c r="P70" i="42"/>
  <c r="P69" i="42"/>
  <c r="P68" i="42"/>
  <c r="P67" i="42"/>
  <c r="O93" i="43"/>
  <c r="N93" i="43"/>
  <c r="M93" i="43"/>
  <c r="L93" i="43"/>
  <c r="K93" i="43"/>
  <c r="J93" i="43"/>
  <c r="I93" i="43"/>
  <c r="H93" i="43"/>
  <c r="G93" i="43"/>
  <c r="F93" i="43"/>
  <c r="E93" i="43"/>
  <c r="D93" i="43"/>
  <c r="C93" i="43"/>
  <c r="B93" i="43"/>
  <c r="O92" i="43"/>
  <c r="N92" i="43"/>
  <c r="M92" i="43"/>
  <c r="L92" i="43"/>
  <c r="K92" i="43"/>
  <c r="J92" i="43"/>
  <c r="I92" i="43"/>
  <c r="H92" i="43"/>
  <c r="G92" i="43"/>
  <c r="F92" i="43"/>
  <c r="E92" i="43"/>
  <c r="D92" i="43"/>
  <c r="C92" i="43"/>
  <c r="B92" i="43"/>
  <c r="O91" i="43"/>
  <c r="N91" i="43"/>
  <c r="M91" i="43"/>
  <c r="L91" i="43"/>
  <c r="K91" i="43"/>
  <c r="J91" i="43"/>
  <c r="I91" i="43"/>
  <c r="H91" i="43"/>
  <c r="G91" i="43"/>
  <c r="F91" i="43"/>
  <c r="E91" i="43"/>
  <c r="D91" i="43"/>
  <c r="C91" i="43"/>
  <c r="B91" i="43"/>
  <c r="O90" i="43"/>
  <c r="N90" i="43"/>
  <c r="M90" i="43"/>
  <c r="L90" i="43"/>
  <c r="K90" i="43"/>
  <c r="J90" i="43"/>
  <c r="I90" i="43"/>
  <c r="H90" i="43"/>
  <c r="G90" i="43"/>
  <c r="F90" i="43"/>
  <c r="E90" i="43"/>
  <c r="D90" i="43"/>
  <c r="C90" i="43"/>
  <c r="B90" i="43"/>
  <c r="O89" i="43"/>
  <c r="N89" i="43"/>
  <c r="M89" i="43"/>
  <c r="L89" i="43"/>
  <c r="K89" i="43"/>
  <c r="J89" i="43"/>
  <c r="I89" i="43"/>
  <c r="H89" i="43"/>
  <c r="G89" i="43"/>
  <c r="F89" i="43"/>
  <c r="E89" i="43"/>
  <c r="D89" i="43"/>
  <c r="C89" i="43"/>
  <c r="B89" i="43"/>
  <c r="O88" i="43"/>
  <c r="N88" i="43"/>
  <c r="M88" i="43"/>
  <c r="L88" i="43"/>
  <c r="K88" i="43"/>
  <c r="J88" i="43"/>
  <c r="I88" i="43"/>
  <c r="H88" i="43"/>
  <c r="G88" i="43"/>
  <c r="F88" i="43"/>
  <c r="E88" i="43"/>
  <c r="D88" i="43"/>
  <c r="C88" i="43"/>
  <c r="B88" i="43"/>
  <c r="O87" i="43"/>
  <c r="N87" i="43"/>
  <c r="M87" i="43"/>
  <c r="L87" i="43"/>
  <c r="K87" i="43"/>
  <c r="J87" i="43"/>
  <c r="I87" i="43"/>
  <c r="H87" i="43"/>
  <c r="G87" i="43"/>
  <c r="F87" i="43"/>
  <c r="E87" i="43"/>
  <c r="D87" i="43"/>
  <c r="C87" i="43"/>
  <c r="B87" i="43"/>
  <c r="O86" i="43"/>
  <c r="N86" i="43"/>
  <c r="M86" i="43"/>
  <c r="L86" i="43"/>
  <c r="K86" i="43"/>
  <c r="J86" i="43"/>
  <c r="I86" i="43"/>
  <c r="H86" i="43"/>
  <c r="G86" i="43"/>
  <c r="F86" i="43"/>
  <c r="E86" i="43"/>
  <c r="D86" i="43"/>
  <c r="C86" i="43"/>
  <c r="B86" i="43"/>
  <c r="O84" i="43"/>
  <c r="N84" i="43"/>
  <c r="M84" i="43"/>
  <c r="L84" i="43"/>
  <c r="K84" i="43"/>
  <c r="J84" i="43"/>
  <c r="I84" i="43"/>
  <c r="H84" i="43"/>
  <c r="G84" i="43"/>
  <c r="F84" i="43"/>
  <c r="E84" i="43"/>
  <c r="D84" i="43"/>
  <c r="C84" i="43"/>
  <c r="B84" i="43"/>
  <c r="O83" i="43"/>
  <c r="N83" i="43"/>
  <c r="M83" i="43"/>
  <c r="L83" i="43"/>
  <c r="K83" i="43"/>
  <c r="J83" i="43"/>
  <c r="I83" i="43"/>
  <c r="H83" i="43"/>
  <c r="G83" i="43"/>
  <c r="F83" i="43"/>
  <c r="E83" i="43"/>
  <c r="D83" i="43"/>
  <c r="C83" i="43"/>
  <c r="B83" i="43"/>
  <c r="O82" i="43"/>
  <c r="N82" i="43"/>
  <c r="M82" i="43"/>
  <c r="L82" i="43"/>
  <c r="K82" i="43"/>
  <c r="J82" i="43"/>
  <c r="I82" i="43"/>
  <c r="H82" i="43"/>
  <c r="G82" i="43"/>
  <c r="F82" i="43"/>
  <c r="E82" i="43"/>
  <c r="D82" i="43"/>
  <c r="C82" i="43"/>
  <c r="B82" i="43"/>
  <c r="O81" i="43"/>
  <c r="N81" i="43"/>
  <c r="M81" i="43"/>
  <c r="L81" i="43"/>
  <c r="K81" i="43"/>
  <c r="J81" i="43"/>
  <c r="I81" i="43"/>
  <c r="H81" i="43"/>
  <c r="G81" i="43"/>
  <c r="F81" i="43"/>
  <c r="E81" i="43"/>
  <c r="D81" i="43"/>
  <c r="C81" i="43"/>
  <c r="B81" i="43"/>
  <c r="O80" i="43"/>
  <c r="N80" i="43"/>
  <c r="M80" i="43"/>
  <c r="L80" i="43"/>
  <c r="K80" i="43"/>
  <c r="J80" i="43"/>
  <c r="I80" i="43"/>
  <c r="H80" i="43"/>
  <c r="G80" i="43"/>
  <c r="F80" i="43"/>
  <c r="E80" i="43"/>
  <c r="D80" i="43"/>
  <c r="C80" i="43"/>
  <c r="B80" i="43"/>
  <c r="O79" i="43"/>
  <c r="N79" i="43"/>
  <c r="M79" i="43"/>
  <c r="L79" i="43"/>
  <c r="K79" i="43"/>
  <c r="J79" i="43"/>
  <c r="I79" i="43"/>
  <c r="H79" i="43"/>
  <c r="G79" i="43"/>
  <c r="F79" i="43"/>
  <c r="E79" i="43"/>
  <c r="D79" i="43"/>
  <c r="C79" i="43"/>
  <c r="B79" i="43"/>
  <c r="O78" i="43"/>
  <c r="N78" i="43"/>
  <c r="M78" i="43"/>
  <c r="L78" i="43"/>
  <c r="K78" i="43"/>
  <c r="J78" i="43"/>
  <c r="I78" i="43"/>
  <c r="H78" i="43"/>
  <c r="G78" i="43"/>
  <c r="F78" i="43"/>
  <c r="E78" i="43"/>
  <c r="D78" i="43"/>
  <c r="C78" i="43"/>
  <c r="B78" i="43"/>
  <c r="O77" i="43"/>
  <c r="N77" i="43"/>
  <c r="M77" i="43"/>
  <c r="L77" i="43"/>
  <c r="K77" i="43"/>
  <c r="J77" i="43"/>
  <c r="I77" i="43"/>
  <c r="H77" i="43"/>
  <c r="G77" i="43"/>
  <c r="F77" i="43"/>
  <c r="E77" i="43"/>
  <c r="D77" i="43"/>
  <c r="C77" i="43"/>
  <c r="B77" i="43"/>
  <c r="O76" i="43"/>
  <c r="N76" i="43"/>
  <c r="M76" i="43"/>
  <c r="L76" i="43"/>
  <c r="K76" i="43"/>
  <c r="J76" i="43"/>
  <c r="I76" i="43"/>
  <c r="H76" i="43"/>
  <c r="G76" i="43"/>
  <c r="F76" i="43"/>
  <c r="E76" i="43"/>
  <c r="D76" i="43"/>
  <c r="C76" i="43"/>
  <c r="B76" i="43"/>
  <c r="O75" i="43"/>
  <c r="N75" i="43"/>
  <c r="M75" i="43"/>
  <c r="L75" i="43"/>
  <c r="K75" i="43"/>
  <c r="J75" i="43"/>
  <c r="I75" i="43"/>
  <c r="H75" i="43"/>
  <c r="G75" i="43"/>
  <c r="F75" i="43"/>
  <c r="E75" i="43"/>
  <c r="D75" i="43"/>
  <c r="C75" i="43"/>
  <c r="B75" i="43"/>
  <c r="O74" i="43"/>
  <c r="N74" i="43"/>
  <c r="M74" i="43"/>
  <c r="L74" i="43"/>
  <c r="K74" i="43"/>
  <c r="J74" i="43"/>
  <c r="I74" i="43"/>
  <c r="H74" i="43"/>
  <c r="G74" i="43"/>
  <c r="F74" i="43"/>
  <c r="E74" i="43"/>
  <c r="D74" i="43"/>
  <c r="C74" i="43"/>
  <c r="B74" i="43"/>
  <c r="O73" i="43"/>
  <c r="N73" i="43"/>
  <c r="M73" i="43"/>
  <c r="L73" i="43"/>
  <c r="K73" i="43"/>
  <c r="J73" i="43"/>
  <c r="I73" i="43"/>
  <c r="H73" i="43"/>
  <c r="G73" i="43"/>
  <c r="F73" i="43"/>
  <c r="E73" i="43"/>
  <c r="D73" i="43"/>
  <c r="C73" i="43"/>
  <c r="B73" i="43"/>
  <c r="O72" i="43"/>
  <c r="N72" i="43"/>
  <c r="M72" i="43"/>
  <c r="L72" i="43"/>
  <c r="K72" i="43"/>
  <c r="J72" i="43"/>
  <c r="I72" i="43"/>
  <c r="H72" i="43"/>
  <c r="G72" i="43"/>
  <c r="F72" i="43"/>
  <c r="E72" i="43"/>
  <c r="D72" i="43"/>
  <c r="C72" i="43"/>
  <c r="B72" i="43"/>
  <c r="O71" i="43"/>
  <c r="N71" i="43"/>
  <c r="M71" i="43"/>
  <c r="L71" i="43"/>
  <c r="K71" i="43"/>
  <c r="J71" i="43"/>
  <c r="I71" i="43"/>
  <c r="H71" i="43"/>
  <c r="G71" i="43"/>
  <c r="F71" i="43"/>
  <c r="E71" i="43"/>
  <c r="D71" i="43"/>
  <c r="C71" i="43"/>
  <c r="B71" i="43"/>
  <c r="O70" i="43"/>
  <c r="N70" i="43"/>
  <c r="M70" i="43"/>
  <c r="L70" i="43"/>
  <c r="K70" i="43"/>
  <c r="J70" i="43"/>
  <c r="I70" i="43"/>
  <c r="H70" i="43"/>
  <c r="G70" i="43"/>
  <c r="F70" i="43"/>
  <c r="E70" i="43"/>
  <c r="D70" i="43"/>
  <c r="C70" i="43"/>
  <c r="B70" i="43"/>
  <c r="O69" i="43"/>
  <c r="N69" i="43"/>
  <c r="M69" i="43"/>
  <c r="L69" i="43"/>
  <c r="K69" i="43"/>
  <c r="J69" i="43"/>
  <c r="I69" i="43"/>
  <c r="H69" i="43"/>
  <c r="G69" i="43"/>
  <c r="F69" i="43"/>
  <c r="E69" i="43"/>
  <c r="D69" i="43"/>
  <c r="C69" i="43"/>
  <c r="B69" i="43"/>
  <c r="O68" i="43"/>
  <c r="N68" i="43"/>
  <c r="M68" i="43"/>
  <c r="L68" i="43"/>
  <c r="K68" i="43"/>
  <c r="J68" i="43"/>
  <c r="I68" i="43"/>
  <c r="H68" i="43"/>
  <c r="G68" i="43"/>
  <c r="F68" i="43"/>
  <c r="E68" i="43"/>
  <c r="D68" i="43"/>
  <c r="C68" i="43"/>
  <c r="B68" i="43"/>
  <c r="O67" i="43"/>
  <c r="N67" i="43"/>
  <c r="M67" i="43"/>
  <c r="L67" i="43"/>
  <c r="K67" i="43"/>
  <c r="J67" i="43"/>
  <c r="I67" i="43"/>
  <c r="H67" i="43"/>
  <c r="G67" i="43"/>
  <c r="F67" i="43"/>
  <c r="E67" i="43"/>
  <c r="D67" i="43"/>
  <c r="C67" i="43"/>
  <c r="B67" i="43"/>
  <c r="O93" i="23"/>
  <c r="N93" i="23"/>
  <c r="M93" i="23"/>
  <c r="L93" i="23"/>
  <c r="O92" i="23"/>
  <c r="N92" i="23"/>
  <c r="M92" i="23"/>
  <c r="L92" i="23"/>
  <c r="O91" i="23"/>
  <c r="N91" i="23"/>
  <c r="M91" i="23"/>
  <c r="L91" i="23"/>
  <c r="O90" i="23"/>
  <c r="N90" i="23"/>
  <c r="M90" i="23"/>
  <c r="L90" i="23"/>
  <c r="O89" i="23"/>
  <c r="N89" i="23"/>
  <c r="M89" i="23"/>
  <c r="L89" i="23"/>
  <c r="O88" i="23"/>
  <c r="N88" i="23"/>
  <c r="M88" i="23"/>
  <c r="L88" i="23"/>
  <c r="O87" i="23"/>
  <c r="N87" i="23"/>
  <c r="M87" i="23"/>
  <c r="L87" i="23"/>
  <c r="O86" i="23"/>
  <c r="N86" i="23"/>
  <c r="M86" i="23"/>
  <c r="L86" i="23"/>
  <c r="O84" i="23"/>
  <c r="N84" i="23"/>
  <c r="M84" i="23"/>
  <c r="L84" i="23"/>
  <c r="O83" i="23"/>
  <c r="N83" i="23"/>
  <c r="M83" i="23"/>
  <c r="L83" i="23"/>
  <c r="O82" i="23"/>
  <c r="N82" i="23"/>
  <c r="M82" i="23"/>
  <c r="L82" i="23"/>
  <c r="O81" i="23"/>
  <c r="N81" i="23"/>
  <c r="M81" i="23"/>
  <c r="L81" i="23"/>
  <c r="O80" i="23"/>
  <c r="N80" i="23"/>
  <c r="M80" i="23"/>
  <c r="L80" i="23"/>
  <c r="O79" i="23"/>
  <c r="N79" i="23"/>
  <c r="M79" i="23"/>
  <c r="L79" i="23"/>
  <c r="O78" i="23"/>
  <c r="N78" i="23"/>
  <c r="M78" i="23"/>
  <c r="L78" i="23"/>
  <c r="O77" i="23"/>
  <c r="N77" i="23"/>
  <c r="M77" i="23"/>
  <c r="L77" i="23"/>
  <c r="O76" i="23"/>
  <c r="N76" i="23"/>
  <c r="M76" i="23"/>
  <c r="L76" i="23"/>
  <c r="O75" i="23"/>
  <c r="N75" i="23"/>
  <c r="M75" i="23"/>
  <c r="L75" i="23"/>
  <c r="O74" i="23"/>
  <c r="N74" i="23"/>
  <c r="M74" i="23"/>
  <c r="L74" i="23"/>
  <c r="O73" i="23"/>
  <c r="N73" i="23"/>
  <c r="M73" i="23"/>
  <c r="L73" i="23"/>
  <c r="O72" i="23"/>
  <c r="N72" i="23"/>
  <c r="M72" i="23"/>
  <c r="L72" i="23"/>
  <c r="O71" i="23"/>
  <c r="N71" i="23"/>
  <c r="M71" i="23"/>
  <c r="L71" i="23"/>
  <c r="O70" i="23"/>
  <c r="N70" i="23"/>
  <c r="M70" i="23"/>
  <c r="L70" i="23"/>
  <c r="O69" i="23"/>
  <c r="N69" i="23"/>
  <c r="M69" i="23"/>
  <c r="L69" i="23"/>
  <c r="O68" i="23"/>
  <c r="N68" i="23"/>
  <c r="M68" i="23"/>
  <c r="L68" i="23"/>
  <c r="O67" i="23"/>
  <c r="N67" i="23"/>
  <c r="M67" i="23"/>
  <c r="L67" i="23"/>
  <c r="J93" i="23"/>
  <c r="I93" i="23"/>
  <c r="H93" i="23"/>
  <c r="G93" i="23"/>
  <c r="F93" i="23"/>
  <c r="E93" i="23"/>
  <c r="D93" i="23"/>
  <c r="C93" i="23"/>
  <c r="B93" i="23"/>
  <c r="J92" i="23"/>
  <c r="I92" i="23"/>
  <c r="H92" i="23"/>
  <c r="G92" i="23"/>
  <c r="F92" i="23"/>
  <c r="E92" i="23"/>
  <c r="D92" i="23"/>
  <c r="C92" i="23"/>
  <c r="B92" i="23"/>
  <c r="J91" i="23"/>
  <c r="I91" i="23"/>
  <c r="H91" i="23"/>
  <c r="G91" i="23"/>
  <c r="F91" i="23"/>
  <c r="E91" i="23"/>
  <c r="D91" i="23"/>
  <c r="C91" i="23"/>
  <c r="B91" i="23"/>
  <c r="J90" i="23"/>
  <c r="I90" i="23"/>
  <c r="H90" i="23"/>
  <c r="G90" i="23"/>
  <c r="F90" i="23"/>
  <c r="E90" i="23"/>
  <c r="D90" i="23"/>
  <c r="C90" i="23"/>
  <c r="B90" i="23"/>
  <c r="J89" i="23"/>
  <c r="I89" i="23"/>
  <c r="H89" i="23"/>
  <c r="G89" i="23"/>
  <c r="F89" i="23"/>
  <c r="E89" i="23"/>
  <c r="D89" i="23"/>
  <c r="C89" i="23"/>
  <c r="B89" i="23"/>
  <c r="J88" i="23"/>
  <c r="I88" i="23"/>
  <c r="H88" i="23"/>
  <c r="G88" i="23"/>
  <c r="F88" i="23"/>
  <c r="E88" i="23"/>
  <c r="D88" i="23"/>
  <c r="C88" i="23"/>
  <c r="B88" i="23"/>
  <c r="J87" i="23"/>
  <c r="I87" i="23"/>
  <c r="H87" i="23"/>
  <c r="G87" i="23"/>
  <c r="F87" i="23"/>
  <c r="E87" i="23"/>
  <c r="D87" i="23"/>
  <c r="C87" i="23"/>
  <c r="B87" i="23"/>
  <c r="J86" i="23"/>
  <c r="I86" i="23"/>
  <c r="H86" i="23"/>
  <c r="G86" i="23"/>
  <c r="F86" i="23"/>
  <c r="E86" i="23"/>
  <c r="D86" i="23"/>
  <c r="C86" i="23"/>
  <c r="B86" i="23"/>
  <c r="J84" i="23"/>
  <c r="I84" i="23"/>
  <c r="H84" i="23"/>
  <c r="G84" i="23"/>
  <c r="F84" i="23"/>
  <c r="E84" i="23"/>
  <c r="D84" i="23"/>
  <c r="C84" i="23"/>
  <c r="B84" i="23"/>
  <c r="J83" i="23"/>
  <c r="I83" i="23"/>
  <c r="H83" i="23"/>
  <c r="G83" i="23"/>
  <c r="F83" i="23"/>
  <c r="E83" i="23"/>
  <c r="D83" i="23"/>
  <c r="C83" i="23"/>
  <c r="B83" i="23"/>
  <c r="J82" i="23"/>
  <c r="I82" i="23"/>
  <c r="H82" i="23"/>
  <c r="G82" i="23"/>
  <c r="F82" i="23"/>
  <c r="E82" i="23"/>
  <c r="D82" i="23"/>
  <c r="C82" i="23"/>
  <c r="B82" i="23"/>
  <c r="J81" i="23"/>
  <c r="I81" i="23"/>
  <c r="H81" i="23"/>
  <c r="G81" i="23"/>
  <c r="F81" i="23"/>
  <c r="E81" i="23"/>
  <c r="D81" i="23"/>
  <c r="C81" i="23"/>
  <c r="B81" i="23"/>
  <c r="J80" i="23"/>
  <c r="I80" i="23"/>
  <c r="H80" i="23"/>
  <c r="G80" i="23"/>
  <c r="F80" i="23"/>
  <c r="E80" i="23"/>
  <c r="D80" i="23"/>
  <c r="C80" i="23"/>
  <c r="B80" i="23"/>
  <c r="J79" i="23"/>
  <c r="I79" i="23"/>
  <c r="H79" i="23"/>
  <c r="G79" i="23"/>
  <c r="F79" i="23"/>
  <c r="E79" i="23"/>
  <c r="D79" i="23"/>
  <c r="C79" i="23"/>
  <c r="B79" i="23"/>
  <c r="J78" i="23"/>
  <c r="I78" i="23"/>
  <c r="H78" i="23"/>
  <c r="G78" i="23"/>
  <c r="F78" i="23"/>
  <c r="E78" i="23"/>
  <c r="D78" i="23"/>
  <c r="C78" i="23"/>
  <c r="B78" i="23"/>
  <c r="J77" i="23"/>
  <c r="I77" i="23"/>
  <c r="H77" i="23"/>
  <c r="G77" i="23"/>
  <c r="F77" i="23"/>
  <c r="E77" i="23"/>
  <c r="D77" i="23"/>
  <c r="C77" i="23"/>
  <c r="B77" i="23"/>
  <c r="J76" i="23"/>
  <c r="I76" i="23"/>
  <c r="H76" i="23"/>
  <c r="G76" i="23"/>
  <c r="F76" i="23"/>
  <c r="E76" i="23"/>
  <c r="D76" i="23"/>
  <c r="C76" i="23"/>
  <c r="B76" i="23"/>
  <c r="J75" i="23"/>
  <c r="I75" i="23"/>
  <c r="H75" i="23"/>
  <c r="G75" i="23"/>
  <c r="F75" i="23"/>
  <c r="E75" i="23"/>
  <c r="D75" i="23"/>
  <c r="C75" i="23"/>
  <c r="B75" i="23"/>
  <c r="J74" i="23"/>
  <c r="I74" i="23"/>
  <c r="H74" i="23"/>
  <c r="G74" i="23"/>
  <c r="F74" i="23"/>
  <c r="E74" i="23"/>
  <c r="D74" i="23"/>
  <c r="C74" i="23"/>
  <c r="B74" i="23"/>
  <c r="J73" i="23"/>
  <c r="I73" i="23"/>
  <c r="H73" i="23"/>
  <c r="G73" i="23"/>
  <c r="F73" i="23"/>
  <c r="E73" i="23"/>
  <c r="D73" i="23"/>
  <c r="C73" i="23"/>
  <c r="B73" i="23"/>
  <c r="J72" i="23"/>
  <c r="I72" i="23"/>
  <c r="H72" i="23"/>
  <c r="G72" i="23"/>
  <c r="F72" i="23"/>
  <c r="E72" i="23"/>
  <c r="D72" i="23"/>
  <c r="C72" i="23"/>
  <c r="B72" i="23"/>
  <c r="J71" i="23"/>
  <c r="I71" i="23"/>
  <c r="H71" i="23"/>
  <c r="G71" i="23"/>
  <c r="F71" i="23"/>
  <c r="E71" i="23"/>
  <c r="D71" i="23"/>
  <c r="C71" i="23"/>
  <c r="B71" i="23"/>
  <c r="J70" i="23"/>
  <c r="I70" i="23"/>
  <c r="H70" i="23"/>
  <c r="G70" i="23"/>
  <c r="F70" i="23"/>
  <c r="E70" i="23"/>
  <c r="D70" i="23"/>
  <c r="C70" i="23"/>
  <c r="B70" i="23"/>
  <c r="J69" i="23"/>
  <c r="I69" i="23"/>
  <c r="H69" i="23"/>
  <c r="G69" i="23"/>
  <c r="F69" i="23"/>
  <c r="E69" i="23"/>
  <c r="D69" i="23"/>
  <c r="C69" i="23"/>
  <c r="B69" i="23"/>
  <c r="J68" i="23"/>
  <c r="I68" i="23"/>
  <c r="H68" i="23"/>
  <c r="G68" i="23"/>
  <c r="F68" i="23"/>
  <c r="E68" i="23"/>
  <c r="D68" i="23"/>
  <c r="C68" i="23"/>
  <c r="B68" i="23"/>
  <c r="J67" i="23"/>
  <c r="I67" i="23"/>
  <c r="H67" i="23"/>
  <c r="G67" i="23"/>
  <c r="F67" i="23"/>
  <c r="E67" i="23"/>
  <c r="D67" i="23"/>
  <c r="C67" i="23"/>
  <c r="B67" i="23"/>
  <c r="P93" i="23"/>
  <c r="P92" i="23"/>
  <c r="P91" i="23"/>
  <c r="P90" i="23"/>
  <c r="P89" i="23"/>
  <c r="P88" i="23"/>
  <c r="P87" i="23"/>
  <c r="P86" i="23"/>
  <c r="P84" i="23"/>
  <c r="P83" i="23"/>
  <c r="P82" i="23"/>
  <c r="P81" i="23"/>
  <c r="P80" i="23"/>
  <c r="P79" i="23"/>
  <c r="P78" i="23"/>
  <c r="P77" i="23"/>
  <c r="P76" i="23"/>
  <c r="P75" i="23"/>
  <c r="P74" i="23"/>
  <c r="P73" i="23"/>
  <c r="P72" i="23"/>
  <c r="P71" i="23"/>
  <c r="P70" i="23"/>
  <c r="P69" i="23"/>
  <c r="P68" i="23"/>
  <c r="P67" i="23"/>
  <c r="P93" i="20"/>
  <c r="O93" i="20"/>
  <c r="N93" i="20"/>
  <c r="M93" i="20"/>
  <c r="P92" i="20"/>
  <c r="O92" i="20"/>
  <c r="N92" i="20"/>
  <c r="M92" i="20"/>
  <c r="P91" i="20"/>
  <c r="O91" i="20"/>
  <c r="N91" i="20"/>
  <c r="M91" i="20"/>
  <c r="P90" i="20"/>
  <c r="O90" i="20"/>
  <c r="N90" i="20"/>
  <c r="M90" i="20"/>
  <c r="P89" i="20"/>
  <c r="O89" i="20"/>
  <c r="N89" i="20"/>
  <c r="M89" i="20"/>
  <c r="P88" i="20"/>
  <c r="O88" i="20"/>
  <c r="N88" i="20"/>
  <c r="M88" i="20"/>
  <c r="P87" i="20"/>
  <c r="O87" i="20"/>
  <c r="N87" i="20"/>
  <c r="M87" i="20"/>
  <c r="P86" i="20"/>
  <c r="O86" i="20"/>
  <c r="N86" i="20"/>
  <c r="M86" i="20"/>
  <c r="P84" i="20"/>
  <c r="O84" i="20"/>
  <c r="N84" i="20"/>
  <c r="M84" i="20"/>
  <c r="P83" i="20"/>
  <c r="O83" i="20"/>
  <c r="N83" i="20"/>
  <c r="M83" i="20"/>
  <c r="P82" i="20"/>
  <c r="O82" i="20"/>
  <c r="N82" i="20"/>
  <c r="M82" i="20"/>
  <c r="P81" i="20"/>
  <c r="O81" i="20"/>
  <c r="N81" i="20"/>
  <c r="M81" i="20"/>
  <c r="P80" i="20"/>
  <c r="O80" i="20"/>
  <c r="N80" i="20"/>
  <c r="M80" i="20"/>
  <c r="P79" i="20"/>
  <c r="O79" i="20"/>
  <c r="N79" i="20"/>
  <c r="M79" i="20"/>
  <c r="P78" i="20"/>
  <c r="O78" i="20"/>
  <c r="N78" i="20"/>
  <c r="M78" i="20"/>
  <c r="P77" i="20"/>
  <c r="O77" i="20"/>
  <c r="N77" i="20"/>
  <c r="M77" i="20"/>
  <c r="P76" i="20"/>
  <c r="O76" i="20"/>
  <c r="N76" i="20"/>
  <c r="M76" i="20"/>
  <c r="P75" i="20"/>
  <c r="O75" i="20"/>
  <c r="N75" i="20"/>
  <c r="M75" i="20"/>
  <c r="P74" i="20"/>
  <c r="O74" i="20"/>
  <c r="N74" i="20"/>
  <c r="M74" i="20"/>
  <c r="P73" i="20"/>
  <c r="O73" i="20"/>
  <c r="N73" i="20"/>
  <c r="M73" i="20"/>
  <c r="P72" i="20"/>
  <c r="O72" i="20"/>
  <c r="N72" i="20"/>
  <c r="M72" i="20"/>
  <c r="P71" i="20"/>
  <c r="O71" i="20"/>
  <c r="N71" i="20"/>
  <c r="M71" i="20"/>
  <c r="P70" i="20"/>
  <c r="O70" i="20"/>
  <c r="N70" i="20"/>
  <c r="M70" i="20"/>
  <c r="P69" i="20"/>
  <c r="O69" i="20"/>
  <c r="N69" i="20"/>
  <c r="M69" i="20"/>
  <c r="P68" i="20"/>
  <c r="O68" i="20"/>
  <c r="N68" i="20"/>
  <c r="M68" i="20"/>
  <c r="P67" i="20"/>
  <c r="O67" i="20"/>
  <c r="N67" i="20"/>
  <c r="M67" i="20"/>
  <c r="L93" i="20"/>
  <c r="K93" i="20"/>
  <c r="J93" i="20"/>
  <c r="I93" i="20"/>
  <c r="H93" i="20"/>
  <c r="G93" i="20"/>
  <c r="F93" i="20"/>
  <c r="E93" i="20"/>
  <c r="D93" i="20"/>
  <c r="L92" i="20"/>
  <c r="K92" i="20"/>
  <c r="J92" i="20"/>
  <c r="I92" i="20"/>
  <c r="H92" i="20"/>
  <c r="G92" i="20"/>
  <c r="F92" i="20"/>
  <c r="E92" i="20"/>
  <c r="D92" i="20"/>
  <c r="L91" i="20"/>
  <c r="K91" i="20"/>
  <c r="J91" i="20"/>
  <c r="I91" i="20"/>
  <c r="H91" i="20"/>
  <c r="G91" i="20"/>
  <c r="F91" i="20"/>
  <c r="E91" i="20"/>
  <c r="D91" i="20"/>
  <c r="L90" i="20"/>
  <c r="K90" i="20"/>
  <c r="J90" i="20"/>
  <c r="I90" i="20"/>
  <c r="H90" i="20"/>
  <c r="G90" i="20"/>
  <c r="F90" i="20"/>
  <c r="E90" i="20"/>
  <c r="D90" i="20"/>
  <c r="L89" i="20"/>
  <c r="K89" i="20"/>
  <c r="J89" i="20"/>
  <c r="I89" i="20"/>
  <c r="H89" i="20"/>
  <c r="G89" i="20"/>
  <c r="F89" i="20"/>
  <c r="E89" i="20"/>
  <c r="D89" i="20"/>
  <c r="L88" i="20"/>
  <c r="K88" i="20"/>
  <c r="J88" i="20"/>
  <c r="I88" i="20"/>
  <c r="H88" i="20"/>
  <c r="G88" i="20"/>
  <c r="F88" i="20"/>
  <c r="E88" i="20"/>
  <c r="D88" i="20"/>
  <c r="L87" i="20"/>
  <c r="K87" i="20"/>
  <c r="J87" i="20"/>
  <c r="I87" i="20"/>
  <c r="H87" i="20"/>
  <c r="G87" i="20"/>
  <c r="F87" i="20"/>
  <c r="E87" i="20"/>
  <c r="D87" i="20"/>
  <c r="L86" i="20"/>
  <c r="K86" i="20"/>
  <c r="J86" i="20"/>
  <c r="I86" i="20"/>
  <c r="H86" i="20"/>
  <c r="G86" i="20"/>
  <c r="F86" i="20"/>
  <c r="E86" i="20"/>
  <c r="D86" i="20"/>
  <c r="L84" i="20"/>
  <c r="K84" i="20"/>
  <c r="J84" i="20"/>
  <c r="I84" i="20"/>
  <c r="H84" i="20"/>
  <c r="G84" i="20"/>
  <c r="F84" i="20"/>
  <c r="E84" i="20"/>
  <c r="D84" i="20"/>
  <c r="L83" i="20"/>
  <c r="K83" i="20"/>
  <c r="J83" i="20"/>
  <c r="I83" i="20"/>
  <c r="H83" i="20"/>
  <c r="G83" i="20"/>
  <c r="F83" i="20"/>
  <c r="E83" i="20"/>
  <c r="D83" i="20"/>
  <c r="L82" i="20"/>
  <c r="K82" i="20"/>
  <c r="J82" i="20"/>
  <c r="I82" i="20"/>
  <c r="H82" i="20"/>
  <c r="G82" i="20"/>
  <c r="F82" i="20"/>
  <c r="E82" i="20"/>
  <c r="D82" i="20"/>
  <c r="L81" i="20"/>
  <c r="K81" i="20"/>
  <c r="J81" i="20"/>
  <c r="I81" i="20"/>
  <c r="H81" i="20"/>
  <c r="G81" i="20"/>
  <c r="F81" i="20"/>
  <c r="E81" i="20"/>
  <c r="D81" i="20"/>
  <c r="L80" i="20"/>
  <c r="K80" i="20"/>
  <c r="J80" i="20"/>
  <c r="I80" i="20"/>
  <c r="H80" i="20"/>
  <c r="G80" i="20"/>
  <c r="F80" i="20"/>
  <c r="E80" i="20"/>
  <c r="D80" i="20"/>
  <c r="L79" i="20"/>
  <c r="K79" i="20"/>
  <c r="J79" i="20"/>
  <c r="I79" i="20"/>
  <c r="H79" i="20"/>
  <c r="G79" i="20"/>
  <c r="F79" i="20"/>
  <c r="E79" i="20"/>
  <c r="D79" i="20"/>
  <c r="L78" i="20"/>
  <c r="K78" i="20"/>
  <c r="J78" i="20"/>
  <c r="I78" i="20"/>
  <c r="H78" i="20"/>
  <c r="G78" i="20"/>
  <c r="F78" i="20"/>
  <c r="E78" i="20"/>
  <c r="D78" i="20"/>
  <c r="L77" i="20"/>
  <c r="K77" i="20"/>
  <c r="J77" i="20"/>
  <c r="I77" i="20"/>
  <c r="H77" i="20"/>
  <c r="G77" i="20"/>
  <c r="F77" i="20"/>
  <c r="E77" i="20"/>
  <c r="D77" i="20"/>
  <c r="L76" i="20"/>
  <c r="K76" i="20"/>
  <c r="J76" i="20"/>
  <c r="I76" i="20"/>
  <c r="H76" i="20"/>
  <c r="G76" i="20"/>
  <c r="F76" i="20"/>
  <c r="E76" i="20"/>
  <c r="D76" i="20"/>
  <c r="L75" i="20"/>
  <c r="K75" i="20"/>
  <c r="J75" i="20"/>
  <c r="I75" i="20"/>
  <c r="H75" i="20"/>
  <c r="G75" i="20"/>
  <c r="F75" i="20"/>
  <c r="E75" i="20"/>
  <c r="D75" i="20"/>
  <c r="L74" i="20"/>
  <c r="K74" i="20"/>
  <c r="J74" i="20"/>
  <c r="I74" i="20"/>
  <c r="H74" i="20"/>
  <c r="G74" i="20"/>
  <c r="F74" i="20"/>
  <c r="E74" i="20"/>
  <c r="D74" i="20"/>
  <c r="L73" i="20"/>
  <c r="K73" i="20"/>
  <c r="J73" i="20"/>
  <c r="I73" i="20"/>
  <c r="H73" i="20"/>
  <c r="G73" i="20"/>
  <c r="F73" i="20"/>
  <c r="E73" i="20"/>
  <c r="D73" i="20"/>
  <c r="L72" i="20"/>
  <c r="K72" i="20"/>
  <c r="J72" i="20"/>
  <c r="I72" i="20"/>
  <c r="H72" i="20"/>
  <c r="G72" i="20"/>
  <c r="F72" i="20"/>
  <c r="E72" i="20"/>
  <c r="D72" i="20"/>
  <c r="L71" i="20"/>
  <c r="K71" i="20"/>
  <c r="J71" i="20"/>
  <c r="I71" i="20"/>
  <c r="H71" i="20"/>
  <c r="G71" i="20"/>
  <c r="F71" i="20"/>
  <c r="E71" i="20"/>
  <c r="D71" i="20"/>
  <c r="L70" i="20"/>
  <c r="K70" i="20"/>
  <c r="J70" i="20"/>
  <c r="I70" i="20"/>
  <c r="H70" i="20"/>
  <c r="G70" i="20"/>
  <c r="F70" i="20"/>
  <c r="E70" i="20"/>
  <c r="D70" i="20"/>
  <c r="L69" i="20"/>
  <c r="K69" i="20"/>
  <c r="J69" i="20"/>
  <c r="I69" i="20"/>
  <c r="H69" i="20"/>
  <c r="G69" i="20"/>
  <c r="F69" i="20"/>
  <c r="E69" i="20"/>
  <c r="D69" i="20"/>
  <c r="L68" i="20"/>
  <c r="K68" i="20"/>
  <c r="J68" i="20"/>
  <c r="I68" i="20"/>
  <c r="H68" i="20"/>
  <c r="G68" i="20"/>
  <c r="F68" i="20"/>
  <c r="E68" i="20"/>
  <c r="D68" i="20"/>
  <c r="L67" i="20"/>
  <c r="K67" i="20"/>
  <c r="J67" i="20"/>
  <c r="I67" i="20"/>
  <c r="H67" i="20"/>
  <c r="G67" i="20"/>
  <c r="F67" i="20"/>
  <c r="E67" i="20"/>
  <c r="D67" i="20"/>
  <c r="O93" i="18"/>
  <c r="O92" i="18"/>
  <c r="O91" i="18"/>
  <c r="O90" i="18"/>
  <c r="O89" i="18"/>
  <c r="O88" i="18"/>
  <c r="O87" i="18"/>
  <c r="O86" i="18"/>
  <c r="O84" i="18"/>
  <c r="O83" i="18"/>
  <c r="O82" i="18"/>
  <c r="O81" i="18"/>
  <c r="O80" i="18"/>
  <c r="O79" i="18"/>
  <c r="O78" i="18"/>
  <c r="O77" i="18"/>
  <c r="O76" i="18"/>
  <c r="O75" i="18"/>
  <c r="O74" i="18"/>
  <c r="O73" i="18"/>
  <c r="O72" i="18"/>
  <c r="O71" i="18"/>
  <c r="O70" i="18"/>
  <c r="O69" i="18"/>
  <c r="O68" i="18"/>
  <c r="O67" i="18"/>
  <c r="M93" i="18"/>
  <c r="M92" i="18"/>
  <c r="M91" i="18"/>
  <c r="M90" i="18"/>
  <c r="M89" i="18"/>
  <c r="M88" i="18"/>
  <c r="M87" i="18"/>
  <c r="M86" i="18"/>
  <c r="M84" i="18"/>
  <c r="M83" i="18"/>
  <c r="M82" i="18"/>
  <c r="M81" i="18"/>
  <c r="M80" i="18"/>
  <c r="M79" i="18"/>
  <c r="M78" i="18"/>
  <c r="M77" i="18"/>
  <c r="M76" i="18"/>
  <c r="M75" i="18"/>
  <c r="M74" i="18"/>
  <c r="M73" i="18"/>
  <c r="M72" i="18"/>
  <c r="M71" i="18"/>
  <c r="M70" i="18"/>
  <c r="M69" i="18"/>
  <c r="M68" i="18"/>
  <c r="M67" i="18"/>
  <c r="H93" i="18"/>
  <c r="G93" i="18"/>
  <c r="F93" i="18"/>
  <c r="E93" i="18"/>
  <c r="D93" i="18"/>
  <c r="C93" i="18"/>
  <c r="H92" i="18"/>
  <c r="G92" i="18"/>
  <c r="F92" i="18"/>
  <c r="E92" i="18"/>
  <c r="D92" i="18"/>
  <c r="C92" i="18"/>
  <c r="H91" i="18"/>
  <c r="G91" i="18"/>
  <c r="F91" i="18"/>
  <c r="E91" i="18"/>
  <c r="D91" i="18"/>
  <c r="C91" i="18"/>
  <c r="H90" i="18"/>
  <c r="G90" i="18"/>
  <c r="F90" i="18"/>
  <c r="E90" i="18"/>
  <c r="D90" i="18"/>
  <c r="C90" i="18"/>
  <c r="H89" i="18"/>
  <c r="G89" i="18"/>
  <c r="F89" i="18"/>
  <c r="E89" i="18"/>
  <c r="D89" i="18"/>
  <c r="C89" i="18"/>
  <c r="H88" i="18"/>
  <c r="G88" i="18"/>
  <c r="F88" i="18"/>
  <c r="E88" i="18"/>
  <c r="D88" i="18"/>
  <c r="C88" i="18"/>
  <c r="H87" i="18"/>
  <c r="G87" i="18"/>
  <c r="F87" i="18"/>
  <c r="E87" i="18"/>
  <c r="D87" i="18"/>
  <c r="C87" i="18"/>
  <c r="H86" i="18"/>
  <c r="G86" i="18"/>
  <c r="F86" i="18"/>
  <c r="E86" i="18"/>
  <c r="D86" i="18"/>
  <c r="C86" i="18"/>
  <c r="H84" i="18"/>
  <c r="G84" i="18"/>
  <c r="F84" i="18"/>
  <c r="E84" i="18"/>
  <c r="D84" i="18"/>
  <c r="C84" i="18"/>
  <c r="H83" i="18"/>
  <c r="G83" i="18"/>
  <c r="F83" i="18"/>
  <c r="E83" i="18"/>
  <c r="D83" i="18"/>
  <c r="C83" i="18"/>
  <c r="H82" i="18"/>
  <c r="G82" i="18"/>
  <c r="F82" i="18"/>
  <c r="E82" i="18"/>
  <c r="D82" i="18"/>
  <c r="C82" i="18"/>
  <c r="H81" i="18"/>
  <c r="G81" i="18"/>
  <c r="F81" i="18"/>
  <c r="E81" i="18"/>
  <c r="D81" i="18"/>
  <c r="C81" i="18"/>
  <c r="H80" i="18"/>
  <c r="G80" i="18"/>
  <c r="F80" i="18"/>
  <c r="E80" i="18"/>
  <c r="D80" i="18"/>
  <c r="C80" i="18"/>
  <c r="H79" i="18"/>
  <c r="G79" i="18"/>
  <c r="F79" i="18"/>
  <c r="E79" i="18"/>
  <c r="D79" i="18"/>
  <c r="C79" i="18"/>
  <c r="H78" i="18"/>
  <c r="G78" i="18"/>
  <c r="F78" i="18"/>
  <c r="E78" i="18"/>
  <c r="D78" i="18"/>
  <c r="C78" i="18"/>
  <c r="H77" i="18"/>
  <c r="G77" i="18"/>
  <c r="F77" i="18"/>
  <c r="E77" i="18"/>
  <c r="D77" i="18"/>
  <c r="C77" i="18"/>
  <c r="H76" i="18"/>
  <c r="G76" i="18"/>
  <c r="F76" i="18"/>
  <c r="E76" i="18"/>
  <c r="D76" i="18"/>
  <c r="C76" i="18"/>
  <c r="H75" i="18"/>
  <c r="G75" i="18"/>
  <c r="F75" i="18"/>
  <c r="E75" i="18"/>
  <c r="D75" i="18"/>
  <c r="C75" i="18"/>
  <c r="H74" i="18"/>
  <c r="G74" i="18"/>
  <c r="F74" i="18"/>
  <c r="E74" i="18"/>
  <c r="D74" i="18"/>
  <c r="C74" i="18"/>
  <c r="H73" i="18"/>
  <c r="G73" i="18"/>
  <c r="F73" i="18"/>
  <c r="E73" i="18"/>
  <c r="D73" i="18"/>
  <c r="C73" i="18"/>
  <c r="H72" i="18"/>
  <c r="G72" i="18"/>
  <c r="F72" i="18"/>
  <c r="E72" i="18"/>
  <c r="D72" i="18"/>
  <c r="C72" i="18"/>
  <c r="H71" i="18"/>
  <c r="G71" i="18"/>
  <c r="F71" i="18"/>
  <c r="E71" i="18"/>
  <c r="D71" i="18"/>
  <c r="C71" i="18"/>
  <c r="H70" i="18"/>
  <c r="G70" i="18"/>
  <c r="F70" i="18"/>
  <c r="E70" i="18"/>
  <c r="D70" i="18"/>
  <c r="C70" i="18"/>
  <c r="H69" i="18"/>
  <c r="G69" i="18"/>
  <c r="F69" i="18"/>
  <c r="E69" i="18"/>
  <c r="D69" i="18"/>
  <c r="C69" i="18"/>
  <c r="H68" i="18"/>
  <c r="G68" i="18"/>
  <c r="F68" i="18"/>
  <c r="E68" i="18"/>
  <c r="D68" i="18"/>
  <c r="C68" i="18"/>
  <c r="H67" i="18"/>
  <c r="G67" i="18"/>
  <c r="F67" i="18"/>
  <c r="E67" i="18"/>
  <c r="D67" i="18"/>
  <c r="C67" i="18"/>
  <c r="B93" i="18"/>
  <c r="B92" i="18"/>
  <c r="B91" i="18"/>
  <c r="B89" i="18"/>
  <c r="B88" i="18"/>
  <c r="B87" i="18"/>
  <c r="B84" i="18"/>
  <c r="B83" i="18"/>
  <c r="B82" i="18"/>
  <c r="B81" i="18"/>
  <c r="B80" i="18"/>
  <c r="B79" i="18"/>
  <c r="B78" i="18"/>
  <c r="B77" i="18"/>
  <c r="B76" i="18"/>
  <c r="B75" i="18"/>
  <c r="B74" i="18"/>
  <c r="B73" i="18"/>
  <c r="B72" i="18"/>
  <c r="B71" i="18"/>
  <c r="B70" i="18"/>
  <c r="B69" i="18"/>
  <c r="B68" i="18"/>
  <c r="B90" i="18"/>
  <c r="B86" i="18"/>
  <c r="B67" i="18"/>
  <c r="P93" i="35"/>
  <c r="O93" i="35"/>
  <c r="N93" i="35"/>
  <c r="M93" i="35"/>
  <c r="P92" i="35"/>
  <c r="O92" i="35"/>
  <c r="N92" i="35"/>
  <c r="M92" i="35"/>
  <c r="P91" i="35"/>
  <c r="O91" i="35"/>
  <c r="N91" i="35"/>
  <c r="M91" i="35"/>
  <c r="P90" i="35"/>
  <c r="O90" i="35"/>
  <c r="N90" i="35"/>
  <c r="M90" i="35"/>
  <c r="P89" i="35"/>
  <c r="O89" i="35"/>
  <c r="N89" i="35"/>
  <c r="M89" i="35"/>
  <c r="P88" i="35"/>
  <c r="O88" i="35"/>
  <c r="N88" i="35"/>
  <c r="M88" i="35"/>
  <c r="P87" i="35"/>
  <c r="O87" i="35"/>
  <c r="N87" i="35"/>
  <c r="M87" i="35"/>
  <c r="P86" i="35"/>
  <c r="O86" i="35"/>
  <c r="N86" i="35"/>
  <c r="M86" i="35"/>
  <c r="P84" i="35"/>
  <c r="O84" i="35"/>
  <c r="N84" i="35"/>
  <c r="M84" i="35"/>
  <c r="P83" i="35"/>
  <c r="O83" i="35"/>
  <c r="N83" i="35"/>
  <c r="M83" i="35"/>
  <c r="P82" i="35"/>
  <c r="O82" i="35"/>
  <c r="N82" i="35"/>
  <c r="M82" i="35"/>
  <c r="P81" i="35"/>
  <c r="O81" i="35"/>
  <c r="N81" i="35"/>
  <c r="M81" i="35"/>
  <c r="P80" i="35"/>
  <c r="O80" i="35"/>
  <c r="N80" i="35"/>
  <c r="M80" i="35"/>
  <c r="P79" i="35"/>
  <c r="O79" i="35"/>
  <c r="N79" i="35"/>
  <c r="M79" i="35"/>
  <c r="P78" i="35"/>
  <c r="O78" i="35"/>
  <c r="N78" i="35"/>
  <c r="M78" i="35"/>
  <c r="P77" i="35"/>
  <c r="O77" i="35"/>
  <c r="N77" i="35"/>
  <c r="M77" i="35"/>
  <c r="P76" i="35"/>
  <c r="O76" i="35"/>
  <c r="N76" i="35"/>
  <c r="M76" i="35"/>
  <c r="P75" i="35"/>
  <c r="O75" i="35"/>
  <c r="N75" i="35"/>
  <c r="M75" i="35"/>
  <c r="P74" i="35"/>
  <c r="O74" i="35"/>
  <c r="N74" i="35"/>
  <c r="M74" i="35"/>
  <c r="P73" i="35"/>
  <c r="O73" i="35"/>
  <c r="N73" i="35"/>
  <c r="M73" i="35"/>
  <c r="P72" i="35"/>
  <c r="O72" i="35"/>
  <c r="N72" i="35"/>
  <c r="M72" i="35"/>
  <c r="P71" i="35"/>
  <c r="O71" i="35"/>
  <c r="N71" i="35"/>
  <c r="M71" i="35"/>
  <c r="P70" i="35"/>
  <c r="O70" i="35"/>
  <c r="N70" i="35"/>
  <c r="M70" i="35"/>
  <c r="P69" i="35"/>
  <c r="O69" i="35"/>
  <c r="N69" i="35"/>
  <c r="M69" i="35"/>
  <c r="P68" i="35"/>
  <c r="O68" i="35"/>
  <c r="N68" i="35"/>
  <c r="M68" i="35"/>
  <c r="P67" i="35"/>
  <c r="O67" i="35"/>
  <c r="N67" i="35"/>
  <c r="M67" i="35"/>
  <c r="J93" i="35"/>
  <c r="I93" i="35"/>
  <c r="H93" i="35"/>
  <c r="G93" i="35"/>
  <c r="F93" i="35"/>
  <c r="E93" i="35"/>
  <c r="D93" i="35"/>
  <c r="C93" i="35"/>
  <c r="J92" i="35"/>
  <c r="I92" i="35"/>
  <c r="H92" i="35"/>
  <c r="G92" i="35"/>
  <c r="F92" i="35"/>
  <c r="E92" i="35"/>
  <c r="D92" i="35"/>
  <c r="C92" i="35"/>
  <c r="J91" i="35"/>
  <c r="I91" i="35"/>
  <c r="H91" i="35"/>
  <c r="G91" i="35"/>
  <c r="F91" i="35"/>
  <c r="E91" i="35"/>
  <c r="D91" i="35"/>
  <c r="C91" i="35"/>
  <c r="J90" i="35"/>
  <c r="I90" i="35"/>
  <c r="H90" i="35"/>
  <c r="G90" i="35"/>
  <c r="F90" i="35"/>
  <c r="E90" i="35"/>
  <c r="D90" i="35"/>
  <c r="C90" i="35"/>
  <c r="J89" i="35"/>
  <c r="I89" i="35"/>
  <c r="H89" i="35"/>
  <c r="G89" i="35"/>
  <c r="F89" i="35"/>
  <c r="E89" i="35"/>
  <c r="D89" i="35"/>
  <c r="C89" i="35"/>
  <c r="J88" i="35"/>
  <c r="I88" i="35"/>
  <c r="H88" i="35"/>
  <c r="G88" i="35"/>
  <c r="F88" i="35"/>
  <c r="E88" i="35"/>
  <c r="D88" i="35"/>
  <c r="C88" i="35"/>
  <c r="J87" i="35"/>
  <c r="I87" i="35"/>
  <c r="H87" i="35"/>
  <c r="G87" i="35"/>
  <c r="F87" i="35"/>
  <c r="E87" i="35"/>
  <c r="D87" i="35"/>
  <c r="C87" i="35"/>
  <c r="J86" i="35"/>
  <c r="I86" i="35"/>
  <c r="H86" i="35"/>
  <c r="G86" i="35"/>
  <c r="F86" i="35"/>
  <c r="E86" i="35"/>
  <c r="D86" i="35"/>
  <c r="C86" i="35"/>
  <c r="J84" i="35"/>
  <c r="I84" i="35"/>
  <c r="H84" i="35"/>
  <c r="G84" i="35"/>
  <c r="F84" i="35"/>
  <c r="E84" i="35"/>
  <c r="D84" i="35"/>
  <c r="C84" i="35"/>
  <c r="J83" i="35"/>
  <c r="I83" i="35"/>
  <c r="H83" i="35"/>
  <c r="G83" i="35"/>
  <c r="F83" i="35"/>
  <c r="E83" i="35"/>
  <c r="D83" i="35"/>
  <c r="C83" i="35"/>
  <c r="J82" i="35"/>
  <c r="I82" i="35"/>
  <c r="H82" i="35"/>
  <c r="G82" i="35"/>
  <c r="F82" i="35"/>
  <c r="E82" i="35"/>
  <c r="D82" i="35"/>
  <c r="C82" i="35"/>
  <c r="J81" i="35"/>
  <c r="I81" i="35"/>
  <c r="H81" i="35"/>
  <c r="G81" i="35"/>
  <c r="F81" i="35"/>
  <c r="E81" i="35"/>
  <c r="D81" i="35"/>
  <c r="C81" i="35"/>
  <c r="J80" i="35"/>
  <c r="I80" i="35"/>
  <c r="H80" i="35"/>
  <c r="G80" i="35"/>
  <c r="F80" i="35"/>
  <c r="E80" i="35"/>
  <c r="D80" i="35"/>
  <c r="C80" i="35"/>
  <c r="J79" i="35"/>
  <c r="I79" i="35"/>
  <c r="H79" i="35"/>
  <c r="G79" i="35"/>
  <c r="F79" i="35"/>
  <c r="E79" i="35"/>
  <c r="D79" i="35"/>
  <c r="C79" i="35"/>
  <c r="J78" i="35"/>
  <c r="I78" i="35"/>
  <c r="H78" i="35"/>
  <c r="G78" i="35"/>
  <c r="F78" i="35"/>
  <c r="E78" i="35"/>
  <c r="D78" i="35"/>
  <c r="C78" i="35"/>
  <c r="J77" i="35"/>
  <c r="I77" i="35"/>
  <c r="H77" i="35"/>
  <c r="G77" i="35"/>
  <c r="F77" i="35"/>
  <c r="E77" i="35"/>
  <c r="D77" i="35"/>
  <c r="C77" i="35"/>
  <c r="J76" i="35"/>
  <c r="I76" i="35"/>
  <c r="H76" i="35"/>
  <c r="G76" i="35"/>
  <c r="F76" i="35"/>
  <c r="E76" i="35"/>
  <c r="D76" i="35"/>
  <c r="C76" i="35"/>
  <c r="J75" i="35"/>
  <c r="I75" i="35"/>
  <c r="H75" i="35"/>
  <c r="G75" i="35"/>
  <c r="F75" i="35"/>
  <c r="E75" i="35"/>
  <c r="D75" i="35"/>
  <c r="C75" i="35"/>
  <c r="J74" i="35"/>
  <c r="I74" i="35"/>
  <c r="H74" i="35"/>
  <c r="G74" i="35"/>
  <c r="F74" i="35"/>
  <c r="E74" i="35"/>
  <c r="D74" i="35"/>
  <c r="C74" i="35"/>
  <c r="J73" i="35"/>
  <c r="I73" i="35"/>
  <c r="H73" i="35"/>
  <c r="G73" i="35"/>
  <c r="F73" i="35"/>
  <c r="E73" i="35"/>
  <c r="D73" i="35"/>
  <c r="C73" i="35"/>
  <c r="J72" i="35"/>
  <c r="I72" i="35"/>
  <c r="H72" i="35"/>
  <c r="G72" i="35"/>
  <c r="F72" i="35"/>
  <c r="E72" i="35"/>
  <c r="D72" i="35"/>
  <c r="C72" i="35"/>
  <c r="J71" i="35"/>
  <c r="I71" i="35"/>
  <c r="H71" i="35"/>
  <c r="G71" i="35"/>
  <c r="F71" i="35"/>
  <c r="E71" i="35"/>
  <c r="D71" i="35"/>
  <c r="C71" i="35"/>
  <c r="J70" i="35"/>
  <c r="I70" i="35"/>
  <c r="H70" i="35"/>
  <c r="G70" i="35"/>
  <c r="F70" i="35"/>
  <c r="E70" i="35"/>
  <c r="D70" i="35"/>
  <c r="C70" i="35"/>
  <c r="J69" i="35"/>
  <c r="I69" i="35"/>
  <c r="H69" i="35"/>
  <c r="G69" i="35"/>
  <c r="F69" i="35"/>
  <c r="E69" i="35"/>
  <c r="D69" i="35"/>
  <c r="C69" i="35"/>
  <c r="J68" i="35"/>
  <c r="I68" i="35"/>
  <c r="H68" i="35"/>
  <c r="G68" i="35"/>
  <c r="F68" i="35"/>
  <c r="E68" i="35"/>
  <c r="D68" i="35"/>
  <c r="C68" i="35"/>
  <c r="J67" i="35"/>
  <c r="I67" i="35"/>
  <c r="H67" i="35"/>
  <c r="G67" i="35"/>
  <c r="F67" i="35"/>
  <c r="E67" i="35"/>
  <c r="D67" i="35"/>
  <c r="C67" i="35"/>
  <c r="B93" i="35"/>
  <c r="B92" i="35"/>
  <c r="B91" i="35"/>
  <c r="B89" i="35"/>
  <c r="B87" i="35"/>
  <c r="B84" i="35"/>
  <c r="B83" i="35"/>
  <c r="B81" i="35"/>
  <c r="B80" i="35"/>
  <c r="B79" i="35"/>
  <c r="B78" i="35"/>
  <c r="B77" i="35"/>
  <c r="B76" i="35"/>
  <c r="B75" i="35"/>
  <c r="B74" i="35"/>
  <c r="B72" i="35"/>
  <c r="B71" i="35"/>
  <c r="B70" i="35"/>
  <c r="B69" i="35"/>
  <c r="B68" i="35"/>
  <c r="B90" i="35"/>
  <c r="B86" i="35"/>
  <c r="B73" i="35"/>
  <c r="B67" i="35"/>
  <c r="O94" i="34"/>
  <c r="N94" i="34"/>
  <c r="M94" i="34"/>
  <c r="O93" i="34"/>
  <c r="N93" i="34"/>
  <c r="M93" i="34"/>
  <c r="O92" i="34"/>
  <c r="N92" i="34"/>
  <c r="M92" i="34"/>
  <c r="O91" i="34"/>
  <c r="N91" i="34"/>
  <c r="M91" i="34"/>
  <c r="O90" i="34"/>
  <c r="N90" i="34"/>
  <c r="M90" i="34"/>
  <c r="O89" i="34"/>
  <c r="N89" i="34"/>
  <c r="M89" i="34"/>
  <c r="O88" i="34"/>
  <c r="N88" i="34"/>
  <c r="M88" i="34"/>
  <c r="O87" i="34"/>
  <c r="N87" i="34"/>
  <c r="M87" i="34"/>
  <c r="O85" i="34"/>
  <c r="N85" i="34"/>
  <c r="M85" i="34"/>
  <c r="O84" i="34"/>
  <c r="N84" i="34"/>
  <c r="M84" i="34"/>
  <c r="O83" i="34"/>
  <c r="N83" i="34"/>
  <c r="M83" i="34"/>
  <c r="O82" i="34"/>
  <c r="N82" i="34"/>
  <c r="M82" i="34"/>
  <c r="O81" i="34"/>
  <c r="N81" i="34"/>
  <c r="M81" i="34"/>
  <c r="O80" i="34"/>
  <c r="N80" i="34"/>
  <c r="M80" i="34"/>
  <c r="O79" i="34"/>
  <c r="N79" i="34"/>
  <c r="M79" i="34"/>
  <c r="O78" i="34"/>
  <c r="N78" i="34"/>
  <c r="M78" i="34"/>
  <c r="O77" i="34"/>
  <c r="N77" i="34"/>
  <c r="M77" i="34"/>
  <c r="O76" i="34"/>
  <c r="N76" i="34"/>
  <c r="M76" i="34"/>
  <c r="O75" i="34"/>
  <c r="N75" i="34"/>
  <c r="M75" i="34"/>
  <c r="O74" i="34"/>
  <c r="N74" i="34"/>
  <c r="M74" i="34"/>
  <c r="O73" i="34"/>
  <c r="N73" i="34"/>
  <c r="M73" i="34"/>
  <c r="O72" i="34"/>
  <c r="N72" i="34"/>
  <c r="M72" i="34"/>
  <c r="O71" i="34"/>
  <c r="N71" i="34"/>
  <c r="M71" i="34"/>
  <c r="O70" i="34"/>
  <c r="N70" i="34"/>
  <c r="M70" i="34"/>
  <c r="O69" i="34"/>
  <c r="N69" i="34"/>
  <c r="M69" i="34"/>
  <c r="O68" i="34"/>
  <c r="N68" i="34"/>
  <c r="M68" i="34"/>
  <c r="J94" i="34"/>
  <c r="I94" i="34"/>
  <c r="H94" i="34"/>
  <c r="G94" i="34"/>
  <c r="F94" i="34"/>
  <c r="E94" i="34"/>
  <c r="D94" i="34"/>
  <c r="C94" i="34"/>
  <c r="J93" i="34"/>
  <c r="I93" i="34"/>
  <c r="H93" i="34"/>
  <c r="G93" i="34"/>
  <c r="F93" i="34"/>
  <c r="E93" i="34"/>
  <c r="D93" i="34"/>
  <c r="C93" i="34"/>
  <c r="J92" i="34"/>
  <c r="I92" i="34"/>
  <c r="H92" i="34"/>
  <c r="G92" i="34"/>
  <c r="F92" i="34"/>
  <c r="E92" i="34"/>
  <c r="D92" i="34"/>
  <c r="C92" i="34"/>
  <c r="J91" i="34"/>
  <c r="I91" i="34"/>
  <c r="H91" i="34"/>
  <c r="G91" i="34"/>
  <c r="F91" i="34"/>
  <c r="E91" i="34"/>
  <c r="D91" i="34"/>
  <c r="C91" i="34"/>
  <c r="J90" i="34"/>
  <c r="I90" i="34"/>
  <c r="H90" i="34"/>
  <c r="G90" i="34"/>
  <c r="F90" i="34"/>
  <c r="E90" i="34"/>
  <c r="D90" i="34"/>
  <c r="C90" i="34"/>
  <c r="J89" i="34"/>
  <c r="I89" i="34"/>
  <c r="H89" i="34"/>
  <c r="G89" i="34"/>
  <c r="F89" i="34"/>
  <c r="E89" i="34"/>
  <c r="D89" i="34"/>
  <c r="C89" i="34"/>
  <c r="J88" i="34"/>
  <c r="I88" i="34"/>
  <c r="H88" i="34"/>
  <c r="G88" i="34"/>
  <c r="F88" i="34"/>
  <c r="E88" i="34"/>
  <c r="D88" i="34"/>
  <c r="C88" i="34"/>
  <c r="J87" i="34"/>
  <c r="I87" i="34"/>
  <c r="H87" i="34"/>
  <c r="G87" i="34"/>
  <c r="F87" i="34"/>
  <c r="E87" i="34"/>
  <c r="D87" i="34"/>
  <c r="C87" i="34"/>
  <c r="J85" i="34"/>
  <c r="I85" i="34"/>
  <c r="H85" i="34"/>
  <c r="G85" i="34"/>
  <c r="F85" i="34"/>
  <c r="E85" i="34"/>
  <c r="D85" i="34"/>
  <c r="C85" i="34"/>
  <c r="J84" i="34"/>
  <c r="I84" i="34"/>
  <c r="H84" i="34"/>
  <c r="G84" i="34"/>
  <c r="F84" i="34"/>
  <c r="E84" i="34"/>
  <c r="D84" i="34"/>
  <c r="C84" i="34"/>
  <c r="J83" i="34"/>
  <c r="I83" i="34"/>
  <c r="H83" i="34"/>
  <c r="G83" i="34"/>
  <c r="F83" i="34"/>
  <c r="E83" i="34"/>
  <c r="D83" i="34"/>
  <c r="C83" i="34"/>
  <c r="J82" i="34"/>
  <c r="I82" i="34"/>
  <c r="H82" i="34"/>
  <c r="G82" i="34"/>
  <c r="F82" i="34"/>
  <c r="E82" i="34"/>
  <c r="D82" i="34"/>
  <c r="C82" i="34"/>
  <c r="J81" i="34"/>
  <c r="I81" i="34"/>
  <c r="H81" i="34"/>
  <c r="G81" i="34"/>
  <c r="F81" i="34"/>
  <c r="E81" i="34"/>
  <c r="D81" i="34"/>
  <c r="C81" i="34"/>
  <c r="J80" i="34"/>
  <c r="I80" i="34"/>
  <c r="H80" i="34"/>
  <c r="G80" i="34"/>
  <c r="F80" i="34"/>
  <c r="E80" i="34"/>
  <c r="D80" i="34"/>
  <c r="C80" i="34"/>
  <c r="J79" i="34"/>
  <c r="I79" i="34"/>
  <c r="H79" i="34"/>
  <c r="G79" i="34"/>
  <c r="F79" i="34"/>
  <c r="E79" i="34"/>
  <c r="D79" i="34"/>
  <c r="C79" i="34"/>
  <c r="J78" i="34"/>
  <c r="I78" i="34"/>
  <c r="H78" i="34"/>
  <c r="G78" i="34"/>
  <c r="F78" i="34"/>
  <c r="E78" i="34"/>
  <c r="D78" i="34"/>
  <c r="C78" i="34"/>
  <c r="J77" i="34"/>
  <c r="I77" i="34"/>
  <c r="H77" i="34"/>
  <c r="G77" i="34"/>
  <c r="F77" i="34"/>
  <c r="E77" i="34"/>
  <c r="D77" i="34"/>
  <c r="C77" i="34"/>
  <c r="J76" i="34"/>
  <c r="I76" i="34"/>
  <c r="H76" i="34"/>
  <c r="G76" i="34"/>
  <c r="F76" i="34"/>
  <c r="E76" i="34"/>
  <c r="D76" i="34"/>
  <c r="C76" i="34"/>
  <c r="J75" i="34"/>
  <c r="I75" i="34"/>
  <c r="H75" i="34"/>
  <c r="G75" i="34"/>
  <c r="F75" i="34"/>
  <c r="E75" i="34"/>
  <c r="D75" i="34"/>
  <c r="C75" i="34"/>
  <c r="J74" i="34"/>
  <c r="I74" i="34"/>
  <c r="H74" i="34"/>
  <c r="G74" i="34"/>
  <c r="F74" i="34"/>
  <c r="E74" i="34"/>
  <c r="D74" i="34"/>
  <c r="C74" i="34"/>
  <c r="J73" i="34"/>
  <c r="I73" i="34"/>
  <c r="H73" i="34"/>
  <c r="G73" i="34"/>
  <c r="F73" i="34"/>
  <c r="E73" i="34"/>
  <c r="D73" i="34"/>
  <c r="C73" i="34"/>
  <c r="J72" i="34"/>
  <c r="I72" i="34"/>
  <c r="H72" i="34"/>
  <c r="G72" i="34"/>
  <c r="F72" i="34"/>
  <c r="E72" i="34"/>
  <c r="D72" i="34"/>
  <c r="C72" i="34"/>
  <c r="J71" i="34"/>
  <c r="I71" i="34"/>
  <c r="H71" i="34"/>
  <c r="G71" i="34"/>
  <c r="F71" i="34"/>
  <c r="E71" i="34"/>
  <c r="D71" i="34"/>
  <c r="C71" i="34"/>
  <c r="J70" i="34"/>
  <c r="I70" i="34"/>
  <c r="H70" i="34"/>
  <c r="G70" i="34"/>
  <c r="F70" i="34"/>
  <c r="E70" i="34"/>
  <c r="D70" i="34"/>
  <c r="C70" i="34"/>
  <c r="J69" i="34"/>
  <c r="I69" i="34"/>
  <c r="H69" i="34"/>
  <c r="G69" i="34"/>
  <c r="F69" i="34"/>
  <c r="E69" i="34"/>
  <c r="D69" i="34"/>
  <c r="C69" i="34"/>
  <c r="J68" i="34"/>
  <c r="I68" i="34"/>
  <c r="H68" i="34"/>
  <c r="G68" i="34"/>
  <c r="F68" i="34"/>
  <c r="E68" i="34"/>
  <c r="D68" i="34"/>
  <c r="C68" i="34"/>
  <c r="B94" i="34"/>
  <c r="B93" i="34"/>
  <c r="B92" i="34"/>
  <c r="B90" i="34"/>
  <c r="B89" i="34"/>
  <c r="B88" i="34"/>
  <c r="B85" i="34"/>
  <c r="B84" i="34"/>
  <c r="B83" i="34"/>
  <c r="B82" i="34"/>
  <c r="B81" i="34"/>
  <c r="B80" i="34"/>
  <c r="B79" i="34"/>
  <c r="B78" i="34"/>
  <c r="B77" i="34"/>
  <c r="B76" i="34"/>
  <c r="B75" i="34"/>
  <c r="B73" i="34"/>
  <c r="B72" i="34"/>
  <c r="B71" i="34"/>
  <c r="B70" i="34"/>
  <c r="B69" i="34"/>
  <c r="B91" i="34"/>
  <c r="B87" i="34"/>
  <c r="B74" i="34"/>
  <c r="B68" i="34"/>
  <c r="O94" i="16"/>
  <c r="N94" i="16"/>
  <c r="M94" i="16"/>
  <c r="O93" i="16"/>
  <c r="N93" i="16"/>
  <c r="M93" i="16"/>
  <c r="O92" i="16"/>
  <c r="N92" i="16"/>
  <c r="M92" i="16"/>
  <c r="O91" i="16"/>
  <c r="N91" i="16"/>
  <c r="M91" i="16"/>
  <c r="O90" i="16"/>
  <c r="N90" i="16"/>
  <c r="M90" i="16"/>
  <c r="O89" i="16"/>
  <c r="N89" i="16"/>
  <c r="M89" i="16"/>
  <c r="O88" i="16"/>
  <c r="N88" i="16"/>
  <c r="M88" i="16"/>
  <c r="O87" i="16"/>
  <c r="N87" i="16"/>
  <c r="M87" i="16"/>
  <c r="O85" i="16"/>
  <c r="N85" i="16"/>
  <c r="M85" i="16"/>
  <c r="O84" i="16"/>
  <c r="N84" i="16"/>
  <c r="M84" i="16"/>
  <c r="O83" i="16"/>
  <c r="N83" i="16"/>
  <c r="M83" i="16"/>
  <c r="O82" i="16"/>
  <c r="N82" i="16"/>
  <c r="M82" i="16"/>
  <c r="O81" i="16"/>
  <c r="N81" i="16"/>
  <c r="M81" i="16"/>
  <c r="O80" i="16"/>
  <c r="N80" i="16"/>
  <c r="M80" i="16"/>
  <c r="O79" i="16"/>
  <c r="N79" i="16"/>
  <c r="M79" i="16"/>
  <c r="O78" i="16"/>
  <c r="N78" i="16"/>
  <c r="M78" i="16"/>
  <c r="O77" i="16"/>
  <c r="N77" i="16"/>
  <c r="M77" i="16"/>
  <c r="O76" i="16"/>
  <c r="N76" i="16"/>
  <c r="M76" i="16"/>
  <c r="O75" i="16"/>
  <c r="N75" i="16"/>
  <c r="M75" i="16"/>
  <c r="O74" i="16"/>
  <c r="N74" i="16"/>
  <c r="M74" i="16"/>
  <c r="O73" i="16"/>
  <c r="N73" i="16"/>
  <c r="M73" i="16"/>
  <c r="O72" i="16"/>
  <c r="N72" i="16"/>
  <c r="M72" i="16"/>
  <c r="O71" i="16"/>
  <c r="N71" i="16"/>
  <c r="M71" i="16"/>
  <c r="O70" i="16"/>
  <c r="N70" i="16"/>
  <c r="M70" i="16"/>
  <c r="O69" i="16"/>
  <c r="N69" i="16"/>
  <c r="M69" i="16"/>
  <c r="O68" i="16"/>
  <c r="N68" i="16"/>
  <c r="M68" i="16"/>
  <c r="I94" i="16"/>
  <c r="H94" i="16"/>
  <c r="G94" i="16"/>
  <c r="F94" i="16"/>
  <c r="E94" i="16"/>
  <c r="D94" i="16"/>
  <c r="C94" i="16"/>
  <c r="I93" i="16"/>
  <c r="H93" i="16"/>
  <c r="G93" i="16"/>
  <c r="F93" i="16"/>
  <c r="E93" i="16"/>
  <c r="D93" i="16"/>
  <c r="C93" i="16"/>
  <c r="I92" i="16"/>
  <c r="H92" i="16"/>
  <c r="G92" i="16"/>
  <c r="F92" i="16"/>
  <c r="E92" i="16"/>
  <c r="D92" i="16"/>
  <c r="C92" i="16"/>
  <c r="I91" i="16"/>
  <c r="H91" i="16"/>
  <c r="G91" i="16"/>
  <c r="F91" i="16"/>
  <c r="E91" i="16"/>
  <c r="D91" i="16"/>
  <c r="C91" i="16"/>
  <c r="I90" i="16"/>
  <c r="H90" i="16"/>
  <c r="G90" i="16"/>
  <c r="F90" i="16"/>
  <c r="E90" i="16"/>
  <c r="D90" i="16"/>
  <c r="C90" i="16"/>
  <c r="I89" i="16"/>
  <c r="H89" i="16"/>
  <c r="G89" i="16"/>
  <c r="F89" i="16"/>
  <c r="E89" i="16"/>
  <c r="D89" i="16"/>
  <c r="C89" i="16"/>
  <c r="I88" i="16"/>
  <c r="H88" i="16"/>
  <c r="G88" i="16"/>
  <c r="F88" i="16"/>
  <c r="E88" i="16"/>
  <c r="D88" i="16"/>
  <c r="C88" i="16"/>
  <c r="I87" i="16"/>
  <c r="H87" i="16"/>
  <c r="G87" i="16"/>
  <c r="F87" i="16"/>
  <c r="E87" i="16"/>
  <c r="D87" i="16"/>
  <c r="C87" i="16"/>
  <c r="I85" i="16"/>
  <c r="H85" i="16"/>
  <c r="G85" i="16"/>
  <c r="F85" i="16"/>
  <c r="E85" i="16"/>
  <c r="D85" i="16"/>
  <c r="C85" i="16"/>
  <c r="I84" i="16"/>
  <c r="H84" i="16"/>
  <c r="G84" i="16"/>
  <c r="F84" i="16"/>
  <c r="E84" i="16"/>
  <c r="D84" i="16"/>
  <c r="C84" i="16"/>
  <c r="I83" i="16"/>
  <c r="H83" i="16"/>
  <c r="G83" i="16"/>
  <c r="F83" i="16"/>
  <c r="E83" i="16"/>
  <c r="D83" i="16"/>
  <c r="C83" i="16"/>
  <c r="I82" i="16"/>
  <c r="H82" i="16"/>
  <c r="G82" i="16"/>
  <c r="F82" i="16"/>
  <c r="E82" i="16"/>
  <c r="D82" i="16"/>
  <c r="C82" i="16"/>
  <c r="I81" i="16"/>
  <c r="H81" i="16"/>
  <c r="G81" i="16"/>
  <c r="F81" i="16"/>
  <c r="E81" i="16"/>
  <c r="D81" i="16"/>
  <c r="C81" i="16"/>
  <c r="I80" i="16"/>
  <c r="H80" i="16"/>
  <c r="G80" i="16"/>
  <c r="F80" i="16"/>
  <c r="E80" i="16"/>
  <c r="D80" i="16"/>
  <c r="C80" i="16"/>
  <c r="I79" i="16"/>
  <c r="H79" i="16"/>
  <c r="G79" i="16"/>
  <c r="F79" i="16"/>
  <c r="E79" i="16"/>
  <c r="D79" i="16"/>
  <c r="C79" i="16"/>
  <c r="I78" i="16"/>
  <c r="H78" i="16"/>
  <c r="G78" i="16"/>
  <c r="F78" i="16"/>
  <c r="E78" i="16"/>
  <c r="D78" i="16"/>
  <c r="C78" i="16"/>
  <c r="I77" i="16"/>
  <c r="H77" i="16"/>
  <c r="G77" i="16"/>
  <c r="F77" i="16"/>
  <c r="E77" i="16"/>
  <c r="D77" i="16"/>
  <c r="C77" i="16"/>
  <c r="I76" i="16"/>
  <c r="H76" i="16"/>
  <c r="G76" i="16"/>
  <c r="F76" i="16"/>
  <c r="E76" i="16"/>
  <c r="D76" i="16"/>
  <c r="C76" i="16"/>
  <c r="I75" i="16"/>
  <c r="H75" i="16"/>
  <c r="G75" i="16"/>
  <c r="F75" i="16"/>
  <c r="E75" i="16"/>
  <c r="D75" i="16"/>
  <c r="C75" i="16"/>
  <c r="I74" i="16"/>
  <c r="H74" i="16"/>
  <c r="G74" i="16"/>
  <c r="F74" i="16"/>
  <c r="E74" i="16"/>
  <c r="D74" i="16"/>
  <c r="C74" i="16"/>
  <c r="I73" i="16"/>
  <c r="H73" i="16"/>
  <c r="G73" i="16"/>
  <c r="F73" i="16"/>
  <c r="E73" i="16"/>
  <c r="D73" i="16"/>
  <c r="C73" i="16"/>
  <c r="I72" i="16"/>
  <c r="H72" i="16"/>
  <c r="G72" i="16"/>
  <c r="F72" i="16"/>
  <c r="E72" i="16"/>
  <c r="D72" i="16"/>
  <c r="C72" i="16"/>
  <c r="I71" i="16"/>
  <c r="H71" i="16"/>
  <c r="G71" i="16"/>
  <c r="F71" i="16"/>
  <c r="E71" i="16"/>
  <c r="D71" i="16"/>
  <c r="C71" i="16"/>
  <c r="I70" i="16"/>
  <c r="H70" i="16"/>
  <c r="G70" i="16"/>
  <c r="F70" i="16"/>
  <c r="E70" i="16"/>
  <c r="D70" i="16"/>
  <c r="C70" i="16"/>
  <c r="I69" i="16"/>
  <c r="H69" i="16"/>
  <c r="G69" i="16"/>
  <c r="F69" i="16"/>
  <c r="E69" i="16"/>
  <c r="D69" i="16"/>
  <c r="C69" i="16"/>
  <c r="I68" i="16"/>
  <c r="H68" i="16"/>
  <c r="G68" i="16"/>
  <c r="F68" i="16"/>
  <c r="E68" i="16"/>
  <c r="D68" i="16"/>
  <c r="C68" i="16"/>
  <c r="B94" i="16"/>
  <c r="B93" i="16"/>
  <c r="B92" i="16"/>
  <c r="B90" i="16"/>
  <c r="B89" i="16"/>
  <c r="B88" i="16"/>
  <c r="B85" i="16"/>
  <c r="B84" i="16"/>
  <c r="B83" i="16"/>
  <c r="B82" i="16"/>
  <c r="B81" i="16"/>
  <c r="B80" i="16"/>
  <c r="B79" i="16"/>
  <c r="B78" i="16"/>
  <c r="B77" i="16"/>
  <c r="B76" i="16"/>
  <c r="B75" i="16"/>
  <c r="B73" i="16"/>
  <c r="B72" i="16"/>
  <c r="B71" i="16"/>
  <c r="B70" i="16"/>
  <c r="B69" i="16"/>
  <c r="B91" i="16"/>
  <c r="B87" i="16"/>
  <c r="B74" i="16"/>
  <c r="B68" i="16"/>
  <c r="P94" i="15"/>
  <c r="P93" i="15"/>
  <c r="P92" i="15"/>
  <c r="P91" i="15"/>
  <c r="P90" i="15"/>
  <c r="P89" i="15"/>
  <c r="P88" i="15"/>
  <c r="P87" i="15"/>
  <c r="P85" i="15"/>
  <c r="P84" i="15"/>
  <c r="P83" i="15"/>
  <c r="P82" i="15"/>
  <c r="P81" i="15"/>
  <c r="P80" i="15"/>
  <c r="P79" i="15"/>
  <c r="P78" i="15"/>
  <c r="P77" i="15"/>
  <c r="P76" i="15"/>
  <c r="P75" i="15"/>
  <c r="P74" i="15"/>
  <c r="P73" i="15"/>
  <c r="P72" i="15"/>
  <c r="P71" i="15"/>
  <c r="P70" i="15"/>
  <c r="P69" i="15"/>
  <c r="P68" i="15"/>
  <c r="O94" i="15"/>
  <c r="N94" i="15"/>
  <c r="M94" i="15"/>
  <c r="O93" i="15"/>
  <c r="N93" i="15"/>
  <c r="M93" i="15"/>
  <c r="O92" i="15"/>
  <c r="N92" i="15"/>
  <c r="M92" i="15"/>
  <c r="O91" i="15"/>
  <c r="N91" i="15"/>
  <c r="M91" i="15"/>
  <c r="O90" i="15"/>
  <c r="N90" i="15"/>
  <c r="M90" i="15"/>
  <c r="O89" i="15"/>
  <c r="N89" i="15"/>
  <c r="M89" i="15"/>
  <c r="O88" i="15"/>
  <c r="N88" i="15"/>
  <c r="M88" i="15"/>
  <c r="O87" i="15"/>
  <c r="N87" i="15"/>
  <c r="M87" i="15"/>
  <c r="O85" i="15"/>
  <c r="N85" i="15"/>
  <c r="M85" i="15"/>
  <c r="O84" i="15"/>
  <c r="N84" i="15"/>
  <c r="M84" i="15"/>
  <c r="O83" i="15"/>
  <c r="N83" i="15"/>
  <c r="M83" i="15"/>
  <c r="O82" i="15"/>
  <c r="N82" i="15"/>
  <c r="M82" i="15"/>
  <c r="O81" i="15"/>
  <c r="N81" i="15"/>
  <c r="M81" i="15"/>
  <c r="O80" i="15"/>
  <c r="N80" i="15"/>
  <c r="M80" i="15"/>
  <c r="O79" i="15"/>
  <c r="N79" i="15"/>
  <c r="M79" i="15"/>
  <c r="O78" i="15"/>
  <c r="N78" i="15"/>
  <c r="M78" i="15"/>
  <c r="O77" i="15"/>
  <c r="N77" i="15"/>
  <c r="M77" i="15"/>
  <c r="O76" i="15"/>
  <c r="N76" i="15"/>
  <c r="M76" i="15"/>
  <c r="O75" i="15"/>
  <c r="N75" i="15"/>
  <c r="M75" i="15"/>
  <c r="O74" i="15"/>
  <c r="N74" i="15"/>
  <c r="M74" i="15"/>
  <c r="O73" i="15"/>
  <c r="N73" i="15"/>
  <c r="M73" i="15"/>
  <c r="O72" i="15"/>
  <c r="N72" i="15"/>
  <c r="M72" i="15"/>
  <c r="O71" i="15"/>
  <c r="N71" i="15"/>
  <c r="M71" i="15"/>
  <c r="O70" i="15"/>
  <c r="N70" i="15"/>
  <c r="M70" i="15"/>
  <c r="O69" i="15"/>
  <c r="N69" i="15"/>
  <c r="M69" i="15"/>
  <c r="O68" i="15"/>
  <c r="N68" i="15"/>
  <c r="M68" i="15"/>
  <c r="K94" i="15"/>
  <c r="J94" i="15"/>
  <c r="I94" i="15"/>
  <c r="H94" i="15"/>
  <c r="G94" i="15"/>
  <c r="F94" i="15"/>
  <c r="E94" i="15"/>
  <c r="D94" i="15"/>
  <c r="C94" i="15"/>
  <c r="K93" i="15"/>
  <c r="J93" i="15"/>
  <c r="I93" i="15"/>
  <c r="H93" i="15"/>
  <c r="G93" i="15"/>
  <c r="F93" i="15"/>
  <c r="E93" i="15"/>
  <c r="D93" i="15"/>
  <c r="C93" i="15"/>
  <c r="K92" i="15"/>
  <c r="J92" i="15"/>
  <c r="I92" i="15"/>
  <c r="H92" i="15"/>
  <c r="G92" i="15"/>
  <c r="F92" i="15"/>
  <c r="E92" i="15"/>
  <c r="D92" i="15"/>
  <c r="C92" i="15"/>
  <c r="K91" i="15"/>
  <c r="J91" i="15"/>
  <c r="I91" i="15"/>
  <c r="H91" i="15"/>
  <c r="G91" i="15"/>
  <c r="F91" i="15"/>
  <c r="E91" i="15"/>
  <c r="D91" i="15"/>
  <c r="C91" i="15"/>
  <c r="K90" i="15"/>
  <c r="J90" i="15"/>
  <c r="I90" i="15"/>
  <c r="H90" i="15"/>
  <c r="G90" i="15"/>
  <c r="F90" i="15"/>
  <c r="E90" i="15"/>
  <c r="D90" i="15"/>
  <c r="C90" i="15"/>
  <c r="K89" i="15"/>
  <c r="J89" i="15"/>
  <c r="I89" i="15"/>
  <c r="H89" i="15"/>
  <c r="G89" i="15"/>
  <c r="F89" i="15"/>
  <c r="E89" i="15"/>
  <c r="D89" i="15"/>
  <c r="C89" i="15"/>
  <c r="K88" i="15"/>
  <c r="J88" i="15"/>
  <c r="I88" i="15"/>
  <c r="H88" i="15"/>
  <c r="G88" i="15"/>
  <c r="F88" i="15"/>
  <c r="E88" i="15"/>
  <c r="D88" i="15"/>
  <c r="C88" i="15"/>
  <c r="K87" i="15"/>
  <c r="J87" i="15"/>
  <c r="I87" i="15"/>
  <c r="H87" i="15"/>
  <c r="G87" i="15"/>
  <c r="F87" i="15"/>
  <c r="E87" i="15"/>
  <c r="D87" i="15"/>
  <c r="C87" i="15"/>
  <c r="K85" i="15"/>
  <c r="J85" i="15"/>
  <c r="I85" i="15"/>
  <c r="H85" i="15"/>
  <c r="G85" i="15"/>
  <c r="F85" i="15"/>
  <c r="E85" i="15"/>
  <c r="D85" i="15"/>
  <c r="C85" i="15"/>
  <c r="K84" i="15"/>
  <c r="J84" i="15"/>
  <c r="I84" i="15"/>
  <c r="H84" i="15"/>
  <c r="G84" i="15"/>
  <c r="F84" i="15"/>
  <c r="E84" i="15"/>
  <c r="D84" i="15"/>
  <c r="C84" i="15"/>
  <c r="K83" i="15"/>
  <c r="J83" i="15"/>
  <c r="I83" i="15"/>
  <c r="H83" i="15"/>
  <c r="G83" i="15"/>
  <c r="F83" i="15"/>
  <c r="E83" i="15"/>
  <c r="D83" i="15"/>
  <c r="C83" i="15"/>
  <c r="K82" i="15"/>
  <c r="J82" i="15"/>
  <c r="I82" i="15"/>
  <c r="H82" i="15"/>
  <c r="G82" i="15"/>
  <c r="F82" i="15"/>
  <c r="E82" i="15"/>
  <c r="D82" i="15"/>
  <c r="C82" i="15"/>
  <c r="K81" i="15"/>
  <c r="J81" i="15"/>
  <c r="I81" i="15"/>
  <c r="H81" i="15"/>
  <c r="G81" i="15"/>
  <c r="F81" i="15"/>
  <c r="E81" i="15"/>
  <c r="D81" i="15"/>
  <c r="C81" i="15"/>
  <c r="K80" i="15"/>
  <c r="J80" i="15"/>
  <c r="I80" i="15"/>
  <c r="H80" i="15"/>
  <c r="G80" i="15"/>
  <c r="F80" i="15"/>
  <c r="E80" i="15"/>
  <c r="D80" i="15"/>
  <c r="C80" i="15"/>
  <c r="K79" i="15"/>
  <c r="J79" i="15"/>
  <c r="I79" i="15"/>
  <c r="H79" i="15"/>
  <c r="G79" i="15"/>
  <c r="F79" i="15"/>
  <c r="E79" i="15"/>
  <c r="D79" i="15"/>
  <c r="C79" i="15"/>
  <c r="K78" i="15"/>
  <c r="J78" i="15"/>
  <c r="I78" i="15"/>
  <c r="H78" i="15"/>
  <c r="G78" i="15"/>
  <c r="F78" i="15"/>
  <c r="E78" i="15"/>
  <c r="D78" i="15"/>
  <c r="C78" i="15"/>
  <c r="K77" i="15"/>
  <c r="J77" i="15"/>
  <c r="I77" i="15"/>
  <c r="H77" i="15"/>
  <c r="G77" i="15"/>
  <c r="F77" i="15"/>
  <c r="E77" i="15"/>
  <c r="D77" i="15"/>
  <c r="C77" i="15"/>
  <c r="K76" i="15"/>
  <c r="J76" i="15"/>
  <c r="I76" i="15"/>
  <c r="H76" i="15"/>
  <c r="G76" i="15"/>
  <c r="F76" i="15"/>
  <c r="E76" i="15"/>
  <c r="D76" i="15"/>
  <c r="C76" i="15"/>
  <c r="K75" i="15"/>
  <c r="J75" i="15"/>
  <c r="I75" i="15"/>
  <c r="H75" i="15"/>
  <c r="G75" i="15"/>
  <c r="F75" i="15"/>
  <c r="E75" i="15"/>
  <c r="D75" i="15"/>
  <c r="C75" i="15"/>
  <c r="K74" i="15"/>
  <c r="J74" i="15"/>
  <c r="I74" i="15"/>
  <c r="H74" i="15"/>
  <c r="G74" i="15"/>
  <c r="F74" i="15"/>
  <c r="E74" i="15"/>
  <c r="D74" i="15"/>
  <c r="C74" i="15"/>
  <c r="K73" i="15"/>
  <c r="J73" i="15"/>
  <c r="I73" i="15"/>
  <c r="H73" i="15"/>
  <c r="G73" i="15"/>
  <c r="F73" i="15"/>
  <c r="E73" i="15"/>
  <c r="D73" i="15"/>
  <c r="C73" i="15"/>
  <c r="K72" i="15"/>
  <c r="J72" i="15"/>
  <c r="I72" i="15"/>
  <c r="H72" i="15"/>
  <c r="G72" i="15"/>
  <c r="F72" i="15"/>
  <c r="E72" i="15"/>
  <c r="D72" i="15"/>
  <c r="C72" i="15"/>
  <c r="K71" i="15"/>
  <c r="J71" i="15"/>
  <c r="I71" i="15"/>
  <c r="H71" i="15"/>
  <c r="G71" i="15"/>
  <c r="F71" i="15"/>
  <c r="E71" i="15"/>
  <c r="D71" i="15"/>
  <c r="C71" i="15"/>
  <c r="K70" i="15"/>
  <c r="J70" i="15"/>
  <c r="I70" i="15"/>
  <c r="H70" i="15"/>
  <c r="G70" i="15"/>
  <c r="F70" i="15"/>
  <c r="E70" i="15"/>
  <c r="D70" i="15"/>
  <c r="C70" i="15"/>
  <c r="K69" i="15"/>
  <c r="J69" i="15"/>
  <c r="I69" i="15"/>
  <c r="H69" i="15"/>
  <c r="G69" i="15"/>
  <c r="F69" i="15"/>
  <c r="E69" i="15"/>
  <c r="D69" i="15"/>
  <c r="C69" i="15"/>
  <c r="K68" i="15"/>
  <c r="J68" i="15"/>
  <c r="I68" i="15"/>
  <c r="H68" i="15"/>
  <c r="G68" i="15"/>
  <c r="F68" i="15"/>
  <c r="E68" i="15"/>
  <c r="D68" i="15"/>
  <c r="C68" i="15"/>
  <c r="B94" i="15"/>
  <c r="B93" i="15"/>
  <c r="B92" i="15"/>
  <c r="B90" i="15"/>
  <c r="B88" i="15"/>
  <c r="B91" i="15"/>
  <c r="B87" i="15"/>
  <c r="B85" i="15"/>
  <c r="B84" i="15"/>
  <c r="B83" i="15"/>
  <c r="B82" i="15"/>
  <c r="B80" i="15"/>
  <c r="B79" i="15"/>
  <c r="B77" i="15"/>
  <c r="B76" i="15"/>
  <c r="B75" i="15"/>
  <c r="B73" i="15"/>
  <c r="B72" i="15"/>
  <c r="B71" i="15"/>
  <c r="B70" i="15"/>
  <c r="B69" i="15"/>
  <c r="B74" i="15"/>
  <c r="B68" i="15"/>
  <c r="P94" i="14" l="1"/>
  <c r="O94" i="14"/>
  <c r="N94" i="14"/>
  <c r="M94" i="14"/>
  <c r="K94" i="14"/>
  <c r="J94" i="14"/>
  <c r="I94" i="14"/>
  <c r="H94" i="14"/>
  <c r="G94" i="14"/>
  <c r="F94" i="14"/>
  <c r="E94" i="14"/>
  <c r="D94" i="14"/>
  <c r="C94" i="14"/>
  <c r="P93" i="14"/>
  <c r="O93" i="14"/>
  <c r="N93" i="14"/>
  <c r="M93" i="14"/>
  <c r="K93" i="14"/>
  <c r="J93" i="14"/>
  <c r="I93" i="14"/>
  <c r="H93" i="14"/>
  <c r="G93" i="14"/>
  <c r="F93" i="14"/>
  <c r="E93" i="14"/>
  <c r="D93" i="14"/>
  <c r="C93" i="14"/>
  <c r="P92" i="14"/>
  <c r="O92" i="14"/>
  <c r="N92" i="14"/>
  <c r="M92" i="14"/>
  <c r="K92" i="14"/>
  <c r="J92" i="14"/>
  <c r="I92" i="14"/>
  <c r="H92" i="14"/>
  <c r="G92" i="14"/>
  <c r="F92" i="14"/>
  <c r="E92" i="14"/>
  <c r="D92" i="14"/>
  <c r="C92" i="14"/>
  <c r="P91" i="14"/>
  <c r="O91" i="14"/>
  <c r="N91" i="14"/>
  <c r="M91" i="14"/>
  <c r="K91" i="14"/>
  <c r="J91" i="14"/>
  <c r="I91" i="14"/>
  <c r="H91" i="14"/>
  <c r="G91" i="14"/>
  <c r="F91" i="14"/>
  <c r="E91" i="14"/>
  <c r="D91" i="14"/>
  <c r="C91" i="14"/>
  <c r="P90" i="14"/>
  <c r="O90" i="14"/>
  <c r="N90" i="14"/>
  <c r="M90" i="14"/>
  <c r="K90" i="14"/>
  <c r="J90" i="14"/>
  <c r="I90" i="14"/>
  <c r="H90" i="14"/>
  <c r="G90" i="14"/>
  <c r="F90" i="14"/>
  <c r="E90" i="14"/>
  <c r="D90" i="14"/>
  <c r="C90" i="14"/>
  <c r="P89" i="14"/>
  <c r="O89" i="14"/>
  <c r="N89" i="14"/>
  <c r="M89" i="14"/>
  <c r="K89" i="14"/>
  <c r="J89" i="14"/>
  <c r="I89" i="14"/>
  <c r="H89" i="14"/>
  <c r="G89" i="14"/>
  <c r="F89" i="14"/>
  <c r="E89" i="14"/>
  <c r="D89" i="14"/>
  <c r="C89" i="14"/>
  <c r="P88" i="14"/>
  <c r="O88" i="14"/>
  <c r="N88" i="14"/>
  <c r="M88" i="14"/>
  <c r="K88" i="14"/>
  <c r="J88" i="14"/>
  <c r="I88" i="14"/>
  <c r="H88" i="14"/>
  <c r="G88" i="14"/>
  <c r="F88" i="14"/>
  <c r="E88" i="14"/>
  <c r="D88" i="14"/>
  <c r="C88" i="14"/>
  <c r="P87" i="14"/>
  <c r="O87" i="14"/>
  <c r="N87" i="14"/>
  <c r="M87" i="14"/>
  <c r="K87" i="14"/>
  <c r="J87" i="14"/>
  <c r="I87" i="14"/>
  <c r="H87" i="14"/>
  <c r="G87" i="14"/>
  <c r="F87" i="14"/>
  <c r="E87" i="14"/>
  <c r="D87" i="14"/>
  <c r="C87" i="14"/>
  <c r="P85" i="14"/>
  <c r="O85" i="14"/>
  <c r="N85" i="14"/>
  <c r="M85" i="14"/>
  <c r="K85" i="14"/>
  <c r="J85" i="14"/>
  <c r="I85" i="14"/>
  <c r="H85" i="14"/>
  <c r="G85" i="14"/>
  <c r="F85" i="14"/>
  <c r="E85" i="14"/>
  <c r="D85" i="14"/>
  <c r="C85" i="14"/>
  <c r="P84" i="14"/>
  <c r="O84" i="14"/>
  <c r="N84" i="14"/>
  <c r="M84" i="14"/>
  <c r="K84" i="14"/>
  <c r="J84" i="14"/>
  <c r="I84" i="14"/>
  <c r="H84" i="14"/>
  <c r="G84" i="14"/>
  <c r="F84" i="14"/>
  <c r="E84" i="14"/>
  <c r="D84" i="14"/>
  <c r="C84" i="14"/>
  <c r="P83" i="14"/>
  <c r="O83" i="14"/>
  <c r="N83" i="14"/>
  <c r="M83" i="14"/>
  <c r="K83" i="14"/>
  <c r="J83" i="14"/>
  <c r="I83" i="14"/>
  <c r="H83" i="14"/>
  <c r="G83" i="14"/>
  <c r="F83" i="14"/>
  <c r="E83" i="14"/>
  <c r="D83" i="14"/>
  <c r="C83" i="14"/>
  <c r="P82" i="14"/>
  <c r="O82" i="14"/>
  <c r="N82" i="14"/>
  <c r="M82" i="14"/>
  <c r="K82" i="14"/>
  <c r="J82" i="14"/>
  <c r="I82" i="14"/>
  <c r="H82" i="14"/>
  <c r="G82" i="14"/>
  <c r="F82" i="14"/>
  <c r="E82" i="14"/>
  <c r="D82" i="14"/>
  <c r="C82" i="14"/>
  <c r="P81" i="14"/>
  <c r="O81" i="14"/>
  <c r="N81" i="14"/>
  <c r="M81" i="14"/>
  <c r="K81" i="14"/>
  <c r="J81" i="14"/>
  <c r="I81" i="14"/>
  <c r="H81" i="14"/>
  <c r="G81" i="14"/>
  <c r="F81" i="14"/>
  <c r="E81" i="14"/>
  <c r="D81" i="14"/>
  <c r="C81" i="14"/>
  <c r="P80" i="14"/>
  <c r="O80" i="14"/>
  <c r="N80" i="14"/>
  <c r="M80" i="14"/>
  <c r="K80" i="14"/>
  <c r="J80" i="14"/>
  <c r="I80" i="14"/>
  <c r="H80" i="14"/>
  <c r="G80" i="14"/>
  <c r="F80" i="14"/>
  <c r="E80" i="14"/>
  <c r="D80" i="14"/>
  <c r="C80" i="14"/>
  <c r="P79" i="14"/>
  <c r="O79" i="14"/>
  <c r="N79" i="14"/>
  <c r="M79" i="14"/>
  <c r="K79" i="14"/>
  <c r="J79" i="14"/>
  <c r="I79" i="14"/>
  <c r="H79" i="14"/>
  <c r="G79" i="14"/>
  <c r="F79" i="14"/>
  <c r="E79" i="14"/>
  <c r="D79" i="14"/>
  <c r="C79" i="14"/>
  <c r="P78" i="14"/>
  <c r="O78" i="14"/>
  <c r="N78" i="14"/>
  <c r="M78" i="14"/>
  <c r="K78" i="14"/>
  <c r="J78" i="14"/>
  <c r="I78" i="14"/>
  <c r="H78" i="14"/>
  <c r="G78" i="14"/>
  <c r="F78" i="14"/>
  <c r="E78" i="14"/>
  <c r="D78" i="14"/>
  <c r="C78" i="14"/>
  <c r="P77" i="14"/>
  <c r="O77" i="14"/>
  <c r="N77" i="14"/>
  <c r="M77" i="14"/>
  <c r="K77" i="14"/>
  <c r="J77" i="14"/>
  <c r="I77" i="14"/>
  <c r="H77" i="14"/>
  <c r="G77" i="14"/>
  <c r="F77" i="14"/>
  <c r="E77" i="14"/>
  <c r="D77" i="14"/>
  <c r="C77" i="14"/>
  <c r="P76" i="14"/>
  <c r="O76" i="14"/>
  <c r="N76" i="14"/>
  <c r="M76" i="14"/>
  <c r="K76" i="14"/>
  <c r="J76" i="14"/>
  <c r="I76" i="14"/>
  <c r="H76" i="14"/>
  <c r="G76" i="14"/>
  <c r="F76" i="14"/>
  <c r="E76" i="14"/>
  <c r="D76" i="14"/>
  <c r="C76" i="14"/>
  <c r="P75" i="14"/>
  <c r="O75" i="14"/>
  <c r="N75" i="14"/>
  <c r="M75" i="14"/>
  <c r="K75" i="14"/>
  <c r="J75" i="14"/>
  <c r="I75" i="14"/>
  <c r="H75" i="14"/>
  <c r="G75" i="14"/>
  <c r="F75" i="14"/>
  <c r="E75" i="14"/>
  <c r="D75" i="14"/>
  <c r="C75" i="14"/>
  <c r="P74" i="14"/>
  <c r="O74" i="14"/>
  <c r="N74" i="14"/>
  <c r="M74" i="14"/>
  <c r="K74" i="14"/>
  <c r="J74" i="14"/>
  <c r="I74" i="14"/>
  <c r="H74" i="14"/>
  <c r="G74" i="14"/>
  <c r="F74" i="14"/>
  <c r="E74" i="14"/>
  <c r="D74" i="14"/>
  <c r="C74" i="14"/>
  <c r="P73" i="14"/>
  <c r="O73" i="14"/>
  <c r="N73" i="14"/>
  <c r="M73" i="14"/>
  <c r="K73" i="14"/>
  <c r="J73" i="14"/>
  <c r="I73" i="14"/>
  <c r="H73" i="14"/>
  <c r="G73" i="14"/>
  <c r="F73" i="14"/>
  <c r="E73" i="14"/>
  <c r="D73" i="14"/>
  <c r="C73" i="14"/>
  <c r="P72" i="14"/>
  <c r="O72" i="14"/>
  <c r="N72" i="14"/>
  <c r="M72" i="14"/>
  <c r="K72" i="14"/>
  <c r="J72" i="14"/>
  <c r="I72" i="14"/>
  <c r="H72" i="14"/>
  <c r="G72" i="14"/>
  <c r="F72" i="14"/>
  <c r="E72" i="14"/>
  <c r="D72" i="14"/>
  <c r="C72" i="14"/>
  <c r="P71" i="14"/>
  <c r="O71" i="14"/>
  <c r="N71" i="14"/>
  <c r="M71" i="14"/>
  <c r="K71" i="14"/>
  <c r="J71" i="14"/>
  <c r="I71" i="14"/>
  <c r="H71" i="14"/>
  <c r="G71" i="14"/>
  <c r="F71" i="14"/>
  <c r="E71" i="14"/>
  <c r="D71" i="14"/>
  <c r="C71" i="14"/>
  <c r="P70" i="14"/>
  <c r="O70" i="14"/>
  <c r="N70" i="14"/>
  <c r="M70" i="14"/>
  <c r="K70" i="14"/>
  <c r="J70" i="14"/>
  <c r="I70" i="14"/>
  <c r="H70" i="14"/>
  <c r="G70" i="14"/>
  <c r="F70" i="14"/>
  <c r="E70" i="14"/>
  <c r="D70" i="14"/>
  <c r="C70" i="14"/>
  <c r="P69" i="14"/>
  <c r="O69" i="14"/>
  <c r="N69" i="14"/>
  <c r="M69" i="14"/>
  <c r="K69" i="14"/>
  <c r="J69" i="14"/>
  <c r="I69" i="14"/>
  <c r="H69" i="14"/>
  <c r="G69" i="14"/>
  <c r="F69" i="14"/>
  <c r="E69" i="14"/>
  <c r="D69" i="14"/>
  <c r="C69" i="14"/>
  <c r="P68" i="14"/>
  <c r="O68" i="14"/>
  <c r="N68" i="14"/>
  <c r="M68" i="14"/>
  <c r="K68" i="14"/>
  <c r="J68" i="14"/>
  <c r="I68" i="14"/>
  <c r="H68" i="14"/>
  <c r="G68" i="14"/>
  <c r="F68" i="14"/>
  <c r="E68" i="14"/>
  <c r="D68" i="14"/>
  <c r="C68" i="14"/>
  <c r="B94" i="14"/>
  <c r="B93" i="14"/>
  <c r="B92" i="14"/>
  <c r="B90" i="14"/>
  <c r="B89" i="14"/>
  <c r="B88" i="14"/>
  <c r="B85" i="14"/>
  <c r="B84" i="14"/>
  <c r="B83" i="14"/>
  <c r="B82" i="14"/>
  <c r="B81" i="14"/>
  <c r="B80" i="14"/>
  <c r="B79" i="14"/>
  <c r="B78" i="14"/>
  <c r="B77" i="14"/>
  <c r="B76" i="14"/>
  <c r="B75" i="14"/>
  <c r="B73" i="14"/>
  <c r="B72" i="14"/>
  <c r="B71" i="14"/>
  <c r="B70" i="14"/>
  <c r="B69" i="14"/>
  <c r="B91" i="14"/>
  <c r="B87" i="14"/>
  <c r="B74" i="14"/>
  <c r="B68" i="14"/>
  <c r="O90" i="7" l="1"/>
  <c r="N90" i="7"/>
  <c r="M90" i="7"/>
  <c r="L90" i="7"/>
  <c r="K90" i="7"/>
  <c r="J90" i="7"/>
  <c r="I90" i="7"/>
  <c r="H90" i="7"/>
  <c r="G90" i="7"/>
  <c r="F90" i="7"/>
  <c r="E90" i="7"/>
  <c r="D90" i="7"/>
  <c r="C90" i="7"/>
  <c r="B90" i="7"/>
  <c r="O89" i="7"/>
  <c r="N89" i="7"/>
  <c r="M89" i="7"/>
  <c r="L89" i="7"/>
  <c r="K89" i="7"/>
  <c r="J89" i="7"/>
  <c r="I89" i="7"/>
  <c r="H89" i="7"/>
  <c r="G89" i="7"/>
  <c r="F89" i="7"/>
  <c r="E89" i="7"/>
  <c r="D89" i="7"/>
  <c r="C89" i="7"/>
  <c r="B89" i="7"/>
  <c r="O88" i="7"/>
  <c r="N88" i="7"/>
  <c r="M88" i="7"/>
  <c r="L88" i="7"/>
  <c r="K88" i="7"/>
  <c r="J88" i="7"/>
  <c r="I88" i="7"/>
  <c r="H88" i="7"/>
  <c r="G88" i="7"/>
  <c r="F88" i="7"/>
  <c r="E88" i="7"/>
  <c r="D88" i="7"/>
  <c r="C88" i="7"/>
  <c r="B88" i="7"/>
  <c r="O87" i="7"/>
  <c r="N87" i="7"/>
  <c r="M87" i="7"/>
  <c r="L87" i="7"/>
  <c r="K87" i="7"/>
  <c r="J87" i="7"/>
  <c r="I87" i="7"/>
  <c r="H87" i="7"/>
  <c r="G87" i="7"/>
  <c r="F87" i="7"/>
  <c r="E87" i="7"/>
  <c r="D87" i="7"/>
  <c r="C87" i="7"/>
  <c r="B87" i="7"/>
  <c r="O86" i="7"/>
  <c r="N86" i="7"/>
  <c r="M86" i="7"/>
  <c r="L86" i="7"/>
  <c r="K86" i="7"/>
  <c r="J86" i="7"/>
  <c r="I86" i="7"/>
  <c r="H86" i="7"/>
  <c r="G86" i="7"/>
  <c r="F86" i="7"/>
  <c r="E86" i="7"/>
  <c r="D86" i="7"/>
  <c r="C86" i="7"/>
  <c r="B86" i="7"/>
  <c r="O85" i="7"/>
  <c r="N85" i="7"/>
  <c r="M85" i="7"/>
  <c r="L85" i="7"/>
  <c r="K85" i="7"/>
  <c r="J85" i="7"/>
  <c r="I85" i="7"/>
  <c r="H85" i="7"/>
  <c r="G85" i="7"/>
  <c r="F85" i="7"/>
  <c r="E85" i="7"/>
  <c r="D85" i="7"/>
  <c r="C85" i="7"/>
  <c r="B85" i="7"/>
  <c r="O84" i="7"/>
  <c r="N84" i="7"/>
  <c r="M84" i="7"/>
  <c r="L84" i="7"/>
  <c r="K84" i="7"/>
  <c r="J84" i="7"/>
  <c r="I84" i="7"/>
  <c r="H84" i="7"/>
  <c r="G84" i="7"/>
  <c r="F84" i="7"/>
  <c r="E84" i="7"/>
  <c r="D84" i="7"/>
  <c r="C84" i="7"/>
  <c r="B84" i="7"/>
  <c r="O83" i="7"/>
  <c r="N83" i="7"/>
  <c r="M83" i="7"/>
  <c r="L83" i="7"/>
  <c r="K83" i="7"/>
  <c r="J83" i="7"/>
  <c r="I83" i="7"/>
  <c r="H83" i="7"/>
  <c r="G83" i="7"/>
  <c r="F83" i="7"/>
  <c r="E83" i="7"/>
  <c r="D83" i="7"/>
  <c r="C83" i="7"/>
  <c r="B83" i="7"/>
  <c r="O81" i="7"/>
  <c r="N81" i="7"/>
  <c r="M81" i="7"/>
  <c r="L81" i="7"/>
  <c r="K81" i="7"/>
  <c r="J81" i="7"/>
  <c r="I81" i="7"/>
  <c r="H81" i="7"/>
  <c r="G81" i="7"/>
  <c r="F81" i="7"/>
  <c r="E81" i="7"/>
  <c r="D81" i="7"/>
  <c r="C81" i="7"/>
  <c r="B81" i="7"/>
  <c r="O80" i="7"/>
  <c r="N80" i="7"/>
  <c r="M80" i="7"/>
  <c r="L80" i="7"/>
  <c r="K80" i="7"/>
  <c r="J80" i="7"/>
  <c r="I80" i="7"/>
  <c r="H80" i="7"/>
  <c r="G80" i="7"/>
  <c r="F80" i="7"/>
  <c r="E80" i="7"/>
  <c r="D80" i="7"/>
  <c r="C80" i="7"/>
  <c r="B80" i="7"/>
  <c r="O79" i="7"/>
  <c r="N79" i="7"/>
  <c r="M79" i="7"/>
  <c r="L79" i="7"/>
  <c r="K79" i="7"/>
  <c r="J79" i="7"/>
  <c r="I79" i="7"/>
  <c r="H79" i="7"/>
  <c r="G79" i="7"/>
  <c r="F79" i="7"/>
  <c r="E79" i="7"/>
  <c r="D79" i="7"/>
  <c r="C79" i="7"/>
  <c r="B79" i="7"/>
  <c r="O78" i="7"/>
  <c r="N78" i="7"/>
  <c r="M78" i="7"/>
  <c r="L78" i="7"/>
  <c r="K78" i="7"/>
  <c r="J78" i="7"/>
  <c r="I78" i="7"/>
  <c r="H78" i="7"/>
  <c r="G78" i="7"/>
  <c r="F78" i="7"/>
  <c r="E78" i="7"/>
  <c r="D78" i="7"/>
  <c r="C78" i="7"/>
  <c r="B78" i="7"/>
  <c r="O77" i="7"/>
  <c r="N77" i="7"/>
  <c r="M77" i="7"/>
  <c r="L77" i="7"/>
  <c r="K77" i="7"/>
  <c r="J77" i="7"/>
  <c r="I77" i="7"/>
  <c r="H77" i="7"/>
  <c r="G77" i="7"/>
  <c r="F77" i="7"/>
  <c r="E77" i="7"/>
  <c r="D77" i="7"/>
  <c r="C77" i="7"/>
  <c r="B77" i="7"/>
  <c r="O76" i="7"/>
  <c r="N76" i="7"/>
  <c r="M76" i="7"/>
  <c r="L76" i="7"/>
  <c r="K76" i="7"/>
  <c r="J76" i="7"/>
  <c r="I76" i="7"/>
  <c r="H76" i="7"/>
  <c r="G76" i="7"/>
  <c r="F76" i="7"/>
  <c r="E76" i="7"/>
  <c r="D76" i="7"/>
  <c r="C76" i="7"/>
  <c r="B76" i="7"/>
  <c r="O75" i="7"/>
  <c r="N75" i="7"/>
  <c r="M75" i="7"/>
  <c r="L75" i="7"/>
  <c r="K75" i="7"/>
  <c r="J75" i="7"/>
  <c r="I75" i="7"/>
  <c r="H75" i="7"/>
  <c r="G75" i="7"/>
  <c r="F75" i="7"/>
  <c r="E75" i="7"/>
  <c r="D75" i="7"/>
  <c r="C75" i="7"/>
  <c r="B75" i="7"/>
  <c r="O74" i="7"/>
  <c r="N74" i="7"/>
  <c r="M74" i="7"/>
  <c r="L74" i="7"/>
  <c r="K74" i="7"/>
  <c r="J74" i="7"/>
  <c r="I74" i="7"/>
  <c r="H74" i="7"/>
  <c r="G74" i="7"/>
  <c r="F74" i="7"/>
  <c r="E74" i="7"/>
  <c r="D74" i="7"/>
  <c r="C74" i="7"/>
  <c r="B74" i="7"/>
  <c r="O73" i="7"/>
  <c r="N73" i="7"/>
  <c r="M73" i="7"/>
  <c r="L73" i="7"/>
  <c r="K73" i="7"/>
  <c r="J73" i="7"/>
  <c r="I73" i="7"/>
  <c r="H73" i="7"/>
  <c r="G73" i="7"/>
  <c r="F73" i="7"/>
  <c r="E73" i="7"/>
  <c r="D73" i="7"/>
  <c r="C73" i="7"/>
  <c r="B73" i="7"/>
  <c r="O72" i="7"/>
  <c r="N72" i="7"/>
  <c r="M72" i="7"/>
  <c r="L72" i="7"/>
  <c r="K72" i="7"/>
  <c r="J72" i="7"/>
  <c r="I72" i="7"/>
  <c r="H72" i="7"/>
  <c r="G72" i="7"/>
  <c r="F72" i="7"/>
  <c r="E72" i="7"/>
  <c r="D72" i="7"/>
  <c r="C72" i="7"/>
  <c r="B72" i="7"/>
  <c r="O71" i="7"/>
  <c r="N71" i="7"/>
  <c r="M71" i="7"/>
  <c r="L71" i="7"/>
  <c r="K71" i="7"/>
  <c r="J71" i="7"/>
  <c r="I71" i="7"/>
  <c r="H71" i="7"/>
  <c r="G71" i="7"/>
  <c r="F71" i="7"/>
  <c r="E71" i="7"/>
  <c r="D71" i="7"/>
  <c r="C71" i="7"/>
  <c r="B71" i="7"/>
  <c r="O70" i="7"/>
  <c r="N70" i="7"/>
  <c r="M70" i="7"/>
  <c r="L70" i="7"/>
  <c r="K70" i="7"/>
  <c r="J70" i="7"/>
  <c r="I70" i="7"/>
  <c r="H70" i="7"/>
  <c r="G70" i="7"/>
  <c r="F70" i="7"/>
  <c r="E70" i="7"/>
  <c r="D70" i="7"/>
  <c r="C70" i="7"/>
  <c r="B70" i="7"/>
  <c r="O69" i="7"/>
  <c r="N69" i="7"/>
  <c r="M69" i="7"/>
  <c r="L69" i="7"/>
  <c r="K69" i="7"/>
  <c r="J69" i="7"/>
  <c r="I69" i="7"/>
  <c r="H69" i="7"/>
  <c r="G69" i="7"/>
  <c r="F69" i="7"/>
  <c r="E69" i="7"/>
  <c r="D69" i="7"/>
  <c r="C69" i="7"/>
  <c r="B69" i="7"/>
  <c r="O68" i="7"/>
  <c r="N68" i="7"/>
  <c r="M68" i="7"/>
  <c r="L68" i="7"/>
  <c r="K68" i="7"/>
  <c r="J68" i="7"/>
  <c r="I68" i="7"/>
  <c r="H68" i="7"/>
  <c r="G68" i="7"/>
  <c r="F68" i="7"/>
  <c r="E68" i="7"/>
  <c r="D68" i="7"/>
  <c r="C68" i="7"/>
  <c r="B68" i="7"/>
  <c r="O67" i="7"/>
  <c r="N67" i="7"/>
  <c r="M67" i="7"/>
  <c r="L67" i="7"/>
  <c r="K67" i="7"/>
  <c r="J67" i="7"/>
  <c r="I67" i="7"/>
  <c r="H67" i="7"/>
  <c r="G67" i="7"/>
  <c r="F67" i="7"/>
  <c r="E67" i="7"/>
  <c r="D67" i="7"/>
  <c r="C67" i="7"/>
  <c r="B67" i="7"/>
  <c r="O66" i="7"/>
  <c r="N66" i="7"/>
  <c r="M66" i="7"/>
  <c r="L66" i="7"/>
  <c r="K66" i="7"/>
  <c r="J66" i="7"/>
  <c r="I66" i="7"/>
  <c r="H66" i="7"/>
  <c r="G66" i="7"/>
  <c r="F66" i="7"/>
  <c r="E66" i="7"/>
  <c r="D66" i="7"/>
  <c r="C66" i="7"/>
  <c r="B66" i="7"/>
  <c r="O65" i="7"/>
  <c r="N65" i="7"/>
  <c r="M65" i="7"/>
  <c r="L65" i="7"/>
  <c r="K65" i="7"/>
  <c r="J65" i="7"/>
  <c r="I65" i="7"/>
  <c r="H65" i="7"/>
  <c r="G65" i="7"/>
  <c r="F65" i="7"/>
  <c r="E65" i="7"/>
  <c r="D65" i="7"/>
  <c r="C65" i="7"/>
  <c r="B65" i="7"/>
  <c r="O64" i="7"/>
  <c r="N64" i="7"/>
  <c r="M64" i="7"/>
  <c r="L64" i="7"/>
  <c r="K64" i="7"/>
  <c r="J64" i="7"/>
  <c r="I64" i="7"/>
  <c r="H64" i="7"/>
  <c r="G64" i="7"/>
  <c r="F64" i="7"/>
  <c r="E64" i="7"/>
  <c r="D64" i="7"/>
  <c r="C64" i="7"/>
  <c r="B64" i="7"/>
  <c r="B49" i="37"/>
  <c r="B58" i="37" s="1"/>
  <c r="C49" i="37"/>
  <c r="C57" i="37" s="1"/>
  <c r="D49" i="37"/>
  <c r="D59" i="37" s="1"/>
  <c r="E49" i="37"/>
  <c r="E59" i="37" s="1"/>
  <c r="F49" i="37"/>
  <c r="F59" i="37" s="1"/>
  <c r="G49" i="37"/>
  <c r="G59" i="37" s="1"/>
  <c r="H49" i="37"/>
  <c r="H57" i="37" s="1"/>
  <c r="I49" i="37"/>
  <c r="I57" i="37" s="1"/>
  <c r="J49" i="37"/>
  <c r="J58" i="37" s="1"/>
  <c r="K49" i="37"/>
  <c r="K58" i="37" s="1"/>
  <c r="L49" i="37"/>
  <c r="L59" i="37" s="1"/>
  <c r="M49" i="37"/>
  <c r="M59" i="37" s="1"/>
  <c r="N49" i="37"/>
  <c r="N59" i="37" s="1"/>
  <c r="O49" i="37"/>
  <c r="O59" i="37" s="1"/>
  <c r="B51" i="37"/>
  <c r="C52" i="37"/>
  <c r="D53" i="37"/>
  <c r="E55" i="37"/>
  <c r="F51" i="37"/>
  <c r="G55" i="37"/>
  <c r="H52" i="37"/>
  <c r="I54" i="37"/>
  <c r="J55" i="37"/>
  <c r="K55" i="37"/>
  <c r="M51" i="37"/>
  <c r="N52" i="37"/>
  <c r="O53" i="37"/>
  <c r="O27" i="37"/>
  <c r="N27" i="37"/>
  <c r="L27" i="37"/>
  <c r="G27" i="37"/>
  <c r="F27" i="37"/>
  <c r="D27" i="37"/>
  <c r="B27" i="37"/>
  <c r="M26" i="37"/>
  <c r="J26" i="37"/>
  <c r="I26" i="37"/>
  <c r="E26" i="37"/>
  <c r="B26" i="37"/>
  <c r="O25" i="37"/>
  <c r="M25" i="37"/>
  <c r="J25" i="37"/>
  <c r="H25" i="37"/>
  <c r="G25" i="37"/>
  <c r="E25" i="37"/>
  <c r="B25" i="37"/>
  <c r="O23" i="37"/>
  <c r="N23" i="37"/>
  <c r="M23" i="37"/>
  <c r="I23" i="37"/>
  <c r="H23" i="37"/>
  <c r="G23" i="37"/>
  <c r="F23" i="37"/>
  <c r="E23" i="37"/>
  <c r="D23" i="37"/>
  <c r="C23" i="37"/>
  <c r="B23" i="37"/>
  <c r="O22" i="37"/>
  <c r="N22" i="37"/>
  <c r="M22" i="37"/>
  <c r="I22" i="37"/>
  <c r="H22" i="37"/>
  <c r="G22" i="37"/>
  <c r="F22" i="37"/>
  <c r="E22" i="37"/>
  <c r="D22" i="37"/>
  <c r="C22" i="37"/>
  <c r="B22" i="37"/>
  <c r="O21" i="37"/>
  <c r="N21" i="37"/>
  <c r="M21" i="37"/>
  <c r="I21" i="37"/>
  <c r="H21" i="37"/>
  <c r="G21" i="37"/>
  <c r="F21" i="37"/>
  <c r="E21" i="37"/>
  <c r="D21" i="37"/>
  <c r="C21" i="37"/>
  <c r="B21" i="37"/>
  <c r="O20" i="37"/>
  <c r="N20" i="37"/>
  <c r="M20" i="37"/>
  <c r="I20" i="37"/>
  <c r="H20" i="37"/>
  <c r="G20" i="37"/>
  <c r="F20" i="37"/>
  <c r="E20" i="37"/>
  <c r="D20" i="37"/>
  <c r="C20" i="37"/>
  <c r="B20" i="37"/>
  <c r="O19" i="37"/>
  <c r="N19" i="37"/>
  <c r="M19" i="37"/>
  <c r="K19" i="37"/>
  <c r="I19" i="37"/>
  <c r="H19" i="37"/>
  <c r="G19" i="37"/>
  <c r="F19" i="37"/>
  <c r="E19" i="37"/>
  <c r="D19" i="37"/>
  <c r="C19" i="37"/>
  <c r="B19" i="37"/>
  <c r="C27" i="37"/>
  <c r="D25" i="37"/>
  <c r="E27" i="37"/>
  <c r="F26" i="37"/>
  <c r="G26" i="37"/>
  <c r="H27" i="37"/>
  <c r="I27" i="37"/>
  <c r="J27" i="37"/>
  <c r="K27" i="37"/>
  <c r="L25" i="37"/>
  <c r="M27" i="37"/>
  <c r="N26" i="37"/>
  <c r="O26" i="37"/>
  <c r="J23" i="37"/>
  <c r="K23" i="37"/>
  <c r="O51" i="3"/>
  <c r="N51" i="3"/>
  <c r="M51" i="3"/>
  <c r="L51" i="3"/>
  <c r="K51" i="3"/>
  <c r="J51" i="3"/>
  <c r="I51" i="3"/>
  <c r="H51" i="3"/>
  <c r="G51" i="3"/>
  <c r="F51" i="3"/>
  <c r="E51" i="3"/>
  <c r="D51" i="3"/>
  <c r="C51" i="3"/>
  <c r="B51" i="3"/>
  <c r="O50" i="3"/>
  <c r="M50" i="3"/>
  <c r="E50" i="3"/>
  <c r="D50" i="3"/>
  <c r="O49" i="3"/>
  <c r="N49" i="3"/>
  <c r="M49" i="3"/>
  <c r="I49" i="3"/>
  <c r="H49" i="3"/>
  <c r="G49" i="3"/>
  <c r="F49" i="3"/>
  <c r="E49" i="3"/>
  <c r="D49" i="3"/>
  <c r="C49" i="3"/>
  <c r="B49" i="3"/>
  <c r="O48" i="3"/>
  <c r="N48" i="3"/>
  <c r="M48" i="3"/>
  <c r="J48" i="3"/>
  <c r="I48" i="3"/>
  <c r="H48" i="3"/>
  <c r="G48" i="3"/>
  <c r="F48" i="3"/>
  <c r="E48" i="3"/>
  <c r="D48" i="3"/>
  <c r="C48" i="3"/>
  <c r="B48" i="3"/>
  <c r="O47" i="3"/>
  <c r="N47" i="3"/>
  <c r="M47" i="3"/>
  <c r="L47" i="3"/>
  <c r="K47" i="3"/>
  <c r="J47" i="3"/>
  <c r="I47" i="3"/>
  <c r="H47" i="3"/>
  <c r="G47" i="3"/>
  <c r="F47" i="3"/>
  <c r="E47" i="3"/>
  <c r="D47" i="3"/>
  <c r="C47" i="3"/>
  <c r="B47" i="3"/>
  <c r="O46" i="3"/>
  <c r="N46" i="3"/>
  <c r="M46" i="3"/>
  <c r="L46" i="3"/>
  <c r="K46" i="3"/>
  <c r="J46" i="3"/>
  <c r="I46" i="3"/>
  <c r="H46" i="3"/>
  <c r="G46" i="3"/>
  <c r="F46" i="3"/>
  <c r="E46" i="3"/>
  <c r="D46" i="3"/>
  <c r="C46" i="3"/>
  <c r="B46" i="3"/>
  <c r="O21" i="3"/>
  <c r="N21" i="3"/>
  <c r="M21" i="3"/>
  <c r="L21" i="3"/>
  <c r="K21" i="3"/>
  <c r="J21" i="3"/>
  <c r="I21" i="3"/>
  <c r="H21" i="3"/>
  <c r="G21" i="3"/>
  <c r="F21" i="3"/>
  <c r="E21" i="3"/>
  <c r="D21" i="3"/>
  <c r="C21" i="3"/>
  <c r="B21" i="3"/>
  <c r="O20" i="3"/>
  <c r="M20" i="3"/>
  <c r="E20" i="3"/>
  <c r="D20" i="3"/>
  <c r="O19" i="3"/>
  <c r="N19" i="3"/>
  <c r="M19" i="3"/>
  <c r="I19" i="3"/>
  <c r="H19" i="3"/>
  <c r="G19" i="3"/>
  <c r="F19" i="3"/>
  <c r="E19" i="3"/>
  <c r="D19" i="3"/>
  <c r="C19" i="3"/>
  <c r="B19" i="3"/>
  <c r="O18" i="3"/>
  <c r="N18" i="3"/>
  <c r="M18" i="3"/>
  <c r="J18" i="3"/>
  <c r="I18" i="3"/>
  <c r="H18" i="3"/>
  <c r="G18" i="3"/>
  <c r="F18" i="3"/>
  <c r="E18" i="3"/>
  <c r="D18" i="3"/>
  <c r="C18" i="3"/>
  <c r="B18" i="3"/>
  <c r="O17" i="3"/>
  <c r="N17" i="3"/>
  <c r="M17" i="3"/>
  <c r="L17" i="3"/>
  <c r="K17" i="3"/>
  <c r="J17" i="3"/>
  <c r="I17" i="3"/>
  <c r="H17" i="3"/>
  <c r="G17" i="3"/>
  <c r="F17" i="3"/>
  <c r="E17" i="3"/>
  <c r="D17" i="3"/>
  <c r="C17" i="3"/>
  <c r="B17" i="3"/>
  <c r="O16" i="3"/>
  <c r="N16" i="3"/>
  <c r="M16" i="3"/>
  <c r="L16" i="3"/>
  <c r="K16" i="3"/>
  <c r="J16" i="3"/>
  <c r="I16" i="3"/>
  <c r="H16" i="3"/>
  <c r="G16" i="3"/>
  <c r="F16" i="3"/>
  <c r="E16" i="3"/>
  <c r="D16" i="3"/>
  <c r="C16" i="3"/>
  <c r="B16" i="3"/>
  <c r="I58" i="37" l="1"/>
  <c r="F58" i="37"/>
  <c r="E58" i="37"/>
  <c r="N57" i="37"/>
  <c r="K59" i="37"/>
  <c r="L57" i="37"/>
  <c r="H59" i="37"/>
  <c r="F57" i="37"/>
  <c r="C59" i="37"/>
  <c r="E57" i="37"/>
  <c r="N58" i="37"/>
  <c r="D57" i="37"/>
  <c r="M58" i="37"/>
  <c r="C55" i="37"/>
  <c r="N51" i="37"/>
  <c r="E51" i="37"/>
  <c r="N54" i="37"/>
  <c r="G51" i="37"/>
  <c r="G54" i="37"/>
  <c r="G52" i="37"/>
  <c r="D54" i="37"/>
  <c r="D51" i="37"/>
  <c r="F53" i="37"/>
  <c r="E53" i="37"/>
  <c r="C53" i="37"/>
  <c r="M52" i="37"/>
  <c r="G57" i="37"/>
  <c r="O57" i="37"/>
  <c r="H58" i="37"/>
  <c r="B59" i="37"/>
  <c r="J59" i="37"/>
  <c r="M57" i="37"/>
  <c r="G58" i="37"/>
  <c r="O58" i="37"/>
  <c r="I59" i="37"/>
  <c r="K57" i="37"/>
  <c r="B57" i="37"/>
  <c r="J57" i="37"/>
  <c r="D58" i="37"/>
  <c r="L58" i="37"/>
  <c r="C58" i="37"/>
  <c r="F55" i="37"/>
  <c r="F52" i="37"/>
  <c r="C54" i="37"/>
  <c r="B52" i="37"/>
  <c r="N53" i="37"/>
  <c r="O55" i="37"/>
  <c r="C51" i="37"/>
  <c r="O51" i="37"/>
  <c r="G53" i="37"/>
  <c r="C25" i="37"/>
  <c r="K25" i="37"/>
  <c r="D26" i="37"/>
  <c r="L26" i="37"/>
  <c r="I25" i="37"/>
  <c r="C26" i="37"/>
  <c r="K26" i="37"/>
  <c r="F25" i="37"/>
  <c r="N25" i="37"/>
  <c r="H26" i="37"/>
  <c r="I51" i="37"/>
  <c r="H54" i="37"/>
  <c r="D55" i="37"/>
  <c r="H51" i="37"/>
  <c r="E52" i="37"/>
  <c r="B53" i="37"/>
  <c r="M53" i="37"/>
  <c r="N55" i="37"/>
  <c r="D52" i="37"/>
  <c r="O52" i="37"/>
  <c r="I53" i="37"/>
  <c r="F54" i="37"/>
  <c r="B55" i="37"/>
  <c r="M55" i="37"/>
  <c r="H53" i="37"/>
  <c r="E54" i="37"/>
  <c r="O54" i="37"/>
  <c r="I55" i="37"/>
  <c r="H55" i="37"/>
  <c r="M54" i="37"/>
  <c r="I52" i="37"/>
  <c r="B54" i="37"/>
  <c r="J54" i="37"/>
  <c r="K51" i="37"/>
  <c r="J51" i="37"/>
  <c r="J53" i="37"/>
  <c r="J22" i="37"/>
  <c r="J19" i="37"/>
  <c r="J21" i="37"/>
</calcChain>
</file>

<file path=xl/sharedStrings.xml><?xml version="1.0" encoding="utf-8"?>
<sst xmlns="http://schemas.openxmlformats.org/spreadsheetml/2006/main" count="11566" uniqueCount="1006">
  <si>
    <t>recettes réelles de fonctionnement</t>
  </si>
  <si>
    <t xml:space="preserve">Epargne brute : excédent des recettes réelles de fonctionnement sur les dépenses réelles de fonctionnement. </t>
  </si>
  <si>
    <t>T 5.1</t>
  </si>
  <si>
    <t>T 5.2</t>
  </si>
  <si>
    <t>T 5.3</t>
  </si>
  <si>
    <t>T 5.4</t>
  </si>
  <si>
    <t>En nombre d'années</t>
  </si>
  <si>
    <t>T 5.5</t>
  </si>
  <si>
    <r>
      <t>Dépenses réelles totales</t>
    </r>
    <r>
      <rPr>
        <sz val="10"/>
        <color indexed="12"/>
        <rFont val="Arial"/>
        <family val="2"/>
      </rPr>
      <t xml:space="preserve"> hors gestion active de la dette :</t>
    </r>
    <r>
      <rPr>
        <sz val="10"/>
        <rFont val="Arial"/>
        <family val="2"/>
      </rPr>
      <t xml:space="preserve"> </t>
    </r>
    <r>
      <rPr>
        <sz val="10"/>
        <rFont val="Arial"/>
        <family val="2"/>
      </rPr>
      <t>somme des dépenses réelles de fonctionnement et des dépenses réelles d'investissement.</t>
    </r>
  </si>
  <si>
    <r>
      <t xml:space="preserve">Recettes réelles totales </t>
    </r>
    <r>
      <rPr>
        <sz val="10"/>
        <color indexed="12"/>
        <rFont val="Arial"/>
        <family val="2"/>
      </rPr>
      <t>hors gestion active de la dette :</t>
    </r>
    <r>
      <rPr>
        <sz val="10"/>
        <rFont val="Arial"/>
        <family val="2"/>
      </rPr>
      <t xml:space="preserve"> sommes des recettes de fonctionnement et des recettes réelles d'investissement.</t>
    </r>
  </si>
  <si>
    <t>Sources et définitions des grandeurs comptables utilisées</t>
  </si>
  <si>
    <t>6 – Emprunts réalisés hors gestion active de la dette / population</t>
  </si>
  <si>
    <t>Niveau des dépenses d'investissement réalisées, en euros par habitant.</t>
  </si>
  <si>
    <t>Epargne brute : excédent des recettes réelles de fonctionnement sur les dépenses réelles de fonctionnement.</t>
  </si>
  <si>
    <t>Emprunts réalisés : recettes du compte 16 calculées hors gestion active de la dette.</t>
  </si>
  <si>
    <t>Produit des emprunts réalisés, en euros par habitant.</t>
  </si>
  <si>
    <t>Evaluation de l'effort d'équipement, en euros par habitant.</t>
  </si>
  <si>
    <t>Parmi les communes touristiques, on distingue les catégories suivantes :</t>
  </si>
  <si>
    <t>Population</t>
  </si>
  <si>
    <t>T 2.1</t>
  </si>
  <si>
    <t>T 2.2</t>
  </si>
  <si>
    <t>T 2.3</t>
  </si>
  <si>
    <t xml:space="preserve">           - supports de stations de sports d'hiver</t>
  </si>
  <si>
    <t>en %</t>
  </si>
  <si>
    <t>T 3</t>
  </si>
  <si>
    <t>T 4.1</t>
  </si>
  <si>
    <t>T 4.2</t>
  </si>
  <si>
    <t>T 4.3</t>
  </si>
  <si>
    <t>T 4.4</t>
  </si>
  <si>
    <t>T 4.5</t>
  </si>
  <si>
    <t>T 4.6</t>
  </si>
  <si>
    <t>T 4.7</t>
  </si>
  <si>
    <t>T 4.8</t>
  </si>
  <si>
    <t>Part des dépenses réelles de fonctionnement affectée aux frais de personnel.</t>
  </si>
  <si>
    <t>Les dépenses d'investissement sont calculées hors gestion active de la dette.</t>
  </si>
  <si>
    <t>Moins</t>
  </si>
  <si>
    <t>De 500</t>
  </si>
  <si>
    <t>De 2 000</t>
  </si>
  <si>
    <t>De 3 500</t>
  </si>
  <si>
    <t>De 5 000</t>
  </si>
  <si>
    <t>à moins de</t>
  </si>
  <si>
    <t>communes</t>
  </si>
  <si>
    <t>10 000 hab.</t>
  </si>
  <si>
    <t>habitants</t>
  </si>
  <si>
    <t>2 000 hab.</t>
  </si>
  <si>
    <t>3 500 hab.</t>
  </si>
  <si>
    <t>5 000 hab.</t>
  </si>
  <si>
    <t>Alsace</t>
  </si>
  <si>
    <t>Aquitaine</t>
  </si>
  <si>
    <t>Auvergne</t>
  </si>
  <si>
    <t>Bourgogne</t>
  </si>
  <si>
    <t>Bretagne</t>
  </si>
  <si>
    <t>Centre</t>
  </si>
  <si>
    <t>Champagne-Ardenne</t>
  </si>
  <si>
    <t>Corse</t>
  </si>
  <si>
    <t>Franche-Comté</t>
  </si>
  <si>
    <t>Languedoc-Roussillon</t>
  </si>
  <si>
    <t>Limousin</t>
  </si>
  <si>
    <t>Lorraine</t>
  </si>
  <si>
    <t>Midi-Pyrénées</t>
  </si>
  <si>
    <t>Nord-Pas-de-Calais</t>
  </si>
  <si>
    <t>Basse-Normandie</t>
  </si>
  <si>
    <t>Haute-Normandie</t>
  </si>
  <si>
    <t>Pays de la Loire</t>
  </si>
  <si>
    <t>Picardie</t>
  </si>
  <si>
    <t>Poitou-Charentes</t>
  </si>
  <si>
    <t>Rhône-Alpes</t>
  </si>
  <si>
    <t xml:space="preserve">France entière </t>
  </si>
  <si>
    <t>Strates</t>
  </si>
  <si>
    <t>Nombre</t>
  </si>
  <si>
    <t xml:space="preserve">de </t>
  </si>
  <si>
    <t>d'habitants</t>
  </si>
  <si>
    <t>De 500 à moins de 2 000 habitants</t>
  </si>
  <si>
    <t>De 2 000 à moins de 3 500 habitants</t>
  </si>
  <si>
    <t>De 3 500 à moins de 5 000 habitants</t>
  </si>
  <si>
    <t>De 5 000 à moins de 10 000 habitants</t>
  </si>
  <si>
    <t>Communes de moins de 10 000 habitants</t>
  </si>
  <si>
    <t>Ensemble</t>
  </si>
  <si>
    <r>
      <t>FA</t>
    </r>
    <r>
      <rPr>
        <sz val="8"/>
        <rFont val="Arial"/>
        <family val="2"/>
      </rPr>
      <t xml:space="preserve">: Fiscalité Additionnelle ; </t>
    </r>
    <r>
      <rPr>
        <b/>
        <sz val="8"/>
        <rFont val="Arial"/>
        <family val="2"/>
      </rPr>
      <t>FPU</t>
    </r>
    <r>
      <rPr>
        <sz val="8"/>
        <rFont val="Arial"/>
        <family val="2"/>
      </rPr>
      <t>: Fiscalité Professionnelle Unique ;</t>
    </r>
  </si>
  <si>
    <t>Impôts et taxes</t>
  </si>
  <si>
    <t>En millions d'euros</t>
  </si>
  <si>
    <t>Hors gestion active de la dette</t>
  </si>
  <si>
    <t>Evolutions en %</t>
  </si>
  <si>
    <t>communes de</t>
  </si>
  <si>
    <t>T 1.1</t>
  </si>
  <si>
    <t>T 1.2</t>
  </si>
  <si>
    <t>T 1.3</t>
  </si>
  <si>
    <t>T 1.4</t>
  </si>
  <si>
    <t xml:space="preserve">Communes de moins </t>
  </si>
  <si>
    <t>de 10 000 habitants</t>
  </si>
  <si>
    <t>France entière</t>
  </si>
  <si>
    <t>Métropole</t>
  </si>
  <si>
    <t>Ile-de-France</t>
  </si>
  <si>
    <t>Provence-Alpes-Côte d'Azur</t>
  </si>
  <si>
    <t>Outre-Mer</t>
  </si>
  <si>
    <t>- à une CU à FA</t>
  </si>
  <si>
    <t>- à une CC à FA</t>
  </si>
  <si>
    <t>- à une CC à FPU</t>
  </si>
  <si>
    <t>En €/hab.</t>
  </si>
  <si>
    <t>En %</t>
  </si>
  <si>
    <t>Part relative des ventes de produits, prestations de services, marchandises dans le total des recettes de fonctionnement.</t>
  </si>
  <si>
    <t>Evaluation de l'endettement total en fin d'exercice, en euros par habitant.</t>
  </si>
  <si>
    <t>-</t>
  </si>
  <si>
    <t xml:space="preserve">Département des Etudes et Statistiques Locales - DGCL </t>
  </si>
  <si>
    <t>►</t>
  </si>
  <si>
    <t>:</t>
  </si>
  <si>
    <t>Abréviations :</t>
  </si>
  <si>
    <t>- M€ : millions d'€</t>
  </si>
  <si>
    <t>- n.s. : non-significatif</t>
  </si>
  <si>
    <t>- n.d. : non-disponible</t>
  </si>
  <si>
    <t>100 000 habitants et plus</t>
  </si>
  <si>
    <t>De 200 à moins de 500 habitants</t>
  </si>
  <si>
    <t>De 100 à moins de 200 habitants</t>
  </si>
  <si>
    <t xml:space="preserve">Moins de 100 habitants </t>
  </si>
  <si>
    <t>Ensemble des communes (y compris Paris)</t>
  </si>
  <si>
    <t>moyenne des</t>
  </si>
  <si>
    <t>budgets</t>
  </si>
  <si>
    <t>communaux</t>
  </si>
  <si>
    <t>des communes</t>
  </si>
  <si>
    <t>Population des</t>
  </si>
  <si>
    <t>de 100</t>
  </si>
  <si>
    <t>De 100</t>
  </si>
  <si>
    <t>200 hab.</t>
  </si>
  <si>
    <t>De 200</t>
  </si>
  <si>
    <t>500 hab.</t>
  </si>
  <si>
    <t>De 10 000</t>
  </si>
  <si>
    <t>De 20 000</t>
  </si>
  <si>
    <t>De 50 000</t>
  </si>
  <si>
    <t>20 000 hab.</t>
  </si>
  <si>
    <t>50 000 hab.</t>
  </si>
  <si>
    <t>100 000 hab.</t>
  </si>
  <si>
    <t>et plus</t>
  </si>
  <si>
    <t>Grand Est</t>
  </si>
  <si>
    <t>Normandie</t>
  </si>
  <si>
    <t>Occitanie</t>
  </si>
  <si>
    <t>Île-de-France</t>
  </si>
  <si>
    <t>10 000 hab. et plus</t>
  </si>
  <si>
    <t>des</t>
  </si>
  <si>
    <t>de 10 000 hab.</t>
  </si>
  <si>
    <t>totale des</t>
  </si>
  <si>
    <t>REGIONS</t>
  </si>
  <si>
    <t>moins de 10 000 hab.</t>
  </si>
  <si>
    <t xml:space="preserve"> communes de</t>
  </si>
  <si>
    <t xml:space="preserve">communes de moins </t>
  </si>
  <si>
    <t>Nombre d'habitants par commune</t>
  </si>
  <si>
    <t>Taille moyenne des</t>
  </si>
  <si>
    <t>Taille</t>
  </si>
  <si>
    <t>Strate des communes</t>
  </si>
  <si>
    <t xml:space="preserve">    - Autres communes touristiques de montagne </t>
  </si>
  <si>
    <t xml:space="preserve">    - Autres communes touristiques </t>
  </si>
  <si>
    <t xml:space="preserve">    - Communes de montagne</t>
  </si>
  <si>
    <t xml:space="preserve">    - Communes hors montagne</t>
  </si>
  <si>
    <t>Budgets des communes appartenant à :</t>
  </si>
  <si>
    <t xml:space="preserve"> Communes rurales</t>
  </si>
  <si>
    <t xml:space="preserve">  CC à FPU</t>
  </si>
  <si>
    <t xml:space="preserve">  CC à FA</t>
  </si>
  <si>
    <t xml:space="preserve"> Communes urbaines</t>
  </si>
  <si>
    <t>Nombre d'habitants des communes appartenant à :</t>
  </si>
  <si>
    <t>Pourcentage d'habitants des communes appartenant à :</t>
  </si>
  <si>
    <t>T 1.5</t>
  </si>
  <si>
    <t>DÉPENSES DE FONCTIONNEMENT (1)</t>
  </si>
  <si>
    <t>Achats et charges externes</t>
  </si>
  <si>
    <t>Frais de personnel</t>
  </si>
  <si>
    <t>Charges financières</t>
  </si>
  <si>
    <t>Dépenses d'intervention</t>
  </si>
  <si>
    <t>Autres dépenses de fonctionnement</t>
  </si>
  <si>
    <t>RECETTES DE FONCTIONNEMENT (2)</t>
  </si>
  <si>
    <t>- Impôts locaux</t>
  </si>
  <si>
    <t>- Autres impôts et taxes</t>
  </si>
  <si>
    <t>Concours de l'État</t>
  </si>
  <si>
    <t>- DGF</t>
  </si>
  <si>
    <t>- Autres dotations</t>
  </si>
  <si>
    <t>Subventions reçues et participations</t>
  </si>
  <si>
    <t>Ventes de biens et services</t>
  </si>
  <si>
    <t>Autres recettes de fonctionnement</t>
  </si>
  <si>
    <t>Épargne brute (3) = (2)-(1)</t>
  </si>
  <si>
    <t>Épargne nette = (3)-(8)</t>
  </si>
  <si>
    <t>DÉPENSES D'INVESTISSEMENT hors remboursements (4)</t>
  </si>
  <si>
    <t>Dépenses d'équipement</t>
  </si>
  <si>
    <t>Subventions d'équipement versées</t>
  </si>
  <si>
    <t>Autres depenses d'investissement</t>
  </si>
  <si>
    <t>RECETTES D'INVESTISSEMENT hors emprunts (5)</t>
  </si>
  <si>
    <t>FCTVA</t>
  </si>
  <si>
    <t>Dotations et Subventions d'équipement</t>
  </si>
  <si>
    <t>Autres recettes d'investissement</t>
  </si>
  <si>
    <t>DÉPENSES TOTALES hors remboursements (6) = (1)+(4)</t>
  </si>
  <si>
    <t>RECETTES TOTALES hors emprunts (7) = (2)+(5)</t>
  </si>
  <si>
    <t>Capacité ou besoin de financement = (7)-(6)</t>
  </si>
  <si>
    <t>Remboursements de dette (8)</t>
  </si>
  <si>
    <t>Emprunts (9)</t>
  </si>
  <si>
    <t>Flux net de dette = (9)-(8)</t>
  </si>
  <si>
    <t>DÉPENSES TOTALES (10)=(6)+(8)</t>
  </si>
  <si>
    <t>RECETTES TOTALES (11)=(7)+(9)</t>
  </si>
  <si>
    <t>Variation du fonds de roulement = (11)-(10)</t>
  </si>
  <si>
    <t>Ratios</t>
  </si>
  <si>
    <t>Taux d'épargne brute = (3) / (2)</t>
  </si>
  <si>
    <t xml:space="preserve">Taux d'épargne nette = [(3)-(8)] / (2) </t>
  </si>
  <si>
    <t>Taux d'endettement = (12) / (2)</t>
  </si>
  <si>
    <t>Opérations réelles</t>
  </si>
  <si>
    <t>(dont : fiscalité reversée)</t>
  </si>
  <si>
    <t>Structure de fonctionnement</t>
  </si>
  <si>
    <t>Structure d'investissement</t>
  </si>
  <si>
    <t>Source : DGFiP-Comptes de gestion ; budgets principaux - opérations réelles. Calculs DGCL. Montants calculés hors gestion active de la dette.</t>
  </si>
  <si>
    <t xml:space="preserve"> En €/habitant</t>
  </si>
  <si>
    <t>Habitants décomptés selon la population totale de l'Insee</t>
  </si>
  <si>
    <t>En milliers d'habitants</t>
  </si>
  <si>
    <t>Liste des 11 ratios</t>
  </si>
  <si>
    <t>Pour les communes de 3 500 habitants et plus, les données synthétiques sur la situation financière de la collectivité, prévues par l’article L. 2313-1 du code général des collectivités territoriales (CGCT), comprennent 11 ratios définis à l’article R. 2313-1. Ces ratios sont aussi calculés pour les groupements à fiscalité propre, les départements (articles L. 3313-1 et R. 3313-1) et les régions (articles L. 4313-2 et R. 4313-1). Toutefois, le ratio 8, qui correspond au coefficient de mobilisation du potentiel fiscal, n’est plus calculé.</t>
  </si>
  <si>
    <t>Les ratios 1 à 6 sont exprimés en euros par habitant : la population utilisée est la population totale légale en vigueur de l'année.</t>
  </si>
  <si>
    <t>Les ratios 7 à 11 sont exprimés en pourcentage.</t>
  </si>
  <si>
    <t xml:space="preserve">           - autres communes de montagne</t>
  </si>
  <si>
    <t xml:space="preserve">           - autres communes touristiques</t>
  </si>
  <si>
    <t xml:space="preserve">           - communes rurales</t>
  </si>
  <si>
    <t>en € / habitant «DGF»</t>
  </si>
  <si>
    <t>Données financières en opérations réelles</t>
  </si>
  <si>
    <t xml:space="preserve">      dont :</t>
  </si>
  <si>
    <t xml:space="preserve">           - communes urbaines</t>
  </si>
  <si>
    <t>Total des communes rurales et urbaines</t>
  </si>
  <si>
    <t xml:space="preserve">          - communes de montagne touristiques</t>
  </si>
  <si>
    <t xml:space="preserve">          - communes de montagne non touristiques</t>
  </si>
  <si>
    <t>Ensemble des</t>
  </si>
  <si>
    <r>
      <rPr>
        <b/>
        <sz val="10"/>
        <rFont val="Arial"/>
        <family val="2"/>
      </rPr>
      <t>R9</t>
    </r>
    <r>
      <rPr>
        <sz val="10"/>
        <rFont val="Arial"/>
        <family val="2"/>
      </rPr>
      <t xml:space="preserve"> : Marge d'autofinancement courant (MAC)=(DRF+Remboursement de dette) / RRF</t>
    </r>
  </si>
  <si>
    <r>
      <rPr>
        <b/>
        <sz val="10"/>
        <rFont val="Arial"/>
        <family val="2"/>
      </rPr>
      <t xml:space="preserve">R7 </t>
    </r>
    <r>
      <rPr>
        <sz val="10"/>
        <rFont val="Arial"/>
        <family val="2"/>
      </rPr>
      <t>: Dépenses de personnel / dépenses réelles de fonctionnement (DRF)</t>
    </r>
  </si>
  <si>
    <t>Budget de fonctionnement</t>
  </si>
  <si>
    <t>Budget d'investissement</t>
  </si>
  <si>
    <t>calculs sur les montants en € courant</t>
  </si>
  <si>
    <t xml:space="preserve">Ratios </t>
  </si>
  <si>
    <t>Budgets des</t>
  </si>
  <si>
    <t xml:space="preserve">Communes </t>
  </si>
  <si>
    <t>Communes de</t>
  </si>
  <si>
    <t xml:space="preserve">de moins </t>
  </si>
  <si>
    <t>Communes</t>
  </si>
  <si>
    <t xml:space="preserve">       -  : néant</t>
  </si>
  <si>
    <t>Symbole :</t>
  </si>
  <si>
    <t>(dépenses réelles de fonctionnement+remboursement de dette) / recettes réelles de fonctionnement</t>
  </si>
  <si>
    <t xml:space="preserve"> et dépenses pour compte de tiers / recettes réelles de fonctionnement</t>
  </si>
  <si>
    <t>T 5.6</t>
  </si>
  <si>
    <t>Niveau des recettes d'investissement réalisées, en euros par habitant.</t>
  </si>
  <si>
    <t>Strates de communes</t>
  </si>
  <si>
    <t>France métropolitaine</t>
  </si>
  <si>
    <t>et dépenses pour compte de tiers / population</t>
  </si>
  <si>
    <t xml:space="preserve"> Les dépenses d'investissement sont calculées hors gestion active de la dette.</t>
  </si>
  <si>
    <t>Les recettes d'investissement sont calculées hors gestion active de la dette.</t>
  </si>
  <si>
    <t>Dépenses de fonctionnement :</t>
  </si>
  <si>
    <t>Dépenses d'investissement :</t>
  </si>
  <si>
    <t>Dépenses de fonctionnement : débit net du compte 6 hormis les comptes 675, 676 et 68</t>
  </si>
  <si>
    <t>Achats et charges externes : débit net des comptes 60, 61, 62, excepté les comptes 621, 6031</t>
  </si>
  <si>
    <t>Ratio (R1) de l'article L.2313-1 du CGCT</t>
  </si>
  <si>
    <t>Ratio (R7) de l'article L.2313-1 du CGCT</t>
  </si>
  <si>
    <t>Charges financières : débit net du compte 66</t>
  </si>
  <si>
    <t>Autres dépenses de fonctionnement : par déduction des dépenses de fonctionnement précédentes</t>
  </si>
  <si>
    <t>Emprunts réalisés :  crédit du compte 16 excepté les comptes 169, 1645 et 1688</t>
  </si>
  <si>
    <t>FCTVA : recette du compte 10222</t>
  </si>
  <si>
    <t>Emprunts réalisés : cfrédits du compte 16 calculées hors gestion active de la dette.</t>
  </si>
  <si>
    <t>Ratio R9 de l'article L.2313-1 du CGCT</t>
  </si>
  <si>
    <t>Ratio R11 de l'article L.2313-1 du CGCT</t>
  </si>
  <si>
    <t>Part des dépenses réelles de fonctionnement affectée aux autres dépenses de fonctionnement.</t>
  </si>
  <si>
    <t>Part relative des impôts locaux dans le total des recettes réelles de fonctionnement.</t>
  </si>
  <si>
    <t>Part relative de la dotation globale de fonctionnement dans le total des recettes réelles de fonctionnement.</t>
  </si>
  <si>
    <t>Niveau des recettes d'investissement réalisées hors emprunts, en euros par habitant.</t>
  </si>
  <si>
    <t>Ratio (R3) de l'article L.2313-1 du CGCT</t>
  </si>
  <si>
    <t>Ratio (R4) de l'article L.2313-1 du CGCT</t>
  </si>
  <si>
    <t>Ratio (R10) de l'article L.2313-1 du CGCT</t>
  </si>
  <si>
    <t>Ratio (R5) de l'article L.2313-1 du CGCT</t>
  </si>
  <si>
    <t>(b) Il s'agit des 5 départements d'outre-mer (y compris Mayotte).</t>
  </si>
  <si>
    <t>moyenne</t>
  </si>
  <si>
    <t>d'une</t>
  </si>
  <si>
    <t>commune</t>
  </si>
  <si>
    <t>en milliers</t>
  </si>
  <si>
    <t>Nombre total</t>
  </si>
  <si>
    <t>(a) Il s'agit des communes des 5 départements d'outre-mer (y compris Mayotte).</t>
  </si>
  <si>
    <t xml:space="preserve">REGIONS </t>
  </si>
  <si>
    <t>Habitants comptés selon la population totale de l'Insee</t>
  </si>
  <si>
    <t xml:space="preserve">  non membre d'un groupement fiscalisé</t>
  </si>
  <si>
    <t xml:space="preserve"> Total</t>
  </si>
  <si>
    <t xml:space="preserve"> Total </t>
  </si>
  <si>
    <r>
      <t xml:space="preserve">En nombre de communes </t>
    </r>
    <r>
      <rPr>
        <i/>
        <vertAlign val="superscript"/>
        <sz val="10"/>
        <rFont val="Arial"/>
        <family val="2"/>
      </rPr>
      <t>(a)</t>
    </r>
  </si>
  <si>
    <t>(a) Il s'agit, plus précisément, du nombre de budgets principaux de communes.</t>
  </si>
  <si>
    <t>Part des communes non touristiques appartenant à :</t>
  </si>
  <si>
    <t>Proportion d'habitants «DGF» des communes non touristiques appartenant à:</t>
  </si>
  <si>
    <t>Nombre de communes appartenant à :</t>
  </si>
  <si>
    <t>Proportion des communes appartenant à :</t>
  </si>
  <si>
    <t>En nombre d'habitants</t>
  </si>
  <si>
    <t xml:space="preserve">Dette au 31 décembre (12) </t>
  </si>
  <si>
    <t>communes en</t>
  </si>
  <si>
    <t>(a) Les communes touristiques concernent uniquement la France métropolitaine.</t>
  </si>
  <si>
    <t xml:space="preserve">DÉPENSES DE FONCTIONNEMENT </t>
  </si>
  <si>
    <t xml:space="preserve">RECETTES DE FONCTIONNEMENT </t>
  </si>
  <si>
    <t xml:space="preserve">DÉPENSES D'INVESTISSEMENT hors remboursements </t>
  </si>
  <si>
    <t xml:space="preserve">RECETTES D'INVESTISSEMENT hors emprunts </t>
  </si>
  <si>
    <t>RECETTES DE FONCTIONNEMENT</t>
  </si>
  <si>
    <t>DÉPENSES DE FONCTIONNEMENT</t>
  </si>
  <si>
    <t>DÉPENSES D'INVESTISSEMENT hors remboursements</t>
  </si>
  <si>
    <t>RECETTES D'INVESTISSEMENT hors emprunts</t>
  </si>
  <si>
    <t>communes en France</t>
  </si>
  <si>
    <t>(y compris DOM)</t>
  </si>
  <si>
    <t>(a) Habitants comptés selon la population totale de l'Insee</t>
  </si>
  <si>
    <t>(a) Les communes de montagne concernent aussi les départements d'Outre-Mer (DOM), mais ici, on se restreint à la France métropolitaine pour avoir une comparaison cohérente avec les communes touristiques.</t>
  </si>
  <si>
    <t>T 5.2.a – Dépenses réelles de fonctionnement / population</t>
  </si>
  <si>
    <t>T 5.2.b – Achats et charges externes / dépenses réelles de fonctionnement</t>
  </si>
  <si>
    <t>T 5.2.c – (R7) : Frais de personnel / dépenses réelles de fonctionnement</t>
  </si>
  <si>
    <t>T 5.2.d - Dépenses d'intervention / dépenses réelles de fonctionnement</t>
  </si>
  <si>
    <t>T 5.2.e - Charges financières / dépenses réelles de fonctionnement</t>
  </si>
  <si>
    <t>Part des dépenses réelles de fonctionnement affectée aux charges financières.</t>
  </si>
  <si>
    <t>T 5.2.f - Autres dépenses de fonctionnement / dépenses réelles de fonctionnement</t>
  </si>
  <si>
    <t>T 5.3.a - (R3) : Recettes réelles de fonctionnement / population</t>
  </si>
  <si>
    <t>T 5.3.b - Impôts et taxes / population</t>
  </si>
  <si>
    <t>Niveau hors remboursements de dette, en euros par habitant.</t>
  </si>
  <si>
    <t>T 5.4.a bis – Dépenses réelles d'investissement hors remboursements / population</t>
  </si>
  <si>
    <t>T 5.4.b – Dépenses d'équipement / population</t>
  </si>
  <si>
    <t xml:space="preserve">T 5.4.b bis – (R4) : Dépenses d'équipement y compris travaux en régie </t>
  </si>
  <si>
    <t>T 5.5.a bis – Recettes réelles d'investissement hors emprunts / population</t>
  </si>
  <si>
    <t>T 5.6.b – Annuité de la dette / population</t>
  </si>
  <si>
    <t>L'annuité de la dette comprend les remboursements de dettes, soit le débit du compte 16 excepté les comptes 169, 1645 et 1688</t>
  </si>
  <si>
    <t>Intérêt des emprunts et dettes : débit net du compte 6611</t>
  </si>
  <si>
    <t>et les charges d'intérêts des emprunts et dettes (débit net du compte 6611)</t>
  </si>
  <si>
    <t>Champ : France entière (France métropolitaine et DOM).</t>
  </si>
  <si>
    <r>
      <t xml:space="preserve">Ensemble des communes </t>
    </r>
    <r>
      <rPr>
        <i/>
        <vertAlign val="superscript"/>
        <sz val="10"/>
        <rFont val="Arial"/>
        <family val="2"/>
      </rPr>
      <t>(c)</t>
    </r>
  </si>
  <si>
    <r>
      <t xml:space="preserve">communes touristiques </t>
    </r>
    <r>
      <rPr>
        <b/>
        <vertAlign val="superscript"/>
        <sz val="10"/>
        <rFont val="Arial"/>
        <family val="2"/>
      </rPr>
      <t>(d)</t>
    </r>
  </si>
  <si>
    <r>
      <t xml:space="preserve">           - communes du littoral maritime </t>
    </r>
    <r>
      <rPr>
        <vertAlign val="superscript"/>
        <sz val="10"/>
        <rFont val="Arial"/>
        <family val="2"/>
      </rPr>
      <t>(e)</t>
    </r>
  </si>
  <si>
    <r>
      <t xml:space="preserve">communes rurales/urbaines </t>
    </r>
    <r>
      <rPr>
        <b/>
        <vertAlign val="superscript"/>
        <sz val="10"/>
        <rFont val="Arial"/>
        <family val="2"/>
      </rPr>
      <t>(c)</t>
    </r>
  </si>
  <si>
    <t>(d) Les communes touristiques concernent uniquement la France métropolitaine.</t>
  </si>
  <si>
    <t>(dont: fiscalité reversée)</t>
  </si>
  <si>
    <t>Source: DGFiP-Comptes de gestion ; budgets principaux - opérations réelles. Calculs DGCL. Montants calculés hors gestion active de la dette.</t>
  </si>
  <si>
    <t>Parmi les communes touristiques, on distingue les catégories suivantes:</t>
  </si>
  <si>
    <t>Communes touristiques du littoral maritime: ce sont les communes touristiques appartenant également à la liste des communes du littoral maritime. Cette liste comprend les communes de bord de mer et les communes d'estuaires, en aval de la limite transversale de la mer (source: Institut Français de l'Environnement).</t>
  </si>
  <si>
    <t>Communes touristiques de montagne: Les communes de montagne sont repérées à l'aide du classement en zone défavorisée réalisé par le Ministère de l'Agriculture. Les communes retenues sont celles qui sont entièrement classées "montagne" ou "haute montagne" et en métropole (source: Ministère de l'Agriculture, de la pêche, de la ruralité et de l'aménagement du territoire).</t>
  </si>
  <si>
    <t>Communes touristiques "supports de station de sports d'hiver": 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Service d'Etudes d'Aménagement Touristique de la Montagne).</t>
  </si>
  <si>
    <t>T 5.6.e - (R9) : Marge d'autofinancement courant (MAC) :</t>
  </si>
  <si>
    <t>T 5.3.c - Impôts et taxes / Recettes réelles de fonctionnement</t>
  </si>
  <si>
    <t>T 5.3.d - Impôts locaux / recettes réelles de fonctionnement</t>
  </si>
  <si>
    <t>T 5.3.e - Concours et dotations de l'Etat / recettes réelles de fonctionnement</t>
  </si>
  <si>
    <t>T 5.3.f - Dotation globale de fonctionnement / recettes réelles de fonctionnement</t>
  </si>
  <si>
    <t>T 5.3.g - Ventes de produits, prestations de services, marchandises /</t>
  </si>
  <si>
    <t>T 5.3.h – Taux d'épargne brute : épargne brute / recettes réelles de fonctionnement</t>
  </si>
  <si>
    <t>L'analyse traite séparément les communes de France métropolitaine et les communes des cinq départements d'outre-mer en raison de leurs spécificités. Les communes touristiques de France métropolitaine, dont celles du littoral maritime et celles "supports de stations de sports d'hiver", les communes "rurales "et "urbaines", ainsi que les communes de montagne non touristiques sont aussi analysées séparément pour leur particularité.</t>
  </si>
  <si>
    <t>Frais de personnel : débit net des comptes 621, 631, 633, 64</t>
  </si>
  <si>
    <t>T 5.4.c – (R10) Taux d'équipement : dépenses d'équipement y compris travaux en régie</t>
  </si>
  <si>
    <r>
      <rPr>
        <b/>
        <sz val="10"/>
        <color rgb="FF0000FF"/>
        <rFont val="Arial"/>
        <family val="2"/>
      </rPr>
      <t xml:space="preserve">Communes touristiques du littoral maritime : </t>
    </r>
    <r>
      <rPr>
        <sz val="10"/>
        <rFont val="Arial"/>
        <family val="2"/>
      </rPr>
      <t>ce sont les communes touristiques appartenant également à la liste des communes du littoral maritime. Cette liste comprend les communes de bord de mer et les communes d'estuaires, en aval de la limite transversale de la mer (source : Institut Français de l'Environnement).</t>
    </r>
  </si>
  <si>
    <r>
      <rPr>
        <b/>
        <sz val="10"/>
        <color rgb="FF0000FF"/>
        <rFont val="Arial"/>
        <family val="2"/>
      </rPr>
      <t>Communes touristiques de montagne :</t>
    </r>
    <r>
      <rPr>
        <b/>
        <sz val="10"/>
        <rFont val="Arial"/>
        <family val="2"/>
      </rPr>
      <t xml:space="preserve"> </t>
    </r>
    <r>
      <rPr>
        <sz val="10"/>
        <rFont val="Arial"/>
        <family val="2"/>
      </rPr>
      <t>Les communes de montagne sont repérées à l'aide du classement en zone défavorisée réalisé par le Ministère de l'Agriculture. Les communes retenues sont celles qui sont entièrement classées "montagne" ou "haute montagne" et en métropole (source : Ministère de l'Agriculture, de la pêche, de la ruralité et de l'aménagement du territoire).</t>
    </r>
  </si>
  <si>
    <r>
      <rPr>
        <b/>
        <sz val="10"/>
        <color rgb="FF0000FF"/>
        <rFont val="Arial"/>
        <family val="2"/>
      </rPr>
      <t>Communes touristiques "supports de station de sports d'hiver" :</t>
    </r>
    <r>
      <rPr>
        <b/>
        <sz val="10"/>
        <rFont val="Arial"/>
        <family val="2"/>
      </rPr>
      <t xml:space="preserve"> </t>
    </r>
    <r>
      <rPr>
        <sz val="10"/>
        <rFont val="Arial"/>
        <family val="2"/>
      </rPr>
      <t>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 Service d'Etudes d'Aménagement Touristique de la Montagne).</t>
    </r>
  </si>
  <si>
    <r>
      <rPr>
        <b/>
        <sz val="10"/>
        <color rgb="FF0000FF"/>
        <rFont val="Arial"/>
        <family val="2"/>
      </rPr>
      <t>Les communes classées en zone de montagne :</t>
    </r>
    <r>
      <rPr>
        <sz val="10"/>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</si>
  <si>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t>Sources et définitions des grandeurs comptables et de population utilisées</t>
  </si>
  <si>
    <r>
      <rPr>
        <u/>
        <sz val="10"/>
        <color rgb="FF0000FF"/>
        <rFont val="Arial"/>
        <family val="2"/>
      </rPr>
      <t>À noter</t>
    </r>
    <r>
      <rPr>
        <sz val="10"/>
        <color rgb="FF0000FF"/>
        <rFont val="Arial"/>
        <family val="2"/>
      </rPr>
      <t xml:space="preserve"> :</t>
    </r>
    <r>
      <rPr>
        <sz val="10"/>
        <color rgb="FF000000"/>
        <rFont val="Arial"/>
        <family val="2"/>
      </rPr>
      <t xml:space="preserve"> pour la détermination des montants de dépenses ou recettes réelles de fonctionnement à retenir pour le calcul des ratios, les reversements de fiscalité liés au FNGIR et aux différents fonds de péréquation horizontale sont comptabilisés en moindres recettes.</t>
    </r>
  </si>
  <si>
    <r>
      <rPr>
        <sz val="10"/>
        <color rgb="FF0000FF"/>
        <rFont val="Arial"/>
        <family val="2"/>
      </rPr>
      <t xml:space="preserve">• </t>
    </r>
    <r>
      <rPr>
        <u/>
        <sz val="10"/>
        <color rgb="FF0000FF"/>
        <rFont val="Arial"/>
        <family val="2"/>
      </rPr>
      <t>Ratio 2 bis</t>
    </r>
    <r>
      <rPr>
        <sz val="10"/>
        <color rgb="FF0000FF"/>
        <rFont val="Arial"/>
        <family val="2"/>
      </rPr>
      <t xml:space="preserve"> = produit net des impositions directes / population :</t>
    </r>
    <r>
      <rPr>
        <sz val="10"/>
        <rFont val="Arial"/>
        <family val="2"/>
      </rPr>
      <t xml:space="preserve"> en plus des impositions directes, ce ratio intègre les prélèvements pour reversements de fiscalité et la fiscalité reversée aux communes par les groupements à fiscalité propre.</t>
    </r>
  </si>
  <si>
    <r>
      <rPr>
        <sz val="10"/>
        <color rgb="FF0000FF"/>
        <rFont val="Arial"/>
        <family val="2"/>
      </rPr>
      <t xml:space="preserve">• </t>
    </r>
    <r>
      <rPr>
        <u/>
        <sz val="10"/>
        <color rgb="FF0000FF"/>
        <rFont val="Arial"/>
        <family val="2"/>
      </rPr>
      <t>Ratio 3</t>
    </r>
    <r>
      <rPr>
        <sz val="10"/>
        <color rgb="FF0000FF"/>
        <rFont val="Arial"/>
        <family val="2"/>
      </rPr>
      <t xml:space="preserve"> = recettes réelles de fonctionnement (RRF) / population :</t>
    </r>
    <r>
      <rPr>
        <sz val="10"/>
        <rFont val="Arial"/>
        <family val="2"/>
      </rPr>
      <t xml:space="preserve"> montant total des recettes de fonctionnement en mouvements réels. Ressources dont dispose la collectivité, à comparer aux dépenses de fonctionnement dans leur rythme de croissance.</t>
    </r>
  </si>
  <si>
    <r>
      <rPr>
        <sz val="10"/>
        <color rgb="FF0000FF"/>
        <rFont val="Arial"/>
        <family val="2"/>
      </rPr>
      <t xml:space="preserve">• </t>
    </r>
    <r>
      <rPr>
        <u/>
        <sz val="10"/>
        <color rgb="FF0000FF"/>
        <rFont val="Arial"/>
        <family val="2"/>
      </rPr>
      <t>Ratio 5</t>
    </r>
    <r>
      <rPr>
        <sz val="10"/>
        <color rgb="FF0000FF"/>
        <rFont val="Arial"/>
        <family val="2"/>
      </rPr>
      <t xml:space="preserve"> = dette / population :</t>
    </r>
    <r>
      <rPr>
        <sz val="10"/>
        <rFont val="Arial"/>
        <family val="2"/>
      </rPr>
      <t xml:space="preserve"> capital restant dû au 31 décembre de l’exercice. Endettement d’une collectivité à compléter avec un ratio de capacité de désendettement (dette / épargne brute) et le taux d’endettement (ratio 11).</t>
    </r>
  </si>
  <si>
    <r>
      <rPr>
        <sz val="10"/>
        <color rgb="FF0000FF"/>
        <rFont val="Arial"/>
        <family val="2"/>
      </rPr>
      <t xml:space="preserve">• </t>
    </r>
    <r>
      <rPr>
        <u/>
        <sz val="10"/>
        <color rgb="FF0000FF"/>
        <rFont val="Arial"/>
        <family val="2"/>
      </rPr>
      <t>Ratio 7</t>
    </r>
    <r>
      <rPr>
        <sz val="10"/>
        <color rgb="FF0000FF"/>
        <rFont val="Arial"/>
        <family val="2"/>
      </rPr>
      <t xml:space="preserve"> = dépenses de personnel / DRF :</t>
    </r>
    <r>
      <rPr>
        <sz val="10"/>
        <color rgb="FF000000"/>
        <rFont val="Arial"/>
        <family val="2"/>
      </rPr>
      <t xml:space="preserve"> mesure la charge de personnel de la collectivité ; c’est un coefficient de rigidité car c’est une dépense incompressible à court terme, quelle que soit la population de la collectivité.</t>
    </r>
  </si>
  <si>
    <r>
      <rPr>
        <sz val="10"/>
        <color rgb="FF0000FF"/>
        <rFont val="Arial"/>
        <family val="2"/>
      </rPr>
      <t xml:space="preserve">• </t>
    </r>
    <r>
      <rPr>
        <u/>
        <sz val="10"/>
        <color rgb="FF0000FF"/>
        <rFont val="Arial"/>
        <family val="2"/>
      </rPr>
      <t>Ratio 11</t>
    </r>
    <r>
      <rPr>
        <sz val="10"/>
        <color rgb="FF0000FF"/>
        <rFont val="Arial"/>
        <family val="2"/>
      </rPr>
      <t xml:space="preserve"> = dette / RRF = taux d’endettement :</t>
    </r>
    <r>
      <rPr>
        <sz val="10"/>
        <rFont val="Arial"/>
        <family val="2"/>
      </rPr>
      <t xml:space="preserve"> mesure la charge de la dette d’une collectivité relativement à ses ressources.</t>
    </r>
  </si>
  <si>
    <t>Annexe 1</t>
  </si>
  <si>
    <t>Annexe 2</t>
  </si>
  <si>
    <t>Annexe 3</t>
  </si>
  <si>
    <t>Définitions des ratios financiers obligatoires</t>
  </si>
  <si>
    <t>Zonages et classifications utilisés</t>
  </si>
  <si>
    <r>
      <rPr>
        <b/>
        <sz val="10"/>
        <color rgb="FF0000FF"/>
        <rFont val="Arial"/>
        <family val="2"/>
      </rPr>
      <t xml:space="preserve">Les communes touristiques : </t>
    </r>
    <r>
      <rPr>
        <sz val="10"/>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 Ministère de l'Intérieur, DGCL). La dotation touristique se fondait sur la capacité d'accueil et d'hébergement de la commune. Les communes touristiques concernent uniquement la France métropolitaine.</t>
    </r>
  </si>
  <si>
    <r>
      <t>Nombre total des communes touristiques</t>
    </r>
    <r>
      <rPr>
        <b/>
        <vertAlign val="superscript"/>
        <sz val="10"/>
        <rFont val="Arial"/>
        <family val="2"/>
      </rPr>
      <t>(b)</t>
    </r>
  </si>
  <si>
    <r>
      <t>Part des communes touristiques</t>
    </r>
    <r>
      <rPr>
        <b/>
        <i/>
        <vertAlign val="superscript"/>
        <sz val="10"/>
        <rFont val="Arial"/>
        <family val="2"/>
      </rPr>
      <t>(b)</t>
    </r>
    <r>
      <rPr>
        <b/>
        <i/>
        <sz val="10"/>
        <rFont val="Arial"/>
        <family val="2"/>
      </rPr>
      <t xml:space="preserve"> appartenant à :</t>
    </r>
  </si>
  <si>
    <t>(b) Les communes touristiques concernent uniquement la France métropolitaine.</t>
  </si>
  <si>
    <r>
      <t>Nombre total d'habitants «DGF» des communes touristiques</t>
    </r>
    <r>
      <rPr>
        <b/>
        <vertAlign val="superscript"/>
        <sz val="10"/>
        <rFont val="Arial"/>
        <family val="2"/>
      </rPr>
      <t>(b)</t>
    </r>
  </si>
  <si>
    <r>
      <t>Proportion d'habitants «DGF» des communes touristiques</t>
    </r>
    <r>
      <rPr>
        <b/>
        <i/>
        <vertAlign val="superscript"/>
        <sz val="10"/>
        <rFont val="Arial"/>
        <family val="2"/>
      </rPr>
      <t>(b)</t>
    </r>
    <r>
      <rPr>
        <b/>
        <i/>
        <sz val="10"/>
        <rFont val="Arial"/>
        <family val="2"/>
      </rPr>
      <t xml:space="preserve"> appartenant à :</t>
    </r>
  </si>
  <si>
    <t>(a) Il s'agit, plus précisément, du nombre de budgets principaux de communes présents dans le fichier des comptes de gestion.</t>
  </si>
  <si>
    <t>(e) Les communes touristiques concernent uniquement la France métropolitaine.</t>
  </si>
  <si>
    <r>
      <t xml:space="preserve">Ensemble des communes </t>
    </r>
    <r>
      <rPr>
        <i/>
        <vertAlign val="superscript"/>
        <sz val="10"/>
        <rFont val="Arial"/>
        <family val="2"/>
      </rPr>
      <t>(d)</t>
    </r>
  </si>
  <si>
    <r>
      <t xml:space="preserve">communes touristiques </t>
    </r>
    <r>
      <rPr>
        <b/>
        <vertAlign val="superscript"/>
        <sz val="10"/>
        <rFont val="Arial"/>
        <family val="2"/>
      </rPr>
      <t>(e)</t>
    </r>
  </si>
  <si>
    <r>
      <t xml:space="preserve">           - communes du littoral maritime </t>
    </r>
    <r>
      <rPr>
        <vertAlign val="superscript"/>
        <sz val="10"/>
        <rFont val="Arial"/>
        <family val="2"/>
      </rPr>
      <t>(f)</t>
    </r>
  </si>
  <si>
    <r>
      <t xml:space="preserve">communes rurales/urbaines </t>
    </r>
    <r>
      <rPr>
        <b/>
        <vertAlign val="superscript"/>
        <sz val="10"/>
        <rFont val="Arial"/>
        <family val="2"/>
      </rPr>
      <t>(d)</t>
    </r>
  </si>
  <si>
    <r>
      <t xml:space="preserve">communes non touristiques </t>
    </r>
    <r>
      <rPr>
        <b/>
        <vertAlign val="superscript"/>
        <sz val="10"/>
        <rFont val="Arial"/>
        <family val="2"/>
      </rPr>
      <t>(f)</t>
    </r>
  </si>
  <si>
    <r>
      <rPr>
        <sz val="10"/>
        <color rgb="FF0000FF"/>
        <rFont val="Arial"/>
        <family val="2"/>
      </rPr>
      <t xml:space="preserve">• </t>
    </r>
    <r>
      <rPr>
        <u/>
        <sz val="10"/>
        <color rgb="FF0000FF"/>
        <rFont val="Arial"/>
        <family val="2"/>
      </rPr>
      <t>Ratio 6</t>
    </r>
    <r>
      <rPr>
        <sz val="10"/>
        <color rgb="FF0000FF"/>
        <rFont val="Arial"/>
        <family val="2"/>
      </rPr>
      <t xml:space="preserve"> = dotation globale de fonctionnement (DGF) / population :</t>
    </r>
    <r>
      <rPr>
        <sz val="10"/>
        <color rgb="FF000000"/>
        <rFont val="Arial"/>
        <family val="2"/>
      </rPr>
      <t xml:space="preserve"> recettes du compte 741 en mouvements réels. Part de la contribution de l’État au fonctionnement de la collectivité.</t>
    </r>
  </si>
  <si>
    <t>T 4.9</t>
  </si>
  <si>
    <t>T 4.10</t>
  </si>
  <si>
    <r>
      <t xml:space="preserve">(b) On se restreint ici à la France métropolitaine pour les communes non touristiques afin de pouvoir effectuer une comparaison cohérente avec les communes touristiques (les communes des DOM n'étant pas classées </t>
    </r>
    <r>
      <rPr>
        <sz val="10"/>
        <color theme="1"/>
        <rFont val="Calibri"/>
        <family val="2"/>
      </rPr>
      <t>«</t>
    </r>
    <r>
      <rPr>
        <i/>
        <sz val="10"/>
        <color theme="1"/>
        <rFont val="Arial"/>
        <family val="2"/>
      </rPr>
      <t>touristiques</t>
    </r>
    <r>
      <rPr>
        <sz val="10"/>
        <color theme="1"/>
        <rFont val="Calibri"/>
        <family val="2"/>
      </rPr>
      <t>»</t>
    </r>
    <r>
      <rPr>
        <i/>
        <sz val="10"/>
        <color theme="1"/>
        <rFont val="Arial"/>
        <family val="2"/>
      </rPr>
      <t>).</t>
    </r>
  </si>
  <si>
    <t>(a) On se restreint ici à la France métropolitaine pour les communes non touristiques afin de pouvoir effectuer une comparaison cohérente avec les communes touristiques (les communes des DOM n'étant pas classées «touristiques»).</t>
  </si>
  <si>
    <t>Évaluation des dépenses de fonctionnement, en euros par habitant.</t>
  </si>
  <si>
    <t>Part des dépenses réelles de fonctionnement affectée aux achats et charges externes.</t>
  </si>
  <si>
    <t>Rapport entre les subventions d'équipement versées et les dépenses d'investissement.</t>
  </si>
  <si>
    <t>Dotations et subventions d'équipement : crédit des comptes 13, 102 excepté les comptes 139, 1027, 10222, 10229</t>
  </si>
  <si>
    <r>
      <t>Epargne brute :</t>
    </r>
    <r>
      <rPr>
        <sz val="10"/>
        <rFont val="Arial"/>
        <family val="2"/>
      </rPr>
      <t xml:space="preserve"> excédent des recettes réelles de fonctionnement sur les dépenses réelles de fonctionnement. </t>
    </r>
  </si>
  <si>
    <t>Nombre de</t>
  </si>
  <si>
    <t xml:space="preserve"> communes</t>
  </si>
  <si>
    <r>
      <t xml:space="preserve">  CU ou métropoles</t>
    </r>
    <r>
      <rPr>
        <vertAlign val="superscript"/>
        <sz val="10"/>
        <rFont val="Arial"/>
        <family val="2"/>
      </rPr>
      <t>(c)</t>
    </r>
  </si>
  <si>
    <r>
      <t xml:space="preserve">  CU ou métropoles</t>
    </r>
    <r>
      <rPr>
        <vertAlign val="superscript"/>
        <sz val="10"/>
        <rFont val="Arial"/>
        <family val="2"/>
      </rPr>
      <t>(a)</t>
    </r>
  </si>
  <si>
    <t xml:space="preserve"> de 10 000 hab. </t>
  </si>
  <si>
    <r>
      <t xml:space="preserve">montagne et tourisme </t>
    </r>
    <r>
      <rPr>
        <b/>
        <vertAlign val="superscript"/>
        <sz val="10"/>
        <rFont val="Arial"/>
        <family val="2"/>
      </rPr>
      <t>(f)</t>
    </r>
  </si>
  <si>
    <t xml:space="preserve">          - communes non touristiques et hors montagne</t>
  </si>
  <si>
    <r>
      <t xml:space="preserve">montagne et tourisme </t>
    </r>
    <r>
      <rPr>
        <b/>
        <vertAlign val="superscript"/>
        <sz val="10"/>
        <rFont val="Arial"/>
        <family val="2"/>
      </rPr>
      <t>(g)</t>
    </r>
  </si>
  <si>
    <r>
      <t xml:space="preserve">          - communes touristiques et hors montagne </t>
    </r>
    <r>
      <rPr>
        <vertAlign val="superscript"/>
        <sz val="10"/>
        <rFont val="Arial"/>
        <family val="2"/>
      </rPr>
      <t>(e)</t>
    </r>
  </si>
  <si>
    <t>T 5.1.a – Dépenses réelles totales / population</t>
  </si>
  <si>
    <t>T 5.1.b – Dépenses réelles totales hors remboursements de dettes / population</t>
  </si>
  <si>
    <t>Part des dépenses réelles de fonctionnement affectée aux dépenses d'intervention.</t>
  </si>
  <si>
    <t xml:space="preserve">    - Communes touristiques du littoral maritime</t>
  </si>
  <si>
    <t xml:space="preserve">    - Communes touristiques "supports de station de sport d'hiver" </t>
  </si>
  <si>
    <r>
      <t xml:space="preserve">Outre-Mer </t>
    </r>
    <r>
      <rPr>
        <b/>
        <i/>
        <vertAlign val="superscript"/>
        <sz val="10"/>
        <rFont val="Arial"/>
        <family val="2"/>
      </rPr>
      <t>(b)</t>
    </r>
  </si>
  <si>
    <r>
      <t xml:space="preserve">France entière </t>
    </r>
    <r>
      <rPr>
        <b/>
        <vertAlign val="superscript"/>
        <sz val="10"/>
        <rFont val="Arial"/>
        <family val="2"/>
      </rPr>
      <t>(c)</t>
    </r>
  </si>
  <si>
    <r>
      <t xml:space="preserve">Outre-Mer </t>
    </r>
    <r>
      <rPr>
        <b/>
        <i/>
        <vertAlign val="superscript"/>
        <sz val="10"/>
        <rFont val="Arial"/>
        <family val="2"/>
      </rPr>
      <t>(a)</t>
    </r>
  </si>
  <si>
    <r>
      <rPr>
        <b/>
        <sz val="11"/>
        <rFont val="Arial"/>
        <family val="2"/>
      </rPr>
      <t xml:space="preserve">R2 </t>
    </r>
    <r>
      <rPr>
        <sz val="11"/>
        <rFont val="Arial"/>
        <family val="2"/>
      </rPr>
      <t>: Produit des impositions directes hors fiscalité reversée / habitant</t>
    </r>
  </si>
  <si>
    <r>
      <rPr>
        <b/>
        <sz val="11"/>
        <rFont val="Arial"/>
        <family val="2"/>
      </rPr>
      <t>R2 bis</t>
    </r>
    <r>
      <rPr>
        <sz val="11"/>
        <rFont val="Arial"/>
        <family val="2"/>
      </rPr>
      <t xml:space="preserve"> : Produit des impositions directes y compris fiscalité reversée / habitant</t>
    </r>
  </si>
  <si>
    <r>
      <rPr>
        <b/>
        <sz val="11"/>
        <rFont val="Arial"/>
        <family val="2"/>
      </rPr>
      <t>R3</t>
    </r>
    <r>
      <rPr>
        <sz val="11"/>
        <rFont val="Arial"/>
        <family val="2"/>
      </rPr>
      <t xml:space="preserve"> : Recettes réelles de fonctionnement (RRF) / habitant</t>
    </r>
  </si>
  <si>
    <r>
      <rPr>
        <b/>
        <sz val="11"/>
        <rFont val="Arial"/>
        <family val="2"/>
      </rPr>
      <t>R5</t>
    </r>
    <r>
      <rPr>
        <sz val="11"/>
        <rFont val="Arial"/>
        <family val="2"/>
      </rPr>
      <t xml:space="preserve"> : Dette / habitant</t>
    </r>
  </si>
  <si>
    <r>
      <rPr>
        <b/>
        <sz val="11"/>
        <rFont val="Arial"/>
        <family val="2"/>
      </rPr>
      <t xml:space="preserve">R6 </t>
    </r>
    <r>
      <rPr>
        <sz val="11"/>
        <rFont val="Arial"/>
        <family val="2"/>
      </rPr>
      <t>: DGF / habitant</t>
    </r>
  </si>
  <si>
    <r>
      <rPr>
        <b/>
        <sz val="11"/>
        <rFont val="Arial"/>
        <family val="2"/>
      </rPr>
      <t>R2</t>
    </r>
    <r>
      <rPr>
        <sz val="11"/>
        <rFont val="Arial"/>
        <family val="2"/>
      </rPr>
      <t xml:space="preserve"> : Produit des impositions directes hors fiscalité reversée / habitant</t>
    </r>
  </si>
  <si>
    <r>
      <rPr>
        <b/>
        <sz val="11"/>
        <rFont val="Arial"/>
        <family val="2"/>
      </rPr>
      <t>R6</t>
    </r>
    <r>
      <rPr>
        <sz val="11"/>
        <rFont val="Arial"/>
        <family val="2"/>
      </rPr>
      <t xml:space="preserve"> : DGF / habitant</t>
    </r>
  </si>
  <si>
    <r>
      <t xml:space="preserve">T 3.e - Taux d'épargne brute </t>
    </r>
    <r>
      <rPr>
        <b/>
        <vertAlign val="superscript"/>
        <sz val="10"/>
        <color indexed="12"/>
        <rFont val="Arial"/>
        <family val="2"/>
      </rPr>
      <t>(b)</t>
    </r>
    <r>
      <rPr>
        <b/>
        <sz val="10"/>
        <color indexed="12"/>
        <rFont val="Arial"/>
        <family val="2"/>
      </rPr>
      <t xml:space="preserve"> selon les caractéristiques des communes</t>
    </r>
  </si>
  <si>
    <r>
      <rPr>
        <b/>
        <sz val="11"/>
        <color theme="1"/>
        <rFont val="Arial"/>
        <family val="2"/>
      </rPr>
      <t>R2 :</t>
    </r>
    <r>
      <rPr>
        <sz val="11"/>
        <color theme="1"/>
        <rFont val="Arial"/>
        <family val="2"/>
      </rPr>
      <t xml:space="preserve"> Produit des impositions directes hors fiscalité reversée / habitant «DGF»</t>
    </r>
    <r>
      <rPr>
        <vertAlign val="superscript"/>
        <sz val="11"/>
        <color theme="1"/>
        <rFont val="Arial"/>
        <family val="2"/>
      </rPr>
      <t xml:space="preserve"> </t>
    </r>
  </si>
  <si>
    <r>
      <rPr>
        <b/>
        <sz val="11"/>
        <color theme="1"/>
        <rFont val="Arial"/>
        <family val="2"/>
      </rPr>
      <t>R2 bis :</t>
    </r>
    <r>
      <rPr>
        <sz val="11"/>
        <color theme="1"/>
        <rFont val="Arial"/>
        <family val="2"/>
      </rPr>
      <t xml:space="preserve"> Produit des impositions directes y compris fiscalité reversée / habitant «DGF» </t>
    </r>
  </si>
  <si>
    <r>
      <rPr>
        <b/>
        <sz val="11"/>
        <color theme="1"/>
        <rFont val="Arial"/>
        <family val="2"/>
      </rPr>
      <t xml:space="preserve">R3 : </t>
    </r>
    <r>
      <rPr>
        <sz val="11"/>
        <color theme="1"/>
        <rFont val="Arial"/>
        <family val="2"/>
      </rPr>
      <t xml:space="preserve">Recettes réelles de fonctionnement (RRF) / habitant «DGF» </t>
    </r>
  </si>
  <si>
    <r>
      <rPr>
        <b/>
        <sz val="11"/>
        <color theme="1"/>
        <rFont val="Arial"/>
        <family val="2"/>
      </rPr>
      <t xml:space="preserve">R5 : </t>
    </r>
    <r>
      <rPr>
        <sz val="11"/>
        <color theme="1"/>
        <rFont val="Arial"/>
        <family val="2"/>
      </rPr>
      <t>Dette / habitant «DGF»</t>
    </r>
  </si>
  <si>
    <r>
      <rPr>
        <b/>
        <sz val="11"/>
        <color theme="1"/>
        <rFont val="Arial"/>
        <family val="2"/>
      </rPr>
      <t xml:space="preserve">R6 : </t>
    </r>
    <r>
      <rPr>
        <sz val="11"/>
        <color theme="1"/>
        <rFont val="Arial"/>
        <family val="2"/>
      </rPr>
      <t xml:space="preserve">DGF / habitant «DGF» </t>
    </r>
  </si>
  <si>
    <r>
      <rPr>
        <b/>
        <sz val="11"/>
        <color theme="1"/>
        <rFont val="Arial"/>
        <family val="2"/>
      </rPr>
      <t>R7 :</t>
    </r>
    <r>
      <rPr>
        <sz val="11"/>
        <color theme="1"/>
        <rFont val="Arial"/>
        <family val="2"/>
      </rPr>
      <t xml:space="preserve"> Dépenses de personnel / DRF</t>
    </r>
  </si>
  <si>
    <r>
      <rPr>
        <b/>
        <sz val="11"/>
        <color theme="1"/>
        <rFont val="Arial"/>
        <family val="2"/>
      </rPr>
      <t>R9 :</t>
    </r>
    <r>
      <rPr>
        <sz val="11"/>
        <color theme="1"/>
        <rFont val="Arial"/>
        <family val="2"/>
      </rPr>
      <t xml:space="preserve"> Marge d'autofinancement courant (MAC)=(DRF+Remboursement de dette) / RRF</t>
    </r>
  </si>
  <si>
    <r>
      <rPr>
        <b/>
        <sz val="11"/>
        <color theme="1"/>
        <rFont val="Arial"/>
        <family val="2"/>
      </rPr>
      <t xml:space="preserve">R11 : </t>
    </r>
    <r>
      <rPr>
        <sz val="11"/>
        <color theme="1"/>
        <rFont val="Arial"/>
        <family val="2"/>
      </rPr>
      <t>Dette / RRF (taux d'endettement)</t>
    </r>
  </si>
  <si>
    <r>
      <rPr>
        <b/>
        <sz val="11"/>
        <rFont val="Arial"/>
        <family val="2"/>
      </rPr>
      <t>R2 :</t>
    </r>
    <r>
      <rPr>
        <sz val="11"/>
        <rFont val="Arial"/>
        <family val="2"/>
      </rPr>
      <t xml:space="preserve"> Produit des impositions directes hors fiscalité reversée / habitant «DGF»</t>
    </r>
  </si>
  <si>
    <r>
      <rPr>
        <b/>
        <sz val="11"/>
        <rFont val="Arial"/>
        <family val="2"/>
      </rPr>
      <t>R2 bis :</t>
    </r>
    <r>
      <rPr>
        <sz val="11"/>
        <rFont val="Arial"/>
        <family val="2"/>
      </rPr>
      <t xml:space="preserve"> Produit des impositions directes y compris fiscalité reversée / habitant «DGF»</t>
    </r>
  </si>
  <si>
    <r>
      <rPr>
        <b/>
        <sz val="11"/>
        <rFont val="Arial"/>
        <family val="2"/>
      </rPr>
      <t>R3 :</t>
    </r>
    <r>
      <rPr>
        <sz val="11"/>
        <rFont val="Arial"/>
        <family val="2"/>
      </rPr>
      <t xml:space="preserve"> Recettes réelles de fonctionnement (RRF) / habitant «DGF»</t>
    </r>
  </si>
  <si>
    <r>
      <rPr>
        <b/>
        <sz val="11"/>
        <rFont val="Arial"/>
        <family val="2"/>
      </rPr>
      <t>R5 :</t>
    </r>
    <r>
      <rPr>
        <sz val="11"/>
        <rFont val="Arial"/>
        <family val="2"/>
      </rPr>
      <t xml:space="preserve"> Dette / habitant «DGF»</t>
    </r>
  </si>
  <si>
    <r>
      <rPr>
        <b/>
        <sz val="11"/>
        <rFont val="Arial"/>
        <family val="2"/>
      </rPr>
      <t>R6 :</t>
    </r>
    <r>
      <rPr>
        <sz val="11"/>
        <rFont val="Arial"/>
        <family val="2"/>
      </rPr>
      <t xml:space="preserve"> DGF / habitant «DGF»</t>
    </r>
  </si>
  <si>
    <r>
      <rPr>
        <b/>
        <sz val="11"/>
        <color theme="1"/>
        <rFont val="Arial"/>
        <family val="2"/>
      </rPr>
      <t xml:space="preserve">R9 </t>
    </r>
    <r>
      <rPr>
        <sz val="11"/>
        <color theme="1"/>
        <rFont val="Arial"/>
        <family val="2"/>
      </rPr>
      <t>: Marge d'autofinancement courant (MAC)=(DRF+Remboursement de dette) / RRF</t>
    </r>
  </si>
  <si>
    <r>
      <rPr>
        <b/>
        <sz val="11"/>
        <color theme="1"/>
        <rFont val="Arial"/>
        <family val="2"/>
      </rPr>
      <t xml:space="preserve">R5 : </t>
    </r>
    <r>
      <rPr>
        <sz val="11"/>
        <color theme="1"/>
        <rFont val="Arial"/>
        <family val="2"/>
      </rPr>
      <t xml:space="preserve">Dette / habitant «DGF» </t>
    </r>
  </si>
  <si>
    <r>
      <rPr>
        <b/>
        <sz val="11"/>
        <color theme="1"/>
        <rFont val="Arial"/>
        <family val="2"/>
      </rPr>
      <t xml:space="preserve">R7 : </t>
    </r>
    <r>
      <rPr>
        <sz val="11"/>
        <color theme="1"/>
        <rFont val="Arial"/>
        <family val="2"/>
      </rPr>
      <t xml:space="preserve">Dépenses de personnel / DRF </t>
    </r>
    <r>
      <rPr>
        <vertAlign val="superscript"/>
        <sz val="11"/>
        <color theme="1"/>
        <rFont val="Arial"/>
        <family val="2"/>
      </rPr>
      <t>(c)</t>
    </r>
  </si>
  <si>
    <r>
      <rPr>
        <b/>
        <sz val="11"/>
        <color theme="1"/>
        <rFont val="Arial"/>
        <family val="2"/>
      </rPr>
      <t>R9 :</t>
    </r>
    <r>
      <rPr>
        <sz val="11"/>
        <color theme="1"/>
        <rFont val="Arial"/>
        <family val="2"/>
      </rPr>
      <t xml:space="preserve"> Marge d'autofinancement courant (MAC)=(DRF+Remboursement de dette) / RRF </t>
    </r>
    <r>
      <rPr>
        <vertAlign val="superscript"/>
        <sz val="11"/>
        <color theme="1"/>
        <rFont val="Arial"/>
        <family val="2"/>
      </rPr>
      <t>(c)</t>
    </r>
  </si>
  <si>
    <r>
      <rPr>
        <b/>
        <sz val="11"/>
        <color theme="1"/>
        <rFont val="Arial"/>
        <family val="2"/>
      </rPr>
      <t xml:space="preserve">R11 : </t>
    </r>
    <r>
      <rPr>
        <sz val="11"/>
        <color theme="1"/>
        <rFont val="Arial"/>
        <family val="2"/>
      </rPr>
      <t xml:space="preserve">Dette / RRF (taux d'endettement) </t>
    </r>
    <r>
      <rPr>
        <vertAlign val="superscript"/>
        <sz val="11"/>
        <color theme="1"/>
        <rFont val="Arial"/>
        <family val="2"/>
      </rPr>
      <t>(c)</t>
    </r>
  </si>
  <si>
    <r>
      <rPr>
        <b/>
        <sz val="11"/>
        <color theme="1"/>
        <rFont val="Arial"/>
        <family val="2"/>
      </rPr>
      <t xml:space="preserve">R9 : </t>
    </r>
    <r>
      <rPr>
        <sz val="11"/>
        <color theme="1"/>
        <rFont val="Arial"/>
        <family val="2"/>
      </rPr>
      <t>Marge d'autofinancement courant (MAC)=(DRF+Remboursement de dette) / RRF</t>
    </r>
  </si>
  <si>
    <t>Epargne brute / RRF (Taux d'épargne brute)</t>
  </si>
  <si>
    <r>
      <t xml:space="preserve">Epargne brute / RRF (Taux d'épargne brute) </t>
    </r>
    <r>
      <rPr>
        <vertAlign val="superscript"/>
        <sz val="11"/>
        <color theme="1"/>
        <rFont val="Arial"/>
        <family val="2"/>
      </rPr>
      <t>(c)</t>
    </r>
  </si>
  <si>
    <t>Annexe 2 : Zonages et classifications utilisés</t>
  </si>
  <si>
    <t>Annexe 3 : Les ratios financiers obligatoires</t>
  </si>
  <si>
    <t>Part des dépenses réelles de fonctionnement affectée aux charges financières</t>
  </si>
  <si>
    <t>Dette au 31 décembre (12)</t>
  </si>
  <si>
    <t>Pourcentage de communes appartenant à :</t>
  </si>
  <si>
    <t>Pourcentage d'habitants appartenant à :</t>
  </si>
  <si>
    <t>(c) Y compris la métropole de Lyon.</t>
  </si>
  <si>
    <t xml:space="preserve">  CA</t>
  </si>
  <si>
    <r>
      <t>CC</t>
    </r>
    <r>
      <rPr>
        <sz val="8"/>
        <rFont val="Arial"/>
        <family val="2"/>
      </rPr>
      <t>: Communauté de Communes</t>
    </r>
    <r>
      <rPr>
        <sz val="8"/>
        <rFont val="Arial"/>
        <family val="2"/>
      </rPr>
      <t>.</t>
    </r>
  </si>
  <si>
    <t>(a) Y compris la métropole de Lyon.</t>
  </si>
  <si>
    <r>
      <t>CU</t>
    </r>
    <r>
      <rPr>
        <sz val="8"/>
        <rFont val="Arial"/>
        <family val="2"/>
      </rPr>
      <t xml:space="preserve">: Communauté Urbaine ; </t>
    </r>
    <r>
      <rPr>
        <b/>
        <sz val="8"/>
        <rFont val="Arial"/>
        <family val="2"/>
      </rPr>
      <t>CA</t>
    </r>
    <r>
      <rPr>
        <sz val="8"/>
        <rFont val="Arial"/>
        <family val="2"/>
      </rPr>
      <t>: Communauté d'Agglomération ;</t>
    </r>
  </si>
  <si>
    <r>
      <t>Communes touristiques</t>
    </r>
    <r>
      <rPr>
        <b/>
        <i/>
        <vertAlign val="superscript"/>
        <sz val="10"/>
        <rFont val="Arial"/>
        <family val="2"/>
      </rPr>
      <t>(b)</t>
    </r>
    <r>
      <rPr>
        <b/>
        <i/>
        <sz val="10"/>
        <rFont val="Arial"/>
        <family val="2"/>
      </rPr>
      <t xml:space="preserve"> :</t>
    </r>
  </si>
  <si>
    <t>Communes non touristiques :</t>
  </si>
  <si>
    <t>Nombre total des communes non touristiques</t>
  </si>
  <si>
    <r>
      <t>Ensemble des communes touristiques</t>
    </r>
    <r>
      <rPr>
        <b/>
        <vertAlign val="superscript"/>
        <sz val="10"/>
        <rFont val="Arial"/>
        <family val="2"/>
      </rPr>
      <t>(b)</t>
    </r>
  </si>
  <si>
    <t>Ensemble des communes non touristiques</t>
  </si>
  <si>
    <r>
      <t>Nombre d'habitants «DGF» des communes touristiques</t>
    </r>
    <r>
      <rPr>
        <b/>
        <i/>
        <vertAlign val="superscript"/>
        <sz val="10"/>
        <rFont val="Arial"/>
        <family val="2"/>
      </rPr>
      <t>(b)</t>
    </r>
    <r>
      <rPr>
        <b/>
        <i/>
        <sz val="10"/>
        <rFont val="Arial"/>
        <family val="2"/>
      </rPr>
      <t xml:space="preserve"> :</t>
    </r>
  </si>
  <si>
    <t>Nombre d'habitants «DGF» des communes non touristiques :</t>
  </si>
  <si>
    <t>Ensemble des communes rurales et urbaines</t>
  </si>
  <si>
    <r>
      <t>Ratios</t>
    </r>
    <r>
      <rPr>
        <i/>
        <sz val="11"/>
        <rFont val="Arial"/>
        <family val="2"/>
      </rPr>
      <t xml:space="preserve"> (voir définitions en annexe 3)</t>
    </r>
  </si>
  <si>
    <t>(c) En France entière (France métropolitaine et DOM).</t>
  </si>
  <si>
    <t>(f) En France métropolitaine.</t>
  </si>
  <si>
    <t>(d) En France entière (France métropolitaine et DOM).</t>
  </si>
  <si>
    <t>(g) En France métropolitaine.</t>
  </si>
  <si>
    <r>
      <t xml:space="preserve">T 3.c - Dépenses d'investissement hors remboursements de dette par «habitant DGF» </t>
    </r>
    <r>
      <rPr>
        <b/>
        <vertAlign val="superscript"/>
        <sz val="10"/>
        <color indexed="12"/>
        <rFont val="Arial"/>
        <family val="2"/>
      </rPr>
      <t>(b)</t>
    </r>
    <r>
      <rPr>
        <b/>
        <sz val="10"/>
        <color indexed="12"/>
        <rFont val="Arial"/>
        <family val="2"/>
      </rPr>
      <t xml:space="preserve"> selon les caractéristiques des communes</t>
    </r>
  </si>
  <si>
    <r>
      <t xml:space="preserve">T 3.b - Recettes de fonctionnement par «habitant DGF» </t>
    </r>
    <r>
      <rPr>
        <b/>
        <vertAlign val="superscript"/>
        <sz val="10"/>
        <color indexed="12"/>
        <rFont val="Arial"/>
        <family val="2"/>
      </rPr>
      <t>(b)</t>
    </r>
    <r>
      <rPr>
        <b/>
        <sz val="10"/>
        <color indexed="12"/>
        <rFont val="Arial"/>
        <family val="2"/>
      </rPr>
      <t xml:space="preserve"> selon les caractéristiques des communes</t>
    </r>
  </si>
  <si>
    <r>
      <t xml:space="preserve">T 3.a - Dépenses de fonctionnement par «habitant DGF» </t>
    </r>
    <r>
      <rPr>
        <b/>
        <vertAlign val="superscript"/>
        <sz val="10"/>
        <color indexed="12"/>
        <rFont val="Arial"/>
        <family val="2"/>
      </rPr>
      <t>(b)</t>
    </r>
    <r>
      <rPr>
        <b/>
        <sz val="10"/>
        <color indexed="12"/>
        <rFont val="Arial"/>
        <family val="2"/>
      </rPr>
      <t xml:space="preserve"> selon les caractéristiques des communes</t>
    </r>
  </si>
  <si>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(c)</t>
    </r>
    <r>
      <rPr>
        <sz val="11"/>
        <color theme="1"/>
        <rFont val="Arial"/>
        <family val="2"/>
      </rPr>
      <t xml:space="preserve"> / RRF (Taux d'équipement)</t>
    </r>
  </si>
  <si>
    <r>
      <rPr>
        <b/>
        <sz val="10"/>
        <rFont val="Arial"/>
        <family val="2"/>
      </rPr>
      <t>R10</t>
    </r>
    <r>
      <rPr>
        <sz val="10"/>
        <rFont val="Arial"/>
        <family val="2"/>
      </rPr>
      <t xml:space="preserve"> : Dépenses d'équipement brutes</t>
    </r>
    <r>
      <rPr>
        <vertAlign val="superscript"/>
        <sz val="10"/>
        <rFont val="Arial"/>
        <family val="2"/>
      </rPr>
      <t xml:space="preserve"> (a) </t>
    </r>
    <r>
      <rPr>
        <sz val="10"/>
        <rFont val="Arial"/>
        <family val="2"/>
      </rPr>
      <t>/ RRF (Taux d'équipement)</t>
    </r>
  </si>
  <si>
    <t>(b) Diminuées des travaux en régie.</t>
  </si>
  <si>
    <r>
      <rPr>
        <b/>
        <sz val="11"/>
        <rFont val="Arial"/>
        <family val="2"/>
      </rPr>
      <t>R4</t>
    </r>
    <r>
      <rPr>
        <sz val="11"/>
        <rFont val="Arial"/>
        <family val="2"/>
      </rPr>
      <t xml:space="preserve"> : Dépenses d'équipement brutes</t>
    </r>
    <r>
      <rPr>
        <vertAlign val="superscript"/>
        <sz val="12"/>
        <rFont val="Arial"/>
        <family val="2"/>
      </rPr>
      <t xml:space="preserve"> (c)</t>
    </r>
    <r>
      <rPr>
        <sz val="11"/>
        <rFont val="Arial"/>
        <family val="2"/>
      </rPr>
      <t xml:space="preserve"> / habitant</t>
    </r>
  </si>
  <si>
    <r>
      <rPr>
        <b/>
        <sz val="11"/>
        <rFont val="Arial"/>
        <family val="2"/>
      </rPr>
      <t>R1</t>
    </r>
    <r>
      <rPr>
        <sz val="11"/>
        <rFont val="Arial"/>
        <family val="2"/>
      </rPr>
      <t xml:space="preserve"> : Dépenses réelles de fonctionnement (DRF)</t>
    </r>
    <r>
      <rPr>
        <vertAlign val="superscript"/>
        <sz val="11"/>
        <rFont val="Arial"/>
        <family val="2"/>
      </rPr>
      <t xml:space="preserve"> (b)</t>
    </r>
    <r>
      <rPr>
        <sz val="11"/>
        <rFont val="Arial"/>
        <family val="2"/>
      </rPr>
      <t xml:space="preserve"> / habitant</t>
    </r>
  </si>
  <si>
    <t>(d) Diminuées des travaux en régie.</t>
  </si>
  <si>
    <r>
      <rPr>
        <b/>
        <sz val="11"/>
        <rFont val="Arial"/>
        <family val="2"/>
      </rPr>
      <t>R1 :</t>
    </r>
    <r>
      <rPr>
        <sz val="11"/>
        <rFont val="Arial"/>
        <family val="2"/>
      </rPr>
      <t xml:space="preserve"> Dépenses réelles de fonctionnement (DRF)</t>
    </r>
    <r>
      <rPr>
        <vertAlign val="superscript"/>
        <sz val="11"/>
        <rFont val="Arial"/>
        <family val="2"/>
      </rPr>
      <t xml:space="preserve"> (d)</t>
    </r>
    <r>
      <rPr>
        <sz val="11"/>
        <rFont val="Arial"/>
        <family val="2"/>
      </rPr>
      <t xml:space="preserve"> / habitant «DGF»</t>
    </r>
  </si>
  <si>
    <r>
      <rPr>
        <b/>
        <sz val="11"/>
        <rFont val="Arial"/>
        <family val="2"/>
      </rPr>
      <t>R4 :</t>
    </r>
    <r>
      <rPr>
        <sz val="11"/>
        <rFont val="Arial"/>
        <family val="2"/>
      </rPr>
      <t xml:space="preserve"> Dépenses d'équipement brutes </t>
    </r>
    <r>
      <rPr>
        <vertAlign val="superscript"/>
        <sz val="11"/>
        <rFont val="Arial"/>
        <family val="2"/>
      </rPr>
      <t>(e)</t>
    </r>
    <r>
      <rPr>
        <sz val="11"/>
        <rFont val="Arial"/>
        <family val="2"/>
      </rPr>
      <t xml:space="preserve"> / habitant «DGF»</t>
    </r>
  </si>
  <si>
    <r>
      <rPr>
        <b/>
        <sz val="11"/>
        <color theme="1"/>
        <rFont val="Arial"/>
        <family val="2"/>
      </rPr>
      <t xml:space="preserve">R1 : </t>
    </r>
    <r>
      <rPr>
        <sz val="11"/>
        <color theme="1"/>
        <rFont val="Arial"/>
        <family val="2"/>
      </rPr>
      <t xml:space="preserve">Dépenses réelles de fonctionnement (DRF) diminuées des travaux en régie / habitant «DGF» </t>
    </r>
  </si>
  <si>
    <r>
      <rPr>
        <b/>
        <sz val="11"/>
        <rFont val="Arial"/>
        <family val="2"/>
      </rPr>
      <t>R1 :</t>
    </r>
    <r>
      <rPr>
        <sz val="11"/>
        <rFont val="Arial"/>
        <family val="2"/>
      </rPr>
      <t xml:space="preserve"> Dépenses réelles de fonctionnement (DRF)</t>
    </r>
    <r>
      <rPr>
        <vertAlign val="superscript"/>
        <sz val="11"/>
        <rFont val="Arial"/>
        <family val="2"/>
      </rPr>
      <t xml:space="preserve"> (c)</t>
    </r>
    <r>
      <rPr>
        <sz val="11"/>
        <rFont val="Arial"/>
        <family val="2"/>
      </rPr>
      <t xml:space="preserve"> / habitant «DGF»</t>
    </r>
  </si>
  <si>
    <r>
      <rPr>
        <b/>
        <sz val="11"/>
        <rFont val="Arial"/>
        <family val="2"/>
      </rPr>
      <t>R4 :</t>
    </r>
    <r>
      <rPr>
        <sz val="11"/>
        <rFont val="Arial"/>
        <family val="2"/>
      </rPr>
      <t xml:space="preserve"> Dépenses d'équipement brutes</t>
    </r>
    <r>
      <rPr>
        <vertAlign val="superscript"/>
        <sz val="11"/>
        <rFont val="Arial"/>
        <family val="2"/>
      </rPr>
      <t xml:space="preserve"> (d)</t>
    </r>
    <r>
      <rPr>
        <sz val="11"/>
        <rFont val="Arial"/>
        <family val="2"/>
      </rPr>
      <t xml:space="preserve"> / habitant «DGF»</t>
    </r>
  </si>
  <si>
    <t>(c) Diminuées des travaux en régie.</t>
  </si>
  <si>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(b) </t>
    </r>
    <r>
      <rPr>
        <sz val="11"/>
        <color theme="1"/>
        <rFont val="Arial"/>
        <family val="2"/>
      </rPr>
      <t>/ RRF (Taux d'équipement)</t>
    </r>
  </si>
  <si>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(d) </t>
    </r>
    <r>
      <rPr>
        <sz val="11"/>
        <color theme="1"/>
        <rFont val="Arial"/>
        <family val="2"/>
      </rPr>
      <t xml:space="preserve">/ RRF (Taux d'équipement) </t>
    </r>
    <r>
      <rPr>
        <vertAlign val="superscript"/>
        <sz val="11"/>
        <color theme="1"/>
        <rFont val="Arial"/>
        <family val="2"/>
      </rPr>
      <t>(c)</t>
    </r>
  </si>
  <si>
    <r>
      <rPr>
        <b/>
        <sz val="11"/>
        <rFont val="Arial"/>
        <family val="2"/>
      </rPr>
      <t>R4 :</t>
    </r>
    <r>
      <rPr>
        <sz val="11"/>
        <rFont val="Arial"/>
        <family val="2"/>
      </rPr>
      <t xml:space="preserve"> Dépenses d'équipement brutes</t>
    </r>
    <r>
      <rPr>
        <vertAlign val="superscript"/>
        <sz val="11"/>
        <rFont val="Arial"/>
        <family val="2"/>
      </rPr>
      <t xml:space="preserve"> (e)</t>
    </r>
    <r>
      <rPr>
        <sz val="11"/>
        <rFont val="Arial"/>
        <family val="2"/>
      </rPr>
      <t xml:space="preserve"> / habitant «DGF»</t>
    </r>
  </si>
  <si>
    <t xml:space="preserve">Autres recettes d'investissement </t>
  </si>
  <si>
    <r>
      <rPr>
        <b/>
        <sz val="11"/>
        <color theme="1"/>
        <rFont val="Arial"/>
        <family val="2"/>
      </rPr>
      <t xml:space="preserve">R10 : </t>
    </r>
    <r>
      <rPr>
        <sz val="11"/>
        <color theme="1"/>
        <rFont val="Arial"/>
        <family val="2"/>
      </rPr>
      <t>Dépenses d'équipement brutes</t>
    </r>
    <r>
      <rPr>
        <vertAlign val="superscript"/>
        <sz val="11"/>
        <color theme="1"/>
        <rFont val="Arial"/>
        <family val="2"/>
      </rPr>
      <t xml:space="preserve"> (c) </t>
    </r>
    <r>
      <rPr>
        <sz val="11"/>
        <color theme="1"/>
        <rFont val="Arial"/>
        <family val="2"/>
      </rPr>
      <t>/ RRF (Taux d'équipement)</t>
    </r>
  </si>
  <si>
    <t>Dette / Epargne brute (Capacité de désendettement, en années)</t>
  </si>
  <si>
    <t>(b) Les communes de montagne concernent aussi les départements d'Outre-Mer (DOM), mais ici, on se restreint à la France métropolitaine pour avoir une comparaison cohérente avec les communes touristiques.</t>
  </si>
  <si>
    <t>(b) Les communes urbaines concernent la France entière (y compris les DOM).</t>
  </si>
  <si>
    <t>(a) Les communes urbaines concernent la France entière (y compris les DOM).</t>
  </si>
  <si>
    <r>
      <rPr>
        <b/>
        <sz val="11"/>
        <color theme="1"/>
        <rFont val="Arial"/>
        <family val="2"/>
      </rPr>
      <t xml:space="preserve">R4 : </t>
    </r>
    <r>
      <rPr>
        <sz val="11"/>
        <color theme="1"/>
        <rFont val="Arial"/>
        <family val="2"/>
      </rPr>
      <t>Dépenses d'équipement brutes</t>
    </r>
    <r>
      <rPr>
        <vertAlign val="superscript"/>
        <sz val="11"/>
        <color theme="1"/>
        <rFont val="Arial"/>
        <family val="2"/>
      </rPr>
      <t xml:space="preserve"> (d) </t>
    </r>
    <r>
      <rPr>
        <sz val="11"/>
        <color theme="1"/>
        <rFont val="Arial"/>
        <family val="2"/>
      </rPr>
      <t xml:space="preserve">/ habitant «DGF» </t>
    </r>
  </si>
  <si>
    <t>- à une CA</t>
  </si>
  <si>
    <t>CU : communauté urbaine, CA : communauté d'agglomération, CC à FPU : communauté de communes à fiscalité professionnelle unique, CC à FA : communauté de communes à fiscalité additionnellle.</t>
  </si>
  <si>
    <t>T 5.2.a bis – (R1) : Dépenses réelles de fonctionnement diminuées des travaux en régie / population</t>
  </si>
  <si>
    <t>Aux dépenses réelles de fonctionnement, on retire les travaux en régie (crédit du compte 72, en opérations budgétaires).</t>
  </si>
  <si>
    <t>Part des recettes provenant des impôts et taxes</t>
  </si>
  <si>
    <t>Part relative des concours et dotations de l'État dans le total des recettes réelles de fonctionnement.</t>
  </si>
  <si>
    <t>T 5.4.d – Subventions d'équipement versées  / dépenses réelles d'investissement (y compris remboursements de dettes)</t>
  </si>
  <si>
    <t>T 5.4.e – Emprunts réalisés / dépenses réelles d'investissement (y compris remboursements de dettes)</t>
  </si>
  <si>
    <t>Les emprunts réalisés et les remboursements de dettes sont calculés hors gestion active de la dette.</t>
  </si>
  <si>
    <t>T 5.5.a – Recettes réelles d'investissement (y compris emprunts) / population</t>
  </si>
  <si>
    <t>T 5.5.b – Dotations et subventions d'équipement / recettes réelles d'investissement (y compris emprunts)</t>
  </si>
  <si>
    <t>T 5.5.c – Fonds de compensation pour la TVA (FCTVA) / recettes réelles d'investissement (y compris emprunts)</t>
  </si>
  <si>
    <t>T 5.5.d – Autres recettes d'investissement / recettes réelles d'investissement (y compris emprunts)</t>
  </si>
  <si>
    <t>Répartition des communes et de leur population par région et strate de population</t>
  </si>
  <si>
    <t>Répartition des communes appartenant à un groupement à fiscalité propre selon le type de groupement</t>
  </si>
  <si>
    <t>Répartition des communes selon leur caractère touristique et de montagne par strate de population</t>
  </si>
  <si>
    <t>Répartition des communes selon leur caractère urbain ou rural par strate de population</t>
  </si>
  <si>
    <t>Les dépenses et recettes par habitant des communes par strate de population</t>
  </si>
  <si>
    <t>Données financières des communes touristiques par strate de population (France métropolitaine)</t>
  </si>
  <si>
    <t>Données financières des communes touristiques du littoral maritime par strate de population (France métropolitaine)</t>
  </si>
  <si>
    <t>Données financières des communes touristiques «supports de stations de sports d'hiver» par strate de population (France métropolitaine)</t>
  </si>
  <si>
    <t>Données financières des autres communes touristiques de montagne par strate de population (France métropolitaine)</t>
  </si>
  <si>
    <t>Données financières des autres communes touristiques par strate de population (France métropolitaine)</t>
  </si>
  <si>
    <t>Données financières des communes «rurales» par strate de population</t>
  </si>
  <si>
    <t>Données financières des communes «urbaines» par strate de population</t>
  </si>
  <si>
    <t>Données financières des communes de montagne non touristiques (France métropolitaine)</t>
  </si>
  <si>
    <t>Données financières des communes n'étant pas de montagne (France métropolitaine)</t>
  </si>
  <si>
    <t>Données financières des communes non touristiques (France métropolitaine)</t>
  </si>
  <si>
    <t>(b) Il s'agit des communes des 5 départements d'outre-mer (y compris Mayotte).</t>
  </si>
  <si>
    <r>
      <t>Communes selon l'appartenance à une région</t>
    </r>
    <r>
      <rPr>
        <b/>
        <i/>
        <sz val="11"/>
        <rFont val="Arial"/>
        <family val="2"/>
      </rPr>
      <t xml:space="preserve"> :</t>
    </r>
  </si>
  <si>
    <r>
      <t xml:space="preserve">- à une CU ou métropole </t>
    </r>
    <r>
      <rPr>
        <vertAlign val="superscript"/>
        <sz val="11"/>
        <rFont val="Arial"/>
        <family val="2"/>
      </rPr>
      <t>(b)</t>
    </r>
  </si>
  <si>
    <t>(b) Y compris la métropole de Lyon.</t>
  </si>
  <si>
    <t>(b) En vue de pouvoir comparer ce tableau avec ceux relatifs aux communes touristiques, on se restreint ici aussi à la France métropolitaine.</t>
  </si>
  <si>
    <t>(a) En vue de pouvoir comparer ce tableau avec ceux relatifs aux communes touristiques, on se restreint ici aussi à la France métropolitaine.</t>
  </si>
  <si>
    <t>Rapport entre les charges courantes augmentées des remboursements de la dette et les recettes courantes.</t>
  </si>
  <si>
    <r>
      <rPr>
        <b/>
        <sz val="10"/>
        <color rgb="FF0000FF"/>
        <rFont val="Arial"/>
        <family val="2"/>
      </rPr>
      <t>Population totale et population « DGF »</t>
    </r>
    <r>
      <rPr>
        <sz val="10"/>
        <rFont val="Arial"/>
        <family val="2"/>
      </rPr>
      <t xml:space="preserve"> : Dans le recensement de la population, la «population totale» est égale à la  «population municipale» augmentée de la «population comptée à part»,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</si>
  <si>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Les Finances des</t>
  </si>
  <si>
    <t>Collection</t>
  </si>
  <si>
    <t>Statistiques et finances locales (tableaux)</t>
  </si>
  <si>
    <t>par Guillaume LEFORESTIER</t>
  </si>
  <si>
    <t>ont été élaborés au Département des études et des statistiques locales (DESL)</t>
  </si>
  <si>
    <t>de la Direction générale des collectivités locales (DGCL)</t>
  </si>
  <si>
    <t xml:space="preserve">       </t>
  </si>
  <si>
    <r>
      <t>Nombre de communes</t>
    </r>
    <r>
      <rPr>
        <i/>
        <vertAlign val="superscript"/>
        <sz val="10"/>
        <rFont val="Arial"/>
        <family val="2"/>
      </rPr>
      <t>(a)</t>
    </r>
  </si>
  <si>
    <t>Nombre d'habitants appartenant à :</t>
  </si>
  <si>
    <t xml:space="preserve">Impôts et taxes </t>
  </si>
  <si>
    <t xml:space="preserve">- Impôts locaux </t>
  </si>
  <si>
    <t xml:space="preserve">Concours de l'État </t>
  </si>
  <si>
    <t xml:space="preserve">(dont : fiscalité reversée) </t>
  </si>
  <si>
    <r>
      <t>- DGF</t>
    </r>
    <r>
      <rPr>
        <vertAlign val="superscript"/>
        <sz val="11"/>
        <rFont val="Arial"/>
        <family val="2"/>
      </rPr>
      <t xml:space="preserve"> </t>
    </r>
  </si>
  <si>
    <t>en millions d'euros</t>
  </si>
  <si>
    <t>3 500 hab. à moins</t>
  </si>
  <si>
    <t>Administration générale</t>
  </si>
  <si>
    <t>Sécurité et salubrité publiques</t>
  </si>
  <si>
    <t>Hygiène et salubrité publique</t>
  </si>
  <si>
    <t>Enseignement, formation et apprentissage</t>
  </si>
  <si>
    <t>Enseignement du premier degré</t>
  </si>
  <si>
    <t>Enseignement du second degré</t>
  </si>
  <si>
    <t>Autres services annexes de l'enseignement</t>
  </si>
  <si>
    <t>Culture</t>
  </si>
  <si>
    <t>Sports</t>
  </si>
  <si>
    <t>Jeunesse et loisirs</t>
  </si>
  <si>
    <t>Santé</t>
  </si>
  <si>
    <t>Transports scolaires</t>
  </si>
  <si>
    <t>Foires et marchés</t>
  </si>
  <si>
    <t>en € / habitant</t>
  </si>
  <si>
    <r>
      <rPr>
        <b/>
        <sz val="8"/>
        <rFont val="Arial"/>
        <family val="2"/>
      </rPr>
      <t>Article L2312-3 du Code général des collectivités territoriales :</t>
    </r>
    <r>
      <rPr>
        <sz val="8"/>
        <rFont val="Arial"/>
        <family val="2"/>
      </rPr>
      <t xml:space="preserve"> Entrée en vigueur 2006-01-01; Le budget des communes de 10 000 habitants et plus est voté soit par nature, soit par fonction. S'il est voté par nature, il comporte une présentation fonctionnelle ; s'il est voté par fonction, il comporte une présentation par nature. Le budget des communes de moins de 10 000 habitants est voté par nature. Il comporte pour les communes de 3 500 habitants et plus une présentation fonctionnelle. La nomenclature par nature et la nomenclature par fonction ainsi que la présentation des documents budgétaires sont fixées par voie réglementaire. Un décret en Conseil d'Etat précise les modalités d'application des premier et deuxième alinéas du présent article. Nota: Ordonnance 2005-1027 du 26 août 2005 art. 27 : Les dispositions de la présente ordonnance entrent en vigueur à compter de l'exercice 2006.</t>
    </r>
  </si>
  <si>
    <t>T 6.1</t>
  </si>
  <si>
    <t>T 6.2</t>
  </si>
  <si>
    <t>T 6.3</t>
  </si>
  <si>
    <r>
      <rPr>
        <sz val="10"/>
        <color rgb="FF0000FF"/>
        <rFont val="Arial"/>
        <family val="2"/>
      </rPr>
      <t xml:space="preserve">• </t>
    </r>
    <r>
      <rPr>
        <u/>
        <sz val="10"/>
        <color rgb="FF0000FF"/>
        <rFont val="Arial"/>
        <family val="2"/>
      </rPr>
      <t>Ratio 10</t>
    </r>
    <r>
      <rPr>
        <sz val="10"/>
        <color rgb="FF0000FF"/>
        <rFont val="Arial"/>
        <family val="2"/>
      </rPr>
      <t xml:space="preserve"> = dépenses d’équipement "brutes" / RRF = taux d’équipement : </t>
    </r>
    <r>
      <rPr>
        <sz val="10"/>
        <rFont val="Arial"/>
        <family val="2"/>
      </rPr>
      <t>effort d’équipement de la collectivité au regard de ses ressources. À relativiser sur une année donnée car les programmes d’équipement se jouent souvent sur plusieurs années. Voir le ratio 4 pour la définition des dépenses d'équipement "brutes".</t>
    </r>
  </si>
  <si>
    <t>Communes de 10 000 habitants et plus (y. c. Paris)</t>
  </si>
  <si>
    <t xml:space="preserve">  - dont Guadeloupe</t>
  </si>
  <si>
    <t xml:space="preserve">  - dont Martinique</t>
  </si>
  <si>
    <t xml:space="preserve">  - dont Guyane</t>
  </si>
  <si>
    <t xml:space="preserve">  - dont Réunion</t>
  </si>
  <si>
    <t xml:space="preserve">  - dont Mayotte</t>
  </si>
  <si>
    <t>(b) Y compris les travaux en régie, les travaux effectués d'office pour le compte de tiers, les opérations di'nvestissement sur établissements d'enseignement et les opérations sous mandat.</t>
  </si>
  <si>
    <r>
      <t xml:space="preserve">T 3.d - Dépenses d'équipement </t>
    </r>
    <r>
      <rPr>
        <b/>
        <sz val="10"/>
        <color indexed="12"/>
        <rFont val="Calibri"/>
        <family val="2"/>
      </rPr>
      <t>«</t>
    </r>
    <r>
      <rPr>
        <b/>
        <sz val="10"/>
        <color indexed="12"/>
        <rFont val="Arial"/>
        <family val="2"/>
      </rPr>
      <t>brutes</t>
    </r>
    <r>
      <rPr>
        <b/>
        <sz val="10"/>
        <color indexed="12"/>
        <rFont val="Calibri"/>
        <family val="2"/>
      </rPr>
      <t>»</t>
    </r>
    <r>
      <rPr>
        <b/>
        <sz val="10"/>
        <color indexed="12"/>
        <rFont val="Arial"/>
        <family val="2"/>
      </rPr>
      <t xml:space="preserve"> </t>
    </r>
    <r>
      <rPr>
        <b/>
        <vertAlign val="superscript"/>
        <sz val="10"/>
        <color indexed="12"/>
        <rFont val="Arial"/>
        <family val="2"/>
      </rPr>
      <t>(b)</t>
    </r>
    <r>
      <rPr>
        <b/>
        <sz val="10"/>
        <color indexed="12"/>
        <rFont val="Arial"/>
        <family val="2"/>
      </rPr>
      <t xml:space="preserve"> par «habitant DGF» </t>
    </r>
    <r>
      <rPr>
        <b/>
        <vertAlign val="superscript"/>
        <sz val="10"/>
        <color indexed="12"/>
        <rFont val="Arial"/>
        <family val="2"/>
      </rPr>
      <t>(c)</t>
    </r>
    <r>
      <rPr>
        <b/>
        <sz val="10"/>
        <color indexed="12"/>
        <rFont val="Arial"/>
        <family val="2"/>
      </rPr>
      <t xml:space="preserve"> selon les caractéristiques des communes  </t>
    </r>
  </si>
  <si>
    <r>
      <t xml:space="preserve">communes non touristiques </t>
    </r>
    <r>
      <rPr>
        <b/>
        <vertAlign val="superscript"/>
        <sz val="10"/>
        <rFont val="Arial"/>
        <family val="2"/>
      </rPr>
      <t>(g)</t>
    </r>
  </si>
  <si>
    <t>(c) C'est-à-dire y compris les travaux en régie, les travaux effectués d'office pour le compte de tiers, les opérations di'nvestissement sur établissements d'enseignement et les opérations sous mandat.</t>
  </si>
  <si>
    <t>(b) C'est-à-dire y compris  les travaux en régie, les travaux effectués d'office pour le compte de tiers, les opérations di'nvestissement sur établissements d'enseignement et les opérations sous mandat.</t>
  </si>
  <si>
    <t xml:space="preserve">Dépenses d'équipement </t>
  </si>
  <si>
    <r>
      <t>FCTVA</t>
    </r>
    <r>
      <rPr>
        <vertAlign val="superscript"/>
        <sz val="11"/>
        <color theme="1"/>
        <rFont val="Arial"/>
        <family val="2"/>
      </rPr>
      <t xml:space="preserve"> </t>
    </r>
  </si>
  <si>
    <t xml:space="preserve">Dotations et Subventions d'équipement </t>
  </si>
  <si>
    <t>(d) C'est-à-dire y compris les travaux en régie, les travaux effectués d'office pour le compte de tiers, les opérations di'nvestissement sur établissements d'enseignement et les opérations sous mandat.</t>
  </si>
  <si>
    <t>(d)  C'est-à-dire y compris  les travaux en régie, les travaux effectués d'office pour le compte de tiers, les opérations di'nvestissement sur établissements d'enseignement et les opérations sous mandat.</t>
  </si>
  <si>
    <t>moins crédit des comptes 236, 237, 238 et augmenté des remboursements de dettes, soit le débit du compte 16 excepté les comptes 169, 1645 et 1688</t>
  </si>
  <si>
    <t>débit des comptes 13, 20, 21, 23, 26, 27, 102, 454, 456 (455 en M57), 458, 481 excepté les comptes 139, 269, 279, 1027, 2768, 10229</t>
  </si>
  <si>
    <t>En M14 et M57</t>
  </si>
  <si>
    <t>moins crédit des comptes 236, 237, 238</t>
  </si>
  <si>
    <t>Dépenses d'intervention : en M14, débit net des comptes 655 et 657, sauf 65541 pour les communes de la MGP.</t>
  </si>
  <si>
    <t>Charges financières : en M14 et M57, débit net du compte 66</t>
  </si>
  <si>
    <t>Impôts et taxes : en M14, crédit net des comptes 731, 732, 733, 734, 735, 736, 737, 738, 7391, 7392, 7394, 7396, 7398 et 65541 pour les communes de la MGP (moindres recettes)</t>
  </si>
  <si>
    <t>En M57, débit net des comptes 651, 652, 655, 656, 657.</t>
  </si>
  <si>
    <t>Concours et dotations de l'Etat : en M14, crédit net des comptes 741, 742, 744, 745, 746, 7483</t>
  </si>
  <si>
    <t>En M57, crédit net des comptes 741,742, 743, 744, 745, 746, 7483</t>
  </si>
  <si>
    <t>Dotation globale de fonctionnement : en M14 et M57, crédit net du compte 741</t>
  </si>
  <si>
    <t>Ventes de produits, prestations de services, marchandises : en M14 et M57, crédit net du compte 70.</t>
  </si>
  <si>
    <t>Moyenne métropole en 2015 : 24,2 %</t>
  </si>
  <si>
    <t>Dépenses réelles d'investissement : débit des comptes 13, 20, 21, 23, 26, 27, 102, 454, 456 (455 en M57), 458, 481 excepté les comptes 139, 269, 279, 1027, 2768, 10229</t>
  </si>
  <si>
    <t>En M14 et M57 :</t>
  </si>
  <si>
    <t xml:space="preserve">diminué des crédits des comptes 236, 237, 238 </t>
  </si>
  <si>
    <t>Dépenses pour compte de tiers : débit des comptes 454, 456 (455 en M57) et 458</t>
  </si>
  <si>
    <t>Recettes réelles d'investissement : crédit des comptes 13, 20, 21, 26, 27, 102, 231, 232, 454, 456 (455 en M57), 458 excepté les comptes 139, 269, 279, 1027, 2768, 10229</t>
  </si>
  <si>
    <t>Recettes réelles d'investissement : crédit des comptes 13, 20, 21, 26, 27, 102, 231, 232, 454, 456 (455 en M57), 458 excepté les comptes,139, 269, 279, 1027, 2768, 10229</t>
  </si>
  <si>
    <t xml:space="preserve">Autres recettes : ce sont les recettes réelles d'investissement hors emprunts moins les dotations et subventions d'équipement et moins le fonds de compensation pour la TVA. </t>
  </si>
  <si>
    <t>Encours de la dette : solde créditeur du compte 16 excepté les comptes 1688 et 169</t>
  </si>
  <si>
    <t>Un ratio supérieur à 100 exprime que les charges courantes et de remboursement ne sont pas totalement financées par les recettes courantes.</t>
  </si>
  <si>
    <t>Les remboursements de dettes sont calculés hors gestion active de la dette.</t>
  </si>
  <si>
    <t xml:space="preserve">Dépenses réelles d'investissement hors remboursement : en M14 et M57, débit des comptes 13, 20, 21, 23, 26, 27, 102, 454, 456 (455 en M57), 458, 481 excepté les comptes 139, 269, 279, 1027, 2768, 10229. Diminué des crédits des comptes 236, 237, 238 </t>
  </si>
  <si>
    <t>T 6.3.a – Montants des dépenses totales</t>
  </si>
  <si>
    <t>T 6.3.b – Répartitions des dépenses totales par fonction</t>
  </si>
  <si>
    <t>T 6.3.c – Dépenses totales par habitant</t>
  </si>
  <si>
    <r>
      <t xml:space="preserve">Achats et charges externes : </t>
    </r>
    <r>
      <rPr>
        <sz val="10"/>
        <rFont val="Arial"/>
        <family val="2"/>
      </rPr>
      <t>en M14 et M57</t>
    </r>
    <r>
      <rPr>
        <b/>
        <sz val="10"/>
        <color indexed="12"/>
        <rFont val="Arial"/>
        <family val="2"/>
      </rPr>
      <t xml:space="preserve">, </t>
    </r>
    <r>
      <rPr>
        <sz val="10"/>
        <rFont val="Arial"/>
        <family val="2"/>
      </rPr>
      <t>débit net des comptes 60, 61, 62, excepté les comptes 621, 6031.</t>
    </r>
  </si>
  <si>
    <r>
      <t xml:space="preserve">Frais de personnel : </t>
    </r>
    <r>
      <rPr>
        <sz val="10"/>
        <rFont val="Arial"/>
        <family val="2"/>
      </rPr>
      <t>en M14 et M57</t>
    </r>
    <r>
      <rPr>
        <b/>
        <sz val="10"/>
        <color indexed="12"/>
        <rFont val="Arial"/>
        <family val="2"/>
      </rPr>
      <t xml:space="preserve">, </t>
    </r>
    <r>
      <rPr>
        <sz val="10"/>
        <rFont val="Arial"/>
        <family val="2"/>
      </rPr>
      <t>débit net des comptes 621, 631, 633, 64.</t>
    </r>
  </si>
  <si>
    <r>
      <rPr>
        <b/>
        <sz val="10"/>
        <color rgb="FF0000FF"/>
        <rFont val="Arial"/>
        <family val="2"/>
      </rPr>
      <t>Dépenses d'intervention :</t>
    </r>
    <r>
      <rPr>
        <sz val="10"/>
        <rFont val="Arial"/>
        <family val="2"/>
      </rPr>
      <t xml:space="preserve"> en M14, débit net des comptes 655 et 657, sauf 65541 pour les communes de la MGP.</t>
    </r>
  </si>
  <si>
    <r>
      <t xml:space="preserve">Charges financières : </t>
    </r>
    <r>
      <rPr>
        <sz val="10"/>
        <rFont val="Arial"/>
        <family val="2"/>
      </rPr>
      <t>en M14 et M57</t>
    </r>
    <r>
      <rPr>
        <b/>
        <sz val="10"/>
        <color indexed="12"/>
        <rFont val="Arial"/>
        <family val="2"/>
      </rPr>
      <t xml:space="preserve">, </t>
    </r>
    <r>
      <rPr>
        <sz val="10"/>
        <rFont val="Arial"/>
        <family val="2"/>
      </rPr>
      <t>débit net du compte 66.</t>
    </r>
  </si>
  <si>
    <t>Définitions des grandeurs comptables à partir des nomenclatures M14 et M57 :</t>
  </si>
  <si>
    <r>
      <t>Ventes de produits, prestations de services, marchandises :</t>
    </r>
    <r>
      <rPr>
        <sz val="10"/>
        <rFont val="Arial"/>
        <family val="2"/>
      </rPr>
      <t xml:space="preserve"> en M14 et M57, crédit net du compte 70.</t>
    </r>
  </si>
  <si>
    <r>
      <t xml:space="preserve">Concours et dotations de l'Etat : </t>
    </r>
    <r>
      <rPr>
        <sz val="10"/>
        <rFont val="Arial"/>
        <family val="2"/>
      </rPr>
      <t>en M14,</t>
    </r>
    <r>
      <rPr>
        <b/>
        <sz val="10"/>
        <color indexed="12"/>
        <rFont val="Arial"/>
        <family val="2"/>
      </rPr>
      <t xml:space="preserve"> </t>
    </r>
    <r>
      <rPr>
        <sz val="10"/>
        <rFont val="Arial"/>
        <family val="2"/>
      </rPr>
      <t>crédit net des comptes 741, 742, 744, 745, 746, 7483. En M57, crédit net des comptes 741, 742, 743, 744, 745, 746, 7483.</t>
    </r>
  </si>
  <si>
    <r>
      <t xml:space="preserve">Dotation globale de fonctionnement : </t>
    </r>
    <r>
      <rPr>
        <sz val="10"/>
        <rFont val="Arial"/>
        <family val="2"/>
      </rPr>
      <t>en M14 et M57,</t>
    </r>
    <r>
      <rPr>
        <b/>
        <sz val="10"/>
        <color indexed="12"/>
        <rFont val="Arial"/>
        <family val="2"/>
      </rPr>
      <t xml:space="preserve"> </t>
    </r>
    <r>
      <rPr>
        <sz val="10"/>
        <rFont val="Arial"/>
        <family val="2"/>
      </rPr>
      <t>crédit net du compte 741.</t>
    </r>
  </si>
  <si>
    <t>diminué des crédits des comptes 236, 237, 238 et augmenté des remboursements de dettes, soit le débit du compte 16 excepté les comptes 169, 1645 et 1688</t>
  </si>
  <si>
    <t>augmenté du crédit net des comptes 103, 775 et des emprunts réalisés : crédit du compte 16 excepté les comptes 169, 1645 et 1688</t>
  </si>
  <si>
    <t>augmenté du crédit net des comptes 103, 775</t>
  </si>
  <si>
    <r>
      <t xml:space="preserve">Encours de la dette : </t>
    </r>
    <r>
      <rPr>
        <sz val="10"/>
        <rFont val="Arial"/>
        <family val="2"/>
      </rPr>
      <t>en M14 et M57,</t>
    </r>
    <r>
      <rPr>
        <b/>
        <sz val="10"/>
        <color indexed="12"/>
        <rFont val="Arial"/>
        <family val="2"/>
      </rPr>
      <t xml:space="preserve"> </t>
    </r>
    <r>
      <rPr>
        <sz val="10"/>
        <rFont val="Arial"/>
        <family val="2"/>
      </rPr>
      <t>solde créditeur du compte 16 excepté les comptes 1688 et 169.</t>
    </r>
  </si>
  <si>
    <r>
      <t xml:space="preserve">Dotations et subventions d'équipement : </t>
    </r>
    <r>
      <rPr>
        <sz val="10"/>
        <rFont val="Arial"/>
        <family val="2"/>
      </rPr>
      <t>en M14 et M57,</t>
    </r>
    <r>
      <rPr>
        <b/>
        <sz val="10"/>
        <color indexed="12"/>
        <rFont val="Arial"/>
        <family val="2"/>
      </rPr>
      <t xml:space="preserve"> </t>
    </r>
    <r>
      <rPr>
        <sz val="10"/>
        <rFont val="Arial"/>
        <family val="2"/>
      </rPr>
      <t>crédit des comptes 13, 102 excepté les comptes 139, 1027, 10222, 10229</t>
    </r>
  </si>
  <si>
    <r>
      <rPr>
        <b/>
        <sz val="10"/>
        <color rgb="FF0000FF"/>
        <rFont val="Arial"/>
        <family val="2"/>
      </rPr>
      <t>L'annuité de la dette</t>
    </r>
    <r>
      <rPr>
        <sz val="10"/>
        <rFont val="Arial"/>
        <family val="2"/>
      </rPr>
      <t xml:space="preserve"> comprend, en M14 et M57, les remboursements de dettes, soit le débit du compte 16 excepté les comptes 169, 1645 et 1688 et les charges d'intérêts des emprunts et dettes (débit net du compte 6611).</t>
    </r>
  </si>
  <si>
    <r>
      <t xml:space="preserve">Recettes réelles d'investissement : </t>
    </r>
    <r>
      <rPr>
        <sz val="10"/>
        <rFont val="Arial"/>
        <family val="2"/>
      </rPr>
      <t>en M14 et M57,</t>
    </r>
    <r>
      <rPr>
        <b/>
        <sz val="10"/>
        <color indexed="12"/>
        <rFont val="Arial"/>
        <family val="2"/>
      </rPr>
      <t xml:space="preserve"> </t>
    </r>
    <r>
      <rPr>
        <sz val="10"/>
        <rFont val="Arial"/>
        <family val="2"/>
      </rPr>
      <t>crédit des comptes 13, 20, 21, 26, 27, 102, 231, 232, 454, 456 (455 en M57), 458 excepté les comptes 139, 269, 279, 1027, 2768, 10229 augmenté du crédit net des comptes 103, 775 et des emprunts réalisés : crédit du compte 16 excepté les comptes 169, 1645 et 1688 - GAD</t>
    </r>
    <r>
      <rPr>
        <vertAlign val="superscript"/>
        <sz val="10"/>
        <rFont val="Arial"/>
        <family val="2"/>
      </rPr>
      <t>(a)</t>
    </r>
    <r>
      <rPr>
        <sz val="10"/>
        <rFont val="Arial"/>
        <family val="2"/>
      </rPr>
      <t>.</t>
    </r>
  </si>
  <si>
    <r>
      <rPr>
        <b/>
        <sz val="10"/>
        <color rgb="FF0000FF"/>
        <rFont val="Arial"/>
        <family val="2"/>
      </rPr>
      <t xml:space="preserve">Dépenses réelles d'investissement : </t>
    </r>
    <r>
      <rPr>
        <sz val="10"/>
        <rFont val="Arial"/>
        <family val="2"/>
      </rPr>
      <t>en M14 et M57, débit des comptes 13, 20, 21, 23, 26, 27, 102, 454, 456 (455 en M57), 458, 481 excepté les comptes 139, 269, 279, 1027, 2768, 10229 diminuées des crédits des comptes 236, 237, 238 et augmenté des remboursements de dettes, soit le débit du compte 16 excepté les comptes 169, 1645 et 1688 - GAD</t>
    </r>
    <r>
      <rPr>
        <vertAlign val="superscript"/>
        <sz val="10"/>
        <rFont val="Arial"/>
        <family val="2"/>
      </rPr>
      <t>(a)</t>
    </r>
    <r>
      <rPr>
        <sz val="10"/>
        <rFont val="Arial"/>
        <family val="2"/>
      </rPr>
      <t>.</t>
    </r>
  </si>
  <si>
    <r>
      <t xml:space="preserve">Emprunts réalisés : </t>
    </r>
    <r>
      <rPr>
        <sz val="10"/>
        <rFont val="Arial"/>
        <family val="2"/>
      </rPr>
      <t>en M14 et M57,</t>
    </r>
    <r>
      <rPr>
        <b/>
        <sz val="10"/>
        <color indexed="12"/>
        <rFont val="Arial"/>
        <family val="2"/>
      </rPr>
      <t xml:space="preserve"> </t>
    </r>
    <r>
      <rPr>
        <sz val="10"/>
        <rFont val="Arial"/>
        <family val="2"/>
      </rPr>
      <t>crédit du compte 16 excepté les comptes 169, 1645 et 1688 - GAD</t>
    </r>
    <r>
      <rPr>
        <vertAlign val="superscript"/>
        <sz val="10"/>
        <rFont val="Arial"/>
        <family val="2"/>
      </rPr>
      <t>(a)</t>
    </r>
    <r>
      <rPr>
        <sz val="10"/>
        <rFont val="Arial"/>
        <family val="2"/>
      </rPr>
      <t>.</t>
    </r>
  </si>
  <si>
    <r>
      <rPr>
        <sz val="10"/>
        <color rgb="FF0000FF"/>
        <rFont val="Arial"/>
        <family val="2"/>
      </rPr>
      <t xml:space="preserve">• </t>
    </r>
    <r>
      <rPr>
        <u/>
        <sz val="10"/>
        <color rgb="FF0000FF"/>
        <rFont val="Arial"/>
        <family val="2"/>
      </rPr>
      <t>Ratio 1</t>
    </r>
    <r>
      <rPr>
        <sz val="10"/>
        <color rgb="FF0000FF"/>
        <rFont val="Arial"/>
        <family val="2"/>
      </rPr>
      <t xml:space="preserve"> = dépenses réelles de fonctionnement (DRF) diminuées des travaux en régie / population :</t>
    </r>
    <r>
      <rPr>
        <sz val="10"/>
        <color rgb="FF0091FF"/>
        <rFont val="Arial"/>
        <family val="2"/>
      </rPr>
      <t xml:space="preserve"> </t>
    </r>
    <r>
      <rPr>
        <sz val="10"/>
        <color rgb="FF000000"/>
        <rFont val="Arial"/>
        <family val="2"/>
      </rPr>
      <t>montant total des dépenses de fonctionnement en mouvement réels. Les dépenses liées à des travaux en régie (crédit du compte 72 en opérations budgétaires) sont soustraites aux DRF.</t>
    </r>
    <r>
      <rPr>
        <sz val="10"/>
        <color rgb="FF003399"/>
        <rFont val="Arial"/>
        <family val="2"/>
      </rPr>
      <t xml:space="preserve"> </t>
    </r>
  </si>
  <si>
    <t>Les ratios 1 à 6 sont exprimés en euros par habitant : la population utilisée est la population totale légale en vigueur de l'année. Les ratios 7 à 11 sont exprimés en pourcentage.</t>
  </si>
  <si>
    <t>(c) Ensemble constitué de la France métropolitaine et des départements d'outre-mer y compris Mayotte.</t>
  </si>
  <si>
    <t>Nombre total d'habitants «DGF» des communes non touristiques</t>
  </si>
  <si>
    <t>- Péréquation et compensations fiscales</t>
  </si>
  <si>
    <r>
      <t xml:space="preserve">Impôts et taxes : </t>
    </r>
    <r>
      <rPr>
        <sz val="10"/>
        <rFont val="Arial"/>
        <family val="2"/>
      </rPr>
      <t>en M14, crédit net des comptes 731, 732, 733, 734, 735, 736, 737, 738, 7391, 7392, 7394, 7396, 7398 et 65541 pour les communes de la MGP (moindres recettes). En M57, crédit net des comptes 731, 732, 733, 734, 735, 738, 7391, 7392, 7393, 7394, 7398 .</t>
    </r>
  </si>
  <si>
    <t>(a) Gestion active de la dette : GAD = min(débit compte 16449; crédit compte 16449) + min(débit compte 166; crédit compte 166).</t>
  </si>
  <si>
    <t xml:space="preserve"> 3 500 hab. et plus</t>
  </si>
  <si>
    <t>3 500 hab. et plus</t>
  </si>
  <si>
    <r>
      <t>En nombre de communes</t>
    </r>
    <r>
      <rPr>
        <i/>
        <vertAlign val="superscript"/>
        <sz val="10"/>
        <rFont val="Arial"/>
        <family val="2"/>
      </rPr>
      <t>(a)</t>
    </r>
  </si>
  <si>
    <r>
      <t>Strate des communes</t>
    </r>
    <r>
      <rPr>
        <vertAlign val="superscript"/>
        <sz val="10"/>
        <rFont val="Arial"/>
        <family val="2"/>
      </rPr>
      <t>(a)</t>
    </r>
  </si>
  <si>
    <t>(a) C'est-à-dire y compris les travaux en régie, les travaux effectués d'office pour le compte de tiers, les opérations di'nvestissement sur établissements d'enseignement et les opérations sous mandat.</t>
  </si>
  <si>
    <t>(e) C'est-à-dire y compris les travaux en régie, les travaux effectués d'office pour le compte de tiers, les opérations di'nvestissement sur établissements d'enseignement et les opérations sous mandat.</t>
  </si>
  <si>
    <t>(b) C'est-à-dire y compris les travaux en régie, les travaux effectués d'office pour le compte de tiers, les opérations di'nvestissement sur établissements d'enseignement et les opérations sous mandat.</t>
  </si>
  <si>
    <t>Délai de désendettement = (12) / (3)</t>
  </si>
  <si>
    <t>(b) Le taux d'épargne brute est le ratio de l'épargne brute sur les recettes de fonctionnement.</t>
  </si>
  <si>
    <t>Dette / Epargne brute (Délai de désendettement, en années)</t>
  </si>
  <si>
    <r>
      <t xml:space="preserve">Dette / Epargne brute (Délai de désendettement en années) </t>
    </r>
    <r>
      <rPr>
        <vertAlign val="superscript"/>
        <sz val="11"/>
        <color theme="1"/>
        <rFont val="Arial"/>
        <family val="2"/>
      </rPr>
      <t>(e)</t>
    </r>
  </si>
  <si>
    <t>T 5.1.c – Recettes réelles totales / population</t>
  </si>
  <si>
    <t>T 5.1.d – Recettes réelles totales hors emprunts / population</t>
  </si>
  <si>
    <t xml:space="preserve">Recettes de fonctionnement : </t>
  </si>
  <si>
    <t>Recettes d'investissement :</t>
  </si>
  <si>
    <t>crédit des comptes 13, 20, 21, 26, 27, 102, 231, 232, 454, 456 (455 en M57), 458 excepté les comptes 139, 269, 279, 1027, 2768, 10229</t>
  </si>
  <si>
    <t xml:space="preserve">Recettes d'investissement : </t>
  </si>
  <si>
    <t>Recettes de fonctionnement :</t>
  </si>
  <si>
    <t>Somme des dépenses réelles de fonctionnement et des dépenses réelles d'investissement y compris remboursements de dettes.</t>
  </si>
  <si>
    <t>Somme des dépenses réelles de fonctionnement et des dépenses réelles d'investissement hors remboursements de dettes.</t>
  </si>
  <si>
    <t>Somme des recettes réelles de fonctionnement et des recettes réelles d'investissement y compris emprunts.</t>
  </si>
  <si>
    <t>Somme des recettes réelles de fonctionnement et des recettes réelles d'investissement hors emprunts.</t>
  </si>
  <si>
    <t>crédit des comptes 13, 20, 21, 26, 27, 102, 231, 232, 454, 456 (455 en M57), 458 excepté les comptes,139, 269, 279, 1027, 2768, 10229</t>
  </si>
  <si>
    <t>Recettes réelles de fonctionnement : en M14 et M57, crédit net du compte 7 (excepté les comptes 775, 776, 777 et 78) et des comptes 65541 (M14) et 65561 (M57) pour les communes de la MGP (moindres recettes)</t>
  </si>
  <si>
    <t>En M57, crédit net des comptes 731, 732, 733, 734, 735, 738, 7391, 7392, 7393, 7394, 7398 et 65561 pour les communes de la MGP (moindres recettes)</t>
  </si>
  <si>
    <t>En M57, débit net des comptes 651, 652, 655, 656, 657, sauf 65561 pour les communes de la MGP.</t>
  </si>
  <si>
    <t xml:space="preserve"> </t>
  </si>
  <si>
    <t>T 5.4.a – Dépenses réelles d'investissement (y compris remboursements) / population</t>
  </si>
  <si>
    <t xml:space="preserve">Dépenses de fonctionnement : débit net du compte 6 hormis les comptes 675, 676 et 68 (et hormis 65541 (M14) et 65561 (M57) pour les communes de la MGP), augmenté du remboursements de dettes, soit le débit du compte 16 excepté les comptes </t>
  </si>
  <si>
    <t>169, 1645 et 1688. Aux dépenses réelles de fonctionnement, on retire les travaux en régie (crédit du compte 72, en opérations budgétaires).</t>
  </si>
  <si>
    <t>Ce ratio exprime le poids de la dette en nombre d'années d'épargne brute.</t>
  </si>
  <si>
    <r>
      <t>Fiscalité reversée :</t>
    </r>
    <r>
      <rPr>
        <sz val="10"/>
        <rFont val="Arial"/>
        <family val="2"/>
      </rPr>
      <t xml:space="preserve"> en M14,</t>
    </r>
    <r>
      <rPr>
        <b/>
        <sz val="10"/>
        <color indexed="12"/>
        <rFont val="Arial"/>
        <family val="2"/>
      </rPr>
      <t xml:space="preserve"> </t>
    </r>
    <r>
      <rPr>
        <sz val="10"/>
        <rFont val="Arial"/>
        <family val="2"/>
      </rPr>
      <t>crédit net des</t>
    </r>
    <r>
      <rPr>
        <b/>
        <sz val="10"/>
        <rFont val="Arial"/>
        <family val="2"/>
      </rPr>
      <t xml:space="preserve"> </t>
    </r>
    <r>
      <rPr>
        <sz val="10"/>
        <rFont val="Arial"/>
        <family val="2"/>
      </rPr>
      <t>comptes 7321, 7328, 73921, 73928, et 65541 pour les communes de la MGP. En M57, crédit net des comptes 7321, 7328, 73921, 73928 exceptés les comptes 73214 et 739214 et crédit net du compte 65561 pour les communes de la MGP.</t>
    </r>
  </si>
  <si>
    <r>
      <t xml:space="preserve">Impôts locaux : </t>
    </r>
    <r>
      <rPr>
        <sz val="10"/>
        <rFont val="Arial"/>
        <family val="2"/>
      </rPr>
      <t>en M14, crédit net des comptes 731, 732, 7391, 7392 et 65541 pour les communes de la MGP. En M57, crédit net des comptes 7311, 732, 7392, 73911 et 65561 pour les communes de la MGP.</t>
    </r>
  </si>
  <si>
    <r>
      <rPr>
        <sz val="10"/>
        <color rgb="FF0000FF"/>
        <rFont val="Arial"/>
        <family val="2"/>
      </rPr>
      <t xml:space="preserve">• </t>
    </r>
    <r>
      <rPr>
        <u/>
        <sz val="10"/>
        <color rgb="FF0000FF"/>
        <rFont val="Arial"/>
        <family val="2"/>
      </rPr>
      <t>Ratio 9</t>
    </r>
    <r>
      <rPr>
        <sz val="10"/>
        <color rgb="FF0000FF"/>
        <rFont val="Arial"/>
        <family val="2"/>
      </rPr>
      <t xml:space="preserve"> = marge d’autofinancement courant (MAC) = (DRF + remboursement de dette) / RRF :</t>
    </r>
    <r>
      <rPr>
        <sz val="10"/>
        <rFont val="Arial"/>
        <family val="2"/>
      </rPr>
      <t xml:space="preserve"> capacité de la collectivité à financer l’investissement une fois les charges obligatoires payées. Les remboursements de dette sont calculés hors gestion active de la dette. Plus le ratio est faible, plus la capacité à autofinancer l’investissement est élevée ; </t>
    </r>
    <r>
      <rPr>
        <i/>
        <sz val="10"/>
        <rFont val="Arial"/>
        <family val="2"/>
      </rPr>
      <t>a contrario</t>
    </r>
    <r>
      <rPr>
        <sz val="10"/>
        <rFont val="Arial"/>
        <family val="2"/>
      </rPr>
      <t>, un ratio supérieur à 100 % indique un recours nécessaire aux recettes d’investissement ou à l'emprunt pour financer l'investissement. Les dépenses liées à des travaux en régie (crédit du compte 72 en opérations budgétaires) sont soustraites aux DRF.</t>
    </r>
  </si>
  <si>
    <t>(b) Les communes urbaines concernent la France entière (y compris les DOM) .</t>
  </si>
  <si>
    <t xml:space="preserve">(dont: fiscalité reversée) </t>
  </si>
  <si>
    <r>
      <t>- DGF</t>
    </r>
    <r>
      <rPr>
        <vertAlign val="superscript"/>
        <sz val="11"/>
        <color theme="1"/>
        <rFont val="Arial"/>
        <family val="2"/>
      </rPr>
      <t xml:space="preserve"> </t>
    </r>
  </si>
  <si>
    <r>
      <rPr>
        <b/>
        <sz val="11"/>
        <color theme="1"/>
        <rFont val="Arial"/>
        <family val="2"/>
      </rPr>
      <t xml:space="preserve">R10 : </t>
    </r>
    <r>
      <rPr>
        <sz val="11"/>
        <color theme="1"/>
        <rFont val="Arial"/>
        <family val="2"/>
      </rPr>
      <t xml:space="preserve">Dépenses d'équipement brutes </t>
    </r>
    <r>
      <rPr>
        <vertAlign val="superscript"/>
        <sz val="11"/>
        <color theme="1"/>
        <rFont val="Arial"/>
        <family val="2"/>
      </rPr>
      <t>(d)</t>
    </r>
    <r>
      <rPr>
        <sz val="11"/>
        <color theme="1"/>
        <rFont val="Arial"/>
        <family val="2"/>
      </rPr>
      <t xml:space="preserve"> / RRF (Taux d'équipement) </t>
    </r>
    <r>
      <rPr>
        <vertAlign val="superscript"/>
        <sz val="11"/>
        <color theme="1"/>
        <rFont val="Arial"/>
        <family val="2"/>
      </rPr>
      <t>(c)</t>
    </r>
  </si>
  <si>
    <r>
      <rPr>
        <b/>
        <sz val="11"/>
        <color theme="1"/>
        <rFont val="Arial"/>
        <family val="2"/>
      </rPr>
      <t xml:space="preserve">R4 : </t>
    </r>
    <r>
      <rPr>
        <sz val="11"/>
        <color theme="1"/>
        <rFont val="Arial"/>
        <family val="2"/>
      </rPr>
      <t xml:space="preserve">Dépenses d'équipement brutes </t>
    </r>
    <r>
      <rPr>
        <vertAlign val="superscript"/>
        <sz val="11"/>
        <color theme="1"/>
        <rFont val="Arial"/>
        <family val="2"/>
      </rPr>
      <t>(d)</t>
    </r>
    <r>
      <rPr>
        <sz val="11"/>
        <color theme="1"/>
        <rFont val="Arial"/>
        <family val="2"/>
      </rPr>
      <t xml:space="preserve"> / habitant «DGF» </t>
    </r>
  </si>
  <si>
    <r>
      <rPr>
        <b/>
        <sz val="11"/>
        <color theme="1"/>
        <rFont val="Arial"/>
        <family val="2"/>
      </rPr>
      <t xml:space="preserve">R4 : </t>
    </r>
    <r>
      <rPr>
        <sz val="11"/>
        <color theme="1"/>
        <rFont val="Arial"/>
        <family val="2"/>
      </rPr>
      <t>Dépenses d'équipement brutes</t>
    </r>
    <r>
      <rPr>
        <vertAlign val="superscript"/>
        <sz val="11"/>
        <color theme="1"/>
        <rFont val="Arial"/>
        <family val="2"/>
      </rPr>
      <t xml:space="preserve"> (d)</t>
    </r>
    <r>
      <rPr>
        <sz val="11"/>
        <color theme="1"/>
        <rFont val="Arial"/>
        <family val="2"/>
      </rPr>
      <t xml:space="preserve"> / habitant «DGF» </t>
    </r>
  </si>
  <si>
    <t>(b) On se restreint ici à la France métropolitaine pour les communes non touristiques afin de pouvoir effectuer une comparaison cohérente avec les communes touristiques (les communes des DOM n'étant pas classées «touristiques»).</t>
  </si>
  <si>
    <t xml:space="preserve">Autres dépenses de fonctionnement </t>
  </si>
  <si>
    <t xml:space="preserve">Subventions reçues et participations </t>
  </si>
  <si>
    <t xml:space="preserve">(b) Les communes rurales concernent la France entière (y compris les DOM). </t>
  </si>
  <si>
    <t xml:space="preserve">(a) Les communes rurales concernent la France entière (y compris les DOM). </t>
  </si>
  <si>
    <t xml:space="preserve">(b) Les communes rurales concernent la France entière (y compris les DOM) . </t>
  </si>
  <si>
    <t>Travaux en régie : crédit du compte 72 (en opérations budgétaires)</t>
  </si>
  <si>
    <t>Les évolutions sont présentées en euros courants. Des calculs à champ constant (c'est-à-dire sur les communes présentes à la fois l'année N et l'année N+1) neutralisent les modifications de périmètre et les changements de strate de population. 
La métropole du grand Paris (MGP) a été créée au 1er janvier 2016 ; elle regroupe 131 communes. Les 11 établissements publics territoriaux (EPT) prennent en 2016 la suite des groupements à fiscalité propre (GFP) qui existaient en 2015 et intègrent les communes qui étaient jusqu’à présent isolées ; la situation de Paris reste particulière puisque la commune joue le rôle d’EPT. Dans les comptes du présent document, la MGP et ses EPT sont intégrés dans les groupements à fiscalité propre, Paris restant dans le compte des communes. Des flux financiers importants apparaissent alors à partir de 2016 entre les communes, les EPT et la MGP. Le traitement retenu varie selon les flux. 
a - La loi NOTRe garantit aux EPT le même niveau de ressources que les groupements à fiscalité propre préexistants. Selon les cas, c’est la MGP qui verse une dotation d’équilibre aux EPT, ou l’inverse ; les montants en jeu sont de l’ordre d’un milliard d’euros. Les montants sont déclarés en recettes ou moindres recettes par la MGP (comptes 74861 ou 74869 en M57) et par les EPT (comptes 7431 ou 7439 en M14). Il n’y a donc aucun traitement spécifique à faire puisque ces flux s’annulent au sein du même agrégat («Autres recettes de fonctionnement») dans le même niveau de collectivités (les GFP).
b - Une autre conséquence de la création de la MGP en 2016 est la création du «fonds de compensation des charges territoriales» (FCCT), pour compenser le fait que les communes perçoivent aujourd’hui des recettes fiscales qui étaient auparavant perçues par les GFP. Compte tenu de la nature comptable des opérations, le versement  des communes est enregistrée dans leur compte 655 41 en M14, comme une contribution, et en recettes des GFP (en compte 747 52). Ce flux, de l’ordre d’un milliard d’euros, perturberait l’analyse de l’évolution des comptes si l’on considérait la contribution des communes comme une subvention versée, puisque cela augmenterait artificiellement leurs dépenses ; ce flux perturberait également les comparaisons entre communes, notamment par taille puisque ce flux concerne surtout des communes de plus de 20 000 habitants. Pour pouvoir mieux interpréter les comptes des communes, on décide donc dans ce rapport de neutraliser la contribution des communes au FCCT en ne la considérant pas comme une dépense, mais en la déduisant des recettes fiscales des communes ; dans le compte des GFP, on intègre symétriquement ces recettes perçues par les GFP non pas dans les subventions reçues, mais dans l’agrégat « fiscalité reversée » afin de privilégier une approche économique plutôt que strictement comptable.</t>
  </si>
  <si>
    <r>
      <t>À noter</t>
    </r>
    <r>
      <rPr>
        <sz val="10"/>
        <color rgb="FF000000"/>
        <rFont val="Arial"/>
        <family val="2"/>
      </rPr>
      <t xml:space="preserve"> : pour la détermination des montants de dépenses ou recettes réelles de fonctionnement à retenir pour le calcul des ratios, les reversements de fiscalité liés au FNGIR et aux différents fonds de péréquation horizontale sont comptabilisés en moindres recettes.</t>
    </r>
  </si>
  <si>
    <r>
      <t xml:space="preserve">• </t>
    </r>
    <r>
      <rPr>
        <u/>
        <sz val="10"/>
        <color rgb="FF003399"/>
        <rFont val="Arial"/>
        <family val="2"/>
      </rPr>
      <t>Ratio 1</t>
    </r>
    <r>
      <rPr>
        <sz val="10"/>
        <color rgb="FF003399"/>
        <rFont val="Arial"/>
        <family val="2"/>
      </rPr>
      <t xml:space="preserve"> = dépenses réelles de fonctionnement (DRF) / population :</t>
    </r>
    <r>
      <rPr>
        <sz val="10"/>
        <color rgb="FF0091FF"/>
        <rFont val="Arial"/>
        <family val="2"/>
      </rPr>
      <t xml:space="preserve"> </t>
    </r>
    <r>
      <rPr>
        <sz val="10"/>
        <color rgb="FF000000"/>
        <rFont val="Arial"/>
        <family val="2"/>
      </rPr>
      <t>montant total des dépenses de fonctionnement en mouvement réels. Les dépenses liées à des travaux en régie sont exclues des DRF.</t>
    </r>
    <r>
      <rPr>
        <sz val="10"/>
        <color rgb="FF003399"/>
        <rFont val="Arial"/>
        <family val="2"/>
      </rPr>
      <t xml:space="preserve"> </t>
    </r>
  </si>
  <si>
    <r>
      <t>• </t>
    </r>
    <r>
      <rPr>
        <u/>
        <sz val="10"/>
        <color rgb="FF003399"/>
        <rFont val="Arial"/>
        <family val="2"/>
      </rPr>
      <t>Ratio 2</t>
    </r>
    <r>
      <rPr>
        <sz val="10"/>
        <color rgb="FF003399"/>
        <rFont val="Arial"/>
        <family val="2"/>
      </rPr>
      <t xml:space="preserve"> = produit des impositions directes / population :</t>
    </r>
    <r>
      <rPr>
        <sz val="10"/>
        <rFont val="Arial"/>
        <family val="2"/>
      </rPr>
      <t xml:space="preserve"> (recettes hors fiscalité reversée).</t>
    </r>
  </si>
  <si>
    <r>
      <t xml:space="preserve">• </t>
    </r>
    <r>
      <rPr>
        <u/>
        <sz val="10"/>
        <color rgb="FF003399"/>
        <rFont val="Arial"/>
        <family val="2"/>
      </rPr>
      <t>Ratio 2 bis</t>
    </r>
    <r>
      <rPr>
        <sz val="10"/>
        <color rgb="FF003399"/>
        <rFont val="Arial"/>
        <family val="2"/>
      </rPr>
      <t xml:space="preserve"> = produit net des impositions directes / population :</t>
    </r>
    <r>
      <rPr>
        <sz val="10"/>
        <rFont val="Arial"/>
        <family val="2"/>
      </rPr>
      <t xml:space="preserve"> en plus des impositions directes, ce ratio intègre les prélèvements pour reversements de fiscalité et la fiscalité reversée aux communes par les groupements à fiscalité propre.</t>
    </r>
  </si>
  <si>
    <r>
      <t xml:space="preserve">• </t>
    </r>
    <r>
      <rPr>
        <u/>
        <sz val="10"/>
        <color rgb="FF003399"/>
        <rFont val="Arial"/>
        <family val="2"/>
      </rPr>
      <t>Ratio 3</t>
    </r>
    <r>
      <rPr>
        <sz val="10"/>
        <color rgb="FF003399"/>
        <rFont val="Arial"/>
        <family val="2"/>
      </rPr>
      <t xml:space="preserve"> = recettes réelles de fonctionnement (RRF) / population</t>
    </r>
    <r>
      <rPr>
        <sz val="10"/>
        <color rgb="FF0091FF"/>
        <rFont val="Arial"/>
        <family val="2"/>
      </rPr>
      <t> :</t>
    </r>
    <r>
      <rPr>
        <sz val="10"/>
        <rFont val="Arial"/>
        <family val="2"/>
      </rPr>
      <t xml:space="preserve"> montant total des recettes de fonctionnement en mouvements réels. Ressources dont dispose la collectivité, à comparer aux dépenses de fonctionnement dans leur rythme de croissance.</t>
    </r>
  </si>
  <si>
    <r>
      <t xml:space="preserve">• </t>
    </r>
    <r>
      <rPr>
        <u/>
        <sz val="10"/>
        <color rgb="FF003399"/>
        <rFont val="Arial"/>
        <family val="2"/>
      </rPr>
      <t>Ratio 5</t>
    </r>
    <r>
      <rPr>
        <sz val="10"/>
        <color rgb="FF003399"/>
        <rFont val="Arial"/>
        <family val="2"/>
      </rPr>
      <t xml:space="preserve"> = dette / population :</t>
    </r>
    <r>
      <rPr>
        <sz val="10"/>
        <rFont val="Arial"/>
        <family val="2"/>
      </rPr>
      <t xml:space="preserve"> capital restant dû au 31 décembre de l’exercice. Endettement d’une collectivité à compléter avec un ratio de capacité de désendettement (dette / épargne brute) et le taux d’endettement (ratio 11).</t>
    </r>
  </si>
  <si>
    <r>
      <t xml:space="preserve">• </t>
    </r>
    <r>
      <rPr>
        <u/>
        <sz val="10"/>
        <color rgb="FF003399"/>
        <rFont val="Arial"/>
        <family val="2"/>
      </rPr>
      <t>Ratio 6</t>
    </r>
    <r>
      <rPr>
        <sz val="10"/>
        <color rgb="FF003399"/>
        <rFont val="Arial"/>
        <family val="2"/>
      </rPr>
      <t xml:space="preserve"> = DGF / population</t>
    </r>
    <r>
      <rPr>
        <sz val="10"/>
        <color rgb="FF0091FF"/>
        <rFont val="Arial"/>
        <family val="2"/>
      </rPr>
      <t> :</t>
    </r>
    <r>
      <rPr>
        <sz val="10"/>
        <color rgb="FF000000"/>
        <rFont val="Arial"/>
        <family val="2"/>
      </rPr>
      <t xml:space="preserve"> recettes du compte 741 en mouvements réels. Part de la contribution de l’État au fonctionnement de la collectivité. </t>
    </r>
  </si>
  <si>
    <r>
      <t xml:space="preserve">• </t>
    </r>
    <r>
      <rPr>
        <u/>
        <sz val="10"/>
        <color rgb="FF003399"/>
        <rFont val="Arial"/>
        <family val="2"/>
      </rPr>
      <t>Ratio 7</t>
    </r>
    <r>
      <rPr>
        <sz val="10"/>
        <color rgb="FF003399"/>
        <rFont val="Arial"/>
        <family val="2"/>
      </rPr>
      <t xml:space="preserve"> = dépenses de personnel / DRF :</t>
    </r>
    <r>
      <rPr>
        <sz val="10"/>
        <color rgb="FF000000"/>
        <rFont val="Arial"/>
        <family val="2"/>
      </rPr>
      <t xml:space="preserve"> mesure la charge de personnel de la collectivité ; c’est un coefficient de rigidité car c’est une dépense incompressible à court terme, quelle que soit la population de la collectivité.</t>
    </r>
  </si>
  <si>
    <r>
      <t xml:space="preserve">• </t>
    </r>
    <r>
      <rPr>
        <u/>
        <sz val="10"/>
        <color rgb="FF003399"/>
        <rFont val="Arial"/>
        <family val="2"/>
      </rPr>
      <t>Ratio 9</t>
    </r>
    <r>
      <rPr>
        <sz val="10"/>
        <color rgb="FF003399"/>
        <rFont val="Arial"/>
        <family val="2"/>
      </rPr>
      <t xml:space="preserve"> = marge d’autofinancement courant (MAC) = (DRF + remboursement de dette) / RRF</t>
    </r>
    <r>
      <rPr>
        <sz val="10"/>
        <rFont val="Arial"/>
        <family val="2"/>
      </rPr>
      <t> : capacité de la collectivité à financer l’investissement une fois les charges obligatoires payées. Les remboursements de dette sont calculés hors gestion active de la dette. Plus le ratio est faible, plus la capacité à autofinancer l’investissement est élevée ; a contrario, un ratio supérieur à 100 % indique un recours nécessaire aux recettes d’investissement pour financer la charge de la dette. Les dépenses liées à des travaux en régie sont exclues des DRF.</t>
    </r>
  </si>
  <si>
    <r>
      <t xml:space="preserve">• </t>
    </r>
    <r>
      <rPr>
        <u/>
        <sz val="10"/>
        <color rgb="FF003399"/>
        <rFont val="Arial"/>
        <family val="2"/>
      </rPr>
      <t>Ratio 10</t>
    </r>
    <r>
      <rPr>
        <sz val="10"/>
        <color rgb="FF003399"/>
        <rFont val="Arial"/>
        <family val="2"/>
      </rPr>
      <t xml:space="preserve"> = dépenses d’équipement </t>
    </r>
    <r>
      <rPr>
        <sz val="10"/>
        <color rgb="FF003399"/>
        <rFont val="Calibri"/>
        <family val="2"/>
      </rPr>
      <t>«</t>
    </r>
    <r>
      <rPr>
        <sz val="10"/>
        <color rgb="FF003399"/>
        <rFont val="Arial"/>
        <family val="2"/>
      </rPr>
      <t>brutes</t>
    </r>
    <r>
      <rPr>
        <sz val="10"/>
        <color rgb="FF003399"/>
        <rFont val="Calibri"/>
        <family val="2"/>
      </rPr>
      <t>»</t>
    </r>
    <r>
      <rPr>
        <sz val="10"/>
        <color rgb="FF003399"/>
        <rFont val="Arial"/>
        <family val="2"/>
      </rPr>
      <t xml:space="preserve"> / RRF = taux d’équipement : </t>
    </r>
    <r>
      <rPr>
        <sz val="10"/>
        <rFont val="Arial"/>
        <family val="2"/>
      </rPr>
      <t>effort d’équipement de la collectivité au regard de ses ressources. À relativiser sur une année donnée car les programmes d’équipement se jouent souvent sur plusieurs années.Voir le ratio 4 pour la définition des dépenses.</t>
    </r>
  </si>
  <si>
    <r>
      <t xml:space="preserve">• </t>
    </r>
    <r>
      <rPr>
        <u/>
        <sz val="10"/>
        <color rgb="FF003399"/>
        <rFont val="Arial"/>
        <family val="2"/>
      </rPr>
      <t>Ratio 11</t>
    </r>
    <r>
      <rPr>
        <sz val="10"/>
        <color rgb="FF003399"/>
        <rFont val="Arial"/>
        <family val="2"/>
      </rPr>
      <t xml:space="preserve"> = dette / RRF = taux d’endettement :</t>
    </r>
    <r>
      <rPr>
        <sz val="10"/>
        <rFont val="Arial"/>
        <family val="2"/>
      </rPr>
      <t xml:space="preserve"> mesure la charge de la dette d’une collectivité relativement à ses ressources.</t>
    </r>
  </si>
  <si>
    <r>
      <rPr>
        <b/>
        <sz val="10"/>
        <rFont val="Arial"/>
        <family val="2"/>
      </rPr>
      <t>La notion de ruralité et d'urbanité</t>
    </r>
    <r>
      <rPr>
        <sz val="10"/>
        <rFont val="Arial"/>
        <family val="2"/>
      </rPr>
      <t xml:space="preserve"> repose sur la grille de densité de l'Insee. Sont considérées comme communes urbaines les communes appartenant à la classe 1 " commune densément peuplée" et à la classe 2 "communes de catégorie intermédiaire". Sont considérées comme communes rurales les communes appartenant à la classe 3 "commune peu dense" et 4 "commune très peu dense".</t>
    </r>
  </si>
  <si>
    <r>
      <rPr>
        <b/>
        <sz val="10"/>
        <rFont val="Arial"/>
        <family val="2"/>
      </rPr>
      <t>Population totale et population « DGF »</t>
    </r>
    <r>
      <rPr>
        <sz val="10"/>
        <rFont val="Arial"/>
        <family val="2"/>
      </rPr>
      <t xml:space="preserve"> : 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</si>
  <si>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t xml:space="preserve">Les communes touristiques : </t>
    </r>
    <r>
      <rPr>
        <sz val="10"/>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 Ministère de l'Intérieur, DGCL). La dotation touristique se fondait sur la capacité d'accueil et d'hébergement de la commune. Les communes touristiques concernent uniquement la métropole.</t>
    </r>
  </si>
  <si>
    <r>
      <t xml:space="preserve">Communes touristiques du littoral maritime : </t>
    </r>
    <r>
      <rPr>
        <sz val="10"/>
        <rFont val="Arial"/>
        <family val="2"/>
      </rPr>
      <t>ce sont les communes touristiques appartenant également à la liste des communes du littoral maritime. Cette liste comprend les communes de bord de mer et les communes d'estuaires, en aval de la limite transversale de la mer (source : Institut Français de l'Environnement).</t>
    </r>
  </si>
  <si>
    <r>
      <t xml:space="preserve">Communes touristiques de montagne : </t>
    </r>
    <r>
      <rPr>
        <sz val="10"/>
        <rFont val="Arial"/>
        <family val="2"/>
      </rPr>
      <t>Les communes de montagne sont repérées à l'aide du classement en zone défavorisée réalisé par le Ministère de l'Agriculture. Les communes retenues sont celles qui sont entièrement classées "montagne" ou "haute montagne" et en métropole (source : Ministère de l'Agriculture, de la pêche, de la ruralité et de l'aménagement du territoire).</t>
    </r>
  </si>
  <si>
    <r>
      <t xml:space="preserve">Communes touristiques "supports de station de sports d'hiver" : </t>
    </r>
    <r>
      <rPr>
        <sz val="10"/>
        <rFont val="Arial"/>
        <family val="2"/>
      </rPr>
      <t>ce sont les communes touristiques également classées comme "supports de stations de sports d'hiver". Ces dernières sont définies à partir de la capacité d'hébergement et de la présence de remontées mécaniques. Les  critères de sélection des communes touristiques conduisent à exclure du champ d'étude les communes dont l'activité liée au tourisme d'hiver est mineure (faible capacité d'hébergement et nombre réduit de remontées mécaniques) (source : Service d'Etudes d'Aménagement Touristique de la Montagne).</t>
    </r>
  </si>
  <si>
    <r>
      <rPr>
        <b/>
        <sz val="10"/>
        <rFont val="Arial"/>
        <family val="2"/>
      </rPr>
      <t>Les communes classées en zone de montagne :</t>
    </r>
    <r>
      <rPr>
        <sz val="10"/>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</si>
  <si>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10"/>
        <rFont val="Arial"/>
        <family val="2"/>
      </rPr>
      <t>Population totale et population « DGF » :</t>
    </r>
    <r>
      <rPr>
        <sz val="10"/>
        <rFont val="Arial"/>
        <family val="2"/>
      </rPr>
      <t xml:space="preserve"> 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</si>
  <si>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10"/>
        <rFont val="Arial"/>
        <family val="2"/>
      </rPr>
      <t xml:space="preserve">Les communes touristiques : </t>
    </r>
    <r>
      <rPr>
        <sz val="10"/>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uniuement la France métropolitaine.</t>
    </r>
  </si>
  <si>
    <r>
      <rPr>
        <b/>
        <sz val="10"/>
        <rFont val="Arial"/>
        <family val="2"/>
      </rPr>
      <t>Population totale et population « DGF »</t>
    </r>
    <r>
      <rPr>
        <sz val="10"/>
        <rFont val="Arial"/>
        <family val="2"/>
      </rPr>
      <t xml:space="preserve"> : Dans le recensement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Dans cette étude, à des fins de comparaisons, les autres agrégats financiers sont aussi rapportés au nombre « d'habitants DGF ».
</t>
    </r>
  </si>
  <si>
    <r>
      <rPr>
        <b/>
        <sz val="10"/>
        <rFont val="Arial"/>
        <family val="2"/>
      </rPr>
      <t xml:space="preserve">Les communes touristiques: </t>
    </r>
    <r>
      <rPr>
        <sz val="10"/>
        <rFont val="Arial"/>
        <family val="2"/>
      </rPr>
      <t>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r>
  </si>
  <si>
    <r>
      <rPr>
        <b/>
        <sz val="10"/>
        <rFont val="Arial"/>
        <family val="2"/>
      </rPr>
      <t xml:space="preserve">Les communes classées en zone de montagne: </t>
    </r>
    <r>
      <rPr>
        <sz val="10"/>
        <rFont val="Arial"/>
        <family val="2"/>
      </rPr>
      <t xml:space="preserve">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</si>
  <si>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10"/>
        <rFont val="Arial"/>
        <family val="2"/>
      </rPr>
      <t>Population totale et population « DGF » :</t>
    </r>
    <r>
      <rPr>
        <sz val="10"/>
        <rFont val="Arial"/>
        <family val="2"/>
      </rPr>
      <t xml:space="preserve">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</si>
  <si>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10"/>
        <rFont val="Arial"/>
        <family val="2"/>
      </rPr>
      <t xml:space="preserve">Population totale et population « DGF » : </t>
    </r>
    <r>
      <rPr>
        <sz val="10"/>
        <rFont val="Arial"/>
        <family val="2"/>
      </rPr>
      <t xml:space="preserve">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</si>
  <si>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10"/>
        <rFont val="Arial"/>
        <family val="2"/>
      </rPr>
      <t xml:space="preserve">Population totale et population « DGF » : </t>
    </r>
    <r>
      <rPr>
        <sz val="10"/>
        <rFont val="Arial"/>
        <family val="2"/>
      </rPr>
      <t xml:space="preserve">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</si>
  <si>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10"/>
        <rFont val="Arial"/>
        <family val="2"/>
      </rPr>
      <t>Les communes classées en zone de montagne:</t>
    </r>
    <r>
      <rPr>
        <sz val="10"/>
        <rFont val="Arial"/>
        <family val="2"/>
      </rPr>
      <t xml:space="preserve"> Le classement des communes en zone de montagne repose sur les dispositions du règlement n°1257/1999 du Conseil de l’UE du 17 mai 1999 concernant le soutien au développement rural et plus particulièrement sur son article 18 pour la montagne, et la directive 76/401/CEE du Conseil du 6 avril 1976 (détermination précise des critères pour le classement en France en zone de montagne). La zone de montagne est définie comme se caractérisant par des handicaps liés à l’altitude, à la pente, et/ou au climat, qui ont pour effet de restreindre de façon conséquente les possibilités d’utilisation des terres et d’augmenter de manière générale le coût de tous les travaux. Cette liste de communes zones de montagne sert notamment au calcul de la dotation globale de fonctionnement des communes par la DGCL. </t>
    </r>
  </si>
  <si>
    <r>
      <rPr>
        <b/>
        <sz val="10"/>
        <rFont val="Arial"/>
        <family val="2"/>
      </rPr>
      <t>Population totale et population « DGF »</t>
    </r>
    <r>
      <rPr>
        <sz val="10"/>
        <rFont val="Arial"/>
        <family val="2"/>
      </rPr>
      <t xml:space="preserve"> :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</si>
  <si>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r>
      <rPr>
        <b/>
        <sz val="10"/>
        <rFont val="Arial"/>
        <family val="2"/>
      </rPr>
      <t>Les communes touristiques:</t>
    </r>
    <r>
      <rPr>
        <sz val="10"/>
        <rFont val="Arial"/>
        <family val="2"/>
      </rPr>
      <t xml:space="preserve"> 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r>
  </si>
  <si>
    <r>
      <rPr>
        <b/>
        <sz val="10"/>
        <rFont val="Arial"/>
        <family val="2"/>
      </rPr>
      <t>Population totale et population « DGF » :</t>
    </r>
    <r>
      <rPr>
        <sz val="10"/>
        <rFont val="Arial"/>
        <family val="2"/>
      </rPr>
      <t xml:space="preserve">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</si>
  <si>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L'annuité de la dette est calculée hors gestion active de la dette.</t>
  </si>
  <si>
    <t>https://www.collectivites-locales.gouv.fr/etudes-et-statistiques-locales</t>
  </si>
  <si>
    <r>
      <rPr>
        <b/>
        <sz val="10"/>
        <rFont val="Arial"/>
        <family val="2"/>
      </rPr>
      <t>Les communes touristiques</t>
    </r>
    <r>
      <rPr>
        <sz val="10"/>
        <rFont val="Arial"/>
        <family val="2"/>
      </rPr>
      <t>: au sens de l'article L2334-7 du CGCT, la dénomination "commune touristique" désigne les collectivités qui étaient bénéficiaires de la dotation supplémentaire touristique aujourd'hui intégrée au sein de la dotation forfaitaire (loi n°93-1436 du 31 décembre 1993) dans la dotation globale de fonctionnement (source: Ministère de l'Intérieur, DGCL). La dotation touristique se fondait sur la capacité d'accueil et d'hébergement de la commune. Les communes touristiques concernent uniquement la France métropolitaine.</t>
    </r>
  </si>
  <si>
    <r>
      <rPr>
        <b/>
        <sz val="10"/>
        <rFont val="Arial"/>
        <family val="2"/>
      </rPr>
      <t xml:space="preserve">Population totale et population « DGF » </t>
    </r>
    <r>
      <rPr>
        <sz val="10"/>
        <rFont val="Arial"/>
        <family val="2"/>
      </rPr>
      <t xml:space="preserve">: Dans le recensement de l'Insee de la population, la « population totale » est égale à la « population municipale » augmentée de la « population comptée à part », c’est-à-dire les personnes recensées sur d’autres communes mais qui ont conservé un lien avec une résidence sur la commune (par exemple les étudiants). La somme de toutes les populations totales dépasse donc la population réelle, du fait des personnes comptées à part, comptées une fois dans leur commune de résidence et une fois dans leur commune de rattachement occasionnel. Pour le calcul des dotations on inclut ces habitants comptés à part ; on considère en effet que ces personnes pèsent sur le budget de fonctionnement de la commune même si elles résident habituellement dans une autre commune. 
Pour tenir compte des conditions particulières de certaines communes, qui pèsent sur leur fonctionnement, cette population totale est, en plus, majorée en fonction de deux critères particuliers. Il ne s’agit plus d’habitants « réels » recensés, mais d’une attribution forfaitaire exprimée en nombre d’habitants par commodité de calcul.
- majoration en fonction du nombre de résidences secondaires : la population totale issue du recensement est forfaitairement majorée d’un habitant par résidence secondaire. Elles sont particulièrement nombreuses dans les zones touristiques. Cela aboutit à majorer la population nationale à ce titre d’un forfait de plus de 3 millions « d’habitants ».
- majoration pour places de caravanes dans les aires d’accueil des gens du voyage. Selon la même logique, la population totale est majorée d’un habitant par place de caravane située sur une aire d’accueil des gens du voyage. La majoration de population est portée à deux habitants par place de caravane pour les communes éligibles l’année précédente à la dotation de solidarité urbaine (DSU) ou à la première fraction (bourg-centre) de la dotation de solidarité rurale (DSR). Les caravanes de campings dans le cadre de l’hôtellerie de plein air ne sont pas concernées.
Une fois effectuées ces deux majorations de la population totale, on obtient une population forfaitaire, dite « population DGF », car utilisée pour calculer la principale dotation que lui verse l’État pour son fonctionnement, la dotation globale de fonctionnement (DGF). 
</t>
    </r>
  </si>
  <si>
    <t>Dépenses d'équipement : débit des comptes  20, 21, 23 excepté 204 et excepté 2324 en M57 moins le crédit des comptes 236, 237, 238</t>
  </si>
  <si>
    <t>Dépenses d'équipement : débit des comptes  20, 21, 23 excepté 204 et excepté 2324 en M57  moins le crédit des comptes 236, 237, 238</t>
  </si>
  <si>
    <r>
      <t xml:space="preserve">Dépenses d'équipement : </t>
    </r>
    <r>
      <rPr>
        <sz val="10"/>
        <rFont val="Arial"/>
        <family val="2"/>
      </rPr>
      <t>en M14 et M57,</t>
    </r>
    <r>
      <rPr>
        <b/>
        <sz val="10"/>
        <color indexed="12"/>
        <rFont val="Arial"/>
        <family val="2"/>
      </rPr>
      <t xml:space="preserve"> </t>
    </r>
    <r>
      <rPr>
        <sz val="10"/>
        <rFont val="Arial"/>
        <family val="2"/>
      </rPr>
      <t>débit des comptes  20, 21, 23 excepté 204 et excepté 2324 en M57 moins le crédit des comptes 236, 237, 238.</t>
    </r>
  </si>
  <si>
    <r>
      <rPr>
        <sz val="10"/>
        <color rgb="FF0000FF"/>
        <rFont val="Arial"/>
        <family val="2"/>
      </rPr>
      <t xml:space="preserve">• </t>
    </r>
    <r>
      <rPr>
        <u/>
        <sz val="10"/>
        <color rgb="FF0000FF"/>
        <rFont val="Arial"/>
        <family val="2"/>
      </rPr>
      <t>Ratio 4</t>
    </r>
    <r>
      <rPr>
        <sz val="10"/>
        <color rgb="FF0000FF"/>
        <rFont val="Arial"/>
        <family val="2"/>
      </rPr>
      <t xml:space="preserve"> = dépenses d’équipement "brutes" / population :</t>
    </r>
    <r>
      <rPr>
        <sz val="10"/>
        <rFont val="Arial"/>
        <family val="2"/>
      </rPr>
      <t xml:space="preserve"> dépenses des comptes 20 (immobilisations incorporelles) sauf 204 (subventions d’équipement versées), 21 (immobilisations corporelles), 23 (immobilisations en cours diminué des crédits des comptes 236, 237 et 238 et excepté le compte 2324 en M57), 454 (travaux effectués d’office pour le compte de tiers), 456 (opérations d’investissement sur établissement d’enseignement) et 458 (opérations d’investissement sous mandat). Les travaux en régie (crédit du compte 72, en opérations budgétaires) sont ajoutés au calcul. </t>
    </r>
  </si>
  <si>
    <r>
      <rPr>
        <sz val="10"/>
        <color rgb="FF0000FF"/>
        <rFont val="Arial"/>
        <family val="2"/>
      </rPr>
      <t>• </t>
    </r>
    <r>
      <rPr>
        <u/>
        <sz val="10"/>
        <color rgb="FF0000FF"/>
        <rFont val="Arial"/>
        <family val="2"/>
      </rPr>
      <t>Ratio 2</t>
    </r>
    <r>
      <rPr>
        <sz val="10"/>
        <color rgb="FF0000FF"/>
        <rFont val="Arial"/>
        <family val="2"/>
      </rPr>
      <t xml:space="preserve"> = produit des impositions directes / population </t>
    </r>
    <r>
      <rPr>
        <sz val="10"/>
        <rFont val="Arial"/>
        <family val="2"/>
      </rPr>
      <t xml:space="preserve"> (recettes hors fiscalité reversée).</t>
    </r>
  </si>
  <si>
    <t>Centres urbains intermédiaires</t>
  </si>
  <si>
    <t>Petites villes</t>
  </si>
  <si>
    <t>Ceintures urbaines</t>
  </si>
  <si>
    <t>Bourgs ruraux</t>
  </si>
  <si>
    <t>Rural à habitat dispersé</t>
  </si>
  <si>
    <t>Rural à habitat très dispersé</t>
  </si>
  <si>
    <t>Grands centres urbains</t>
  </si>
  <si>
    <t>Type de communes rurales et urbaines :</t>
  </si>
  <si>
    <t xml:space="preserve"> Type de communes rurales et urbaines  :</t>
  </si>
  <si>
    <r>
      <rPr>
        <b/>
        <sz val="10"/>
        <color rgb="FF0000FF"/>
        <rFont val="Arial"/>
        <family val="2"/>
      </rPr>
      <t>Communes rurales et urbaines :</t>
    </r>
    <r>
      <rPr>
        <sz val="10"/>
        <rFont val="Arial"/>
        <family val="2"/>
      </rPr>
      <t xml:space="preserve"> la grille communale de densité permet de classer les communes en fonction du nombre d’habitants et de la répartition de ces habitants sur leur territoire. Plus la population est concentrée et nombreuse, plus la commune est considérée comme dense. L’appartenance à un niveau de la grille n’est pas simplement liée à la densité moyenne de population calculée sur l’ensemble de la commune (incluant les surfaces non habitées comme les forêts, la montagne et les champs), elle prend en compte la présence au sein de la commune de zones concentrant un grand nombre d’habitants sur une faible surface. Plus précisément, la définition retenue par l’Union européenne s’appuie sur le découpage du territoire en carreaux de 1 kilomètre de côté et sur l’agrégation de carreaux de densité équivalente, définissant des « taches » ou « clusters ». Chaque commune est ensuite affectée dans une catégorie en fonction de la part de la population communale comprise dans les différents types de cluster. Les données de population sont issues des fichiers démographiques sur les logements et les individus (Fideli 2018). Dans son premier niveau, à 3 catégories, la grille communale permet ainsi de distinguer trois types de communes : les communes densément peuplées, les communes de densité intermédiaire, les communes rurales. Les communes densément peuplées et les communes de densité intermédiaire constituent l'espace urbain et sont appelées « communes urbaines ». Une grille détaillée, à 7 niveaux, a été définie suite à des travaux récents au niveau international. Il s’agit d’une subdivision de la grille à 3 catégories ; en particulier, les définitions de l’urbain et du rural sont inchangées. Les communes denses, ou densément peuplées, restent aussi identiques. Elles correspondent aux communes des « cities » européennes, dénommées « grands centres urbains » dans la grille à 7 niveaux. Au sein des communes de densité intermédiaire, la grille à 7 niveaux permet de différencier : les « centres urbains intermédiaires », les « ceintures urbaines », les « petites villes ». Au sein des communes rurales, la grille distingue : les « bourgs ruraux », le « rural à habitat dispersé », le « rural à habitat très dispersé ».</t>
    </r>
  </si>
  <si>
    <r>
      <t xml:space="preserve">T 2.3 - Évolution à champ constant </t>
    </r>
    <r>
      <rPr>
        <b/>
        <vertAlign val="superscript"/>
        <sz val="14"/>
        <color indexed="12"/>
        <rFont val="Arial"/>
        <family val="2"/>
      </rPr>
      <t>(a)</t>
    </r>
    <r>
      <rPr>
        <b/>
        <sz val="14"/>
        <color indexed="12"/>
        <rFont val="Arial"/>
        <family val="2"/>
      </rPr>
      <t xml:space="preserve"> par strate de population des communes </t>
    </r>
  </si>
  <si>
    <r>
      <t xml:space="preserve">• </t>
    </r>
    <r>
      <rPr>
        <u/>
        <sz val="10"/>
        <color rgb="FF003399"/>
        <rFont val="Arial"/>
        <family val="2"/>
      </rPr>
      <t>Ratio 4</t>
    </r>
    <r>
      <rPr>
        <sz val="10"/>
        <color rgb="FF003399"/>
        <rFont val="Arial"/>
        <family val="2"/>
      </rPr>
      <t xml:space="preserve"> = dépenses d’équipement </t>
    </r>
    <r>
      <rPr>
        <sz val="10"/>
        <color rgb="FF003399"/>
        <rFont val="Calibri"/>
        <family val="2"/>
      </rPr>
      <t>«brutes»</t>
    </r>
    <r>
      <rPr>
        <sz val="10"/>
        <color rgb="FF003399"/>
        <rFont val="Arial"/>
        <family val="2"/>
      </rPr>
      <t>/ population :</t>
    </r>
    <r>
      <rPr>
        <sz val="10"/>
        <rFont val="Arial"/>
        <family val="2"/>
      </rPr>
      <t xml:space="preserve"> dépenses des comptes 20 (immobilisations incorporelles) sauf 204 (subventions d’équipement versées), 21 (immobilisations corporelles), 23 (immobilisations en cours sauf 2324 en M57, diminué des crédits des comptes 236, 237 et 238), 454 (travaux effectués d’office pour le compte de tiers), 456 (opérations d’investissement sur établissement d’enseignement) et 458 (opérations d’investissement sous mandat). Les travaux en régie (crédit du compte 72 en opérations budgétaires) sont ajoutés au calcul. Pour les départements et les régions, on rajoute le débit du compte correspondant aux opérations d’investissement sur établissements publics locaux d’enseignement (compte 455 ou 456 selon les nomenclatures).</t>
    </r>
  </si>
  <si>
    <t>Services généraux</t>
  </si>
  <si>
    <t>Opérations non ventilables</t>
  </si>
  <si>
    <t>Conseils, assemblée locale</t>
  </si>
  <si>
    <t>Coopération décentralisée et actions internationales</t>
  </si>
  <si>
    <t>Services communs (sécurité)</t>
  </si>
  <si>
    <t>Police, sécurité, justice</t>
  </si>
  <si>
    <t>Incendie et secours</t>
  </si>
  <si>
    <t>Autres interventions de protection civile</t>
  </si>
  <si>
    <t>Services communs (enseignement)</t>
  </si>
  <si>
    <t>Enseignement supérieur, professionnel et continu</t>
  </si>
  <si>
    <t>Hébergement et restauration scolaires</t>
  </si>
  <si>
    <t>Culture, vie sociale, sport et jeunesse</t>
  </si>
  <si>
    <t>Services communs et vie sociale</t>
  </si>
  <si>
    <t>dont : expression et action culturelles</t>
  </si>
  <si>
    <t>: conservation et diffusion du patrimoine</t>
  </si>
  <si>
    <t>Santé, action sociale</t>
  </si>
  <si>
    <t>Services communs (y compris APA et RSA)</t>
  </si>
  <si>
    <t>Action sociale (hors APA et RSA)</t>
  </si>
  <si>
    <t>dont : services communs action sociale</t>
  </si>
  <si>
    <t>: famille et enfance</t>
  </si>
  <si>
    <t>: personnes âgées</t>
  </si>
  <si>
    <t>: personnes handicapées</t>
  </si>
  <si>
    <t>: autres interventions sociales</t>
  </si>
  <si>
    <t>Aménagement des territoires et habitat</t>
  </si>
  <si>
    <t>Services communs et sécurité</t>
  </si>
  <si>
    <t>Aménagement des territoires</t>
  </si>
  <si>
    <t>dont : espaces verts urbains</t>
  </si>
  <si>
    <t>: éclairage public</t>
  </si>
  <si>
    <t>: autres aménagements urbains et ruraux</t>
  </si>
  <si>
    <t>Habitat</t>
  </si>
  <si>
    <t>Environnement</t>
  </si>
  <si>
    <t>Services communs et actions transversales</t>
  </si>
  <si>
    <t>Collecte et traitement des déchets</t>
  </si>
  <si>
    <t>Propreté urbaine</t>
  </si>
  <si>
    <t>Actions en matière de gestion des eaux</t>
  </si>
  <si>
    <t>Autres actions environnementales</t>
  </si>
  <si>
    <t>Transports, routes et voiries</t>
  </si>
  <si>
    <t>Services communs (transports)</t>
  </si>
  <si>
    <t>Transports publics (hors scolaire)</t>
  </si>
  <si>
    <t>Routes et voiries</t>
  </si>
  <si>
    <t>Infrastructures</t>
  </si>
  <si>
    <t>Action économique</t>
  </si>
  <si>
    <t>Services communs (y compris R &amp; D)</t>
  </si>
  <si>
    <t>Agriculture, pêche et agro-alimentaire</t>
  </si>
  <si>
    <t>Industrie, commerce et artisanat</t>
  </si>
  <si>
    <t>Développement touristique</t>
  </si>
  <si>
    <t>T 6.1.a – Montants des dépenses de fonctionnement (hors charges financières)</t>
  </si>
  <si>
    <t>T 6.1.b – Répartition des dépenses de fonctionnement (hors charges financières) par fonction</t>
  </si>
  <si>
    <t>T 6.1.c – Dépenses de fonctionnement (hors charges financières) par habitant</t>
  </si>
  <si>
    <t>Dépenses d'investissement hors remboursements</t>
  </si>
  <si>
    <t>T 6.2.a – Montants des dépenses d'investissement (hors remboursements)</t>
  </si>
  <si>
    <t>T 6.2.b – Répartition des dépenses d'investissement (hors remboursements) par fonction</t>
  </si>
  <si>
    <t>T 6.2.c – Dépenses d'investissement (hors remboursements) par habitant</t>
  </si>
  <si>
    <t xml:space="preserve">Dépenses réelles totales hors remboursement : Somme des dépenses réelles de fonctionnement hors charges financières et des dépenses réelles d'investissement hors remboursement </t>
  </si>
  <si>
    <t>Auvergne-Rhône-Alpes</t>
  </si>
  <si>
    <t>Bourgogne-Franche-Comté</t>
  </si>
  <si>
    <t>Centre-Val de Loire</t>
  </si>
  <si>
    <t>Hauts-de-France</t>
  </si>
  <si>
    <t>Nouvelle-Aquitaine</t>
  </si>
  <si>
    <t>(d) Écarts en nombre d'années.</t>
  </si>
  <si>
    <t>(e) Diminuées des travaux en régie.</t>
  </si>
  <si>
    <t>(f) C'est-à-dire y compris les travaux en régie, les travaux effectués d'office pour le compte de tiers, les opérations di'nvestissement sur établissements d'enseignement et les opérations sous mandat.</t>
  </si>
  <si>
    <r>
      <t xml:space="preserve">Épargne nette = (3)-(8) </t>
    </r>
    <r>
      <rPr>
        <b/>
        <vertAlign val="superscript"/>
        <sz val="11"/>
        <rFont val="Arial"/>
        <family val="2"/>
      </rPr>
      <t>(b)</t>
    </r>
  </si>
  <si>
    <r>
      <t xml:space="preserve">Taux d'épargne brute </t>
    </r>
    <r>
      <rPr>
        <vertAlign val="superscript"/>
        <sz val="11"/>
        <rFont val="Arial"/>
        <family val="2"/>
      </rPr>
      <t>(c)</t>
    </r>
    <r>
      <rPr>
        <sz val="11"/>
        <rFont val="Arial"/>
        <family val="2"/>
      </rPr>
      <t xml:space="preserve"> = (3) / (2) </t>
    </r>
    <r>
      <rPr>
        <vertAlign val="superscript"/>
        <sz val="11"/>
        <rFont val="Arial"/>
        <family val="2"/>
      </rPr>
      <t xml:space="preserve"> </t>
    </r>
  </si>
  <si>
    <r>
      <t xml:space="preserve">Taux d'épargne nette </t>
    </r>
    <r>
      <rPr>
        <vertAlign val="superscript"/>
        <sz val="11"/>
        <rFont val="Arial"/>
        <family val="2"/>
      </rPr>
      <t>(c)</t>
    </r>
    <r>
      <rPr>
        <sz val="11"/>
        <rFont val="Arial"/>
        <family val="2"/>
      </rPr>
      <t xml:space="preserve"> = [(3)-(8)] / (2)  </t>
    </r>
  </si>
  <si>
    <r>
      <t xml:space="preserve">Taux d'endettement </t>
    </r>
    <r>
      <rPr>
        <vertAlign val="superscript"/>
        <sz val="11"/>
        <rFont val="Arial"/>
        <family val="2"/>
      </rPr>
      <t>(c)</t>
    </r>
    <r>
      <rPr>
        <sz val="11"/>
        <rFont val="Arial"/>
        <family val="2"/>
      </rPr>
      <t xml:space="preserve"> = (12) / (2) </t>
    </r>
  </si>
  <si>
    <r>
      <t xml:space="preserve">Délai de désendettement </t>
    </r>
    <r>
      <rPr>
        <vertAlign val="superscript"/>
        <sz val="11"/>
        <rFont val="Arial"/>
        <family val="2"/>
      </rPr>
      <t>(d)</t>
    </r>
    <r>
      <rPr>
        <sz val="11"/>
        <rFont val="Arial"/>
        <family val="2"/>
      </rPr>
      <t xml:space="preserve"> = (12) / (3)</t>
    </r>
  </si>
  <si>
    <r>
      <rPr>
        <b/>
        <sz val="11"/>
        <rFont val="Arial"/>
        <family val="2"/>
      </rPr>
      <t>R1</t>
    </r>
    <r>
      <rPr>
        <sz val="11"/>
        <rFont val="Arial"/>
        <family val="2"/>
      </rPr>
      <t xml:space="preserve"> : Dépenses réelles de fonctionnement (DRF)</t>
    </r>
    <r>
      <rPr>
        <vertAlign val="superscript"/>
        <sz val="11"/>
        <rFont val="Arial"/>
        <family val="2"/>
      </rPr>
      <t xml:space="preserve"> (e)</t>
    </r>
    <r>
      <rPr>
        <sz val="11"/>
        <rFont val="Arial"/>
        <family val="2"/>
      </rPr>
      <t xml:space="preserve"> / habitant</t>
    </r>
  </si>
  <si>
    <r>
      <rPr>
        <b/>
        <sz val="11"/>
        <rFont val="Arial"/>
        <family val="2"/>
      </rPr>
      <t>R4</t>
    </r>
    <r>
      <rPr>
        <sz val="11"/>
        <rFont val="Arial"/>
        <family val="2"/>
      </rPr>
      <t xml:space="preserve"> : Dépenses d'équipement brutes</t>
    </r>
    <r>
      <rPr>
        <vertAlign val="superscript"/>
        <sz val="11"/>
        <rFont val="Arial"/>
        <family val="2"/>
      </rPr>
      <t xml:space="preserve"> (f)</t>
    </r>
    <r>
      <rPr>
        <sz val="11"/>
        <rFont val="Arial"/>
        <family val="2"/>
      </rPr>
      <t xml:space="preserve"> / habitant</t>
    </r>
  </si>
  <si>
    <r>
      <rPr>
        <b/>
        <sz val="11"/>
        <rFont val="Arial"/>
        <family val="2"/>
      </rPr>
      <t xml:space="preserve">R7 </t>
    </r>
    <r>
      <rPr>
        <sz val="11"/>
        <rFont val="Arial"/>
        <family val="2"/>
      </rPr>
      <t xml:space="preserve">: Dépenses de personnel / dépenses réelles de fonctionnement </t>
    </r>
    <r>
      <rPr>
        <vertAlign val="superscript"/>
        <sz val="11"/>
        <rFont val="Arial"/>
        <family val="2"/>
      </rPr>
      <t>(c)</t>
    </r>
  </si>
  <si>
    <r>
      <rPr>
        <b/>
        <sz val="11"/>
        <rFont val="Arial"/>
        <family val="2"/>
      </rPr>
      <t>R9</t>
    </r>
    <r>
      <rPr>
        <sz val="11"/>
        <rFont val="Arial"/>
        <family val="2"/>
      </rPr>
      <t xml:space="preserve"> : Marge d'autofinancement courant (MAC)=(DRF+Remboursement de dette) / RRF </t>
    </r>
    <r>
      <rPr>
        <vertAlign val="superscript"/>
        <sz val="11"/>
        <rFont val="Arial"/>
        <family val="2"/>
      </rPr>
      <t>(c)</t>
    </r>
  </si>
  <si>
    <r>
      <rPr>
        <b/>
        <sz val="11"/>
        <rFont val="Arial"/>
        <family val="2"/>
      </rPr>
      <t>R10</t>
    </r>
    <r>
      <rPr>
        <sz val="11"/>
        <rFont val="Arial"/>
        <family val="2"/>
      </rPr>
      <t xml:space="preserve"> : Dépenses d'équipement brutes</t>
    </r>
    <r>
      <rPr>
        <vertAlign val="superscript"/>
        <sz val="11"/>
        <rFont val="Arial"/>
        <family val="2"/>
      </rPr>
      <t xml:space="preserve"> (f)</t>
    </r>
    <r>
      <rPr>
        <sz val="11"/>
        <rFont val="Arial"/>
        <family val="2"/>
      </rPr>
      <t xml:space="preserve"> / RRF (Taux d'équipement) </t>
    </r>
    <r>
      <rPr>
        <vertAlign val="superscript"/>
        <sz val="11"/>
        <rFont val="Arial"/>
        <family val="2"/>
      </rPr>
      <t>(c)</t>
    </r>
  </si>
  <si>
    <r>
      <t>habitants</t>
    </r>
    <r>
      <rPr>
        <vertAlign val="superscript"/>
        <sz val="10"/>
        <rFont val="Arial"/>
        <family val="2"/>
      </rPr>
      <t xml:space="preserve"> </t>
    </r>
    <r>
      <rPr>
        <sz val="10"/>
        <rFont val="Arial"/>
        <family val="2"/>
      </rPr>
      <t>(*)</t>
    </r>
  </si>
  <si>
    <t xml:space="preserve">DÉPENSES DE FONCTIONNEMENT (1) </t>
  </si>
  <si>
    <t xml:space="preserve">RECETTES DE FONCTIONNEMENT (2) </t>
  </si>
  <si>
    <r>
      <t>Dette /</t>
    </r>
    <r>
      <rPr>
        <sz val="11"/>
        <color theme="1"/>
        <rFont val="Calibri"/>
        <family val="2"/>
      </rPr>
      <t>É</t>
    </r>
    <r>
      <rPr>
        <sz val="11"/>
        <color theme="1"/>
        <rFont val="Arial"/>
        <family val="2"/>
      </rPr>
      <t xml:space="preserve">pargne brute (Délai de désendettement en années) </t>
    </r>
    <r>
      <rPr>
        <vertAlign val="superscript"/>
        <sz val="11"/>
        <color theme="1"/>
        <rFont val="Arial"/>
        <family val="2"/>
      </rPr>
      <t>(e)</t>
    </r>
  </si>
  <si>
    <r>
      <t xml:space="preserve">Dette / </t>
    </r>
    <r>
      <rPr>
        <sz val="11"/>
        <color theme="1"/>
        <rFont val="Calibri"/>
        <family val="2"/>
      </rPr>
      <t>É</t>
    </r>
    <r>
      <rPr>
        <sz val="11"/>
        <color theme="1"/>
        <rFont val="Arial"/>
        <family val="2"/>
      </rPr>
      <t xml:space="preserve">pargne brute (Délai de désendettement en années) </t>
    </r>
    <r>
      <rPr>
        <vertAlign val="superscript"/>
        <sz val="11"/>
        <color theme="1"/>
        <rFont val="Arial"/>
        <family val="2"/>
      </rPr>
      <t>(e)</t>
    </r>
  </si>
  <si>
    <r>
      <t xml:space="preserve">Dette / </t>
    </r>
    <r>
      <rPr>
        <sz val="11"/>
        <color theme="1"/>
        <rFont val="Calibri"/>
        <family val="2"/>
      </rPr>
      <t>É</t>
    </r>
    <r>
      <rPr>
        <sz val="11"/>
        <color theme="1"/>
        <rFont val="Arial"/>
        <family val="2"/>
      </rPr>
      <t>pargne brute (Délai de désendettement, en années)</t>
    </r>
  </si>
  <si>
    <r>
      <rPr>
        <sz val="11"/>
        <color theme="1"/>
        <rFont val="Calibri"/>
        <family val="2"/>
      </rPr>
      <t>É</t>
    </r>
    <r>
      <rPr>
        <sz val="11"/>
        <color theme="1"/>
        <rFont val="Arial"/>
        <family val="2"/>
      </rPr>
      <t>pargne brute / RRF (Taux d'épargne brute)</t>
    </r>
  </si>
  <si>
    <r>
      <t>Dette /</t>
    </r>
    <r>
      <rPr>
        <sz val="11"/>
        <color theme="1"/>
        <rFont val="Calibri"/>
        <family val="2"/>
      </rPr>
      <t>É</t>
    </r>
    <r>
      <rPr>
        <sz val="11"/>
        <color theme="1"/>
        <rFont val="Arial"/>
        <family val="2"/>
      </rPr>
      <t>pargne brute (Délai de désendettement, en années)</t>
    </r>
  </si>
  <si>
    <r>
      <rPr>
        <sz val="11"/>
        <color theme="1"/>
        <rFont val="Calibri"/>
        <family val="2"/>
      </rPr>
      <t>É</t>
    </r>
    <r>
      <rPr>
        <sz val="11"/>
        <color theme="1"/>
        <rFont val="Arial"/>
        <family val="2"/>
      </rPr>
      <t xml:space="preserve">pargne brute / RRF (Taux d'épargne brute) </t>
    </r>
    <r>
      <rPr>
        <vertAlign val="superscript"/>
        <sz val="11"/>
        <color theme="1"/>
        <rFont val="Arial"/>
        <family val="2"/>
      </rPr>
      <t>(c)</t>
    </r>
  </si>
  <si>
    <t>Dette / Épargne brute (Délai de désendettement, en années)</t>
  </si>
  <si>
    <r>
      <t xml:space="preserve">Épargne brute / RRF (Taux d'épargne brute) </t>
    </r>
    <r>
      <rPr>
        <vertAlign val="superscript"/>
        <sz val="11"/>
        <color theme="1"/>
        <rFont val="Arial"/>
        <family val="2"/>
      </rPr>
      <t>(c)</t>
    </r>
  </si>
  <si>
    <r>
      <t xml:space="preserve">Dette /Épargne brute (Délai de désendettement, en années) </t>
    </r>
    <r>
      <rPr>
        <vertAlign val="superscript"/>
        <sz val="11"/>
        <color theme="1"/>
        <rFont val="Arial"/>
        <family val="2"/>
      </rPr>
      <t>(e)</t>
    </r>
  </si>
  <si>
    <t>Épargne brute / RRF (Taux d'épargne brute)</t>
  </si>
  <si>
    <r>
      <t xml:space="preserve">Dette / Épargne brute (Délai de désendettement, en années) </t>
    </r>
    <r>
      <rPr>
        <vertAlign val="superscript"/>
        <sz val="11"/>
        <color theme="1"/>
        <rFont val="Arial"/>
        <family val="2"/>
      </rPr>
      <t>(e)</t>
    </r>
  </si>
  <si>
    <t>Dette /Épargne brute (Délai de désendettement, en années)</t>
  </si>
  <si>
    <r>
      <t xml:space="preserve">Dette /Épargne brute (Délai de désendettement en années) </t>
    </r>
    <r>
      <rPr>
        <vertAlign val="superscript"/>
        <sz val="11"/>
        <color theme="1"/>
        <rFont val="Arial"/>
        <family val="2"/>
      </rPr>
      <t>(e)</t>
    </r>
  </si>
  <si>
    <r>
      <t xml:space="preserve">Dette / Épargne brute (Délai de désendettement en années) </t>
    </r>
    <r>
      <rPr>
        <vertAlign val="superscript"/>
        <sz val="11"/>
        <color theme="1"/>
        <rFont val="Arial"/>
        <family val="2"/>
      </rPr>
      <t>(e)</t>
    </r>
  </si>
  <si>
    <t>Remarque : la ventilation fonctionnelle de cette année diffère de celle des années précédentes car une nouvelle codification permettant d'unifier les différentes nomenclatures existantes à été élaborée et c'est cette nouvelle codification qui est retenue dorénavant.</t>
  </si>
  <si>
    <t>Dépenses de fonctionnement (hors charges financières)</t>
  </si>
  <si>
    <t>Dépenses totales (hors charges financières et hors remboursements)</t>
  </si>
  <si>
    <t>Dépenses totales (hors charges financières et horsremboursements)</t>
  </si>
  <si>
    <t>TOTAL (hors charges financières et hors remboursements)</t>
  </si>
  <si>
    <t>TOTAL (hors charges financières)</t>
  </si>
  <si>
    <r>
      <t xml:space="preserve">Outre-Mer </t>
    </r>
    <r>
      <rPr>
        <b/>
        <vertAlign val="superscript"/>
        <sz val="11"/>
        <rFont val="Arial"/>
        <family val="2"/>
      </rPr>
      <t>(a)</t>
    </r>
    <r>
      <rPr>
        <b/>
        <sz val="11"/>
        <rFont val="Arial"/>
        <family val="2"/>
      </rPr>
      <t xml:space="preserve"> :</t>
    </r>
  </si>
  <si>
    <t>en M57 cédit net des comptes 7311, 732, 7333, 7334, 73911, 7392, 73933, 73934 et hormis les comptes 73223, 73225, 7323,739225</t>
  </si>
  <si>
    <t>Impôts locaux : en M14, crédit net des comptes, 731, 732, 7391, 7392 et 65541 pour les communes de la MGP (moindres recettes) et hormis les comptes 73224 et 7323</t>
  </si>
  <si>
    <t>TOTAL (hors remboursements)</t>
  </si>
  <si>
    <t>Guadeloupe</t>
  </si>
  <si>
    <t>Martinique</t>
  </si>
  <si>
    <t>Guyane</t>
  </si>
  <si>
    <t>Réunion</t>
  </si>
  <si>
    <t>Mayotte</t>
  </si>
  <si>
    <r>
      <t>Directrice de la publication :</t>
    </r>
    <r>
      <rPr>
        <b/>
        <sz val="10"/>
        <rFont val="Arial"/>
        <family val="2"/>
      </rPr>
      <t xml:space="preserve"> Cécile Raquin</t>
    </r>
  </si>
  <si>
    <t>Lecture : la taille moyenne d'une commune de moins de 100 habitants en région Auvergne-Rhône-Alpes est de 61 habitants.</t>
  </si>
  <si>
    <t xml:space="preserve">           - communes du littoral maritime </t>
  </si>
  <si>
    <t xml:space="preserve">          - communes touristiques et hors montagne </t>
  </si>
  <si>
    <r>
      <t xml:space="preserve">communes non touristiques </t>
    </r>
    <r>
      <rPr>
        <b/>
        <vertAlign val="superscript"/>
        <sz val="10"/>
        <rFont val="Arial"/>
        <family val="2"/>
      </rPr>
      <t>(e)</t>
    </r>
  </si>
  <si>
    <r>
      <t xml:space="preserve">montagne et tourisme </t>
    </r>
    <r>
      <rPr>
        <b/>
        <vertAlign val="superscript"/>
        <sz val="10"/>
        <rFont val="Arial"/>
        <family val="2"/>
      </rPr>
      <t>(e)</t>
    </r>
  </si>
  <si>
    <t>(e) En France métropolitaine.</t>
  </si>
  <si>
    <t xml:space="preserve">       : conservation et diffusion du patrimoine</t>
  </si>
  <si>
    <t xml:space="preserve">       : famille et enfance</t>
  </si>
  <si>
    <t xml:space="preserve">       : personnes âgées</t>
  </si>
  <si>
    <t xml:space="preserve">       : personnes handicapées</t>
  </si>
  <si>
    <t xml:space="preserve">       : autres interventions sociales</t>
  </si>
  <si>
    <t xml:space="preserve">       : éclairage public</t>
  </si>
  <si>
    <t xml:space="preserve">       : autres aménagements urbains et ruraux</t>
  </si>
  <si>
    <t>De 10 000 à moins de  20 000 habitants</t>
  </si>
  <si>
    <t>De 20 000 à moins de  50 000 habitants</t>
  </si>
  <si>
    <t>De 50 000 à moins de 100 000 habitants</t>
  </si>
  <si>
    <r>
      <rPr>
        <b/>
        <sz val="10"/>
        <color rgb="FF0000FF"/>
        <rFont val="Arial"/>
        <family val="2"/>
      </rPr>
      <t>France entière :</t>
    </r>
    <r>
      <rPr>
        <sz val="10"/>
        <rFont val="Arial"/>
        <family val="2"/>
      </rPr>
      <t xml:space="preserve"> ensemble constitué de la France métropolitaine et des départements d'Outre-mer y compris Mayotte. La ville de Paris est comprise dans le champ d'étude.</t>
    </r>
  </si>
  <si>
    <t>Lecture: il y a 256 budgets principaux de communes de moins de 100 habitants en région Auvergne- Rhône-Alpes</t>
  </si>
  <si>
    <t>(b) La forte augmentation de l'épargne brute et nette de la strate des communes de 100 000 habitants et plus est due à la ville de Paris.</t>
  </si>
  <si>
    <t>débit net du compte 6 hormis les comptes 675, 676 et 68 (et 65882 en M57) et hormis les comptes 65541 (en M14) et 65561 (en M57) pour les communes de la MGP</t>
  </si>
  <si>
    <t>crédit net du compte 7 (excepté les comptes 775, 776, 777 et 78 et 75882 en M57 ) et des comptes 65541 (M14) et 65561 (M57) pour les communes de la MGP (moindres recettes)</t>
  </si>
  <si>
    <t>crédit net du compte 7 (excepté les comptes 775, 776, 777 et 78 et 75882 en M57) et des comptes 65541 (M14) et 65561 (M57) pour les communes de la MGP (moindres recettes)</t>
  </si>
  <si>
    <t>Dépenses de fonctionnement : débit net du compte 6 hormis les comptes 675, 676, 68 et 65882 en M57, et hormis 65541 (M14) et 65561 (M57) pour les communes de la MGP</t>
  </si>
  <si>
    <t>Recettes réelles de fonctionnement : crédit net du compte 7 (excepté les comptes 775, 776, 777, 78 et 75882 (M57)) et des comptes 65541 (M14) et 65561 (M57) pour les communes de la MGP (moindres recettes)</t>
  </si>
  <si>
    <t>Recettes réelles de fonctionnement : en M14 et M57, crédit net du compte 7 (excepté les comptes 775, 776, 777, 78 et 75882 (M57)) et des comptes 65541 (M14) et 65561 (M57) pour les communes de la MGP (moindres recettes)</t>
  </si>
  <si>
    <t>Subventions d'équipement versées : débit du compte 204 et 2324 (M57)</t>
  </si>
  <si>
    <t>Recettes réelles de fonctionnement : crédit net du compte 7 (excepté les comptes 775, 776, 777, 78 et 75882 (M57)) et 65541 (M14) et 65561 (M57) pour les communes de la MGP (moindres recettes)</t>
  </si>
  <si>
    <t>Recettes de fonctionnement : crédit net des comptes 7 (sauf 775, 776, 777, 78 et 75882 (M57)) et 65541 (M14) et 65561 (M57) pour les communes de la MGP (moindres recettes)</t>
  </si>
  <si>
    <t>Dépenses de fonctionnement : débit net du compte 6 hormis les comptes 675, 676, 68 et 65882 (M57) et hormis les comptes 65541 (M14) et 65561 (M57) pour les communes de la MGP (Métropole du Grand Paris). Charges financières : débit net du compte 66.</t>
  </si>
  <si>
    <r>
      <t>Dépenses réelles de fonctionnement :</t>
    </r>
    <r>
      <rPr>
        <sz val="10"/>
        <rFont val="Arial"/>
        <family val="2"/>
      </rPr>
      <t xml:space="preserve"> en  M14 et M57, débit net du compte 6 hormis les comptes 675, 676, 68 et 65882 (M57) et hormis 65541 en M14 et 65561 en M57 pour les communes de la MGP.</t>
    </r>
  </si>
  <si>
    <r>
      <t>Recettes réelles de fonctionnement :</t>
    </r>
    <r>
      <rPr>
        <sz val="10"/>
        <rFont val="Arial"/>
        <family val="2"/>
      </rPr>
      <t xml:space="preserve"> en M14 et M57, crédit net du compte 7 (excepté les comptes 775, 776, 777, 78 et 75882 (M57)) et du compte 65541 en M14  et 65561 en M57 pour les communes de la MGP (moindre recettes).</t>
    </r>
  </si>
  <si>
    <t>communes en 2024</t>
  </si>
  <si>
    <r>
      <t>Les tableaux</t>
    </r>
    <r>
      <rPr>
        <b/>
        <sz val="8"/>
        <rFont val="Arial"/>
        <family val="2"/>
      </rPr>
      <t xml:space="preserve"> « Les finances des communes en 2024 »</t>
    </r>
  </si>
  <si>
    <t>janvier 2026</t>
  </si>
  <si>
    <t>Mise en ligne : janvier 2026</t>
  </si>
  <si>
    <t>Les finances des communes en 2024</t>
  </si>
  <si>
    <t>Répartition des communes par strate de population en 2024</t>
  </si>
  <si>
    <t>Comptes des communes par strate de population en 2024</t>
  </si>
  <si>
    <t>Données financières des communes par strate de population selon leurs caractéristiques en 2024</t>
  </si>
  <si>
    <t>Ratios financiers 2024 : Dépenses et recettes totales du budget communal par région et strate de population</t>
  </si>
  <si>
    <t>Ratios financiers 2024 : Dépenses de fonctionnement par région et strate de population</t>
  </si>
  <si>
    <t>Ratios financiers 2024 : Recettes de fonctionnement et capacité d'épargne par région et strate de population</t>
  </si>
  <si>
    <t>Ratios financiers 2024 : Dépenses d'investissement par région et strate de population</t>
  </si>
  <si>
    <t>Ratios financiers 2024 : Recettes d'investissement par région et strate de population</t>
  </si>
  <si>
    <t>Ratios financiers 2024 : Charge de la dette et marge de manœuvre par région et strate de population</t>
  </si>
  <si>
    <t>Présentation par fonction des dépenses de fonctionnement (hors charges financières) en 2024</t>
  </si>
  <si>
    <t>Présentation par fonction des dépenses d'investissement (hors remboursements) en 2024</t>
  </si>
  <si>
    <t>Présentation par fonction des dépenses totales (hors remboursements) en 2024</t>
  </si>
  <si>
    <t>Evolution 2024/2023 des comptes des communes par strate de population</t>
  </si>
  <si>
    <t>Population totale au 1er janvier 2024 (millésimée 2021).</t>
  </si>
  <si>
    <r>
      <t xml:space="preserve">T 1.1 - Répartition du nombre de communes </t>
    </r>
    <r>
      <rPr>
        <b/>
        <vertAlign val="superscript"/>
        <sz val="14"/>
        <color indexed="12"/>
        <rFont val="Arial"/>
        <family val="2"/>
      </rPr>
      <t>(a)</t>
    </r>
    <r>
      <rPr>
        <b/>
        <sz val="14"/>
        <color indexed="12"/>
        <rFont val="Arial"/>
        <family val="2"/>
      </rPr>
      <t xml:space="preserve"> par strate de population communale en 2024</t>
    </r>
  </si>
  <si>
    <t>Source : DGFIP, comptes de gestion, budgets principaux ; INSEE, Recensement de la population (population totale en 2024 - année de référence 2021) ; calculs DGCL.</t>
  </si>
  <si>
    <t>T 1.2.b - Répartition de la population des communes par région et strate communale en 2024</t>
  </si>
  <si>
    <t>Source : INSEE, Recensement de la population (population totale en 2024 - année de référence 2021) ; calculs DGCL.</t>
  </si>
  <si>
    <t>T 1.2.c - Taille moyenne des communes par région et strate communale en 2024</t>
  </si>
  <si>
    <t>Source : DGFIP, comptes de gestion ; INSEE, Recensement de la population (population totale en 2024 - année de référence 2021) ; calculs DGCL.</t>
  </si>
  <si>
    <r>
      <t xml:space="preserve">T 1.2.a - Répartition du nombre de communes </t>
    </r>
    <r>
      <rPr>
        <b/>
        <vertAlign val="superscript"/>
        <sz val="14"/>
        <color indexed="12"/>
        <rFont val="Arial"/>
        <family val="2"/>
      </rPr>
      <t>(a)</t>
    </r>
    <r>
      <rPr>
        <b/>
        <sz val="14"/>
        <color indexed="12"/>
        <rFont val="Arial"/>
        <family val="2"/>
      </rPr>
      <t xml:space="preserve"> par région et strate communale en 2024</t>
    </r>
  </si>
  <si>
    <t xml:space="preserve">(b) Il y a 1255 groupements à fiscalité propre au 01/01/2024 (y. c. la métropole de Lyon). </t>
  </si>
  <si>
    <t>T 1.3.b - Répartition de la population des communes appartenant à un groupement à fiscalité propre selon le type de groupement en 2024</t>
  </si>
  <si>
    <r>
      <t xml:space="preserve">T 1.3.a - Répartition des communes </t>
    </r>
    <r>
      <rPr>
        <b/>
        <vertAlign val="superscript"/>
        <sz val="14"/>
        <color indexed="12"/>
        <rFont val="Arial"/>
        <family val="2"/>
      </rPr>
      <t>(a)</t>
    </r>
    <r>
      <rPr>
        <b/>
        <sz val="14"/>
        <color indexed="12"/>
        <rFont val="Arial"/>
        <family val="2"/>
      </rPr>
      <t xml:space="preserve"> appartenant à un groupement à fiscalité propre selon le type de groupement </t>
    </r>
    <r>
      <rPr>
        <b/>
        <vertAlign val="superscript"/>
        <sz val="14"/>
        <color indexed="12"/>
        <rFont val="Arial"/>
        <family val="2"/>
      </rPr>
      <t>(b)</t>
    </r>
    <r>
      <rPr>
        <b/>
        <sz val="14"/>
        <color indexed="12"/>
        <rFont val="Arial"/>
        <family val="2"/>
      </rPr>
      <t xml:space="preserve"> en 2024</t>
    </r>
  </si>
  <si>
    <t>T 1.4.a - Répartition des communes selon leur caractère touristique et de montagne en 2024</t>
  </si>
  <si>
    <t>Source : DGFIP, comptes de gestion ; INSEE, Recensement de la population  (population totale en 2024 - année de référence 2021) ; calculs DGCL. ; calculs DGCL.</t>
  </si>
  <si>
    <t>T 1.4.b - Répartition de la  «population DGF» des communes selon leur caractère touristique et de montagne en 2024</t>
  </si>
  <si>
    <t>(a) Les strates de communes sont calculées à partir de la population totale de l'Insee  (population totale en 2024 - année de référence 2021).</t>
  </si>
  <si>
    <t>Source : INSEE, Recensement de la population (population DGF en 2024 - année de référence 2021) ; calculs DGCL.</t>
  </si>
  <si>
    <t>T 1.5.a - Répartition des communes selon leur caractère urbain ou rural en 2024</t>
  </si>
  <si>
    <t>T 1.5.b - Répartition de la population totale des communes selon leur caractère urbain ou rural en 2024</t>
  </si>
  <si>
    <t>Source : DGFIP, comptes de gestion, budgets principaux. INSEE, Recensement de la population (population totale en 2024 - année de référence 2021) ; calculs DGCL. Grille de densité de l'Insee au 1er janvier 2024 définissant le rural.</t>
  </si>
  <si>
    <t>Source : DGFIP, comptes de gestion. INSEE, Recensement de la population (population totale en 2024 - année de référence 2021) ; calculs DGCL. Grille de densité de l'Insee au 1er janvier 2024 définissant le rural.</t>
  </si>
  <si>
    <t>Communes rurales et urbaines : la grille communale de densité permet de classer les communes en fonction du nombre d’habitants et de la répartition de ces habitants sur leur territoire. Plus la population est concentrée et nombreuse, plus la commune est considérée comme dense. L’appartenance à un niveau de la grille n’est pas simplement liée à la densité moyenne de population calculée sur l’ensemble de la commune (incluant les surfaces non habitées comme les forêts, la montagne et les champs), elle prend en compte la présence au sein de la commune de zones concentrant un grand nombre d’habitants sur une faible surface. Plus précisément, la définition retenue par l’Union européenne s’appuie sur le découpage du territoire en carreaux de 1 kilomètre de côté et sur l’agrégation de carreaux de densité équivalente, définissant des « taches » ou « clusters ». Chaque commune est ensuite affectée dans une catégorie en fonction de la part de la population communale comprise dans les différents types de cluster. Les données de population sont issues des fichiers démographiques sur les logements et les individus (Fideli 2021). Dans son premier niveau, à 3 catégories, la grille communale permet ainsi de distinguer trois types de communes : les communes densément peuplées, les communes de densité intermédiaire, les communes rurales. Les communes densément peuplées et les communes de densité intermédiaire constituent l'espace urbain et sont appelées « communes urbaines ». Une grille détaillée, à 7 niveaux, a été définie suite à des travaux récents au niveau international. Il s’agit d’une subdivision de la grille à 3 catégories ; en particulier, les définitions de l’urbain et du rural sont inchangées. Les communes denses, ou densément peuplées, restent aussi identiques. Elles correspondent aux communes des « cities » européennes, dénommées « grands centres urbains » dans la grille à 7 niveaux. Au sein des communes de densité intermédiaire, la grille à 7 niveaux permet de différencier : les « centres urbains intermédiaires », les « ceintures urbaines », les « petites villes ». Au sein des communes rurales, la grille distingue : les « bourgs ruraux », le « rural à habitat dispersé », le « rural à habitat très dispersé ».</t>
  </si>
  <si>
    <t xml:space="preserve">T 2.1.a - Comptes des communes par strate de population en 2024 </t>
  </si>
  <si>
    <t>Exercice 2024</t>
  </si>
  <si>
    <t xml:space="preserve">Source : DGFiP-Comptes de gestion ; budgets principaux - opérations réelles. Calculs DGCL. Montants calculés hors gestion active de la dette. INSEE, Recensement de la population (population totale en 2024 - année de référence 2021) </t>
  </si>
  <si>
    <t xml:space="preserve">T 2.1.b - Structure des dépenses et recettes des communes par strate de population en 2024 </t>
  </si>
  <si>
    <t>Source : DGFiP-Comptes de gestion ; budgets principaux - opérations réelles. Calculs DGCL. Montants calculés hors gestion active de la dette. INSEE, Recensement de la population (population totale en 2024 - année de référence 2021).</t>
  </si>
  <si>
    <r>
      <t>T 2.2 - Dépenses et recettes par habitant</t>
    </r>
    <r>
      <rPr>
        <b/>
        <vertAlign val="superscript"/>
        <sz val="14"/>
        <color indexed="12"/>
        <rFont val="Arial"/>
        <family val="2"/>
      </rPr>
      <t xml:space="preserve"> (a)</t>
    </r>
    <r>
      <rPr>
        <b/>
        <sz val="14"/>
        <color indexed="12"/>
        <rFont val="Arial"/>
        <family val="2"/>
      </rPr>
      <t xml:space="preserve"> des communes en 2024 </t>
    </r>
  </si>
  <si>
    <t>Evolutions 2024 / 2023 en %</t>
  </si>
  <si>
    <t>(a) C'est-à-dire en ne conservant que les communes présentes sur les deux années, en 2023 et 2024 (et donc hors communes nouvelles de 2024). Les strates sont celles des communes en 2024.</t>
  </si>
  <si>
    <t>(c) Écarts en point de pourcentage entre 2024 et 2023.</t>
  </si>
  <si>
    <t>(a) Les strates sont calculées avec la population totale recensée par l'Insee en 2024 - année de référence 2021.</t>
  </si>
  <si>
    <t>(b) Les habitants «DGF» sont comptés selon la population «DGF» en 2024 - année de référence 2021.</t>
  </si>
  <si>
    <t>Source : DGFiP-Comptes de gestion ; budgets principaux - opérations réelles. Calculs DGCL. Strates de population calculées avec la population totale recensée par l'Insee en 2024 (année de référence 2021).</t>
  </si>
  <si>
    <t>(c) Les habitants «DGF» sont comptés selon la population «DGF» en 2024 - année de référence 2021</t>
  </si>
  <si>
    <r>
      <t xml:space="preserve">T 3 - Données financières des communes par strate </t>
    </r>
    <r>
      <rPr>
        <b/>
        <vertAlign val="superscript"/>
        <sz val="14"/>
        <color indexed="12"/>
        <rFont val="Arial"/>
        <family val="2"/>
      </rPr>
      <t>(a)</t>
    </r>
    <r>
      <rPr>
        <b/>
        <sz val="14"/>
        <color indexed="12"/>
        <rFont val="Arial"/>
        <family val="2"/>
      </rPr>
      <t xml:space="preserve"> de population selon leurs caractéristiques en 2024</t>
    </r>
  </si>
  <si>
    <r>
      <t xml:space="preserve">T 3.f - Dette au 31/12/2024 par «habitant DGF» </t>
    </r>
    <r>
      <rPr>
        <b/>
        <vertAlign val="superscript"/>
        <sz val="10"/>
        <color indexed="12"/>
        <rFont val="Arial"/>
        <family val="2"/>
      </rPr>
      <t>(b)</t>
    </r>
    <r>
      <rPr>
        <b/>
        <sz val="10"/>
        <color indexed="12"/>
        <rFont val="Arial"/>
        <family val="2"/>
      </rPr>
      <t xml:space="preserve"> selon les caractéristiques des communes</t>
    </r>
  </si>
  <si>
    <t>(a) Les habitants «DGF» sont comptés selon la population «DGF» en 2024 - année de référence 2021.</t>
  </si>
  <si>
    <t>(c) Les strates de population sont calculées avec la population totale recensée par l'Insee en 2024 - année de référence 2021.</t>
  </si>
  <si>
    <t>(b) Les strates de population sont calculées avec la population totale recensée par l'Insee en 2024 - année de référence 2021.</t>
  </si>
  <si>
    <t>Source : DGFiP-Comptes de gestion ; budgets principaux - opérations réelles. Calculs DGCL. Montants calculés hors gestion active de la dette. Strates de population calculées selon la population totale en 2024 du recensement de l'Insee (année de référence 2021).</t>
  </si>
  <si>
    <t>(a) à champ constant, c'est-à-dire en ne conservant que les communes présentes sur les deux années en 2023 et 2024 et donc hors communes nouvelles en 2024.</t>
  </si>
  <si>
    <t>(c) Écarts en points de pourcentage entre 2024 et 2023.</t>
  </si>
  <si>
    <t>(e) Écarts en nombre d'années entre 2024 et 2023.</t>
  </si>
  <si>
    <r>
      <t>T 4.1.a - Dépenses et recettes par «habitant DGF»</t>
    </r>
    <r>
      <rPr>
        <b/>
        <vertAlign val="superscript"/>
        <sz val="14"/>
        <color indexed="12"/>
        <rFont val="Arial"/>
        <family val="2"/>
      </rPr>
      <t xml:space="preserve"> (a)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par strate de population</t>
    </r>
    <r>
      <rPr>
        <b/>
        <vertAlign val="superscript"/>
        <sz val="14"/>
        <color indexed="12"/>
        <rFont val="Arial"/>
        <family val="2"/>
      </rPr>
      <t xml:space="preserve"> (c)</t>
    </r>
    <r>
      <rPr>
        <b/>
        <sz val="14"/>
        <color indexed="12"/>
        <rFont val="Arial"/>
        <family val="2"/>
      </rPr>
      <t xml:space="preserve"> en 2024 (France métropolitaine)</t>
    </r>
  </si>
  <si>
    <r>
      <t>T 4.1.b - Structures des dépenses et des recettes des communes touristiques</t>
    </r>
    <r>
      <rPr>
        <b/>
        <vertAlign val="superscript"/>
        <sz val="14"/>
        <color indexed="12"/>
        <rFont val="Arial"/>
        <family val="2"/>
      </rPr>
      <t xml:space="preserve"> (a)</t>
    </r>
    <r>
      <rPr>
        <b/>
        <sz val="14"/>
        <color indexed="12"/>
        <rFont val="Arial"/>
        <family val="2"/>
      </rPr>
      <t xml:space="preserve"> par strate de population </t>
    </r>
    <r>
      <rPr>
        <b/>
        <vertAlign val="superscript"/>
        <sz val="14"/>
        <color indexed="12"/>
        <rFont val="Arial"/>
        <family val="2"/>
      </rPr>
      <t>(b)</t>
    </r>
    <r>
      <rPr>
        <b/>
        <sz val="14"/>
        <color indexed="12"/>
        <rFont val="Arial"/>
        <family val="2"/>
      </rPr>
      <t xml:space="preserve"> en 2024 (France métropolitaine)</t>
    </r>
  </si>
  <si>
    <r>
      <t xml:space="preserve">T 4.1.c - Évolution 2024 / 2023 à champ constant </t>
    </r>
    <r>
      <rPr>
        <b/>
        <vertAlign val="superscript"/>
        <sz val="14"/>
        <color indexed="12"/>
        <rFont val="Arial"/>
        <family val="2"/>
      </rPr>
      <t>(a)</t>
    </r>
    <r>
      <rPr>
        <b/>
        <sz val="14"/>
        <color indexed="12"/>
        <rFont val="Arial"/>
        <family val="2"/>
      </rPr>
      <t xml:space="preserve"> : communes touristiques </t>
    </r>
    <r>
      <rPr>
        <b/>
        <vertAlign val="superscript"/>
        <sz val="14"/>
        <color indexed="12"/>
        <rFont val="Arial"/>
        <family val="2"/>
      </rPr>
      <t>(b)</t>
    </r>
    <r>
      <rPr>
        <b/>
        <sz val="14"/>
        <color indexed="12"/>
        <rFont val="Arial"/>
        <family val="2"/>
      </rPr>
      <t xml:space="preserve"> (France métropolitaine)</t>
    </r>
  </si>
  <si>
    <t>(a) à champ constant, c'est-à-dire en ne conservant que les communes présentes sur les deux années, en 2023 et 2024 et donc hors communes nouvelles en 2024.</t>
  </si>
  <si>
    <r>
      <t xml:space="preserve">T 4.2.a - Dépenses et recettes par «habitant DGF» </t>
    </r>
    <r>
      <rPr>
        <b/>
        <vertAlign val="superscript"/>
        <sz val="14"/>
        <color indexed="12"/>
        <rFont val="Arial"/>
        <family val="2"/>
      </rPr>
      <t>(a)</t>
    </r>
    <r>
      <rPr>
        <b/>
        <sz val="14"/>
        <color indexed="12"/>
        <rFont val="Arial"/>
        <family val="2"/>
      </rPr>
      <t xml:space="preserve"> des communes touristiques </t>
    </r>
    <r>
      <rPr>
        <b/>
        <vertAlign val="superscript"/>
        <sz val="14"/>
        <color indexed="12"/>
        <rFont val="Arial"/>
        <family val="2"/>
      </rPr>
      <t>(b)</t>
    </r>
    <r>
      <rPr>
        <b/>
        <sz val="14"/>
        <color indexed="12"/>
        <rFont val="Arial"/>
        <family val="2"/>
      </rPr>
      <t xml:space="preserve"> du littoral maritime par strate de population en 2024 (France métropolitaine)</t>
    </r>
  </si>
  <si>
    <r>
      <t xml:space="preserve">T 4.2.b - Structure des dépenses et des recettes des communes touristiques </t>
    </r>
    <r>
      <rPr>
        <b/>
        <vertAlign val="superscript"/>
        <sz val="14"/>
        <color indexed="12"/>
        <rFont val="Arial"/>
        <family val="2"/>
      </rPr>
      <t>(a)</t>
    </r>
    <r>
      <rPr>
        <b/>
        <sz val="14"/>
        <color indexed="12"/>
        <rFont val="Arial"/>
        <family val="2"/>
      </rPr>
      <t xml:space="preserve"> du littoral maritime par strate de population en 2024 (France métropolitaine)</t>
    </r>
  </si>
  <si>
    <r>
      <t xml:space="preserve">T 4.2.c - Évolution 2024 / 2023 à champ constant </t>
    </r>
    <r>
      <rPr>
        <b/>
        <vertAlign val="superscript"/>
        <sz val="14"/>
        <color indexed="12"/>
        <rFont val="Arial"/>
        <family val="2"/>
      </rPr>
      <t>(a)</t>
    </r>
    <r>
      <rPr>
        <b/>
        <sz val="14"/>
        <color indexed="12"/>
        <rFont val="Arial"/>
        <family val="2"/>
      </rPr>
      <t xml:space="preserve"> : communes touristiques </t>
    </r>
    <r>
      <rPr>
        <b/>
        <vertAlign val="superscript"/>
        <sz val="14"/>
        <color indexed="12"/>
        <rFont val="Arial"/>
        <family val="2"/>
      </rPr>
      <t>(b)</t>
    </r>
    <r>
      <rPr>
        <b/>
        <sz val="14"/>
        <color indexed="12"/>
        <rFont val="Arial"/>
        <family val="2"/>
      </rPr>
      <t xml:space="preserve"> du littoral maritime (France métropolitaine)</t>
    </r>
  </si>
  <si>
    <t>Source : DGFiP-Comptes de gestion ; budgets principaux - opérations réelles. Calculs DGCL. Montants calculés hors gestion active de la dette. Strates de population calculées selon le recensement de la population totale en 2024 (année de référence 2021).</t>
  </si>
  <si>
    <r>
      <t xml:space="preserve">T 4.3.a - Dépenses et des recettes par «habitant DGF» </t>
    </r>
    <r>
      <rPr>
        <b/>
        <vertAlign val="superscript"/>
        <sz val="14"/>
        <color indexed="12"/>
        <rFont val="Arial"/>
        <family val="2"/>
      </rPr>
      <t>(a)</t>
    </r>
    <r>
      <rPr>
        <b/>
        <sz val="14"/>
        <color indexed="12"/>
        <rFont val="Arial"/>
        <family val="2"/>
      </rPr>
      <t xml:space="preserve"> des communes touristiques</t>
    </r>
    <r>
      <rPr>
        <b/>
        <vertAlign val="superscript"/>
        <sz val="14"/>
        <color indexed="12"/>
        <rFont val="Arial"/>
        <family val="2"/>
      </rPr>
      <t xml:space="preserve"> (b)</t>
    </r>
    <r>
      <rPr>
        <b/>
        <sz val="14"/>
        <color indexed="12"/>
        <rFont val="Arial"/>
        <family val="2"/>
      </rPr>
      <t xml:space="preserve"> «supports de stations de sports d'hiver» par strate de population </t>
    </r>
    <r>
      <rPr>
        <b/>
        <vertAlign val="superscript"/>
        <sz val="14"/>
        <color indexed="12"/>
        <rFont val="Arial"/>
        <family val="2"/>
      </rPr>
      <t>(c)</t>
    </r>
    <r>
      <rPr>
        <b/>
        <sz val="14"/>
        <color indexed="12"/>
        <rFont val="Arial"/>
        <family val="2"/>
      </rPr>
      <t xml:space="preserve"> en 2024 (France métropolitaine)</t>
    </r>
  </si>
  <si>
    <r>
      <t>T.4.3.c - Évolution 2024 / 2023 à champ constant</t>
    </r>
    <r>
      <rPr>
        <b/>
        <vertAlign val="superscript"/>
        <sz val="14"/>
        <color indexed="12"/>
        <rFont val="Arial"/>
        <family val="2"/>
      </rPr>
      <t xml:space="preserve"> (a)</t>
    </r>
    <r>
      <rPr>
        <b/>
        <sz val="14"/>
        <color indexed="12"/>
        <rFont val="Arial"/>
        <family val="2"/>
      </rPr>
      <t xml:space="preserve"> : communes touristiques </t>
    </r>
    <r>
      <rPr>
        <b/>
        <vertAlign val="superscript"/>
        <sz val="14"/>
        <color indexed="12"/>
        <rFont val="Arial"/>
        <family val="2"/>
      </rPr>
      <t>(b)</t>
    </r>
    <r>
      <rPr>
        <b/>
        <sz val="14"/>
        <color indexed="12"/>
        <rFont val="Arial"/>
        <family val="2"/>
      </rPr>
      <t xml:space="preserve"> «supports de stations de sports d'hiver» (France métopolitaine)</t>
    </r>
  </si>
  <si>
    <t>Source : DGFiP-Comptes de gestion ; budgets principaux - opérations réelles. Calculs DGCL. Montants calculés hors gestion active de la dette. Strates de population calculées selon la population totale du recensement de l'Insee en 2024 (année de référence 2021).</t>
  </si>
  <si>
    <t>(a) à champ constant, c'est-à-dire en ne conservant que les communes présentes sur les deux années, en 2023 et 2024. Donc hors communes nouvelles en 2024.</t>
  </si>
  <si>
    <r>
      <t xml:space="preserve">T 4.4.a - Dépenses et recettes par «habitant DGF» </t>
    </r>
    <r>
      <rPr>
        <b/>
        <vertAlign val="superscript"/>
        <sz val="14"/>
        <color indexed="12"/>
        <rFont val="Arial"/>
        <family val="2"/>
      </rPr>
      <t>(a)</t>
    </r>
    <r>
      <rPr>
        <b/>
        <sz val="14"/>
        <color indexed="12"/>
        <rFont val="Arial"/>
        <family val="2"/>
      </rPr>
      <t xml:space="preserve"> des autres communes touristiques </t>
    </r>
    <r>
      <rPr>
        <b/>
        <vertAlign val="superscript"/>
        <sz val="14"/>
        <color indexed="12"/>
        <rFont val="Arial"/>
        <family val="2"/>
      </rPr>
      <t>(b)</t>
    </r>
    <r>
      <rPr>
        <b/>
        <sz val="14"/>
        <color indexed="12"/>
        <rFont val="Arial"/>
        <family val="2"/>
      </rPr>
      <t xml:space="preserve"> de montagne par strate de population </t>
    </r>
    <r>
      <rPr>
        <b/>
        <vertAlign val="superscript"/>
        <sz val="14"/>
        <color indexed="12"/>
        <rFont val="Arial"/>
        <family val="2"/>
      </rPr>
      <t>(c)</t>
    </r>
    <r>
      <rPr>
        <b/>
        <sz val="14"/>
        <color indexed="12"/>
        <rFont val="Arial"/>
        <family val="2"/>
      </rPr>
      <t xml:space="preserve"> en 2024 (France métropolitaine)</t>
    </r>
  </si>
  <si>
    <r>
      <t xml:space="preserve">T 4.4.b - Structure des dépenses et des recettes des autres communes touristiques </t>
    </r>
    <r>
      <rPr>
        <b/>
        <vertAlign val="superscript"/>
        <sz val="14"/>
        <color indexed="12"/>
        <rFont val="Arial"/>
        <family val="2"/>
      </rPr>
      <t>(a)</t>
    </r>
    <r>
      <rPr>
        <b/>
        <sz val="14"/>
        <color indexed="12"/>
        <rFont val="Arial"/>
        <family val="2"/>
      </rPr>
      <t xml:space="preserve"> de montagne par strate de population </t>
    </r>
    <r>
      <rPr>
        <b/>
        <vertAlign val="superscript"/>
        <sz val="14"/>
        <color indexed="12"/>
        <rFont val="Arial"/>
        <family val="2"/>
      </rPr>
      <t>(b)</t>
    </r>
    <r>
      <rPr>
        <b/>
        <sz val="14"/>
        <color indexed="12"/>
        <rFont val="Arial"/>
        <family val="2"/>
      </rPr>
      <t xml:space="preserve"> en 2024 (France métropolitaine)</t>
    </r>
  </si>
  <si>
    <r>
      <t>T.4.4.c - Évolution 2024 / 2023 à champ constant</t>
    </r>
    <r>
      <rPr>
        <b/>
        <vertAlign val="superscript"/>
        <sz val="14"/>
        <color indexed="12"/>
        <rFont val="Arial"/>
        <family val="2"/>
      </rPr>
      <t xml:space="preserve"> (a)</t>
    </r>
    <r>
      <rPr>
        <b/>
        <sz val="14"/>
        <color indexed="12"/>
        <rFont val="Arial"/>
        <family val="2"/>
      </rPr>
      <t xml:space="preserve"> : autres communes touristiques</t>
    </r>
    <r>
      <rPr>
        <b/>
        <vertAlign val="superscript"/>
        <sz val="14"/>
        <color indexed="12"/>
        <rFont val="Arial"/>
        <family val="2"/>
      </rPr>
      <t xml:space="preserve"> (b)</t>
    </r>
    <r>
      <rPr>
        <b/>
        <sz val="14"/>
        <color indexed="12"/>
        <rFont val="Arial"/>
        <family val="2"/>
      </rPr>
      <t xml:space="preserve"> de montagne (France métropolitaine)</t>
    </r>
  </si>
  <si>
    <r>
      <t xml:space="preserve">T 4.5.a - Dépenses et recettes par «habitant DGF» </t>
    </r>
    <r>
      <rPr>
        <b/>
        <vertAlign val="superscript"/>
        <sz val="14"/>
        <color indexed="12"/>
        <rFont val="Arial"/>
        <family val="2"/>
      </rPr>
      <t>(a)</t>
    </r>
    <r>
      <rPr>
        <b/>
        <sz val="14"/>
        <color indexed="12"/>
        <rFont val="Arial"/>
        <family val="2"/>
      </rPr>
      <t xml:space="preserve"> des autres communes touristiques </t>
    </r>
    <r>
      <rPr>
        <b/>
        <vertAlign val="superscript"/>
        <sz val="14"/>
        <color indexed="12"/>
        <rFont val="Arial"/>
        <family val="2"/>
      </rPr>
      <t>(b)</t>
    </r>
    <r>
      <rPr>
        <b/>
        <sz val="14"/>
        <color indexed="12"/>
        <rFont val="Arial"/>
        <family val="2"/>
      </rPr>
      <t xml:space="preserve"> par strate de population en 2024 (France métropolitaine)</t>
    </r>
  </si>
  <si>
    <r>
      <t xml:space="preserve">T 4.5.b -Structures des dépenses et des recettes des autres communes touristiques </t>
    </r>
    <r>
      <rPr>
        <b/>
        <vertAlign val="superscript"/>
        <sz val="14"/>
        <color indexed="12"/>
        <rFont val="Arial"/>
        <family val="2"/>
      </rPr>
      <t>(a)</t>
    </r>
    <r>
      <rPr>
        <b/>
        <sz val="14"/>
        <color indexed="12"/>
        <rFont val="Arial"/>
        <family val="2"/>
      </rPr>
      <t xml:space="preserve"> par strate de population en 2024 (France métropolitaine)</t>
    </r>
  </si>
  <si>
    <r>
      <t xml:space="preserve">T 4.5.c - Évolution 2024 / 2023 à champ constant </t>
    </r>
    <r>
      <rPr>
        <b/>
        <vertAlign val="superscript"/>
        <sz val="14"/>
        <color indexed="12"/>
        <rFont val="Arial"/>
        <family val="2"/>
      </rPr>
      <t>(a)</t>
    </r>
    <r>
      <rPr>
        <b/>
        <sz val="14"/>
        <color indexed="12"/>
        <rFont val="Arial"/>
        <family val="2"/>
      </rPr>
      <t xml:space="preserve"> : autres communes touristiques </t>
    </r>
    <r>
      <rPr>
        <b/>
        <vertAlign val="superscript"/>
        <sz val="14"/>
        <color indexed="12"/>
        <rFont val="Arial"/>
        <family val="2"/>
      </rPr>
      <t>(b)</t>
    </r>
    <r>
      <rPr>
        <b/>
        <sz val="14"/>
        <color indexed="12"/>
        <rFont val="Arial"/>
        <family val="2"/>
      </rPr>
      <t xml:space="preserve"> (France métropolitaine)</t>
    </r>
  </si>
  <si>
    <r>
      <t xml:space="preserve">T 4.6.a - Dépenses et recettes par «habitant DGF» </t>
    </r>
    <r>
      <rPr>
        <b/>
        <vertAlign val="superscript"/>
        <sz val="14"/>
        <color indexed="12"/>
        <rFont val="Arial"/>
        <family val="2"/>
      </rPr>
      <t>(a)</t>
    </r>
    <r>
      <rPr>
        <b/>
        <sz val="14"/>
        <color indexed="12"/>
        <rFont val="Arial"/>
        <family val="2"/>
      </rPr>
      <t xml:space="preserve"> des communes rurales </t>
    </r>
    <r>
      <rPr>
        <b/>
        <vertAlign val="superscript"/>
        <sz val="14"/>
        <color indexed="12"/>
        <rFont val="Arial"/>
        <family val="2"/>
      </rPr>
      <t>(b)</t>
    </r>
    <r>
      <rPr>
        <b/>
        <sz val="14"/>
        <color indexed="12"/>
        <rFont val="Arial"/>
        <family val="2"/>
      </rPr>
      <t xml:space="preserve"> par strate de population en 2024</t>
    </r>
  </si>
  <si>
    <r>
      <t xml:space="preserve">T 4.6.b - Structure des dépenses et des recettes des communes rurales </t>
    </r>
    <r>
      <rPr>
        <b/>
        <vertAlign val="superscript"/>
        <sz val="14"/>
        <color indexed="12"/>
        <rFont val="Arial"/>
        <family val="2"/>
      </rPr>
      <t>(a)</t>
    </r>
    <r>
      <rPr>
        <b/>
        <sz val="14"/>
        <color indexed="12"/>
        <rFont val="Arial"/>
        <family val="2"/>
      </rPr>
      <t xml:space="preserve"> par strate de population en 2024 </t>
    </r>
  </si>
  <si>
    <r>
      <t xml:space="preserve">T 4.6.c - Évolution 2024 / 2023 à champ constant </t>
    </r>
    <r>
      <rPr>
        <b/>
        <vertAlign val="superscript"/>
        <sz val="14"/>
        <color indexed="12"/>
        <rFont val="Arial"/>
        <family val="2"/>
      </rPr>
      <t>(a)</t>
    </r>
    <r>
      <rPr>
        <b/>
        <sz val="14"/>
        <color indexed="12"/>
        <rFont val="Arial"/>
        <family val="2"/>
      </rPr>
      <t xml:space="preserve"> : communes rurales </t>
    </r>
    <r>
      <rPr>
        <b/>
        <vertAlign val="superscript"/>
        <sz val="14"/>
        <color indexed="12"/>
        <rFont val="Arial"/>
        <family val="2"/>
      </rPr>
      <t>(b)</t>
    </r>
  </si>
  <si>
    <r>
      <t xml:space="preserve">T 4.7.a - Dépenses et recettes par «habitant DGF» </t>
    </r>
    <r>
      <rPr>
        <b/>
        <vertAlign val="superscript"/>
        <sz val="14"/>
        <color indexed="12"/>
        <rFont val="Arial"/>
        <family val="2"/>
      </rPr>
      <t>(a)</t>
    </r>
    <r>
      <rPr>
        <b/>
        <sz val="14"/>
        <color indexed="12"/>
        <rFont val="Arial"/>
        <family val="2"/>
      </rPr>
      <t xml:space="preserve"> des communes urbaines </t>
    </r>
    <r>
      <rPr>
        <b/>
        <vertAlign val="superscript"/>
        <sz val="14"/>
        <color indexed="12"/>
        <rFont val="Arial"/>
        <family val="2"/>
      </rPr>
      <t>(b)</t>
    </r>
    <r>
      <rPr>
        <b/>
        <sz val="14"/>
        <color indexed="12"/>
        <rFont val="Arial"/>
        <family val="2"/>
      </rPr>
      <t xml:space="preserve"> par strate de population en 2024 (France entière y compris DOM)</t>
    </r>
  </si>
  <si>
    <r>
      <t xml:space="preserve">T 4.7.b - Structure des dépenses et des recettes des communes urbaines </t>
    </r>
    <r>
      <rPr>
        <b/>
        <vertAlign val="superscript"/>
        <sz val="14"/>
        <color indexed="12"/>
        <rFont val="Arial"/>
        <family val="2"/>
      </rPr>
      <t>(a)</t>
    </r>
    <r>
      <rPr>
        <b/>
        <sz val="14"/>
        <color indexed="12"/>
        <rFont val="Arial"/>
        <family val="2"/>
      </rPr>
      <t xml:space="preserve"> par strate de population en 2024 (France entière y compris DOM)</t>
    </r>
  </si>
  <si>
    <t>(a) à champ constant, c'est-à-dire en ne conservant que les communes présentes sur les deux années, en 2023 et 2024 et donc hors communes nouvelles en 2024</t>
  </si>
  <si>
    <r>
      <t xml:space="preserve">T 4.8.a - Dépenses et recettes par «habitant DGF» </t>
    </r>
    <r>
      <rPr>
        <b/>
        <vertAlign val="superscript"/>
        <sz val="14"/>
        <color indexed="12"/>
        <rFont val="Arial"/>
        <family val="2"/>
      </rPr>
      <t>(a)</t>
    </r>
    <r>
      <rPr>
        <b/>
        <sz val="14"/>
        <color indexed="12"/>
        <rFont val="Arial"/>
        <family val="2"/>
      </rPr>
      <t xml:space="preserve"> des communes de montagne </t>
    </r>
    <r>
      <rPr>
        <b/>
        <vertAlign val="superscript"/>
        <sz val="14"/>
        <color indexed="12"/>
        <rFont val="Arial"/>
        <family val="2"/>
      </rPr>
      <t>(b)</t>
    </r>
    <r>
      <rPr>
        <b/>
        <sz val="14"/>
        <color indexed="12"/>
        <rFont val="Arial"/>
        <family val="2"/>
      </rPr>
      <t xml:space="preserve"> non touristiques par strate de population en 2024 (France métropolitaine)</t>
    </r>
  </si>
  <si>
    <r>
      <t>T 4.8.b - Structure des dépenses et des recettes des communes de montagne</t>
    </r>
    <r>
      <rPr>
        <b/>
        <vertAlign val="superscript"/>
        <sz val="14"/>
        <color indexed="12"/>
        <rFont val="Arial"/>
        <family val="2"/>
      </rPr>
      <t xml:space="preserve"> (a)</t>
    </r>
    <r>
      <rPr>
        <b/>
        <sz val="14"/>
        <color indexed="12"/>
        <rFont val="Arial"/>
        <family val="2"/>
      </rPr>
      <t xml:space="preserve"> non touristiques par strate de population en 2024 (France métropolitaine)</t>
    </r>
  </si>
  <si>
    <r>
      <t xml:space="preserve">T 4.8.c - Évolution 2024 / 2023 à champ constant </t>
    </r>
    <r>
      <rPr>
        <b/>
        <vertAlign val="superscript"/>
        <sz val="14"/>
        <color indexed="12"/>
        <rFont val="Arial"/>
        <family val="2"/>
      </rPr>
      <t>(a)</t>
    </r>
    <r>
      <rPr>
        <b/>
        <sz val="14"/>
        <color indexed="12"/>
        <rFont val="Arial"/>
        <family val="2"/>
      </rPr>
      <t xml:space="preserve"> : communes de montagne </t>
    </r>
    <r>
      <rPr>
        <b/>
        <vertAlign val="superscript"/>
        <sz val="14"/>
        <color indexed="12"/>
        <rFont val="Arial"/>
        <family val="2"/>
      </rPr>
      <t>(b)</t>
    </r>
    <r>
      <rPr>
        <b/>
        <sz val="14"/>
        <color indexed="12"/>
        <rFont val="Arial"/>
        <family val="2"/>
      </rPr>
      <t xml:space="preserve"> non touristiques (France métropolitaine)</t>
    </r>
  </si>
  <si>
    <r>
      <t xml:space="preserve">T 4.9.a - Dépenses et recettes par «habitant DGF» </t>
    </r>
    <r>
      <rPr>
        <b/>
        <vertAlign val="superscript"/>
        <sz val="14"/>
        <color indexed="12"/>
        <rFont val="Arial"/>
        <family val="2"/>
      </rPr>
      <t>(a)</t>
    </r>
    <r>
      <rPr>
        <b/>
        <sz val="14"/>
        <color indexed="12"/>
        <rFont val="Arial"/>
        <family val="2"/>
      </rPr>
      <t xml:space="preserve"> des communes n'étant pas de montagne </t>
    </r>
    <r>
      <rPr>
        <b/>
        <vertAlign val="superscript"/>
        <sz val="14"/>
        <color indexed="12"/>
        <rFont val="Arial"/>
        <family val="2"/>
      </rPr>
      <t>(b)</t>
    </r>
    <r>
      <rPr>
        <b/>
        <sz val="14"/>
        <color indexed="12"/>
        <rFont val="Arial"/>
        <family val="2"/>
      </rPr>
      <t xml:space="preserve"> par strate de population en 2024 (France métropolitaine)</t>
    </r>
  </si>
  <si>
    <r>
      <t xml:space="preserve">T 4.9.b - Structures des dépenses et des recettes des communes n'étant pas de montagne </t>
    </r>
    <r>
      <rPr>
        <b/>
        <vertAlign val="superscript"/>
        <sz val="14"/>
        <color indexed="12"/>
        <rFont val="Arial"/>
        <family val="2"/>
      </rPr>
      <t>(a)</t>
    </r>
    <r>
      <rPr>
        <b/>
        <sz val="14"/>
        <color indexed="12"/>
        <rFont val="Arial"/>
        <family val="2"/>
      </rPr>
      <t xml:space="preserve"> par strate de population en 2024 (France métropolitaine)</t>
    </r>
  </si>
  <si>
    <r>
      <t xml:space="preserve">T 4.9.c - Évolution 2024 / 2023 à champ constant </t>
    </r>
    <r>
      <rPr>
        <b/>
        <vertAlign val="superscript"/>
        <sz val="14"/>
        <color indexed="12"/>
        <rFont val="Arial"/>
        <family val="2"/>
      </rPr>
      <t>(a)</t>
    </r>
    <r>
      <rPr>
        <b/>
        <sz val="14"/>
        <color indexed="12"/>
        <rFont val="Arial"/>
        <family val="2"/>
      </rPr>
      <t xml:space="preserve"> : communes n'étant pas de montagne </t>
    </r>
    <r>
      <rPr>
        <b/>
        <vertAlign val="superscript"/>
        <sz val="14"/>
        <color indexed="12"/>
        <rFont val="Arial"/>
        <family val="2"/>
      </rPr>
      <t>(b)</t>
    </r>
    <r>
      <rPr>
        <b/>
        <sz val="14"/>
        <color indexed="12"/>
        <rFont val="Arial"/>
        <family val="2"/>
      </rPr>
      <t xml:space="preserve"> (France métropolitaine)</t>
    </r>
  </si>
  <si>
    <r>
      <t xml:space="preserve">T 4.10.a - Dépenses et recettes par «habitant DGF» </t>
    </r>
    <r>
      <rPr>
        <b/>
        <vertAlign val="superscript"/>
        <sz val="14"/>
        <color indexed="12"/>
        <rFont val="Arial"/>
        <family val="2"/>
      </rPr>
      <t>(a)</t>
    </r>
    <r>
      <rPr>
        <b/>
        <sz val="14"/>
        <color indexed="12"/>
        <rFont val="Arial"/>
        <family val="2"/>
      </rPr>
      <t xml:space="preserve"> des communes non touristiques </t>
    </r>
    <r>
      <rPr>
        <b/>
        <vertAlign val="superscript"/>
        <sz val="14"/>
        <color indexed="12"/>
        <rFont val="Arial"/>
        <family val="2"/>
      </rPr>
      <t>(b)</t>
    </r>
    <r>
      <rPr>
        <b/>
        <sz val="14"/>
        <color indexed="12"/>
        <rFont val="Arial"/>
        <family val="2"/>
      </rPr>
      <t xml:space="preserve"> par strate de population en 2024 (France métropolitaine)</t>
    </r>
  </si>
  <si>
    <r>
      <t xml:space="preserve">T 4.10.b - Structures des dépenses et des recettes des communes non touristiques </t>
    </r>
    <r>
      <rPr>
        <b/>
        <vertAlign val="superscript"/>
        <sz val="14"/>
        <color indexed="12"/>
        <rFont val="Arial"/>
        <family val="2"/>
      </rPr>
      <t>(a)</t>
    </r>
    <r>
      <rPr>
        <b/>
        <sz val="14"/>
        <color indexed="12"/>
        <rFont val="Arial"/>
        <family val="2"/>
      </rPr>
      <t xml:space="preserve"> par strate de population en 2024 (France métropolitaine)</t>
    </r>
  </si>
  <si>
    <r>
      <t>T 4.10.c - Évolution 2024 / 2023 à champ constant</t>
    </r>
    <r>
      <rPr>
        <b/>
        <vertAlign val="superscript"/>
        <sz val="14"/>
        <color indexed="12"/>
        <rFont val="Arial"/>
        <family val="2"/>
      </rPr>
      <t xml:space="preserve"> (a)</t>
    </r>
    <r>
      <rPr>
        <b/>
        <sz val="14"/>
        <color indexed="12"/>
        <rFont val="Arial"/>
        <family val="2"/>
      </rPr>
      <t xml:space="preserve"> : communes non touristiques </t>
    </r>
    <r>
      <rPr>
        <b/>
        <vertAlign val="superscript"/>
        <sz val="14"/>
        <color indexed="12"/>
        <rFont val="Arial"/>
        <family val="2"/>
      </rPr>
      <t>(b)</t>
    </r>
    <r>
      <rPr>
        <b/>
        <sz val="14"/>
        <color indexed="12"/>
        <rFont val="Arial"/>
        <family val="2"/>
      </rPr>
      <t xml:space="preserve"> (France métropolitaine)</t>
    </r>
  </si>
  <si>
    <t>T 5.1 - Ratios financiers en 2024 : dépenses et recettes totales du budget communal par région et strate de population</t>
  </si>
  <si>
    <t>Communes selon l'appartenance à un groupement au 01/01/2024 :</t>
  </si>
  <si>
    <t>T 5.2 - Ratios financiers 2024 : dépenses de fonctionnement par région et strate de population</t>
  </si>
  <si>
    <t>T 5.3 - Ratios financiers 2024 : recettes de fonctionnement et capacité d'épargne par région</t>
  </si>
  <si>
    <t>T 5.4 - Ratios financiers 2024 : dépenses d'investissement par région et strate de population</t>
  </si>
  <si>
    <t>T 5.5 - Ratios financiers 2024 : recettes d'investissement (y compris emprunts) par région et strate de population</t>
  </si>
  <si>
    <t>T 5.6 - Ratios financiers 2024 : charge de la dette et marge de manœuvre par région et strate de population</t>
  </si>
  <si>
    <t>T 5.6.a – (R5) : Encours de la dette au 31/12/2024 / population</t>
  </si>
  <si>
    <t>T 5.6.c – (R11) : Encours de la dette au 31/12/2024 / recettes réelles de fonctionnement (Taux d'endettement)</t>
  </si>
  <si>
    <t>T 5.6.d – Encours de la dette au 31/12/2024 / épargne brute (délai de désendettement)</t>
  </si>
  <si>
    <t>T 5.6.f – Intérêts versés / encours de la dette au 31/12/2024</t>
  </si>
  <si>
    <t>T 6.1 - Présentation fonctionnelle des comptes de 2024 des communes de 3500 habitants et plus par strate : dépenses de fonctionnement hors charges financières</t>
  </si>
  <si>
    <t>Source : DGFiP-Comptes de gestion ; budgets principaux - opérations réelles. Calculs DGCL. INSEE, Recensement de la population (population totale en 2024 - année de référence 2021).</t>
  </si>
  <si>
    <t>T 6.2 - Présentation fonctionnelle des comptes de 2024 des communes de 3500 habitants et plus par strate : dépenses d'investissement hors remboursements</t>
  </si>
  <si>
    <t>T 6.3 - Présentation fonctionnelle des comptes de 2024 des communes de 3500 habitants et plus par strate : dépenses totales</t>
  </si>
  <si>
    <t>Ce document présente les résultats tirés de l'exploitation des comptes de gestion 2024 définitifs fournis par la Direction générale des finances publiques (DGFiP).</t>
  </si>
  <si>
    <t>La population prise en compte pour déterminer les tranches de taille des communes en 2024 est la population totale tirée du recensement de population en vigueur au 1er janvier 2024 (population millésimée 2021).</t>
  </si>
  <si>
    <t>Lecture : en France métropolitaine, il y a 11 240 communes dans la strate des 500 à 2000 habitants, qui regroupent 11,089 millions d'habitants pour une taille moyenne de 987 habitants.</t>
  </si>
  <si>
    <t>Lecture : les communes de moins de 100 habitants de la région Auvergne-Rhône-Alpes regroupent 16 000 habitants (exactement : 15 690 habitants).</t>
  </si>
  <si>
    <t>Lecture : il y a 11 communes de moins de 100 habitants appartenant à une CU ou à une métropole et ces communes représentent 0,3 % des communes de cette strate.</t>
  </si>
  <si>
    <t>Lecture : les communes de moins de 100 habitants appartenant à une CU ou métropole regroupent 857 habitants.</t>
  </si>
  <si>
    <t>Lecture : il y a seulement trois communes touristiques du littoral maritime de moins de 100 habitants. Elle correspond à 1,8 % de l'ensemble des communes touristiques de moins de 100 habitants.</t>
  </si>
  <si>
    <t>Lecture: il y a 2 261 habitants « DGF » dans les communes touristiques "supports de station de sport d'hiver" de moins de 100 habitants. Elles regroupent 12,1 % de la population « DGF » des communes touristiques de moins de 100 habitants.</t>
  </si>
  <si>
    <r>
      <rPr>
        <b/>
        <sz val="10"/>
        <rFont val="Arial"/>
        <family val="2"/>
      </rPr>
      <t xml:space="preserve">Communes rurales et urbaines : </t>
    </r>
    <r>
      <rPr>
        <sz val="10"/>
        <rFont val="Arial"/>
        <family val="2"/>
      </rPr>
      <t>la grille communale de densité permet de classer les communes en fonction du nombre d’habitants et de la répartition de ces habitants sur leur territoire. Plus la population est concentrée et nombreuse, plus la commune est considérée comme dense. L’appartenance à un niveau de la grille n’est pas simplement liée à la densité moyenne de population calculée sur l’ensemble de la commune (incluant les surfaces non habitées comme les forêts, la montagne et les champs), elle prend en compte la présence au sein de la commune de zones concentrant un grand nombre d’habitants sur une faible surface. Plus précisément, la définition retenue par l’Union européenne s’appuie sur le découpage du territoire en carreaux de 1 kilomètre de côté et sur l’agrégation de carreaux de densité équivalente, définissant des « taches » ou « clusters ». Chaque commune est ensuite affectée dans une catégorie en fonction de la part de la population communale comprise dans les différents types de cluster. Les données de population sont issues des fichiers démographiques sur les logements et les individus (Fideli 2021). Dans son premier niveau, à 3 catégories, la grille communale permet ainsi de distinguer trois types de communes : les communes densément peuplées, les communes de densité intermédiaire, les communes rurales. Les communes densément peuplées et les communes de densité intermédiaire constituent l'espace urbain et sont appelées « communes urbaines ». Une grille détaillée, à 7 niveaux, a été définie suite à des travaux récents au niveau international. Il s’agit d’une subdivision de la grille à 3 catégories ; en particulier, les définitions de l’urbain et du rural sont inchangées. Les communes denses, ou densément peuplées, restent aussi identiques. Elles correspondent aux communes des « cities » européennes, dénommées « grands centres urbains » dans la grille à 7 niveaux. Au sein des communes de densité intermédiaire, la grille à 7 niveaux permet de différencier : les « centres urbains intermédiaires », les « ceintures urbaines », les « petites villes ». Au sein des communes rurales, la grille distingue : les « bourgs ruraux », le « rural à habitat dispersé », le « rural à habitat très dispersé ».</t>
    </r>
  </si>
  <si>
    <t>Lecture : Les dépenses de fonctionnement des communes de moins de 100 habitants se montent à 236 M€.</t>
  </si>
  <si>
    <t>Lecture : Les achats et charges externes des communes de moins de 100 habitants représentent 40,3 % de leurs dépenses de fonctionnement.</t>
  </si>
  <si>
    <t>(e) Le montant élevé pour les communes touristiques du littoral maritime de moins de 100 habitants est dû à la présence de la commune atypique du Mont-Saint-Michel.</t>
  </si>
  <si>
    <t xml:space="preserve">          - communes touristique et hors montagne</t>
  </si>
  <si>
    <t>Lecture : pour l'ensemble des communes touristiques de moins de 100 habitants, les achats et charges externes représentent 351 € par « habitant DGF».</t>
  </si>
  <si>
    <t>Lecture : pour l'ensemble des communes touristiques de moins de 100 habitants, les achats et charges externes représentent 35,4 % des dépenses de fonctionnement.</t>
  </si>
  <si>
    <t>Lecture : à champ constant, c'est-à-dire en ne conservant que les communes présentes sur les deux années, en 2023 et 2024, l'évolution des achats et charges externes des communes touristiques de moins de 100 habitants entre 2023 et 2024 est de +3,3 %.</t>
  </si>
  <si>
    <t>(*) Les forts montants pour la strate des moins de 100 habitants proviennent de la commune atypique du  Mont-Saint-Michel.</t>
  </si>
  <si>
    <t>,</t>
  </si>
  <si>
    <t xml:space="preserve">Lecture: les achats et charges externes des communes touristiques du littoral maritime de moins de 100 habitants représentent 590 € par «habitant DGF». </t>
  </si>
  <si>
    <t>Lecture : les achats et charges externes représentent 22,8 % des dépenses de fonctionnement des communes  touristiques du littoral maritime de moins de 100 habitants.</t>
  </si>
  <si>
    <t>Lecture : à champ constant, c'est-à-dire en ne conservant que les communes présentes sur les deux années, en 2023 et 2024, l'évolution des achats et charges externes des communes touristiques du littoral maritime de 100 à moins de 200 habitants entre 2023 et 2024 est de +12,6 %.</t>
  </si>
  <si>
    <t>Lecture : les achats et charges externes représentent 473 € par «habitant DGF» pour les communes touristiques «supports de stations de sports d'hiver» de moins de 100 habitants.</t>
  </si>
  <si>
    <t>Lecture : les achats et charges externes représentent 40,8 % des dépenses de fonctionnement des communes touristiques «supports de stations de sports d'hiver» de moins de 100 habitants.</t>
  </si>
  <si>
    <t>Lecture : à champ constant, c'est-à-dire en ne conservant que les communes présentes sur les deux années, en 2023 et 2024, l'évolution des achats et charges externes des communes "supports de stations de sports d'hivers" de moins de 100 habitants entre 2023 et 2024 est de +10,8 %.</t>
  </si>
  <si>
    <t>Lecture : les achats et charges externes représentent 330 € par «habitant DGF» pour les autres communes touristiques de montagne de moins de 100 habitants.</t>
  </si>
  <si>
    <t>Lecture : les achats et charges externes représentent 35,6 % des dépenses de fonctionnement des autres communes touristiques de montagne de moins de 100 habitants.</t>
  </si>
  <si>
    <t>Lecture : à champ constant, c'est-à-dire en ne conservant que les communes présentes sur les deux années, en 2023 et 2024, l'évolution des achats et charges externes des autres communes touristiques de montagne de moins de 100 habitants entre 2023 et 2024 est de +1,5 %.</t>
  </si>
  <si>
    <t>Lecture : les achats et charges externes représentent 251 € par « habitant DGF» pour les autres communes touristiques de moins de 100 habitants.</t>
  </si>
  <si>
    <t>Lecture : les achats et charges externes représentent 29,8 % des dépenses de fonctionnement des autres communes touristiques de moins de 100 habitants.</t>
  </si>
  <si>
    <t>Lecture : à champ constant, c'est-à-dire en ne conservant que les communes présentes sur les deux années, en 2023 et 2024, l'évolution des achats et charges externes des autres communes touristiques de moins de 100 habitants entre 2023 et 2024 est de +5,6 %.</t>
  </si>
  <si>
    <t>Lecture : les achats et charges externes représentent 40,3 % des dépenses de fonctionnement des communes rurales de moins de 100 habitants.</t>
  </si>
  <si>
    <t>Lecture : les achats et charges externes représentent 353 € par «habitant DGF» pour les communes rurales de moins de 100 habitants.</t>
  </si>
  <si>
    <t>Lecture : à champ constant, c'est-à-dire en ne conservant que les communes présentes sur les deux années, en 2023 et 2024, l'évolution des achats et charges externes des communes rurales de moins de 100 habitants entre 2023 et 2024 est de +6,4 %.</t>
  </si>
  <si>
    <t>Lecture : à champ constant, c'est-à-dire en ne conservant que les communes présentes sur les deux années, en 2023 et 2024, l'évolution des achats et charges externes des communes urbaines de plus de 100 000 habitants entre 2023 et 2024 est de +5,2 %.</t>
  </si>
  <si>
    <t>Lecture : les achats et charges externes repésentent 18,5 % des dépenses de fonctionnement des communes de plus de 100 000 habitants appartenant à une commune urbaine.</t>
  </si>
  <si>
    <t>Lecture : les achats et charges externes représentent 317 € par «habitant DGF» pour les communes de plus de 100 000 habitants appartenant à une commune urbaine.</t>
  </si>
  <si>
    <t>Lecture : à champ constant, c'est-à-dire en ne conservant que les communes présentes sur les deux années, en 2023 et 2024, l'évolution des achats et charges externes des communes de montagne non touristiques de moins de 100 habitants entre 2023 et 2024 est de +5,7 %.</t>
  </si>
  <si>
    <t>Lecture : les achats et charges externes repésentent 41 % des dépenses de fonctionnement des communes de montagne non touristiques de moins de 100 habitants.</t>
  </si>
  <si>
    <t>Lecture : les achats et charges externes représentent 407 € par «habitant DGF» pour les communes de montagne non touristiques de moins de 100 habitants.</t>
  </si>
  <si>
    <t>Lecture : à champ constant, c'est-à-dire en ne conservant que les communes présentes sur les deux années, en 2023 et 2024, l'évolution entre 2023 et 2024 des achats et charges externes des communes de moins de 100 habitants n'étant pas de montagne est de +7,2 %.</t>
  </si>
  <si>
    <t>Lecture : pour l'ensemble des communes de moins de 100 habitants n'étant pas de montagne, les achats et charges externes représentent 40,4 % des dépenses de fonctionnement.</t>
  </si>
  <si>
    <t>Lecture : pour l'ensemble des communes n'étant pas de montagne de moins de 100 habitants, les achats et charges externes représentent 327 € par «habitant DGF».</t>
  </si>
  <si>
    <t>Lecture : à champ constant, c'est-à-dire en ne conservant que les communes présentes sur les deux années, en 2023 et 2024, l'évolution des achats et charges externes des communes non touristiques de moins de 100 habitants entre 2023 et 2024 est de +6,7 %.</t>
  </si>
  <si>
    <t>Lecture : pour l'ensemble des communes non touristiques de moins de 100 habitants, les achats et charges externes représentent 40,7 % des dépenses de fonctionnement.</t>
  </si>
  <si>
    <t>Lecture : pour l'ensemble des communes non touristiques de moins de 100 habitants, les achats et charges externes représentent 353 € par «habitant DGF».</t>
  </si>
  <si>
    <t>Source :  INSEE, Recensement de la population (population totale en 2024 - année de référence 2021) ; calculs DGCL.</t>
  </si>
  <si>
    <t>(e) La commune atypique du Mont-Saint-Michel a un impcat important sur le montant des communes touristiques du littoral maritime de moins de 100 habitants.</t>
  </si>
  <si>
    <t>(f) La commune atypique du Mont-Saint-Michel a un impcat important sur le montant des communes touristiques du littoral maritime de moins de 100 habitants.</t>
  </si>
  <si>
    <r>
      <t xml:space="preserve">T 4.3.b - Structure des dépenses et des recettes des communes touristiques </t>
    </r>
    <r>
      <rPr>
        <b/>
        <vertAlign val="superscript"/>
        <sz val="14"/>
        <color indexed="12"/>
        <rFont val="Arial"/>
        <family val="2"/>
      </rPr>
      <t>(a)</t>
    </r>
    <r>
      <rPr>
        <b/>
        <sz val="14"/>
        <color indexed="12"/>
        <rFont val="Arial"/>
        <family val="2"/>
      </rPr>
      <t xml:space="preserve"> «supports de stations de sports d'hiver» par strate de population en 2024 (France métropolitaine)</t>
    </r>
  </si>
  <si>
    <r>
      <t xml:space="preserve">T 4.7.c - Évolution 2024 / 2023 à champ constant </t>
    </r>
    <r>
      <rPr>
        <b/>
        <vertAlign val="superscript"/>
        <sz val="14"/>
        <color indexed="12"/>
        <rFont val="Arial"/>
        <family val="2"/>
      </rPr>
      <t>(a)</t>
    </r>
    <r>
      <rPr>
        <b/>
        <sz val="14"/>
        <color indexed="12"/>
        <rFont val="Arial"/>
        <family val="2"/>
      </rPr>
      <t xml:space="preserve"> : communes urbaines </t>
    </r>
    <r>
      <rPr>
        <b/>
        <vertAlign val="superscript"/>
        <sz val="14"/>
        <color indexed="12"/>
        <rFont val="Arial"/>
        <family val="2"/>
      </rPr>
      <t>(b)</t>
    </r>
    <r>
      <rPr>
        <b/>
        <sz val="14"/>
        <color indexed="12"/>
        <rFont val="Arial"/>
        <family val="2"/>
      </rPr>
      <t xml:space="preserve"> (France entière y compris DOM)</t>
    </r>
  </si>
  <si>
    <t>Lecture : il y a 3 285 communes rurales de moins de 100 habitants qui constituent 100,0 % des communes de cette strate.</t>
  </si>
  <si>
    <t>Lecture : il y a 213 108 habitants dans les communes rurales de moins de 100 habitants. Ces habitants représentent 100,0 % de la population des communes de moins de 100 habitants.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</si>
</sst>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4" formatCode="_-* #,##0.00\ _€_-;\-* #,##0.00\ _€_-;_-* &quot;-&quot;??\ _€_-;_-@_-"/>
    <numFmt numFmtId="165" formatCode="0.0%"/>
    <numFmt numFmtId="166" formatCode="#,##0.0"/>
    <numFmt numFmtId="167" formatCode="0.0"/>
    <numFmt numFmtId="168" formatCode="0.000000000"/>
    <numFmt numFmtId="169" formatCode="[$-40C]d\ mmmm\ yyyy;@"/>
    <numFmt numFmtId="170" formatCode="#,##0.000000"/>
    <numFmt numFmtId="171" formatCode="\+0.0;\-0.0"/>
    <numFmt numFmtId="172" formatCode="\+0"/>
    <numFmt numFmtId="173" formatCode="0.0&quot; ans&quot;"/>
    <numFmt numFmtId="174" formatCode="0.000000"/>
    <numFmt numFmtId="175" formatCode="#,##0.000"/>
    <numFmt numFmtId="176" formatCode="0.000"/>
  </numFmts>
  <fonts count="117" x14ac:knownFonts="1">
    <font>
      <sz val="10"/>
      <name val="Arial"/>
    </font>
    <font>
      <sz val="10"/>
      <name val="Arial"/>
      <family val="2"/>
    </font>
    <font>
      <sz val="8"/>
      <name val="Arial"/>
      <family val="2"/>
    </font>
    <font>
      <sz val="10"/>
      <color indexed="12"/>
      <name val="Arial"/>
      <family val="2"/>
    </font>
    <font>
      <b/>
      <sz val="10"/>
      <color indexed="12"/>
      <name val="Arial"/>
      <family val="2"/>
    </font>
    <font>
      <b/>
      <sz val="10"/>
      <name val="Arial"/>
      <family val="2"/>
    </font>
    <font>
      <i/>
      <sz val="10"/>
      <name val="Arial"/>
      <family val="2"/>
    </font>
    <font>
      <i/>
      <sz val="8"/>
      <name val="Arial"/>
      <family val="2"/>
    </font>
    <font>
      <b/>
      <sz val="14"/>
      <color indexed="12"/>
      <name val="Arial"/>
      <family val="2"/>
    </font>
    <font>
      <sz val="10"/>
      <name val="Arial"/>
      <family val="2"/>
    </font>
    <font>
      <sz val="8"/>
      <name val="Arial"/>
      <family val="2"/>
    </font>
    <font>
      <b/>
      <i/>
      <sz val="10"/>
      <name val="Arial"/>
      <family val="2"/>
    </font>
    <font>
      <b/>
      <sz val="8"/>
      <name val="Arial"/>
      <family val="2"/>
    </font>
    <font>
      <u/>
      <sz val="10"/>
      <color indexed="12"/>
      <name val="Arial"/>
      <family val="2"/>
    </font>
    <font>
      <sz val="9"/>
      <name val="Arial"/>
      <family val="2"/>
    </font>
    <font>
      <i/>
      <sz val="9"/>
      <name val="Arial"/>
      <family val="2"/>
    </font>
    <font>
      <sz val="8"/>
      <color indexed="12"/>
      <name val="Arial"/>
      <family val="2"/>
    </font>
    <font>
      <b/>
      <sz val="10"/>
      <name val="MS Sans Serif"/>
      <family val="2"/>
    </font>
    <font>
      <b/>
      <sz val="9"/>
      <name val="Arial"/>
      <family val="2"/>
    </font>
    <font>
      <sz val="10"/>
      <name val="MS Sans Serif"/>
      <family val="2"/>
    </font>
    <font>
      <sz val="10"/>
      <name val="Tahoma"/>
      <family val="2"/>
    </font>
    <font>
      <i/>
      <sz val="10"/>
      <color indexed="12"/>
      <name val="Arial"/>
      <family val="2"/>
    </font>
    <font>
      <b/>
      <sz val="16"/>
      <color indexed="48"/>
      <name val="Arial"/>
      <family val="2"/>
    </font>
    <font>
      <b/>
      <sz val="16"/>
      <color indexed="48"/>
      <name val="Wingdings"/>
      <charset val="2"/>
    </font>
    <font>
      <b/>
      <sz val="10"/>
      <color indexed="48"/>
      <name val="Arial"/>
      <family val="2"/>
    </font>
    <font>
      <b/>
      <sz val="10"/>
      <name val="Arial"/>
      <family val="2"/>
    </font>
    <font>
      <b/>
      <sz val="13"/>
      <name val="Arial"/>
      <family val="2"/>
    </font>
    <font>
      <b/>
      <sz val="13"/>
      <color indexed="12"/>
      <name val="Arial"/>
      <family val="2"/>
    </font>
    <font>
      <b/>
      <sz val="13"/>
      <name val="Arial"/>
      <family val="2"/>
    </font>
    <font>
      <b/>
      <sz val="14"/>
      <color indexed="48"/>
      <name val="Arial"/>
      <family val="2"/>
    </font>
    <font>
      <b/>
      <sz val="8"/>
      <color indexed="48"/>
      <name val="Arial"/>
      <family val="2"/>
    </font>
    <font>
      <b/>
      <sz val="13"/>
      <name val="MS Sans Serif"/>
      <family val="2"/>
    </font>
    <font>
      <sz val="10"/>
      <color indexed="12"/>
      <name val="Arial"/>
      <family val="2"/>
    </font>
    <font>
      <b/>
      <sz val="13"/>
      <color indexed="12"/>
      <name val="Arial"/>
      <family val="2"/>
    </font>
    <font>
      <sz val="10"/>
      <color indexed="12"/>
      <name val="MS Sans Serif"/>
      <family val="2"/>
    </font>
    <font>
      <b/>
      <sz val="13"/>
      <color indexed="12"/>
      <name val="MS Sans Serif"/>
      <family val="2"/>
    </font>
    <font>
      <b/>
      <sz val="16"/>
      <color indexed="48"/>
      <name val="MS Sans Serif"/>
      <family val="2"/>
    </font>
    <font>
      <b/>
      <sz val="16"/>
      <color indexed="12"/>
      <name val="Arial"/>
      <family val="2"/>
    </font>
    <font>
      <b/>
      <sz val="16"/>
      <color indexed="12"/>
      <name val="MS Sans Serif"/>
      <family val="2"/>
    </font>
    <font>
      <sz val="10"/>
      <name val="Times New Roman"/>
      <family val="1"/>
    </font>
    <font>
      <u/>
      <sz val="10"/>
      <color indexed="12"/>
      <name val="MS Sans Serif"/>
      <family val="2"/>
    </font>
    <font>
      <sz val="10"/>
      <color indexed="48"/>
      <name val="Arial"/>
      <family val="2"/>
    </font>
    <font>
      <u/>
      <sz val="10"/>
      <color indexed="12"/>
      <name val="Calibri"/>
      <family val="2"/>
    </font>
    <font>
      <sz val="10"/>
      <color indexed="48"/>
      <name val="Calibri"/>
      <family val="2"/>
    </font>
    <font>
      <b/>
      <sz val="10"/>
      <color indexed="48"/>
      <name val="MS Sans Serif"/>
      <family val="2"/>
    </font>
    <font>
      <b/>
      <sz val="10"/>
      <color rgb="FF0000FF"/>
      <name val="Arial"/>
      <family val="2"/>
    </font>
    <font>
      <sz val="10"/>
      <color rgb="FF0000FF"/>
      <name val="Arial"/>
      <family val="2"/>
    </font>
    <font>
      <vertAlign val="superscript"/>
      <sz val="10"/>
      <name val="Arial"/>
      <family val="2"/>
    </font>
    <font>
      <b/>
      <sz val="10"/>
      <color theme="1"/>
      <name val="Arial"/>
      <family val="2"/>
    </font>
    <font>
      <sz val="10"/>
      <color rgb="FF000000"/>
      <name val="Bookman Old Style"/>
      <family val="1"/>
    </font>
    <font>
      <i/>
      <sz val="10"/>
      <color rgb="FF0000FF"/>
      <name val="Arial"/>
      <family val="2"/>
    </font>
    <font>
      <i/>
      <vertAlign val="superscript"/>
      <sz val="10"/>
      <name val="Arial"/>
      <family val="2"/>
    </font>
    <font>
      <b/>
      <vertAlign val="superscript"/>
      <sz val="10"/>
      <name val="Arial"/>
      <family val="2"/>
    </font>
    <font>
      <b/>
      <vertAlign val="superscript"/>
      <sz val="14"/>
      <color indexed="12"/>
      <name val="Arial"/>
      <family val="2"/>
    </font>
    <font>
      <i/>
      <sz val="10"/>
      <color theme="1"/>
      <name val="Arial"/>
      <family val="2"/>
    </font>
    <font>
      <b/>
      <i/>
      <vertAlign val="superscript"/>
      <sz val="10"/>
      <name val="Arial"/>
      <family val="2"/>
    </font>
    <font>
      <b/>
      <i/>
      <sz val="10"/>
      <color indexed="12"/>
      <name val="Arial"/>
      <family val="2"/>
    </font>
    <font>
      <b/>
      <vertAlign val="superscript"/>
      <sz val="10"/>
      <color indexed="12"/>
      <name val="Arial"/>
      <family val="2"/>
    </font>
    <font>
      <b/>
      <sz val="9"/>
      <color indexed="12"/>
      <name val="Arial"/>
      <family val="2"/>
    </font>
    <font>
      <sz val="9"/>
      <color indexed="12"/>
      <name val="Arial"/>
      <family val="2"/>
    </font>
    <font>
      <sz val="10"/>
      <color rgb="FF000000"/>
      <name val="Arial"/>
      <family val="2"/>
    </font>
    <font>
      <u/>
      <sz val="10"/>
      <color rgb="FF000000"/>
      <name val="Arial"/>
      <family val="2"/>
    </font>
    <font>
      <sz val="10"/>
      <color rgb="FF003399"/>
      <name val="Arial"/>
      <family val="2"/>
    </font>
    <font>
      <sz val="10"/>
      <color rgb="FF0091FF"/>
      <name val="Arial"/>
      <family val="2"/>
    </font>
    <font>
      <b/>
      <u/>
      <sz val="10"/>
      <color rgb="FF0000FF"/>
      <name val="Arial"/>
      <family val="2"/>
    </font>
    <font>
      <u/>
      <sz val="10"/>
      <color rgb="FF0000FF"/>
      <name val="Arial"/>
      <family val="2"/>
    </font>
    <font>
      <sz val="10"/>
      <color theme="1"/>
      <name val="Calibri"/>
      <family val="2"/>
    </font>
    <font>
      <sz val="11"/>
      <name val="Arial"/>
      <family val="2"/>
    </font>
    <font>
      <sz val="16"/>
      <color indexed="12"/>
      <name val="Calibri"/>
      <family val="2"/>
    </font>
    <font>
      <b/>
      <sz val="16"/>
      <name val="Calibri"/>
      <family val="2"/>
    </font>
    <font>
      <sz val="16"/>
      <name val="Arial"/>
      <family val="2"/>
    </font>
    <font>
      <sz val="16"/>
      <name val="Calibri"/>
      <family val="2"/>
    </font>
    <font>
      <sz val="16"/>
      <color indexed="48"/>
      <name val="Arial"/>
      <family val="2"/>
    </font>
    <font>
      <u/>
      <sz val="16"/>
      <color indexed="12"/>
      <name val="Arial"/>
      <family val="2"/>
    </font>
    <font>
      <sz val="16"/>
      <color indexed="48"/>
      <name val="Calibri"/>
      <family val="2"/>
    </font>
    <font>
      <b/>
      <u/>
      <sz val="16"/>
      <name val="Calibri"/>
      <family val="2"/>
    </font>
    <font>
      <b/>
      <sz val="18"/>
      <name val="Calibri"/>
      <family val="2"/>
    </font>
    <font>
      <b/>
      <sz val="18"/>
      <color indexed="12"/>
      <name val="Calibri"/>
      <family val="2"/>
    </font>
    <font>
      <sz val="18"/>
      <name val="Arial"/>
      <family val="2"/>
    </font>
    <font>
      <sz val="18"/>
      <color indexed="48"/>
      <name val="Arial"/>
      <family val="2"/>
    </font>
    <font>
      <i/>
      <sz val="18"/>
      <color indexed="12"/>
      <name val="Calibri"/>
      <family val="2"/>
    </font>
    <font>
      <sz val="18"/>
      <color indexed="12"/>
      <name val="Calibri"/>
      <family val="2"/>
    </font>
    <font>
      <b/>
      <sz val="20"/>
      <color indexed="12"/>
      <name val="Calibri"/>
      <family val="2"/>
    </font>
    <font>
      <b/>
      <sz val="11"/>
      <name val="MS Sans Serif"/>
      <family val="2"/>
    </font>
    <font>
      <b/>
      <sz val="11"/>
      <color indexed="12"/>
      <name val="Arial"/>
      <family val="2"/>
    </font>
    <font>
      <b/>
      <sz val="11"/>
      <name val="Arial"/>
      <family val="2"/>
    </font>
    <font>
      <b/>
      <sz val="11"/>
      <color theme="1"/>
      <name val="Arial"/>
      <family val="2"/>
    </font>
    <font>
      <sz val="11"/>
      <color theme="1"/>
      <name val="Arial"/>
      <family val="2"/>
    </font>
    <font>
      <b/>
      <sz val="11"/>
      <color rgb="FF0000FF"/>
      <name val="Arial"/>
      <family val="2"/>
    </font>
    <font>
      <sz val="11"/>
      <color rgb="FF0000FF"/>
      <name val="Arial"/>
      <family val="2"/>
    </font>
    <font>
      <i/>
      <sz val="11"/>
      <name val="Arial"/>
      <family val="2"/>
    </font>
    <font>
      <vertAlign val="superscript"/>
      <sz val="11"/>
      <name val="Arial"/>
      <family val="2"/>
    </font>
    <font>
      <vertAlign val="superscript"/>
      <sz val="11"/>
      <color theme="1"/>
      <name val="Arial"/>
      <family val="2"/>
    </font>
    <font>
      <sz val="9"/>
      <color rgb="FF0000FF"/>
      <name val="Arial"/>
      <family val="2"/>
    </font>
    <font>
      <b/>
      <i/>
      <sz val="11"/>
      <name val="Arial"/>
      <family val="2"/>
    </font>
    <font>
      <b/>
      <i/>
      <sz val="9"/>
      <color indexed="12"/>
      <name val="Arial"/>
      <family val="2"/>
    </font>
    <font>
      <i/>
      <sz val="9"/>
      <color indexed="12"/>
      <name val="Arial"/>
      <family val="2"/>
    </font>
    <font>
      <b/>
      <sz val="14"/>
      <color rgb="FF0000FF"/>
      <name val="Arial"/>
      <family val="2"/>
    </font>
    <font>
      <sz val="10"/>
      <color theme="1"/>
      <name val="Arial"/>
      <family val="2"/>
    </font>
    <font>
      <vertAlign val="superscript"/>
      <sz val="12"/>
      <name val="Arial"/>
      <family val="2"/>
    </font>
    <font>
      <i/>
      <sz val="11"/>
      <color rgb="FF0000FF"/>
      <name val="Arial"/>
      <family val="2"/>
    </font>
    <font>
      <b/>
      <sz val="36"/>
      <color rgb="FF0000FF"/>
      <name val="Tahoma"/>
      <family val="2"/>
    </font>
    <font>
      <sz val="14"/>
      <name val="Tahoma"/>
      <family val="2"/>
    </font>
    <font>
      <b/>
      <sz val="14"/>
      <name val="Tahoma"/>
      <family val="2"/>
    </font>
    <font>
      <sz val="12"/>
      <name val="Tahoma"/>
      <family val="2"/>
    </font>
    <font>
      <b/>
      <sz val="10"/>
      <color indexed="12"/>
      <name val="Calibri"/>
      <family val="2"/>
    </font>
    <font>
      <b/>
      <sz val="12"/>
      <color rgb="FF0000FF"/>
      <name val="Arial"/>
      <family val="2"/>
    </font>
    <font>
      <b/>
      <vertAlign val="superscript"/>
      <sz val="11"/>
      <name val="Arial"/>
      <family val="2"/>
    </font>
    <font>
      <b/>
      <u/>
      <sz val="10"/>
      <color rgb="FF000000"/>
      <name val="Arial"/>
      <family val="2"/>
    </font>
    <font>
      <u/>
      <sz val="10"/>
      <color rgb="FF003399"/>
      <name val="Arial"/>
      <family val="2"/>
    </font>
    <font>
      <sz val="10"/>
      <color rgb="FF003399"/>
      <name val="Calibri"/>
      <family val="2"/>
    </font>
    <font>
      <u/>
      <sz val="18"/>
      <color indexed="12"/>
      <name val="Calibri"/>
      <family val="2"/>
      <scheme val="minor"/>
    </font>
    <font>
      <sz val="11"/>
      <color rgb="FF000000"/>
      <name val="Arial"/>
      <family val="2"/>
    </font>
    <font>
      <sz val="12"/>
      <name val="Arial"/>
      <family val="2"/>
    </font>
    <font>
      <sz val="10"/>
      <name val="Arial"/>
      <family val="2"/>
    </font>
    <font>
      <sz val="11"/>
      <color theme="1"/>
      <name val="Calibri"/>
      <family val="2"/>
    </font>
    <font>
      <sz val="10"/>
      <name val="Arial"/>
    </font>
  </fonts>
  <fills count="1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DDDDDD"/>
        <bgColor indexed="64"/>
      </patternFill>
    </fill>
    <fill>
      <patternFill patternType="solid">
        <fgColor rgb="FFC0C0C0"/>
        <bgColor indexed="64"/>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tint="-0.24994659260841701"/>
        <bgColor indexed="64"/>
      </patternFill>
    </fill>
    <fill>
      <patternFill patternType="solid">
        <fgColor rgb="FFD8D8D8"/>
        <bgColor theme="0" tint="-0.14999847407452621"/>
      </patternFill>
    </fill>
    <fill>
      <patternFill patternType="solid">
        <fgColor theme="0" tint="-0.249977111117893"/>
        <bgColor indexed="64"/>
      </patternFill>
    </fill>
    <fill>
      <patternFill patternType="solid">
        <fgColor rgb="FFFFFFFF"/>
        <bgColor theme="0" tint="-0.14999847407452621"/>
      </patternFill>
    </fill>
    <fill>
      <patternFill patternType="solid">
        <fgColor rgb="FFD8D8D8"/>
        <bgColor indexed="64"/>
      </patternFill>
    </fill>
    <fill>
      <patternFill patternType="solid">
        <fgColor rgb="FFFAFBFE"/>
        <bgColor indexed="64"/>
      </patternFill>
    </fill>
  </fills>
  <borders count="50">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30"/>
      </bottom>
      <diagonal/>
    </border>
    <border>
      <left style="thin">
        <color indexed="30"/>
      </left>
      <right/>
      <top style="thin">
        <color indexed="30"/>
      </top>
      <bottom/>
      <diagonal/>
    </border>
    <border>
      <left/>
      <right/>
      <top style="thin">
        <color indexed="30"/>
      </top>
      <bottom/>
      <diagonal/>
    </border>
    <border>
      <left style="thin">
        <color indexed="30"/>
      </left>
      <right/>
      <top/>
      <bottom/>
      <diagonal/>
    </border>
    <border>
      <left style="thin">
        <color indexed="30"/>
      </left>
      <right/>
      <top/>
      <bottom style="thin">
        <color indexed="30"/>
      </bottom>
      <diagonal/>
    </border>
    <border>
      <left/>
      <right style="thin">
        <color indexed="30"/>
      </right>
      <top/>
      <bottom/>
      <diagonal/>
    </border>
    <border>
      <left/>
      <right style="thin">
        <color indexed="30"/>
      </right>
      <top style="thin">
        <color indexed="30"/>
      </top>
      <bottom/>
      <diagonal/>
    </border>
    <border>
      <left/>
      <right style="thin">
        <color indexed="30"/>
      </right>
      <top/>
      <bottom style="thin">
        <color indexed="3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thin">
        <color theme="1"/>
      </top>
      <bottom/>
      <diagonal/>
    </border>
    <border>
      <left style="thin">
        <color indexed="64"/>
      </left>
      <right style="medium">
        <color indexed="64"/>
      </right>
      <top/>
      <bottom style="thin">
        <color indexed="64"/>
      </bottom>
      <diagonal/>
    </border>
    <border>
      <left/>
      <right/>
      <top/>
      <bottom style="thin">
        <color theme="1"/>
      </bottom>
      <diagonal/>
    </border>
    <border>
      <left style="thin">
        <color indexed="30"/>
      </left>
      <right style="thin">
        <color indexed="30"/>
      </right>
      <top style="thin">
        <color indexed="30"/>
      </top>
      <bottom/>
      <diagonal/>
    </border>
    <border>
      <left style="thin">
        <color indexed="30"/>
      </left>
      <right style="thin">
        <color indexed="30"/>
      </right>
      <top/>
      <bottom/>
      <diagonal/>
    </border>
    <border>
      <left style="thin">
        <color indexed="30"/>
      </left>
      <right style="thin">
        <color indexed="30"/>
      </right>
      <top/>
      <bottom style="thin">
        <color indexed="30"/>
      </bottom>
      <diagonal/>
    </border>
    <border>
      <left style="thin">
        <color indexed="64"/>
      </left>
      <right/>
      <top style="thin">
        <color indexed="64"/>
      </top>
      <bottom style="thin">
        <color indexed="64"/>
      </bottom>
      <diagonal/>
    </border>
    <border>
      <left/>
      <right style="medium">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0">
    <xf numFmtId="0" fontId="0" fillId="0" borderId="0"/>
    <xf numFmtId="0" fontId="13" fillId="0" borderId="0" applyNumberFormat="0" applyFill="0" applyBorder="0" applyAlignment="0" applyProtection="0">
      <alignment vertical="top"/>
      <protection locked="0"/>
    </xf>
    <xf numFmtId="0" fontId="40" fillId="0" borderId="0" applyNumberFormat="0" applyFill="0" applyBorder="0" applyAlignment="0" applyProtection="0"/>
    <xf numFmtId="0" fontId="19" fillId="0" borderId="0"/>
    <xf numFmtId="0" fontId="1" fillId="0" borderId="0"/>
    <xf numFmtId="0" fontId="1" fillId="0" borderId="0"/>
    <xf numFmtId="0" fontId="1" fillId="0" borderId="0"/>
    <xf numFmtId="0" fontId="1" fillId="0" borderId="0"/>
    <xf numFmtId="9" fontId="114" fillId="0" borderId="0" applyFont="0" applyFill="0" applyBorder="0" applyAlignment="0" applyProtection="0"/>
    <xf numFmtId="164" fontId="116" fillId="0" borderId="0" applyFont="0" applyFill="0" applyBorder="0" applyAlignment="0" applyProtection="0"/>
  </cellStyleXfs>
  <cellXfs count="1054">
    <xf numFmtId="0" fontId="0" fillId="0" borderId="0" xfId="0"/>
    <xf numFmtId="0" fontId="0" fillId="0" borderId="1" xfId="0" applyBorder="1"/>
    <xf numFmtId="0" fontId="3" fillId="0" borderId="1" xfId="0" applyFont="1" applyBorder="1"/>
    <xf numFmtId="0" fontId="0" fillId="0" borderId="0" xfId="0" applyBorder="1"/>
    <xf numFmtId="0" fontId="0" fillId="0" borderId="2" xfId="0" applyBorder="1"/>
    <xf numFmtId="0" fontId="3" fillId="0" borderId="2" xfId="0" applyFont="1" applyBorder="1"/>
    <xf numFmtId="0" fontId="0" fillId="2" borderId="0" xfId="0" applyFill="1"/>
    <xf numFmtId="0" fontId="0" fillId="0" borderId="0" xfId="0" applyFill="1"/>
    <xf numFmtId="0" fontId="5" fillId="0" borderId="0" xfId="0" applyFont="1"/>
    <xf numFmtId="0" fontId="7" fillId="0" borderId="0" xfId="0" applyFont="1"/>
    <xf numFmtId="0" fontId="8" fillId="0" borderId="0" xfId="0" applyFont="1"/>
    <xf numFmtId="0" fontId="0" fillId="0" borderId="0" xfId="0" applyBorder="1" applyAlignment="1">
      <alignment horizontal="center"/>
    </xf>
    <xf numFmtId="0" fontId="4" fillId="0" borderId="0" xfId="0" applyFont="1" applyBorder="1" applyAlignment="1">
      <alignment horizontal="center"/>
    </xf>
    <xf numFmtId="0" fontId="9" fillId="0" borderId="0" xfId="0" applyFont="1"/>
    <xf numFmtId="3" fontId="0" fillId="0" borderId="0" xfId="0" applyNumberFormat="1"/>
    <xf numFmtId="0" fontId="4" fillId="0" borderId="0" xfId="0" applyFont="1"/>
    <xf numFmtId="0" fontId="2" fillId="0" borderId="0" xfId="0" applyFont="1"/>
    <xf numFmtId="0" fontId="12" fillId="0" borderId="0" xfId="0" applyFont="1"/>
    <xf numFmtId="0" fontId="5" fillId="0" borderId="0" xfId="0" applyFont="1" applyBorder="1"/>
    <xf numFmtId="0" fontId="5" fillId="0" borderId="4" xfId="0" applyFont="1" applyBorder="1"/>
    <xf numFmtId="0" fontId="17" fillId="0" borderId="4" xfId="0" applyFont="1" applyBorder="1" applyAlignment="1">
      <alignment horizontal="center"/>
    </xf>
    <xf numFmtId="0" fontId="4" fillId="0" borderId="4" xfId="0" applyFont="1" applyBorder="1" applyAlignment="1">
      <alignment horizontal="center"/>
    </xf>
    <xf numFmtId="0" fontId="17" fillId="0" borderId="0" xfId="0" applyFont="1" applyBorder="1" applyAlignment="1">
      <alignment horizontal="center"/>
    </xf>
    <xf numFmtId="0" fontId="17" fillId="0" borderId="5" xfId="0" applyFont="1" applyBorder="1" applyAlignment="1">
      <alignment horizontal="center"/>
    </xf>
    <xf numFmtId="0" fontId="9" fillId="0" borderId="0" xfId="0" applyFont="1" applyBorder="1"/>
    <xf numFmtId="0" fontId="11" fillId="0" borderId="0" xfId="0" applyFont="1" applyAlignment="1">
      <alignment horizontal="right"/>
    </xf>
    <xf numFmtId="0" fontId="4" fillId="0" borderId="0" xfId="4" applyFont="1" applyFill="1" applyBorder="1" applyAlignment="1">
      <alignment horizontal="center"/>
    </xf>
    <xf numFmtId="0" fontId="4" fillId="0" borderId="2" xfId="4" applyFont="1" applyFill="1" applyBorder="1" applyAlignment="1">
      <alignment horizontal="center"/>
    </xf>
    <xf numFmtId="167" fontId="4" fillId="0" borderId="0" xfId="0" applyNumberFormat="1" applyFont="1" applyFill="1"/>
    <xf numFmtId="167" fontId="4" fillId="0" borderId="0" xfId="0" applyNumberFormat="1" applyFont="1"/>
    <xf numFmtId="3" fontId="0" fillId="0" borderId="2" xfId="0" applyNumberFormat="1" applyBorder="1"/>
    <xf numFmtId="0" fontId="20" fillId="0" borderId="1" xfId="5" applyFont="1" applyBorder="1" applyAlignment="1">
      <alignment horizontal="center"/>
    </xf>
    <xf numFmtId="0" fontId="1" fillId="0" borderId="1" xfId="5" applyBorder="1" applyAlignment="1">
      <alignment horizontal="center"/>
    </xf>
    <xf numFmtId="0" fontId="20" fillId="0" borderId="0" xfId="5" applyFont="1" applyBorder="1" applyAlignment="1">
      <alignment horizontal="center"/>
    </xf>
    <xf numFmtId="0" fontId="1" fillId="0" borderId="0" xfId="5" applyFont="1" applyBorder="1" applyAlignment="1">
      <alignment horizontal="center"/>
    </xf>
    <xf numFmtId="0" fontId="20" fillId="0" borderId="2" xfId="5" applyFont="1" applyBorder="1" applyAlignment="1">
      <alignment horizontal="center"/>
    </xf>
    <xf numFmtId="0" fontId="1" fillId="0" borderId="2" xfId="5" applyFont="1" applyBorder="1" applyAlignment="1">
      <alignment horizontal="center"/>
    </xf>
    <xf numFmtId="0" fontId="6" fillId="0" borderId="0" xfId="0" applyFont="1"/>
    <xf numFmtId="0" fontId="3" fillId="0" borderId="0" xfId="0" applyFont="1"/>
    <xf numFmtId="0" fontId="9" fillId="0" borderId="0" xfId="0" applyFont="1" applyFill="1"/>
    <xf numFmtId="0" fontId="9" fillId="0" borderId="0" xfId="0" applyFont="1" applyFill="1" applyAlignment="1">
      <alignment horizontal="right"/>
    </xf>
    <xf numFmtId="0" fontId="18" fillId="0" borderId="4" xfId="0" applyFont="1" applyBorder="1"/>
    <xf numFmtId="0" fontId="9" fillId="0" borderId="4" xfId="5" applyFont="1" applyBorder="1" applyAlignment="1">
      <alignment horizontal="center"/>
    </xf>
    <xf numFmtId="0" fontId="9" fillId="0" borderId="0" xfId="5" applyFont="1" applyBorder="1" applyAlignment="1">
      <alignment horizontal="center"/>
    </xf>
    <xf numFmtId="0" fontId="9" fillId="0" borderId="5" xfId="5" applyFont="1" applyBorder="1" applyAlignment="1">
      <alignment horizontal="center"/>
    </xf>
    <xf numFmtId="0" fontId="10" fillId="0" borderId="0" xfId="0" applyFont="1"/>
    <xf numFmtId="0" fontId="8" fillId="0" borderId="0" xfId="0" applyFont="1" applyAlignment="1">
      <alignment vertical="center"/>
    </xf>
    <xf numFmtId="3" fontId="0" fillId="0" borderId="0" xfId="0" applyNumberFormat="1" applyBorder="1"/>
    <xf numFmtId="3" fontId="3" fillId="0" borderId="0" xfId="0" applyNumberFormat="1" applyFont="1" applyBorder="1"/>
    <xf numFmtId="0" fontId="23" fillId="0" borderId="0" xfId="0" applyFont="1"/>
    <xf numFmtId="167" fontId="24" fillId="0" borderId="0" xfId="0" applyNumberFormat="1" applyFont="1" applyFill="1"/>
    <xf numFmtId="0" fontId="25" fillId="0" borderId="0" xfId="0" applyFont="1"/>
    <xf numFmtId="0" fontId="0" fillId="0" borderId="0" xfId="0" applyFill="1" applyAlignment="1">
      <alignment horizontal="center"/>
    </xf>
    <xf numFmtId="0" fontId="0" fillId="0" borderId="0" xfId="0" applyAlignment="1">
      <alignment horizontal="center"/>
    </xf>
    <xf numFmtId="0" fontId="26" fillId="0" borderId="2" xfId="0" applyFont="1" applyFill="1" applyBorder="1"/>
    <xf numFmtId="167" fontId="27" fillId="0" borderId="2" xfId="0" applyNumberFormat="1" applyFont="1" applyFill="1" applyBorder="1"/>
    <xf numFmtId="0" fontId="28" fillId="0" borderId="2" xfId="0" applyFont="1" applyFill="1" applyBorder="1" applyAlignment="1">
      <alignment horizontal="center"/>
    </xf>
    <xf numFmtId="167" fontId="5" fillId="0" borderId="0" xfId="0" applyNumberFormat="1" applyFont="1" applyFill="1"/>
    <xf numFmtId="0" fontId="19" fillId="0" borderId="0" xfId="0" applyFont="1" applyFill="1" applyAlignment="1">
      <alignment horizontal="center"/>
    </xf>
    <xf numFmtId="0" fontId="11" fillId="0" borderId="0" xfId="0" applyFont="1"/>
    <xf numFmtId="3" fontId="0" fillId="0" borderId="0" xfId="0" applyNumberFormat="1" applyFill="1" applyBorder="1"/>
    <xf numFmtId="0" fontId="3" fillId="0" borderId="0" xfId="0" applyFont="1" applyFill="1" applyBorder="1" applyAlignment="1">
      <alignment horizontal="right"/>
    </xf>
    <xf numFmtId="0" fontId="3" fillId="0" borderId="0" xfId="0" applyFont="1" applyFill="1" applyBorder="1" applyAlignment="1">
      <alignment horizontal="center"/>
    </xf>
    <xf numFmtId="3" fontId="0" fillId="0" borderId="0" xfId="0" applyNumberFormat="1" applyFill="1" applyAlignment="1">
      <alignment horizontal="center"/>
    </xf>
    <xf numFmtId="3" fontId="5" fillId="0" borderId="1" xfId="0" applyNumberFormat="1" applyFont="1" applyBorder="1" applyAlignment="1" applyProtection="1">
      <alignment vertical="center"/>
      <protection locked="0"/>
    </xf>
    <xf numFmtId="3" fontId="5" fillId="0" borderId="0" xfId="0" applyNumberFormat="1" applyFont="1" applyBorder="1" applyAlignment="1" applyProtection="1">
      <alignment vertical="center"/>
      <protection locked="0"/>
    </xf>
    <xf numFmtId="0" fontId="9" fillId="0" borderId="2" xfId="0" applyFont="1" applyBorder="1"/>
    <xf numFmtId="0" fontId="24" fillId="0" borderId="0" xfId="0" applyFont="1" applyAlignment="1">
      <alignment horizontal="center"/>
    </xf>
    <xf numFmtId="0" fontId="1" fillId="0" borderId="0" xfId="0" applyFont="1"/>
    <xf numFmtId="0" fontId="22" fillId="0" borderId="0" xfId="0" applyFont="1"/>
    <xf numFmtId="0" fontId="24" fillId="0" borderId="0" xfId="0" applyFont="1" applyFill="1" applyAlignment="1">
      <alignment horizontal="center"/>
    </xf>
    <xf numFmtId="0" fontId="9" fillId="0" borderId="0" xfId="0" applyFont="1" applyFill="1" applyAlignment="1">
      <alignment horizontal="center"/>
    </xf>
    <xf numFmtId="0" fontId="9" fillId="0" borderId="0" xfId="0" applyFont="1" applyAlignment="1">
      <alignment horizontal="center"/>
    </xf>
    <xf numFmtId="0" fontId="26" fillId="0" borderId="2" xfId="0" applyFont="1" applyFill="1" applyBorder="1" applyAlignment="1">
      <alignment horizontal="center"/>
    </xf>
    <xf numFmtId="3" fontId="9" fillId="0" borderId="0" xfId="0" applyNumberFormat="1" applyFont="1" applyFill="1" applyBorder="1"/>
    <xf numFmtId="0" fontId="9" fillId="0" borderId="0" xfId="0" applyFont="1" applyBorder="1" applyAlignment="1">
      <alignment horizontal="center"/>
    </xf>
    <xf numFmtId="0" fontId="9" fillId="0" borderId="0" xfId="0" applyFont="1" applyFill="1" applyBorder="1" applyAlignment="1">
      <alignment horizontal="center"/>
    </xf>
    <xf numFmtId="0" fontId="29" fillId="0" borderId="0" xfId="0" applyFont="1"/>
    <xf numFmtId="0" fontId="24" fillId="0" borderId="0" xfId="0" applyFont="1"/>
    <xf numFmtId="0" fontId="30" fillId="0" borderId="0" xfId="0" applyFont="1"/>
    <xf numFmtId="0" fontId="29" fillId="0" borderId="0" xfId="0" applyFont="1" applyAlignment="1">
      <alignment horizontal="center"/>
    </xf>
    <xf numFmtId="0" fontId="31" fillId="0" borderId="2" xfId="0" applyFont="1" applyFill="1" applyBorder="1" applyAlignment="1">
      <alignment horizontal="center"/>
    </xf>
    <xf numFmtId="0" fontId="31" fillId="0" borderId="2" xfId="0" applyFont="1" applyFill="1" applyBorder="1"/>
    <xf numFmtId="0" fontId="19" fillId="0" borderId="0" xfId="0" applyFont="1" applyFill="1"/>
    <xf numFmtId="0" fontId="5" fillId="0" borderId="0" xfId="0" applyFont="1" applyAlignment="1">
      <alignment horizontal="center"/>
    </xf>
    <xf numFmtId="168" fontId="9" fillId="0" borderId="0" xfId="0" applyNumberFormat="1" applyFont="1" applyAlignment="1">
      <alignment horizontal="center"/>
    </xf>
    <xf numFmtId="167" fontId="19" fillId="0" borderId="0" xfId="0" applyNumberFormat="1" applyFont="1"/>
    <xf numFmtId="3" fontId="0" fillId="0" borderId="0" xfId="0" applyNumberFormat="1" applyFill="1"/>
    <xf numFmtId="0" fontId="1" fillId="0" borderId="0" xfId="0" applyFont="1" applyFill="1"/>
    <xf numFmtId="0" fontId="4" fillId="0" borderId="0" xfId="0" applyFont="1" applyAlignment="1">
      <alignment horizontal="center"/>
    </xf>
    <xf numFmtId="0" fontId="32" fillId="0" borderId="0" xfId="0" applyFont="1" applyAlignment="1">
      <alignment horizontal="center"/>
    </xf>
    <xf numFmtId="0" fontId="33" fillId="0" borderId="2" xfId="0" applyFont="1" applyBorder="1" applyAlignment="1">
      <alignment horizontal="center"/>
    </xf>
    <xf numFmtId="0" fontId="34" fillId="0" borderId="0" xfId="0" applyFont="1" applyAlignment="1">
      <alignment horizontal="center"/>
    </xf>
    <xf numFmtId="0" fontId="32" fillId="0" borderId="0" xfId="0" applyFont="1" applyFill="1" applyAlignment="1">
      <alignment horizontal="center"/>
    </xf>
    <xf numFmtId="0" fontId="32" fillId="0" borderId="0" xfId="0" applyFont="1"/>
    <xf numFmtId="0" fontId="3" fillId="0" borderId="0" xfId="0" applyFont="1" applyAlignment="1">
      <alignment horizontal="center"/>
    </xf>
    <xf numFmtId="0" fontId="27" fillId="0" borderId="2" xfId="0" applyFont="1" applyFill="1" applyBorder="1" applyAlignment="1">
      <alignment horizontal="center"/>
    </xf>
    <xf numFmtId="0" fontId="3" fillId="0" borderId="0" xfId="0" applyFont="1" applyFill="1" applyAlignment="1">
      <alignment horizontal="center"/>
    </xf>
    <xf numFmtId="0" fontId="8" fillId="0" borderId="0" xfId="0" applyFont="1" applyAlignment="1">
      <alignment horizontal="center"/>
    </xf>
    <xf numFmtId="0" fontId="35" fillId="0" borderId="2" xfId="0" applyFont="1" applyFill="1" applyBorder="1" applyAlignment="1">
      <alignment horizontal="center"/>
    </xf>
    <xf numFmtId="0" fontId="34" fillId="0" borderId="0" xfId="0" applyFont="1" applyFill="1" applyAlignment="1">
      <alignment horizontal="center"/>
    </xf>
    <xf numFmtId="0" fontId="27" fillId="0" borderId="2" xfId="0" applyFont="1" applyBorder="1" applyAlignment="1">
      <alignment horizontal="center"/>
    </xf>
    <xf numFmtId="3" fontId="23" fillId="0" borderId="0" xfId="0" applyNumberFormat="1" applyFont="1"/>
    <xf numFmtId="0" fontId="22" fillId="0" borderId="0" xfId="0" applyFont="1" applyAlignment="1">
      <alignment horizontal="center"/>
    </xf>
    <xf numFmtId="0" fontId="36" fillId="0" borderId="0" xfId="0" applyFont="1"/>
    <xf numFmtId="0" fontId="36" fillId="0" borderId="0" xfId="0" applyFont="1" applyFill="1" applyAlignment="1">
      <alignment horizontal="center"/>
    </xf>
    <xf numFmtId="0" fontId="26" fillId="0" borderId="0" xfId="0" applyFont="1" applyFill="1"/>
    <xf numFmtId="0" fontId="26" fillId="0" borderId="0" xfId="0" applyFont="1" applyFill="1" applyAlignment="1">
      <alignment horizontal="center"/>
    </xf>
    <xf numFmtId="0" fontId="26" fillId="0" borderId="0" xfId="0" applyFont="1" applyFill="1" applyBorder="1"/>
    <xf numFmtId="0" fontId="26" fillId="0" borderId="0" xfId="0" applyFont="1"/>
    <xf numFmtId="0" fontId="5" fillId="0" borderId="0" xfId="0" applyFont="1" applyFill="1"/>
    <xf numFmtId="0" fontId="0" fillId="0" borderId="0" xfId="0" applyFill="1" applyAlignment="1">
      <alignment vertical="top"/>
    </xf>
    <xf numFmtId="3" fontId="0" fillId="0" borderId="0" xfId="0" applyNumberFormat="1" applyFill="1" applyAlignment="1">
      <alignment vertical="top"/>
    </xf>
    <xf numFmtId="0" fontId="0" fillId="0" borderId="0" xfId="0" applyAlignment="1">
      <alignment vertical="top"/>
    </xf>
    <xf numFmtId="0" fontId="3" fillId="0" borderId="0" xfId="0" applyFont="1" applyFill="1" applyBorder="1" applyAlignment="1">
      <alignment horizontal="right" vertical="top"/>
    </xf>
    <xf numFmtId="3" fontId="0" fillId="0" borderId="0" xfId="0" applyNumberFormat="1" applyFill="1" applyAlignment="1">
      <alignment horizontal="center" vertical="top"/>
    </xf>
    <xf numFmtId="3" fontId="0" fillId="0" borderId="0" xfId="0" quotePrefix="1" applyNumberFormat="1" applyFill="1" applyAlignment="1">
      <alignment vertical="top"/>
    </xf>
    <xf numFmtId="0" fontId="0" fillId="0" borderId="0" xfId="0" quotePrefix="1" applyNumberFormat="1" applyFill="1" applyAlignment="1">
      <alignment vertical="top"/>
    </xf>
    <xf numFmtId="0" fontId="0" fillId="0" borderId="0" xfId="0" quotePrefix="1" applyNumberFormat="1" applyFill="1" applyAlignment="1">
      <alignment horizontal="center" vertical="top"/>
    </xf>
    <xf numFmtId="0" fontId="0" fillId="0" borderId="0" xfId="0" applyFill="1" applyAlignment="1">
      <alignment horizontal="center" vertical="top"/>
    </xf>
    <xf numFmtId="0" fontId="3" fillId="0" borderId="0" xfId="0" applyFont="1" applyFill="1" applyAlignment="1">
      <alignment horizontal="right" vertical="top"/>
    </xf>
    <xf numFmtId="3" fontId="8" fillId="0" borderId="0" xfId="0" applyNumberFormat="1" applyFont="1"/>
    <xf numFmtId="0" fontId="37" fillId="0" borderId="0" xfId="0" applyFont="1" applyAlignment="1">
      <alignment horizontal="center"/>
    </xf>
    <xf numFmtId="0" fontId="27" fillId="0" borderId="0" xfId="0" applyFont="1" applyFill="1" applyAlignment="1">
      <alignment horizontal="center"/>
    </xf>
    <xf numFmtId="0" fontId="38" fillId="0" borderId="0" xfId="0" applyFont="1" applyAlignment="1">
      <alignment horizontal="center"/>
    </xf>
    <xf numFmtId="0" fontId="27" fillId="0" borderId="0" xfId="0" applyFont="1" applyAlignment="1">
      <alignment horizontal="center"/>
    </xf>
    <xf numFmtId="0" fontId="23" fillId="0" borderId="0" xfId="0" applyFont="1" applyFill="1"/>
    <xf numFmtId="0" fontId="22" fillId="0" borderId="0" xfId="0" applyFont="1" applyFill="1"/>
    <xf numFmtId="167" fontId="22" fillId="0" borderId="0" xfId="0" applyNumberFormat="1" applyFont="1" applyFill="1"/>
    <xf numFmtId="167" fontId="36" fillId="0" borderId="0" xfId="0" applyNumberFormat="1" applyFont="1" applyFill="1"/>
    <xf numFmtId="3" fontId="18" fillId="0" borderId="0" xfId="0" applyNumberFormat="1" applyFont="1"/>
    <xf numFmtId="0" fontId="19" fillId="0" borderId="0" xfId="0" applyFont="1"/>
    <xf numFmtId="167" fontId="19" fillId="0" borderId="0" xfId="0" applyNumberFormat="1" applyFont="1" applyFill="1"/>
    <xf numFmtId="167" fontId="26" fillId="0" borderId="2" xfId="0" applyNumberFormat="1" applyFont="1" applyFill="1" applyBorder="1"/>
    <xf numFmtId="167" fontId="31" fillId="0" borderId="2" xfId="0" applyNumberFormat="1" applyFont="1" applyFill="1" applyBorder="1"/>
    <xf numFmtId="167" fontId="26" fillId="0" borderId="0" xfId="0" applyNumberFormat="1" applyFont="1" applyFill="1"/>
    <xf numFmtId="167" fontId="31" fillId="0" borderId="0" xfId="0" applyNumberFormat="1" applyFont="1" applyFill="1"/>
    <xf numFmtId="3" fontId="9" fillId="0" borderId="0" xfId="0" applyNumberFormat="1" applyFont="1" applyFill="1"/>
    <xf numFmtId="1" fontId="5" fillId="0" borderId="0" xfId="0" applyNumberFormat="1" applyFont="1"/>
    <xf numFmtId="167" fontId="5" fillId="0" borderId="0" xfId="0" applyNumberFormat="1" applyFont="1"/>
    <xf numFmtId="0" fontId="11" fillId="0" borderId="0" xfId="0" applyFont="1" applyFill="1"/>
    <xf numFmtId="0" fontId="9" fillId="0" borderId="0" xfId="0" applyFont="1" applyAlignment="1">
      <alignment horizontal="center" vertical="top"/>
    </xf>
    <xf numFmtId="0" fontId="9" fillId="0" borderId="0" xfId="0" applyFont="1" applyFill="1" applyAlignment="1">
      <alignment horizontal="center" vertical="top"/>
    </xf>
    <xf numFmtId="0" fontId="19" fillId="0" borderId="0" xfId="0" applyFont="1" applyAlignment="1">
      <alignment horizontal="center" vertical="top"/>
    </xf>
    <xf numFmtId="167" fontId="5" fillId="0" borderId="0" xfId="0" applyNumberFormat="1" applyFont="1" applyAlignment="1">
      <alignment horizontal="center" vertical="top"/>
    </xf>
    <xf numFmtId="167" fontId="19" fillId="0" borderId="0" xfId="0" applyNumberFormat="1" applyFont="1" applyAlignment="1">
      <alignment horizontal="center" vertical="top"/>
    </xf>
    <xf numFmtId="0" fontId="26" fillId="0" borderId="1" xfId="0" applyFont="1" applyFill="1" applyBorder="1"/>
    <xf numFmtId="0" fontId="37" fillId="0" borderId="0" xfId="0" applyFont="1"/>
    <xf numFmtId="0" fontId="27" fillId="0" borderId="0" xfId="0" applyFont="1" applyFill="1" applyBorder="1"/>
    <xf numFmtId="0" fontId="27" fillId="0" borderId="1" xfId="0" applyFont="1" applyFill="1" applyBorder="1"/>
    <xf numFmtId="0" fontId="3" fillId="0" borderId="0" xfId="0" applyFont="1" applyAlignment="1">
      <alignment horizontal="center" vertical="top"/>
    </xf>
    <xf numFmtId="0" fontId="27" fillId="0" borderId="2" xfId="0" applyFont="1" applyFill="1" applyBorder="1"/>
    <xf numFmtId="0" fontId="27" fillId="0" borderId="0" xfId="0" applyFont="1" applyFill="1"/>
    <xf numFmtId="0" fontId="16" fillId="0" borderId="0" xfId="0" applyFont="1"/>
    <xf numFmtId="0" fontId="37" fillId="0" borderId="0" xfId="0" applyFont="1" applyFill="1"/>
    <xf numFmtId="0" fontId="3" fillId="0" borderId="0" xfId="0" applyFont="1" applyFill="1"/>
    <xf numFmtId="0" fontId="4" fillId="0" borderId="0" xfId="0" applyFont="1" applyFill="1"/>
    <xf numFmtId="167" fontId="38" fillId="0" borderId="0" xfId="0" applyNumberFormat="1" applyFont="1" applyFill="1"/>
    <xf numFmtId="167" fontId="34" fillId="0" borderId="0" xfId="0" applyNumberFormat="1" applyFont="1" applyFill="1"/>
    <xf numFmtId="167" fontId="35" fillId="0" borderId="2" xfId="0" applyNumberFormat="1" applyFont="1" applyFill="1" applyBorder="1"/>
    <xf numFmtId="167" fontId="35" fillId="0" borderId="0" xfId="0" applyNumberFormat="1" applyFont="1" applyFill="1"/>
    <xf numFmtId="167" fontId="34" fillId="0" borderId="0" xfId="0" applyNumberFormat="1" applyFont="1"/>
    <xf numFmtId="167" fontId="34" fillId="0" borderId="0" xfId="0" applyNumberFormat="1" applyFont="1" applyAlignment="1">
      <alignment horizontal="center" vertical="top"/>
    </xf>
    <xf numFmtId="3" fontId="22" fillId="0" borderId="0" xfId="0" applyNumberFormat="1" applyFont="1" applyFill="1"/>
    <xf numFmtId="3" fontId="18" fillId="0" borderId="0" xfId="0" applyNumberFormat="1" applyFont="1" applyFill="1"/>
    <xf numFmtId="165" fontId="18" fillId="0" borderId="0" xfId="0" applyNumberFormat="1" applyFont="1" applyFill="1"/>
    <xf numFmtId="0" fontId="26" fillId="0" borderId="2" xfId="0" applyFont="1" applyBorder="1"/>
    <xf numFmtId="0" fontId="39" fillId="0" borderId="0" xfId="0" applyFont="1" applyFill="1"/>
    <xf numFmtId="0" fontId="6" fillId="0" borderId="0" xfId="0" applyFont="1" applyFill="1"/>
    <xf numFmtId="3" fontId="8" fillId="0" borderId="0" xfId="0" applyNumberFormat="1" applyFont="1" applyFill="1"/>
    <xf numFmtId="166" fontId="38" fillId="0" borderId="0" xfId="0" applyNumberFormat="1" applyFont="1" applyFill="1"/>
    <xf numFmtId="166" fontId="32" fillId="0" borderId="0" xfId="0" applyNumberFormat="1" applyFont="1" applyFill="1"/>
    <xf numFmtId="166" fontId="27" fillId="0" borderId="2" xfId="0" applyNumberFormat="1" applyFont="1" applyFill="1" applyBorder="1"/>
    <xf numFmtId="166" fontId="27" fillId="0" borderId="0" xfId="0" applyNumberFormat="1" applyFont="1" applyFill="1"/>
    <xf numFmtId="166" fontId="32" fillId="0" borderId="0" xfId="0" applyNumberFormat="1" applyFont="1"/>
    <xf numFmtId="0" fontId="0" fillId="3" borderId="0" xfId="0" applyFill="1"/>
    <xf numFmtId="0" fontId="41" fillId="3" borderId="0" xfId="0" applyFont="1" applyFill="1" applyAlignment="1">
      <alignment vertical="top"/>
    </xf>
    <xf numFmtId="0" fontId="41" fillId="3" borderId="8" xfId="0" applyFont="1" applyFill="1" applyBorder="1" applyAlignment="1">
      <alignment vertical="top"/>
    </xf>
    <xf numFmtId="0" fontId="41" fillId="3" borderId="10" xfId="0" applyFont="1" applyFill="1" applyBorder="1" applyAlignment="1">
      <alignment vertical="top"/>
    </xf>
    <xf numFmtId="0" fontId="42" fillId="3" borderId="0" xfId="2" applyFont="1" applyFill="1"/>
    <xf numFmtId="0" fontId="41" fillId="3" borderId="11" xfId="0" applyFont="1" applyFill="1" applyBorder="1" applyAlignment="1">
      <alignment vertical="top"/>
    </xf>
    <xf numFmtId="0" fontId="43" fillId="3" borderId="0" xfId="0" applyFont="1" applyFill="1" applyAlignment="1">
      <alignment vertical="top"/>
    </xf>
    <xf numFmtId="0" fontId="6" fillId="0" borderId="1" xfId="0" applyFont="1" applyBorder="1"/>
    <xf numFmtId="0" fontId="4" fillId="0" borderId="5" xfId="0" applyFont="1" applyBorder="1" applyAlignment="1">
      <alignment horizontal="center"/>
    </xf>
    <xf numFmtId="0" fontId="32" fillId="0" borderId="0" xfId="0" applyFont="1" applyFill="1" applyAlignment="1">
      <alignment horizontal="right" vertical="top"/>
    </xf>
    <xf numFmtId="0" fontId="7" fillId="0" borderId="0" xfId="0" applyFont="1" applyAlignment="1">
      <alignment horizontal="right"/>
    </xf>
    <xf numFmtId="0" fontId="44" fillId="0" borderId="0" xfId="0" applyFont="1" applyFill="1" applyAlignment="1">
      <alignment horizontal="center"/>
    </xf>
    <xf numFmtId="0" fontId="44" fillId="0" borderId="0" xfId="0" applyFont="1" applyAlignment="1">
      <alignment horizontal="center"/>
    </xf>
    <xf numFmtId="0" fontId="28" fillId="0" borderId="2" xfId="0" applyFont="1" applyBorder="1" applyAlignment="1">
      <alignment horizontal="center"/>
    </xf>
    <xf numFmtId="0" fontId="19" fillId="0" borderId="0" xfId="0" applyFont="1" applyAlignment="1">
      <alignment horizontal="center"/>
    </xf>
    <xf numFmtId="0" fontId="31" fillId="0" borderId="0" xfId="0" applyFont="1" applyFill="1" applyBorder="1"/>
    <xf numFmtId="0" fontId="10" fillId="0" borderId="0" xfId="0" applyFont="1" applyBorder="1"/>
    <xf numFmtId="0" fontId="0" fillId="4" borderId="0" xfId="0" applyFill="1"/>
    <xf numFmtId="0" fontId="7" fillId="0" borderId="0" xfId="7" applyFont="1" applyFill="1"/>
    <xf numFmtId="170" fontId="0" fillId="0" borderId="0" xfId="0" applyNumberFormat="1"/>
    <xf numFmtId="0" fontId="7" fillId="0" borderId="0" xfId="6" applyFont="1" applyFill="1" applyBorder="1"/>
    <xf numFmtId="0" fontId="1" fillId="0" borderId="0" xfId="0" applyFont="1" applyBorder="1" applyAlignment="1">
      <alignment horizontal="center"/>
    </xf>
    <xf numFmtId="0" fontId="14" fillId="0" borderId="0" xfId="6" applyFont="1" applyBorder="1"/>
    <xf numFmtId="3" fontId="14" fillId="0" borderId="0" xfId="6" applyNumberFormat="1" applyFont="1" applyBorder="1" applyAlignment="1">
      <alignment horizontal="center"/>
    </xf>
    <xf numFmtId="0" fontId="14" fillId="0" borderId="0" xfId="6" applyFont="1" applyBorder="1" applyAlignment="1">
      <alignment horizontal="center"/>
    </xf>
    <xf numFmtId="0" fontId="1" fillId="2" borderId="0" xfId="0" applyFont="1" applyFill="1"/>
    <xf numFmtId="0" fontId="46" fillId="0" borderId="0" xfId="0" applyFont="1" applyBorder="1" applyAlignment="1">
      <alignment horizontal="center"/>
    </xf>
    <xf numFmtId="0" fontId="1" fillId="0" borderId="2" xfId="0" applyFont="1" applyBorder="1"/>
    <xf numFmtId="0" fontId="4" fillId="0" borderId="0" xfId="0" applyFont="1" applyBorder="1" applyAlignment="1">
      <alignment horizontal="left"/>
    </xf>
    <xf numFmtId="0" fontId="3" fillId="0" borderId="0" xfId="0" applyFont="1" applyBorder="1" applyAlignment="1">
      <alignment horizontal="center"/>
    </xf>
    <xf numFmtId="0" fontId="46" fillId="0" borderId="0" xfId="6" applyFont="1" applyBorder="1" applyAlignment="1">
      <alignment horizontal="center"/>
    </xf>
    <xf numFmtId="3" fontId="46" fillId="0" borderId="0" xfId="6" applyNumberFormat="1" applyFont="1" applyBorder="1" applyAlignment="1">
      <alignment horizontal="center"/>
    </xf>
    <xf numFmtId="0" fontId="5" fillId="6" borderId="0" xfId="0" applyFont="1" applyFill="1"/>
    <xf numFmtId="0" fontId="1" fillId="0" borderId="0" xfId="0" applyFont="1" applyBorder="1"/>
    <xf numFmtId="3" fontId="0" fillId="0" borderId="0" xfId="0" applyNumberFormat="1" applyBorder="1" applyAlignment="1">
      <alignment horizontal="center"/>
    </xf>
    <xf numFmtId="0" fontId="1" fillId="6" borderId="0" xfId="0" applyFont="1" applyFill="1"/>
    <xf numFmtId="0" fontId="11" fillId="0" borderId="1" xfId="0" applyFont="1" applyBorder="1"/>
    <xf numFmtId="0" fontId="1" fillId="6" borderId="0" xfId="0" applyFont="1" applyFill="1" applyBorder="1"/>
    <xf numFmtId="0" fontId="1" fillId="0" borderId="0" xfId="0" applyFont="1" applyAlignment="1">
      <alignment horizontal="right"/>
    </xf>
    <xf numFmtId="0" fontId="1" fillId="4" borderId="0" xfId="0" applyFont="1" applyFill="1"/>
    <xf numFmtId="0" fontId="46" fillId="0" borderId="0" xfId="0" applyFont="1"/>
    <xf numFmtId="3" fontId="17" fillId="0" borderId="4" xfId="0" applyNumberFormat="1" applyFont="1" applyBorder="1" applyAlignment="1">
      <alignment horizontal="center"/>
    </xf>
    <xf numFmtId="0" fontId="46" fillId="0" borderId="1" xfId="0" applyFont="1" applyBorder="1"/>
    <xf numFmtId="0" fontId="46" fillId="0" borderId="2" xfId="0" applyFont="1" applyBorder="1"/>
    <xf numFmtId="0" fontId="5" fillId="0" borderId="2" xfId="0" applyFont="1" applyBorder="1"/>
    <xf numFmtId="0" fontId="12" fillId="0" borderId="5" xfId="0" applyFont="1" applyBorder="1"/>
    <xf numFmtId="167" fontId="0" fillId="0" borderId="0" xfId="0" applyNumberFormat="1" applyBorder="1"/>
    <xf numFmtId="0" fontId="4" fillId="4" borderId="0" xfId="4" applyFont="1" applyFill="1" applyBorder="1" applyAlignment="1">
      <alignment horizontal="center"/>
    </xf>
    <xf numFmtId="0" fontId="15" fillId="0" borderId="0" xfId="7" applyFont="1" applyFill="1"/>
    <xf numFmtId="0" fontId="2" fillId="0" borderId="0" xfId="0" applyFont="1" applyBorder="1"/>
    <xf numFmtId="0" fontId="6" fillId="0" borderId="2" xfId="0" applyFont="1" applyBorder="1"/>
    <xf numFmtId="0" fontId="11" fillId="0" borderId="2" xfId="0" applyFont="1" applyBorder="1"/>
    <xf numFmtId="0" fontId="15" fillId="0" borderId="6" xfId="0" applyFont="1" applyBorder="1"/>
    <xf numFmtId="0" fontId="11" fillId="0" borderId="0" xfId="0" applyFont="1" applyAlignment="1">
      <alignment horizontal="left"/>
    </xf>
    <xf numFmtId="0" fontId="1" fillId="0" borderId="0" xfId="4" applyFont="1" applyBorder="1"/>
    <xf numFmtId="0" fontId="5" fillId="0" borderId="0" xfId="4" applyFont="1" applyBorder="1"/>
    <xf numFmtId="0" fontId="0" fillId="0" borderId="5" xfId="0" applyBorder="1"/>
    <xf numFmtId="0" fontId="1" fillId="0" borderId="5" xfId="4" applyFont="1" applyBorder="1"/>
    <xf numFmtId="0" fontId="49" fillId="0" borderId="0" xfId="0" applyFont="1" applyAlignment="1">
      <alignment horizontal="justify"/>
    </xf>
    <xf numFmtId="0" fontId="0" fillId="0" borderId="0" xfId="0" applyAlignment="1">
      <alignment vertical="center" wrapText="1"/>
    </xf>
    <xf numFmtId="0" fontId="6" fillId="0" borderId="0" xfId="0" applyFont="1" applyBorder="1"/>
    <xf numFmtId="3" fontId="1" fillId="0" borderId="1" xfId="5" applyNumberFormat="1" applyBorder="1" applyAlignment="1">
      <alignment horizontal="center"/>
    </xf>
    <xf numFmtId="0" fontId="45" fillId="0" borderId="1" xfId="4" applyFont="1" applyFill="1" applyBorder="1" applyAlignment="1">
      <alignment horizontal="center"/>
    </xf>
    <xf numFmtId="0" fontId="46" fillId="0" borderId="1" xfId="5" applyFont="1" applyBorder="1" applyAlignment="1">
      <alignment horizontal="center"/>
    </xf>
    <xf numFmtId="0" fontId="46" fillId="0" borderId="0" xfId="5" applyFont="1" applyBorder="1" applyAlignment="1">
      <alignment horizontal="center"/>
    </xf>
    <xf numFmtId="0" fontId="46" fillId="0" borderId="2" xfId="5" applyFont="1" applyBorder="1" applyAlignment="1">
      <alignment horizontal="center"/>
    </xf>
    <xf numFmtId="0" fontId="46" fillId="0" borderId="0" xfId="0" applyFont="1" applyAlignment="1">
      <alignment vertical="center" wrapText="1"/>
    </xf>
    <xf numFmtId="3" fontId="46" fillId="0" borderId="0" xfId="0" applyNumberFormat="1" applyFont="1" applyBorder="1"/>
    <xf numFmtId="0" fontId="15" fillId="0" borderId="0" xfId="7" applyFont="1" applyFill="1" applyBorder="1"/>
    <xf numFmtId="167" fontId="7" fillId="0" borderId="0" xfId="0" applyNumberFormat="1" applyFont="1" applyBorder="1" applyAlignment="1">
      <alignment horizontal="right"/>
    </xf>
    <xf numFmtId="0" fontId="7" fillId="0" borderId="0" xfId="0" applyFont="1" applyBorder="1" applyAlignment="1">
      <alignment horizontal="right"/>
    </xf>
    <xf numFmtId="0" fontId="1" fillId="9" borderId="0" xfId="0" applyFont="1" applyFill="1"/>
    <xf numFmtId="0" fontId="5" fillId="2" borderId="0" xfId="0" applyFont="1" applyFill="1"/>
    <xf numFmtId="0" fontId="5" fillId="2" borderId="2" xfId="0" applyFont="1" applyFill="1" applyBorder="1"/>
    <xf numFmtId="0" fontId="6" fillId="0" borderId="0" xfId="0" applyFont="1" applyFill="1" applyBorder="1"/>
    <xf numFmtId="0" fontId="46" fillId="0" borderId="4" xfId="5" applyFont="1" applyBorder="1" applyAlignment="1">
      <alignment horizontal="center"/>
    </xf>
    <xf numFmtId="0" fontId="46" fillId="0" borderId="5" xfId="5" applyFont="1" applyBorder="1" applyAlignment="1">
      <alignment horizontal="center"/>
    </xf>
    <xf numFmtId="3" fontId="9" fillId="0" borderId="4" xfId="5" applyNumberFormat="1" applyFont="1" applyBorder="1" applyAlignment="1">
      <alignment horizontal="center"/>
    </xf>
    <xf numFmtId="0" fontId="46" fillId="4" borderId="0" xfId="0" applyFont="1" applyFill="1"/>
    <xf numFmtId="0" fontId="6" fillId="0" borderId="0" xfId="7" applyFont="1" applyFill="1"/>
    <xf numFmtId="0" fontId="54" fillId="0" borderId="0" xfId="0" applyFont="1" applyFill="1" applyBorder="1"/>
    <xf numFmtId="0" fontId="45" fillId="0" borderId="0" xfId="0" applyFont="1" applyBorder="1" applyAlignment="1">
      <alignment horizontal="center" wrapText="1"/>
    </xf>
    <xf numFmtId="0" fontId="45" fillId="0" borderId="4" xfId="0" applyFont="1" applyBorder="1" applyAlignment="1">
      <alignment horizontal="center" wrapText="1"/>
    </xf>
    <xf numFmtId="0" fontId="45" fillId="0" borderId="5" xfId="0" applyFont="1" applyBorder="1" applyAlignment="1">
      <alignment horizontal="center" wrapText="1"/>
    </xf>
    <xf numFmtId="0" fontId="1" fillId="0" borderId="0" xfId="0" applyFont="1" applyFill="1" applyAlignment="1">
      <alignment horizontal="right"/>
    </xf>
    <xf numFmtId="3" fontId="1" fillId="0" borderId="0" xfId="0" applyNumberFormat="1" applyFont="1" applyFill="1" applyBorder="1"/>
    <xf numFmtId="0" fontId="5" fillId="0" borderId="0" xfId="0" applyFont="1" applyBorder="1" applyAlignment="1">
      <alignment horizontal="center"/>
    </xf>
    <xf numFmtId="0" fontId="5" fillId="0" borderId="1" xfId="0" applyFont="1" applyBorder="1" applyAlignment="1">
      <alignment horizontal="center"/>
    </xf>
    <xf numFmtId="3" fontId="5" fillId="0" borderId="1" xfId="0" applyNumberFormat="1" applyFont="1" applyBorder="1" applyAlignment="1">
      <alignment horizontal="center"/>
    </xf>
    <xf numFmtId="0" fontId="4" fillId="0" borderId="1" xfId="0" applyFont="1" applyBorder="1" applyAlignment="1">
      <alignment horizontal="center"/>
    </xf>
    <xf numFmtId="0" fontId="5" fillId="0" borderId="2" xfId="0" applyFont="1" applyBorder="1" applyAlignment="1">
      <alignment horizontal="center"/>
    </xf>
    <xf numFmtId="0" fontId="4" fillId="0" borderId="2" xfId="0" applyFont="1" applyBorder="1" applyAlignment="1">
      <alignment horizontal="center"/>
    </xf>
    <xf numFmtId="0" fontId="1" fillId="0" borderId="0" xfId="0" applyFont="1" applyAlignment="1">
      <alignment vertical="center" wrapText="1"/>
    </xf>
    <xf numFmtId="3" fontId="1" fillId="0" borderId="0" xfId="0" applyNumberFormat="1" applyFont="1" applyFill="1"/>
    <xf numFmtId="167" fontId="1" fillId="0" borderId="0" xfId="0" applyNumberFormat="1" applyFont="1"/>
    <xf numFmtId="0" fontId="1" fillId="0" borderId="0" xfId="0" applyFont="1" applyAlignment="1">
      <alignment horizontal="left"/>
    </xf>
    <xf numFmtId="0" fontId="9" fillId="0" borderId="0" xfId="0" applyFont="1" applyAlignment="1">
      <alignment horizontal="left"/>
    </xf>
    <xf numFmtId="0" fontId="1" fillId="0" borderId="1" xfId="0" applyFont="1" applyFill="1" applyBorder="1"/>
    <xf numFmtId="0" fontId="5" fillId="0" borderId="0" xfId="0" applyFont="1" applyFill="1" applyBorder="1"/>
    <xf numFmtId="0" fontId="24" fillId="0" borderId="0" xfId="0" applyFont="1" applyFill="1"/>
    <xf numFmtId="0" fontId="12" fillId="0" borderId="0" xfId="0" applyFont="1" applyFill="1" applyBorder="1"/>
    <xf numFmtId="0" fontId="11" fillId="0" borderId="0" xfId="0" applyFont="1" applyAlignment="1">
      <alignment horizontal="center"/>
    </xf>
    <xf numFmtId="0" fontId="56" fillId="0" borderId="0" xfId="0" applyFont="1" applyAlignment="1">
      <alignment horizontal="center"/>
    </xf>
    <xf numFmtId="0" fontId="9" fillId="0" borderId="0" xfId="0" applyFont="1" applyBorder="1" applyAlignment="1">
      <alignment horizontal="left"/>
    </xf>
    <xf numFmtId="0" fontId="5" fillId="0" borderId="2" xfId="0" applyFont="1" applyFill="1" applyBorder="1"/>
    <xf numFmtId="0" fontId="8" fillId="0" borderId="0" xfId="0" applyFont="1" applyFill="1" applyAlignment="1">
      <alignment horizontal="left"/>
    </xf>
    <xf numFmtId="0" fontId="1" fillId="0" borderId="4"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54" fillId="12" borderId="0" xfId="0" applyFont="1" applyFill="1" applyBorder="1"/>
    <xf numFmtId="0" fontId="1" fillId="0" borderId="0" xfId="0" applyFont="1" applyFill="1" applyAlignment="1">
      <alignment horizontal="center"/>
    </xf>
    <xf numFmtId="0" fontId="6" fillId="0" borderId="0" xfId="7" applyFont="1" applyFill="1" applyBorder="1"/>
    <xf numFmtId="0" fontId="15" fillId="0" borderId="0" xfId="0" applyFont="1"/>
    <xf numFmtId="0" fontId="14" fillId="0" borderId="0" xfId="0" applyFont="1"/>
    <xf numFmtId="3" fontId="15" fillId="0" borderId="0" xfId="0" applyNumberFormat="1" applyFont="1" applyFill="1" applyBorder="1"/>
    <xf numFmtId="3" fontId="14" fillId="0" borderId="0" xfId="0" applyNumberFormat="1" applyFont="1" applyBorder="1" applyAlignment="1">
      <alignment horizontal="center" vertical="center"/>
    </xf>
    <xf numFmtId="3" fontId="58" fillId="0" borderId="0" xfId="0" applyNumberFormat="1" applyFont="1" applyBorder="1" applyAlignment="1">
      <alignment horizontal="center" vertical="center"/>
    </xf>
    <xf numFmtId="0" fontId="14" fillId="0" borderId="0" xfId="0" applyFont="1" applyAlignment="1">
      <alignment horizontal="center"/>
    </xf>
    <xf numFmtId="0" fontId="59" fillId="0" borderId="0" xfId="0" applyFont="1" applyAlignment="1">
      <alignment horizontal="center"/>
    </xf>
    <xf numFmtId="3" fontId="14" fillId="0" borderId="0" xfId="0" applyNumberFormat="1" applyFont="1"/>
    <xf numFmtId="0" fontId="14" fillId="0" borderId="0" xfId="0" quotePrefix="1" applyNumberFormat="1" applyFont="1" applyFill="1" applyAlignment="1">
      <alignment horizontal="center"/>
    </xf>
    <xf numFmtId="0" fontId="59" fillId="0" borderId="0" xfId="0" quotePrefix="1" applyNumberFormat="1" applyFont="1" applyFill="1" applyAlignment="1">
      <alignment horizontal="center"/>
    </xf>
    <xf numFmtId="0" fontId="0" fillId="0" borderId="0" xfId="0" applyAlignment="1">
      <alignment wrapText="1"/>
    </xf>
    <xf numFmtId="0" fontId="0" fillId="0" borderId="0" xfId="0" applyAlignment="1"/>
    <xf numFmtId="0" fontId="0" fillId="0" borderId="0" xfId="0" applyAlignment="1">
      <alignment vertical="top" wrapText="1"/>
    </xf>
    <xf numFmtId="0" fontId="1" fillId="0" borderId="0" xfId="0" applyFont="1" applyAlignment="1">
      <alignment horizontal="left" vertical="center" wrapText="1"/>
    </xf>
    <xf numFmtId="0" fontId="62" fillId="0" borderId="0" xfId="0" applyFont="1" applyAlignment="1">
      <alignment horizontal="justify"/>
    </xf>
    <xf numFmtId="0" fontId="62" fillId="0" borderId="0" xfId="0" applyFont="1" applyAlignment="1">
      <alignment horizontal="left" vertical="center" wrapText="1"/>
    </xf>
    <xf numFmtId="0" fontId="1" fillId="0" borderId="0" xfId="0" applyFont="1" applyAlignment="1">
      <alignment horizontal="justify"/>
    </xf>
    <xf numFmtId="0" fontId="60" fillId="0" borderId="0" xfId="0" applyFont="1" applyAlignment="1">
      <alignment horizontal="justify"/>
    </xf>
    <xf numFmtId="0" fontId="64" fillId="0" borderId="0" xfId="0" applyFont="1"/>
    <xf numFmtId="0" fontId="0" fillId="0" borderId="0" xfId="0" applyAlignment="1">
      <alignment horizontal="justify"/>
    </xf>
    <xf numFmtId="0" fontId="49" fillId="0" borderId="0" xfId="0" applyFont="1" applyAlignment="1">
      <alignment horizontal="justify" wrapText="1"/>
    </xf>
    <xf numFmtId="3" fontId="3" fillId="2" borderId="0" xfId="0" quotePrefix="1" applyNumberFormat="1" applyFont="1" applyFill="1" applyBorder="1" applyAlignment="1">
      <alignment horizontal="right" indent="1"/>
    </xf>
    <xf numFmtId="3" fontId="3" fillId="0" borderId="0" xfId="0" quotePrefix="1" applyNumberFormat="1" applyFont="1" applyFill="1" applyBorder="1" applyAlignment="1">
      <alignment horizontal="right" indent="1"/>
    </xf>
    <xf numFmtId="3" fontId="3" fillId="2" borderId="0" xfId="0" applyNumberFormat="1" applyFont="1" applyFill="1" applyAlignment="1">
      <alignment horizontal="right" indent="1"/>
    </xf>
    <xf numFmtId="3" fontId="46" fillId="2" borderId="0" xfId="0" applyNumberFormat="1" applyFont="1" applyFill="1" applyAlignment="1">
      <alignment horizontal="right" indent="1"/>
    </xf>
    <xf numFmtId="3" fontId="3" fillId="0" borderId="0" xfId="0" applyNumberFormat="1" applyFont="1" applyFill="1" applyAlignment="1">
      <alignment horizontal="right" indent="1"/>
    </xf>
    <xf numFmtId="3" fontId="46" fillId="0" borderId="0" xfId="0" applyNumberFormat="1" applyFont="1" applyFill="1" applyAlignment="1">
      <alignment horizontal="right" indent="1"/>
    </xf>
    <xf numFmtId="3" fontId="0" fillId="2" borderId="0" xfId="0" applyNumberFormat="1" applyFill="1" applyAlignment="1">
      <alignment horizontal="right" indent="1"/>
    </xf>
    <xf numFmtId="3" fontId="0" fillId="0" borderId="0" xfId="0" applyNumberFormat="1" applyAlignment="1">
      <alignment horizontal="right" indent="1"/>
    </xf>
    <xf numFmtId="3" fontId="46" fillId="0" borderId="0" xfId="0" applyNumberFormat="1" applyFont="1" applyAlignment="1">
      <alignment horizontal="right" indent="1"/>
    </xf>
    <xf numFmtId="3" fontId="3" fillId="0" borderId="0" xfId="0" applyNumberFormat="1" applyFont="1" applyAlignment="1">
      <alignment horizontal="right" indent="1"/>
    </xf>
    <xf numFmtId="3" fontId="1" fillId="2" borderId="0" xfId="0" quotePrefix="1" applyNumberFormat="1" applyFont="1" applyFill="1" applyAlignment="1">
      <alignment horizontal="right" indent="1"/>
    </xf>
    <xf numFmtId="3" fontId="1" fillId="0" borderId="0" xfId="0" quotePrefix="1" applyNumberFormat="1" applyFont="1" applyAlignment="1">
      <alignment horizontal="right" indent="1"/>
    </xf>
    <xf numFmtId="3" fontId="0" fillId="6" borderId="0" xfId="0" applyNumberFormat="1" applyFill="1" applyAlignment="1">
      <alignment horizontal="right" indent="1"/>
    </xf>
    <xf numFmtId="3" fontId="1" fillId="6" borderId="0" xfId="0" quotePrefix="1" applyNumberFormat="1" applyFont="1" applyFill="1" applyAlignment="1">
      <alignment horizontal="right" indent="1"/>
    </xf>
    <xf numFmtId="3" fontId="46" fillId="6" borderId="0" xfId="0" applyNumberFormat="1" applyFont="1" applyFill="1" applyAlignment="1">
      <alignment horizontal="right" indent="1"/>
    </xf>
    <xf numFmtId="3" fontId="3" fillId="6" borderId="0" xfId="0" applyNumberFormat="1" applyFont="1" applyFill="1" applyAlignment="1">
      <alignment horizontal="right" indent="1"/>
    </xf>
    <xf numFmtId="3" fontId="5" fillId="0" borderId="0" xfId="0" applyNumberFormat="1" applyFont="1" applyFill="1" applyAlignment="1">
      <alignment horizontal="right" indent="1"/>
    </xf>
    <xf numFmtId="3" fontId="45" fillId="0" borderId="0" xfId="0" applyNumberFormat="1" applyFont="1" applyFill="1" applyAlignment="1">
      <alignment horizontal="right" indent="1"/>
    </xf>
    <xf numFmtId="0" fontId="0" fillId="0" borderId="1" xfId="0" applyBorder="1" applyAlignment="1">
      <alignment horizontal="right" indent="1"/>
    </xf>
    <xf numFmtId="0" fontId="46" fillId="0" borderId="1" xfId="0" applyFont="1" applyBorder="1" applyAlignment="1">
      <alignment horizontal="right" indent="1"/>
    </xf>
    <xf numFmtId="0" fontId="3" fillId="0" borderId="1" xfId="0" applyFont="1" applyBorder="1" applyAlignment="1">
      <alignment horizontal="right" indent="1"/>
    </xf>
    <xf numFmtId="165" fontId="0" fillId="2" borderId="0" xfId="0" applyNumberFormat="1" applyFill="1" applyAlignment="1">
      <alignment horizontal="right" indent="1"/>
    </xf>
    <xf numFmtId="165" fontId="0" fillId="6" borderId="0" xfId="0" applyNumberFormat="1" applyFill="1" applyAlignment="1">
      <alignment horizontal="right" indent="1"/>
    </xf>
    <xf numFmtId="165" fontId="46" fillId="2" borderId="0" xfId="0" applyNumberFormat="1" applyFont="1" applyFill="1" applyAlignment="1">
      <alignment horizontal="right" indent="1"/>
    </xf>
    <xf numFmtId="165" fontId="3" fillId="2" borderId="0" xfId="0" applyNumberFormat="1" applyFont="1" applyFill="1" applyAlignment="1">
      <alignment horizontal="right" indent="1"/>
    </xf>
    <xf numFmtId="165" fontId="0" fillId="4" borderId="0" xfId="0" applyNumberFormat="1" applyFill="1" applyAlignment="1">
      <alignment horizontal="right" indent="1"/>
    </xf>
    <xf numFmtId="165" fontId="46" fillId="4" borderId="0" xfId="0" applyNumberFormat="1" applyFont="1" applyFill="1" applyAlignment="1">
      <alignment horizontal="right" indent="1"/>
    </xf>
    <xf numFmtId="165" fontId="3" fillId="4" borderId="0" xfId="0" applyNumberFormat="1" applyFont="1" applyFill="1" applyAlignment="1">
      <alignment horizontal="right" indent="1"/>
    </xf>
    <xf numFmtId="165" fontId="46" fillId="6" borderId="0" xfId="0" applyNumberFormat="1" applyFont="1" applyFill="1" applyAlignment="1">
      <alignment horizontal="right" indent="1"/>
    </xf>
    <xf numFmtId="165" fontId="3" fillId="6" borderId="0" xfId="0" applyNumberFormat="1" applyFont="1" applyFill="1" applyAlignment="1">
      <alignment horizontal="right" indent="1"/>
    </xf>
    <xf numFmtId="165" fontId="5" fillId="0" borderId="2" xfId="0" applyNumberFormat="1" applyFont="1" applyFill="1" applyBorder="1" applyAlignment="1">
      <alignment horizontal="right" indent="1"/>
    </xf>
    <xf numFmtId="165" fontId="45" fillId="0" borderId="2" xfId="0" applyNumberFormat="1" applyFont="1" applyFill="1" applyBorder="1" applyAlignment="1">
      <alignment horizontal="right" indent="1"/>
    </xf>
    <xf numFmtId="3" fontId="5" fillId="6" borderId="0" xfId="0" applyNumberFormat="1" applyFont="1" applyFill="1" applyAlignment="1">
      <alignment horizontal="right" indent="1"/>
    </xf>
    <xf numFmtId="0" fontId="0" fillId="0" borderId="0" xfId="0" applyAlignment="1">
      <alignment horizontal="right" indent="1"/>
    </xf>
    <xf numFmtId="165" fontId="5" fillId="2" borderId="2" xfId="0" applyNumberFormat="1" applyFont="1" applyFill="1" applyBorder="1" applyAlignment="1">
      <alignment horizontal="right" indent="1"/>
    </xf>
    <xf numFmtId="165" fontId="0" fillId="0" borderId="0" xfId="0" applyNumberFormat="1" applyAlignment="1">
      <alignment horizontal="right" indent="1"/>
    </xf>
    <xf numFmtId="165" fontId="5" fillId="6" borderId="2" xfId="0" applyNumberFormat="1" applyFont="1" applyFill="1" applyBorder="1" applyAlignment="1">
      <alignment horizontal="right" indent="1"/>
    </xf>
    <xf numFmtId="3" fontId="45" fillId="6" borderId="0" xfId="0" applyNumberFormat="1" applyFont="1" applyFill="1" applyAlignment="1">
      <alignment horizontal="right" indent="1"/>
    </xf>
    <xf numFmtId="0" fontId="46" fillId="0" borderId="0" xfId="0" applyFont="1" applyAlignment="1">
      <alignment horizontal="right" indent="1"/>
    </xf>
    <xf numFmtId="0" fontId="1" fillId="0" borderId="0" xfId="0" applyFont="1" applyAlignment="1">
      <alignment horizontal="right" indent="1"/>
    </xf>
    <xf numFmtId="3" fontId="1" fillId="2" borderId="2" xfId="0" quotePrefix="1" applyNumberFormat="1" applyFont="1" applyFill="1" applyBorder="1" applyAlignment="1">
      <alignment horizontal="right" indent="1"/>
    </xf>
    <xf numFmtId="165" fontId="45" fillId="2" borderId="2" xfId="0" applyNumberFormat="1" applyFont="1" applyFill="1" applyBorder="1" applyAlignment="1">
      <alignment horizontal="right" indent="1"/>
    </xf>
    <xf numFmtId="165" fontId="3" fillId="2" borderId="2" xfId="0" applyNumberFormat="1" applyFont="1" applyFill="1" applyBorder="1" applyAlignment="1">
      <alignment horizontal="right" indent="1"/>
    </xf>
    <xf numFmtId="165" fontId="46" fillId="0" borderId="0" xfId="0" applyNumberFormat="1" applyFont="1" applyAlignment="1">
      <alignment horizontal="right" indent="1"/>
    </xf>
    <xf numFmtId="165" fontId="3" fillId="0" borderId="0" xfId="0" applyNumberFormat="1" applyFont="1" applyAlignment="1">
      <alignment horizontal="right" indent="1"/>
    </xf>
    <xf numFmtId="165" fontId="1" fillId="2" borderId="2" xfId="0" quotePrefix="1" applyNumberFormat="1" applyFont="1" applyFill="1" applyBorder="1" applyAlignment="1">
      <alignment horizontal="right" indent="1"/>
    </xf>
    <xf numFmtId="165" fontId="45" fillId="6" borderId="2" xfId="0" applyNumberFormat="1" applyFont="1" applyFill="1" applyBorder="1" applyAlignment="1">
      <alignment horizontal="right" indent="1"/>
    </xf>
    <xf numFmtId="165" fontId="3" fillId="6" borderId="2" xfId="0" applyNumberFormat="1" applyFont="1" applyFill="1" applyBorder="1" applyAlignment="1">
      <alignment horizontal="right" indent="1"/>
    </xf>
    <xf numFmtId="3" fontId="5" fillId="6" borderId="2" xfId="0" applyNumberFormat="1" applyFont="1" applyFill="1" applyBorder="1" applyAlignment="1">
      <alignment horizontal="right" indent="1"/>
    </xf>
    <xf numFmtId="3" fontId="45" fillId="6" borderId="2" xfId="0" applyNumberFormat="1" applyFont="1" applyFill="1" applyBorder="1" applyAlignment="1">
      <alignment horizontal="right" indent="1"/>
    </xf>
    <xf numFmtId="3" fontId="3" fillId="6" borderId="2" xfId="0" applyNumberFormat="1" applyFont="1" applyFill="1" applyBorder="1" applyAlignment="1">
      <alignment horizontal="right" indent="1"/>
    </xf>
    <xf numFmtId="3" fontId="1" fillId="9" borderId="0" xfId="0" applyNumberFormat="1" applyFont="1" applyFill="1" applyAlignment="1">
      <alignment horizontal="right" indent="1"/>
    </xf>
    <xf numFmtId="3" fontId="1" fillId="0" borderId="0" xfId="0" applyNumberFormat="1" applyFont="1" applyFill="1" applyAlignment="1">
      <alignment horizontal="right" indent="1"/>
    </xf>
    <xf numFmtId="3" fontId="1" fillId="0" borderId="0" xfId="0" applyNumberFormat="1" applyFont="1" applyAlignment="1">
      <alignment horizontal="right" indent="1"/>
    </xf>
    <xf numFmtId="3" fontId="1" fillId="2" borderId="0" xfId="0" applyNumberFormat="1" applyFont="1" applyFill="1" applyAlignment="1">
      <alignment horizontal="right" indent="1"/>
    </xf>
    <xf numFmtId="3" fontId="1" fillId="6" borderId="0" xfId="0" applyNumberFormat="1" applyFont="1" applyFill="1" applyAlignment="1">
      <alignment horizontal="right" indent="1"/>
    </xf>
    <xf numFmtId="0" fontId="1" fillId="0" borderId="0" xfId="0" quotePrefix="1" applyFont="1" applyAlignment="1">
      <alignment horizontal="right" indent="1"/>
    </xf>
    <xf numFmtId="3" fontId="5" fillId="2" borderId="0" xfId="0" applyNumberFormat="1" applyFont="1" applyFill="1" applyAlignment="1">
      <alignment horizontal="right" indent="1"/>
    </xf>
    <xf numFmtId="3" fontId="1" fillId="9" borderId="0" xfId="0" quotePrefix="1" applyNumberFormat="1" applyFont="1" applyFill="1" applyAlignment="1">
      <alignment horizontal="right" indent="1"/>
    </xf>
    <xf numFmtId="3" fontId="46" fillId="9" borderId="0" xfId="0" applyNumberFormat="1" applyFont="1" applyFill="1" applyAlignment="1">
      <alignment horizontal="right" indent="1"/>
    </xf>
    <xf numFmtId="3" fontId="3" fillId="9" borderId="0" xfId="0" applyNumberFormat="1" applyFont="1" applyFill="1" applyAlignment="1">
      <alignment horizontal="right" indent="1"/>
    </xf>
    <xf numFmtId="3" fontId="1" fillId="0" borderId="0" xfId="0" quotePrefix="1" applyNumberFormat="1" applyFont="1" applyFill="1" applyAlignment="1">
      <alignment horizontal="right" indent="1"/>
    </xf>
    <xf numFmtId="3" fontId="1" fillId="6" borderId="0" xfId="0" applyNumberFormat="1" applyFont="1" applyFill="1" applyBorder="1" applyAlignment="1">
      <alignment horizontal="right" indent="1"/>
    </xf>
    <xf numFmtId="3" fontId="1" fillId="2" borderId="0" xfId="0" quotePrefix="1" applyNumberFormat="1" applyFont="1" applyFill="1" applyBorder="1" applyAlignment="1">
      <alignment horizontal="right" indent="1"/>
    </xf>
    <xf numFmtId="3" fontId="46" fillId="6" borderId="0" xfId="0" applyNumberFormat="1" applyFont="1" applyFill="1" applyBorder="1" applyAlignment="1">
      <alignment horizontal="right" indent="1"/>
    </xf>
    <xf numFmtId="3" fontId="3" fillId="6" borderId="0" xfId="0" applyNumberFormat="1" applyFont="1" applyFill="1" applyBorder="1" applyAlignment="1">
      <alignment horizontal="right" indent="1"/>
    </xf>
    <xf numFmtId="3" fontId="5" fillId="2" borderId="0" xfId="0" quotePrefix="1" applyNumberFormat="1" applyFont="1" applyFill="1" applyAlignment="1">
      <alignment horizontal="right" indent="1"/>
    </xf>
    <xf numFmtId="165" fontId="1" fillId="0" borderId="0" xfId="0" applyNumberFormat="1" applyFont="1" applyAlignment="1">
      <alignment horizontal="right" indent="1"/>
    </xf>
    <xf numFmtId="3" fontId="0" fillId="0" borderId="2" xfId="0" applyNumberFormat="1" applyBorder="1" applyAlignment="1">
      <alignment horizontal="right" indent="1"/>
    </xf>
    <xf numFmtId="3" fontId="6" fillId="0" borderId="0" xfId="0" applyNumberFormat="1" applyFont="1" applyAlignment="1">
      <alignment horizontal="right" indent="1"/>
    </xf>
    <xf numFmtId="3" fontId="50" fillId="0" borderId="0" xfId="0" applyNumberFormat="1" applyFont="1" applyAlignment="1">
      <alignment horizontal="right" indent="1"/>
    </xf>
    <xf numFmtId="3" fontId="21" fillId="0" borderId="0" xfId="0" applyNumberFormat="1" applyFont="1" applyAlignment="1">
      <alignment horizontal="right" indent="1"/>
    </xf>
    <xf numFmtId="3" fontId="0" fillId="0" borderId="0" xfId="0" quotePrefix="1" applyNumberFormat="1" applyAlignment="1">
      <alignment horizontal="right" indent="1"/>
    </xf>
    <xf numFmtId="3" fontId="0" fillId="0" borderId="2" xfId="0" quotePrefix="1" applyNumberFormat="1" applyBorder="1" applyAlignment="1">
      <alignment horizontal="right" indent="1"/>
    </xf>
    <xf numFmtId="3" fontId="46" fillId="0" borderId="2" xfId="0" applyNumberFormat="1" applyFont="1" applyBorder="1" applyAlignment="1">
      <alignment horizontal="right" indent="1"/>
    </xf>
    <xf numFmtId="3" fontId="3" fillId="0" borderId="2" xfId="0" applyNumberFormat="1" applyFont="1" applyBorder="1" applyAlignment="1">
      <alignment horizontal="right" indent="1"/>
    </xf>
    <xf numFmtId="3" fontId="0" fillId="0" borderId="0" xfId="0" applyNumberFormat="1" applyBorder="1" applyAlignment="1">
      <alignment horizontal="right" indent="1"/>
    </xf>
    <xf numFmtId="3" fontId="46" fillId="0" borderId="0" xfId="0" applyNumberFormat="1" applyFont="1" applyBorder="1" applyAlignment="1">
      <alignment horizontal="right" indent="1"/>
    </xf>
    <xf numFmtId="3" fontId="3" fillId="0" borderId="0" xfId="0" applyNumberFormat="1" applyFont="1" applyBorder="1" applyAlignment="1">
      <alignment horizontal="right" indent="1"/>
    </xf>
    <xf numFmtId="3" fontId="0" fillId="0" borderId="0" xfId="0" quotePrefix="1" applyNumberFormat="1" applyBorder="1" applyAlignment="1">
      <alignment horizontal="right" indent="1"/>
    </xf>
    <xf numFmtId="166" fontId="6" fillId="0" borderId="0" xfId="0" applyNumberFormat="1" applyFont="1" applyAlignment="1">
      <alignment horizontal="right" indent="1"/>
    </xf>
    <xf numFmtId="166" fontId="50" fillId="0" borderId="0" xfId="0" applyNumberFormat="1" applyFont="1" applyAlignment="1">
      <alignment horizontal="right" indent="1"/>
    </xf>
    <xf numFmtId="166" fontId="21" fillId="0" borderId="0" xfId="0" applyNumberFormat="1" applyFont="1" applyAlignment="1">
      <alignment horizontal="right" indent="1"/>
    </xf>
    <xf numFmtId="166" fontId="0" fillId="0" borderId="0" xfId="0" applyNumberFormat="1" applyAlignment="1">
      <alignment horizontal="right" indent="1"/>
    </xf>
    <xf numFmtId="166" fontId="46" fillId="0" borderId="0" xfId="0" applyNumberFormat="1" applyFont="1" applyAlignment="1">
      <alignment horizontal="right" indent="1"/>
    </xf>
    <xf numFmtId="166" fontId="3" fillId="0" borderId="0" xfId="0" applyNumberFormat="1" applyFont="1" applyAlignment="1">
      <alignment horizontal="right" indent="1"/>
    </xf>
    <xf numFmtId="166" fontId="0" fillId="0" borderId="2" xfId="0" applyNumberFormat="1" applyBorder="1" applyAlignment="1">
      <alignment horizontal="right" indent="1"/>
    </xf>
    <xf numFmtId="166" fontId="46" fillId="0" borderId="2" xfId="0" applyNumberFormat="1" applyFont="1" applyBorder="1" applyAlignment="1">
      <alignment horizontal="right" indent="1"/>
    </xf>
    <xf numFmtId="166" fontId="3" fillId="0" borderId="2" xfId="0" applyNumberFormat="1" applyFont="1" applyBorder="1" applyAlignment="1">
      <alignment horizontal="right" indent="1"/>
    </xf>
    <xf numFmtId="3" fontId="1" fillId="5" borderId="30" xfId="0" quotePrefix="1" applyNumberFormat="1" applyFont="1" applyFill="1" applyBorder="1" applyAlignment="1">
      <alignment horizontal="right" indent="1"/>
    </xf>
    <xf numFmtId="3" fontId="9" fillId="5" borderId="30" xfId="0" quotePrefix="1" applyNumberFormat="1" applyFont="1" applyFill="1" applyBorder="1" applyAlignment="1">
      <alignment horizontal="right" indent="1"/>
    </xf>
    <xf numFmtId="3" fontId="9" fillId="5" borderId="19" xfId="0" quotePrefix="1" applyNumberFormat="1" applyFont="1" applyFill="1" applyBorder="1" applyAlignment="1">
      <alignment horizontal="right" indent="1"/>
    </xf>
    <xf numFmtId="3" fontId="9" fillId="5" borderId="23" xfId="0" quotePrefix="1" applyNumberFormat="1" applyFont="1" applyFill="1" applyBorder="1" applyAlignment="1">
      <alignment horizontal="right" indent="1"/>
    </xf>
    <xf numFmtId="3" fontId="9" fillId="5" borderId="17" xfId="0" quotePrefix="1" applyNumberFormat="1" applyFont="1" applyFill="1" applyBorder="1" applyAlignment="1">
      <alignment horizontal="right" indent="1"/>
    </xf>
    <xf numFmtId="3" fontId="9" fillId="4" borderId="30" xfId="0" quotePrefix="1" applyNumberFormat="1" applyFont="1" applyFill="1" applyBorder="1" applyAlignment="1">
      <alignment horizontal="right" indent="1"/>
    </xf>
    <xf numFmtId="3" fontId="9" fillId="4" borderId="23" xfId="0" quotePrefix="1" applyNumberFormat="1" applyFont="1" applyFill="1" applyBorder="1" applyAlignment="1">
      <alignment horizontal="right" indent="1"/>
    </xf>
    <xf numFmtId="3" fontId="9" fillId="4" borderId="19" xfId="0" quotePrefix="1" applyNumberFormat="1" applyFont="1" applyFill="1" applyBorder="1" applyAlignment="1">
      <alignment horizontal="right" indent="1"/>
    </xf>
    <xf numFmtId="3" fontId="9" fillId="4" borderId="17" xfId="0" quotePrefix="1" applyNumberFormat="1" applyFont="1" applyFill="1" applyBorder="1" applyAlignment="1">
      <alignment horizontal="right" indent="1"/>
    </xf>
    <xf numFmtId="3" fontId="9" fillId="0" borderId="30" xfId="0" quotePrefix="1" applyNumberFormat="1" applyFont="1" applyFill="1" applyBorder="1" applyAlignment="1">
      <alignment horizontal="right" indent="1"/>
    </xf>
    <xf numFmtId="3" fontId="9" fillId="0" borderId="19" xfId="0" quotePrefix="1" applyNumberFormat="1" applyFont="1" applyFill="1" applyBorder="1" applyAlignment="1">
      <alignment horizontal="right" indent="1"/>
    </xf>
    <xf numFmtId="3" fontId="9" fillId="0" borderId="23" xfId="0" quotePrefix="1" applyNumberFormat="1" applyFont="1" applyFill="1" applyBorder="1" applyAlignment="1">
      <alignment horizontal="right" indent="1"/>
    </xf>
    <xf numFmtId="3" fontId="9" fillId="0" borderId="17" xfId="0" quotePrefix="1" applyNumberFormat="1" applyFont="1" applyFill="1" applyBorder="1" applyAlignment="1">
      <alignment horizontal="right" indent="1"/>
    </xf>
    <xf numFmtId="3" fontId="1" fillId="4" borderId="30" xfId="6" applyNumberFormat="1" applyFill="1" applyBorder="1" applyAlignment="1">
      <alignment horizontal="right" indent="1"/>
    </xf>
    <xf numFmtId="3" fontId="1" fillId="4" borderId="19" xfId="6" applyNumberFormat="1" applyFill="1" applyBorder="1" applyAlignment="1">
      <alignment horizontal="right" indent="1"/>
    </xf>
    <xf numFmtId="3" fontId="1" fillId="4" borderId="23" xfId="6" applyNumberFormat="1" applyFill="1" applyBorder="1" applyAlignment="1">
      <alignment horizontal="right" indent="1"/>
    </xf>
    <xf numFmtId="3" fontId="1" fillId="4" borderId="17" xfId="6" applyNumberFormat="1" applyFill="1" applyBorder="1" applyAlignment="1">
      <alignment horizontal="right" indent="1"/>
    </xf>
    <xf numFmtId="3" fontId="1" fillId="5" borderId="30" xfId="6" applyNumberFormat="1" applyFill="1" applyBorder="1" applyAlignment="1">
      <alignment horizontal="right" indent="1"/>
    </xf>
    <xf numFmtId="3" fontId="1" fillId="5" borderId="19" xfId="6" applyNumberFormat="1" applyFill="1" applyBorder="1" applyAlignment="1">
      <alignment horizontal="right" indent="1"/>
    </xf>
    <xf numFmtId="3" fontId="1" fillId="5" borderId="23" xfId="6" applyNumberFormat="1" applyFill="1" applyBorder="1" applyAlignment="1">
      <alignment horizontal="right" indent="1"/>
    </xf>
    <xf numFmtId="3" fontId="1" fillId="5" borderId="17" xfId="6" applyNumberFormat="1" applyFill="1" applyBorder="1" applyAlignment="1">
      <alignment horizontal="right" indent="1"/>
    </xf>
    <xf numFmtId="166" fontId="0" fillId="0" borderId="0" xfId="0" applyNumberFormat="1" applyBorder="1" applyAlignment="1">
      <alignment horizontal="right" indent="1"/>
    </xf>
    <xf numFmtId="166" fontId="46" fillId="0" borderId="0" xfId="0" applyNumberFormat="1" applyFont="1" applyBorder="1" applyAlignment="1">
      <alignment horizontal="right" indent="1"/>
    </xf>
    <xf numFmtId="166" fontId="3" fillId="0" borderId="0" xfId="0" applyNumberFormat="1" applyFont="1" applyBorder="1" applyAlignment="1">
      <alignment horizontal="right" indent="1"/>
    </xf>
    <xf numFmtId="0" fontId="14" fillId="0" borderId="5" xfId="0" applyFont="1" applyBorder="1" applyAlignment="1">
      <alignment horizontal="center"/>
    </xf>
    <xf numFmtId="0" fontId="50" fillId="0" borderId="0" xfId="0" applyFont="1"/>
    <xf numFmtId="0" fontId="1" fillId="0" borderId="5" xfId="0" applyFont="1" applyBorder="1"/>
    <xf numFmtId="0" fontId="1" fillId="0" borderId="5" xfId="0" applyFont="1" applyBorder="1" applyAlignment="1">
      <alignment horizontal="center"/>
    </xf>
    <xf numFmtId="0" fontId="0" fillId="0" borderId="0" xfId="0" applyFill="1" applyBorder="1"/>
    <xf numFmtId="0" fontId="7" fillId="0" borderId="0" xfId="0" applyFont="1" applyFill="1" applyAlignment="1">
      <alignment horizontal="right"/>
    </xf>
    <xf numFmtId="0" fontId="4" fillId="0" borderId="0" xfId="0" applyFont="1" applyAlignment="1">
      <alignment horizontal="left" wrapText="1"/>
    </xf>
    <xf numFmtId="3" fontId="1" fillId="0" borderId="30" xfId="0" quotePrefix="1" applyNumberFormat="1" applyFont="1" applyFill="1" applyBorder="1" applyAlignment="1">
      <alignment horizontal="right" indent="1"/>
    </xf>
    <xf numFmtId="3" fontId="1" fillId="4" borderId="19" xfId="6" applyNumberFormat="1" applyFont="1" applyFill="1" applyBorder="1" applyAlignment="1">
      <alignment horizontal="right" indent="1"/>
    </xf>
    <xf numFmtId="0" fontId="1" fillId="0" borderId="0" xfId="0" applyFont="1" applyAlignment="1">
      <alignment horizontal="left"/>
    </xf>
    <xf numFmtId="0" fontId="68" fillId="3" borderId="0" xfId="3" applyFont="1" applyFill="1" applyBorder="1" applyAlignment="1">
      <alignment horizontal="left"/>
    </xf>
    <xf numFmtId="0" fontId="68" fillId="3" borderId="7" xfId="3" applyFont="1" applyFill="1" applyBorder="1" applyAlignment="1">
      <alignment horizontal="left"/>
    </xf>
    <xf numFmtId="0" fontId="70" fillId="3" borderId="0" xfId="0" applyFont="1" applyFill="1" applyBorder="1"/>
    <xf numFmtId="0" fontId="70" fillId="3" borderId="0" xfId="0" applyFont="1" applyFill="1"/>
    <xf numFmtId="0" fontId="71" fillId="3" borderId="0" xfId="0" quotePrefix="1" applyFont="1" applyFill="1"/>
    <xf numFmtId="0" fontId="71" fillId="3" borderId="0" xfId="0" applyFont="1" applyFill="1"/>
    <xf numFmtId="0" fontId="68" fillId="3" borderId="0" xfId="3" applyFont="1" applyFill="1" applyBorder="1" applyAlignment="1">
      <alignment horizontal="left" vertical="top"/>
    </xf>
    <xf numFmtId="0" fontId="73" fillId="3" borderId="9" xfId="1" applyFont="1" applyFill="1" applyBorder="1" applyAlignment="1" applyProtection="1">
      <alignment vertical="top"/>
    </xf>
    <xf numFmtId="0" fontId="72" fillId="3" borderId="9" xfId="0" applyFont="1" applyFill="1" applyBorder="1" applyAlignment="1">
      <alignment horizontal="center" vertical="top"/>
    </xf>
    <xf numFmtId="0" fontId="73" fillId="3" borderId="0" xfId="1" applyFont="1" applyFill="1" applyBorder="1" applyAlignment="1" applyProtection="1">
      <alignment vertical="top"/>
    </xf>
    <xf numFmtId="0" fontId="72" fillId="3" borderId="0" xfId="0" applyFont="1" applyFill="1" applyBorder="1" applyAlignment="1">
      <alignment horizontal="center" vertical="top"/>
    </xf>
    <xf numFmtId="0" fontId="73" fillId="3" borderId="7" xfId="1" applyFont="1" applyFill="1" applyBorder="1" applyAlignment="1" applyProtection="1">
      <alignment vertical="top"/>
    </xf>
    <xf numFmtId="0" fontId="72" fillId="3" borderId="7" xfId="0" applyFont="1" applyFill="1" applyBorder="1" applyAlignment="1">
      <alignment horizontal="center" vertical="top"/>
    </xf>
    <xf numFmtId="0" fontId="74" fillId="3" borderId="0" xfId="0" applyFont="1" applyFill="1" applyAlignment="1">
      <alignment vertical="top"/>
    </xf>
    <xf numFmtId="0" fontId="72" fillId="3" borderId="0" xfId="0" applyFont="1" applyFill="1" applyAlignment="1">
      <alignment horizontal="center" vertical="top"/>
    </xf>
    <xf numFmtId="0" fontId="75" fillId="3" borderId="0" xfId="0" applyFont="1" applyFill="1" applyAlignment="1">
      <alignment vertical="top"/>
    </xf>
    <xf numFmtId="0" fontId="69" fillId="3" borderId="0" xfId="0" applyFont="1" applyFill="1" applyAlignment="1">
      <alignment horizontal="center" vertical="top"/>
    </xf>
    <xf numFmtId="0" fontId="74" fillId="3" borderId="0" xfId="0" applyFont="1" applyFill="1" applyAlignment="1">
      <alignment horizontal="center" vertical="top"/>
    </xf>
    <xf numFmtId="0" fontId="77" fillId="3" borderId="0" xfId="3" applyFont="1" applyFill="1" applyBorder="1" applyAlignment="1">
      <alignment horizontal="left" vertical="top"/>
    </xf>
    <xf numFmtId="0" fontId="77" fillId="3" borderId="0" xfId="0" applyFont="1" applyFill="1" applyAlignment="1">
      <alignment horizontal="left"/>
    </xf>
    <xf numFmtId="0" fontId="78" fillId="3" borderId="0" xfId="0" applyFont="1" applyFill="1"/>
    <xf numFmtId="0" fontId="79" fillId="3" borderId="0" xfId="0" applyFont="1" applyFill="1" applyAlignment="1">
      <alignment vertical="top"/>
    </xf>
    <xf numFmtId="0" fontId="80" fillId="3" borderId="0" xfId="3" applyFont="1" applyFill="1" applyBorder="1" applyAlignment="1">
      <alignment horizontal="right" vertical="top"/>
    </xf>
    <xf numFmtId="169" fontId="80" fillId="3" borderId="0" xfId="3" applyNumberFormat="1" applyFont="1" applyFill="1" applyBorder="1" applyAlignment="1">
      <alignment horizontal="left" vertical="top"/>
    </xf>
    <xf numFmtId="0" fontId="78" fillId="3" borderId="0" xfId="0" applyFont="1" applyFill="1" applyAlignment="1">
      <alignment horizontal="left"/>
    </xf>
    <xf numFmtId="0" fontId="82" fillId="3" borderId="0" xfId="3" applyFont="1" applyFill="1" applyBorder="1" applyAlignment="1">
      <alignment horizontal="left" vertical="top"/>
    </xf>
    <xf numFmtId="0" fontId="5" fillId="6" borderId="2" xfId="0" applyFont="1" applyFill="1" applyBorder="1"/>
    <xf numFmtId="0" fontId="83" fillId="0" borderId="4" xfId="0" applyFont="1" applyBorder="1" applyAlignment="1">
      <alignment horizontal="center"/>
    </xf>
    <xf numFmtId="3" fontId="83" fillId="0" borderId="4" xfId="0" applyNumberFormat="1" applyFont="1" applyBorder="1" applyAlignment="1">
      <alignment horizontal="center"/>
    </xf>
    <xf numFmtId="0" fontId="84" fillId="0" borderId="4" xfId="0" applyFont="1" applyBorder="1" applyAlignment="1">
      <alignment horizontal="center"/>
    </xf>
    <xf numFmtId="0" fontId="83" fillId="0" borderId="0" xfId="0" applyFont="1" applyBorder="1" applyAlignment="1">
      <alignment horizontal="center"/>
    </xf>
    <xf numFmtId="0" fontId="84" fillId="0" borderId="0" xfId="0" applyFont="1" applyBorder="1" applyAlignment="1">
      <alignment horizontal="center"/>
    </xf>
    <xf numFmtId="0" fontId="83" fillId="0" borderId="5" xfId="0" applyFont="1" applyBorder="1" applyAlignment="1">
      <alignment horizontal="center"/>
    </xf>
    <xf numFmtId="0" fontId="84" fillId="0" borderId="5" xfId="0" applyFont="1" applyBorder="1" applyAlignment="1">
      <alignment horizontal="center"/>
    </xf>
    <xf numFmtId="0" fontId="67" fillId="0" borderId="0" xfId="0" applyFont="1"/>
    <xf numFmtId="3" fontId="85" fillId="0" borderId="0" xfId="0" applyNumberFormat="1" applyFont="1" applyAlignment="1">
      <alignment horizontal="right" indent="1"/>
    </xf>
    <xf numFmtId="3" fontId="67" fillId="0" borderId="0" xfId="0" applyNumberFormat="1" applyFont="1" applyAlignment="1">
      <alignment horizontal="right" indent="1"/>
    </xf>
    <xf numFmtId="3" fontId="67" fillId="0" borderId="2" xfId="0" applyNumberFormat="1" applyFont="1" applyBorder="1" applyAlignment="1">
      <alignment horizontal="right" indent="1"/>
    </xf>
    <xf numFmtId="3" fontId="85" fillId="0" borderId="2" xfId="0" applyNumberFormat="1" applyFont="1" applyBorder="1" applyAlignment="1">
      <alignment horizontal="right" indent="1"/>
    </xf>
    <xf numFmtId="0" fontId="67" fillId="0" borderId="0" xfId="0" applyFont="1" applyAlignment="1">
      <alignment horizontal="right" indent="1"/>
    </xf>
    <xf numFmtId="165" fontId="67" fillId="0" borderId="0" xfId="0" applyNumberFormat="1" applyFont="1" applyAlignment="1">
      <alignment horizontal="right" indent="1"/>
    </xf>
    <xf numFmtId="167" fontId="67" fillId="0" borderId="0" xfId="0" applyNumberFormat="1" applyFont="1" applyBorder="1" applyAlignment="1">
      <alignment horizontal="right" indent="1"/>
    </xf>
    <xf numFmtId="165" fontId="67" fillId="0" borderId="0" xfId="0" applyNumberFormat="1" applyFont="1" applyBorder="1" applyAlignment="1">
      <alignment horizontal="right" indent="1"/>
    </xf>
    <xf numFmtId="0" fontId="85" fillId="0" borderId="0" xfId="0" applyFont="1"/>
    <xf numFmtId="0" fontId="67" fillId="0" borderId="2" xfId="0" applyFont="1" applyBorder="1"/>
    <xf numFmtId="0" fontId="85" fillId="0" borderId="2" xfId="0" applyFont="1" applyBorder="1"/>
    <xf numFmtId="0" fontId="85" fillId="0" borderId="0" xfId="0" applyFont="1" applyBorder="1"/>
    <xf numFmtId="0" fontId="85" fillId="0" borderId="3" xfId="0" applyFont="1" applyBorder="1"/>
    <xf numFmtId="3" fontId="88" fillId="0" borderId="0" xfId="0" applyNumberFormat="1" applyFont="1" applyAlignment="1">
      <alignment horizontal="right" indent="1"/>
    </xf>
    <xf numFmtId="3" fontId="89" fillId="0" borderId="0" xfId="0" applyNumberFormat="1" applyFont="1" applyAlignment="1">
      <alignment horizontal="right" indent="1"/>
    </xf>
    <xf numFmtId="3" fontId="89" fillId="0" borderId="2" xfId="0" applyNumberFormat="1" applyFont="1" applyBorder="1" applyAlignment="1">
      <alignment horizontal="right" indent="1"/>
    </xf>
    <xf numFmtId="3" fontId="88" fillId="0" borderId="2" xfId="0" applyNumberFormat="1" applyFont="1" applyBorder="1" applyAlignment="1">
      <alignment horizontal="right" indent="1"/>
    </xf>
    <xf numFmtId="0" fontId="89" fillId="0" borderId="0" xfId="0" applyFont="1" applyAlignment="1">
      <alignment horizontal="right" indent="1"/>
    </xf>
    <xf numFmtId="165" fontId="89" fillId="0" borderId="0" xfId="0" applyNumberFormat="1" applyFont="1" applyAlignment="1">
      <alignment horizontal="right" indent="1"/>
    </xf>
    <xf numFmtId="167" fontId="89" fillId="0" borderId="0" xfId="0" applyNumberFormat="1" applyFont="1" applyBorder="1" applyAlignment="1">
      <alignment horizontal="right" indent="1"/>
    </xf>
    <xf numFmtId="165" fontId="89" fillId="0" borderId="0" xfId="0" applyNumberFormat="1" applyFont="1" applyBorder="1" applyAlignment="1">
      <alignment horizontal="right" indent="1"/>
    </xf>
    <xf numFmtId="0" fontId="86" fillId="7" borderId="35" xfId="0" applyFont="1" applyFill="1" applyBorder="1"/>
    <xf numFmtId="165" fontId="86" fillId="7" borderId="35" xfId="0" applyNumberFormat="1" applyFont="1" applyFill="1" applyBorder="1" applyAlignment="1">
      <alignment horizontal="right" indent="1"/>
    </xf>
    <xf numFmtId="165" fontId="88" fillId="7" borderId="35" xfId="0" applyNumberFormat="1" applyFont="1" applyFill="1" applyBorder="1" applyAlignment="1">
      <alignment horizontal="right" indent="1"/>
    </xf>
    <xf numFmtId="0" fontId="87" fillId="0" borderId="0" xfId="0" applyFont="1"/>
    <xf numFmtId="165" fontId="87" fillId="0" borderId="0" xfId="0" applyNumberFormat="1" applyFont="1" applyAlignment="1">
      <alignment horizontal="right" indent="1"/>
    </xf>
    <xf numFmtId="0" fontId="87" fillId="7" borderId="0" xfId="0" applyFont="1" applyFill="1"/>
    <xf numFmtId="165" fontId="87" fillId="7" borderId="0" xfId="0" applyNumberFormat="1" applyFont="1" applyFill="1" applyAlignment="1">
      <alignment horizontal="right" indent="1"/>
    </xf>
    <xf numFmtId="165" fontId="89" fillId="7" borderId="0" xfId="0" applyNumberFormat="1" applyFont="1" applyFill="1" applyAlignment="1">
      <alignment horizontal="right" indent="1"/>
    </xf>
    <xf numFmtId="0" fontId="87" fillId="0" borderId="2" xfId="0" applyFont="1" applyBorder="1"/>
    <xf numFmtId="165" fontId="87" fillId="0" borderId="2" xfId="0" applyNumberFormat="1" applyFont="1" applyBorder="1" applyAlignment="1">
      <alignment horizontal="right" indent="1"/>
    </xf>
    <xf numFmtId="165" fontId="89" fillId="0" borderId="2" xfId="0" applyNumberFormat="1" applyFont="1" applyBorder="1" applyAlignment="1">
      <alignment horizontal="right" indent="1"/>
    </xf>
    <xf numFmtId="0" fontId="86" fillId="7" borderId="0" xfId="0" applyFont="1" applyFill="1"/>
    <xf numFmtId="165" fontId="86" fillId="7" borderId="0" xfId="0" applyNumberFormat="1" applyFont="1" applyFill="1" applyAlignment="1">
      <alignment horizontal="right" indent="1"/>
    </xf>
    <xf numFmtId="165" fontId="88" fillId="7" borderId="0" xfId="0" applyNumberFormat="1" applyFont="1" applyFill="1" applyAlignment="1">
      <alignment horizontal="right" indent="1"/>
    </xf>
    <xf numFmtId="0" fontId="84" fillId="4" borderId="2" xfId="4" applyFont="1" applyFill="1" applyBorder="1" applyAlignment="1">
      <alignment horizontal="center"/>
    </xf>
    <xf numFmtId="0" fontId="87" fillId="4" borderId="2" xfId="0" applyFont="1" applyFill="1" applyBorder="1" applyAlignment="1">
      <alignment horizontal="right" indent="1"/>
    </xf>
    <xf numFmtId="0" fontId="89" fillId="4" borderId="2" xfId="0" applyFont="1" applyFill="1" applyBorder="1" applyAlignment="1">
      <alignment horizontal="right" indent="1"/>
    </xf>
    <xf numFmtId="0" fontId="86" fillId="0" borderId="0" xfId="0" applyFont="1"/>
    <xf numFmtId="165" fontId="86" fillId="0" borderId="0" xfId="0" applyNumberFormat="1" applyFont="1" applyAlignment="1">
      <alignment horizontal="right" indent="1"/>
    </xf>
    <xf numFmtId="165" fontId="88" fillId="0" borderId="0" xfId="0" applyNumberFormat="1" applyFont="1" applyAlignment="1">
      <alignment horizontal="right" indent="1"/>
    </xf>
    <xf numFmtId="0" fontId="87" fillId="8" borderId="0" xfId="0" applyFont="1" applyFill="1"/>
    <xf numFmtId="165" fontId="87" fillId="8" borderId="0" xfId="0" applyNumberFormat="1" applyFont="1" applyFill="1" applyAlignment="1">
      <alignment horizontal="right" indent="1"/>
    </xf>
    <xf numFmtId="165" fontId="89" fillId="8" borderId="0" xfId="0" applyNumberFormat="1" applyFont="1" applyFill="1" applyAlignment="1">
      <alignment horizontal="right" indent="1"/>
    </xf>
    <xf numFmtId="0" fontId="87" fillId="8" borderId="2" xfId="0" applyFont="1" applyFill="1" applyBorder="1"/>
    <xf numFmtId="165" fontId="87" fillId="8" borderId="2" xfId="0" applyNumberFormat="1" applyFont="1" applyFill="1" applyBorder="1" applyAlignment="1">
      <alignment horizontal="right" indent="1"/>
    </xf>
    <xf numFmtId="165" fontId="89" fillId="8" borderId="2" xfId="0" applyNumberFormat="1" applyFont="1" applyFill="1" applyBorder="1" applyAlignment="1">
      <alignment horizontal="right" indent="1"/>
    </xf>
    <xf numFmtId="0" fontId="87" fillId="8" borderId="0" xfId="0" applyFont="1" applyFill="1" applyBorder="1"/>
    <xf numFmtId="165" fontId="87" fillId="8" borderId="0" xfId="0" applyNumberFormat="1" applyFont="1" applyFill="1" applyBorder="1" applyAlignment="1">
      <alignment horizontal="right" indent="1"/>
    </xf>
    <xf numFmtId="165" fontId="89" fillId="8" borderId="0" xfId="0" applyNumberFormat="1" applyFont="1" applyFill="1" applyBorder="1" applyAlignment="1">
      <alignment horizontal="right" indent="1"/>
    </xf>
    <xf numFmtId="0" fontId="90" fillId="0" borderId="0" xfId="0" applyFont="1"/>
    <xf numFmtId="0" fontId="67" fillId="0" borderId="0" xfId="0" applyFont="1" applyBorder="1"/>
    <xf numFmtId="0" fontId="90" fillId="0" borderId="0" xfId="0" applyFont="1" applyAlignment="1">
      <alignment horizontal="right"/>
    </xf>
    <xf numFmtId="0" fontId="89" fillId="0" borderId="0" xfId="0" applyFont="1"/>
    <xf numFmtId="0" fontId="5" fillId="0" borderId="29" xfId="0" applyFont="1" applyBorder="1" applyAlignment="1">
      <alignment horizontal="center"/>
    </xf>
    <xf numFmtId="0" fontId="5" fillId="0" borderId="18" xfId="0" applyFont="1" applyBorder="1" applyAlignment="1">
      <alignment horizontal="center"/>
    </xf>
    <xf numFmtId="0" fontId="5" fillId="0" borderId="22" xfId="0" applyFont="1" applyBorder="1" applyAlignment="1">
      <alignment horizontal="center"/>
    </xf>
    <xf numFmtId="0" fontId="5" fillId="0" borderId="30" xfId="0" applyFont="1" applyBorder="1" applyAlignment="1">
      <alignment horizontal="center"/>
    </xf>
    <xf numFmtId="0" fontId="5" fillId="0" borderId="19" xfId="0" applyFont="1" applyBorder="1" applyAlignment="1">
      <alignment horizontal="center"/>
    </xf>
    <xf numFmtId="0" fontId="5" fillId="0" borderId="23" xfId="0" applyFont="1" applyBorder="1" applyAlignment="1">
      <alignment horizontal="center"/>
    </xf>
    <xf numFmtId="3" fontId="5" fillId="0" borderId="31" xfId="0" applyNumberFormat="1" applyFont="1" applyBorder="1" applyAlignment="1">
      <alignment horizontal="center" vertical="center" wrapText="1"/>
    </xf>
    <xf numFmtId="0" fontId="5" fillId="0" borderId="20" xfId="0" applyFont="1" applyBorder="1" applyAlignment="1">
      <alignment horizontal="center" vertical="center"/>
    </xf>
    <xf numFmtId="0" fontId="5" fillId="0" borderId="36" xfId="0" applyFont="1" applyBorder="1" applyAlignment="1">
      <alignment horizontal="center" vertical="center"/>
    </xf>
    <xf numFmtId="3" fontId="5" fillId="0" borderId="32" xfId="0" applyNumberFormat="1" applyFont="1" applyBorder="1" applyAlignment="1">
      <alignment horizontal="right" indent="1"/>
    </xf>
    <xf numFmtId="3" fontId="5" fillId="0" borderId="15" xfId="0" applyNumberFormat="1" applyFont="1" applyBorder="1" applyAlignment="1">
      <alignment horizontal="right" indent="1"/>
    </xf>
    <xf numFmtId="3" fontId="5" fillId="0" borderId="24" xfId="0" applyNumberFormat="1" applyFont="1" applyBorder="1" applyAlignment="1">
      <alignment horizontal="right" indent="1"/>
    </xf>
    <xf numFmtId="3" fontId="5" fillId="0" borderId="16" xfId="0" applyNumberFormat="1" applyFont="1" applyBorder="1" applyAlignment="1">
      <alignment horizontal="right" indent="1"/>
    </xf>
    <xf numFmtId="3" fontId="5" fillId="0" borderId="32" xfId="6" applyNumberFormat="1" applyFont="1" applyBorder="1" applyAlignment="1">
      <alignment horizontal="right" indent="1"/>
    </xf>
    <xf numFmtId="3" fontId="5" fillId="0" borderId="15" xfId="6" applyNumberFormat="1" applyFont="1" applyBorder="1" applyAlignment="1">
      <alignment horizontal="right" indent="1"/>
    </xf>
    <xf numFmtId="3" fontId="5" fillId="0" borderId="24" xfId="6" applyNumberFormat="1" applyFont="1" applyBorder="1" applyAlignment="1">
      <alignment horizontal="right" indent="1"/>
    </xf>
    <xf numFmtId="3" fontId="5" fillId="0" borderId="16" xfId="6" applyNumberFormat="1" applyFont="1" applyBorder="1" applyAlignment="1">
      <alignment horizontal="right" indent="1"/>
    </xf>
    <xf numFmtId="3" fontId="5" fillId="0" borderId="33" xfId="6" applyNumberFormat="1" applyFont="1" applyBorder="1" applyAlignment="1">
      <alignment horizontal="right" indent="1"/>
    </xf>
    <xf numFmtId="3" fontId="5" fillId="0" borderId="25" xfId="6" applyNumberFormat="1" applyFont="1" applyBorder="1" applyAlignment="1">
      <alignment horizontal="right" indent="1"/>
    </xf>
    <xf numFmtId="3" fontId="5" fillId="0" borderId="26" xfId="6" applyNumberFormat="1" applyFont="1" applyBorder="1" applyAlignment="1">
      <alignment horizontal="right" indent="1"/>
    </xf>
    <xf numFmtId="3" fontId="5" fillId="0" borderId="27" xfId="6" applyNumberFormat="1" applyFont="1" applyBorder="1" applyAlignment="1">
      <alignment horizontal="right" indent="1"/>
    </xf>
    <xf numFmtId="3" fontId="1" fillId="0" borderId="0" xfId="0" quotePrefix="1" applyNumberFormat="1" applyFont="1" applyFill="1" applyBorder="1" applyAlignment="1">
      <alignment horizontal="right" indent="1"/>
    </xf>
    <xf numFmtId="0" fontId="1" fillId="2" borderId="0" xfId="0" applyFont="1" applyFill="1" applyBorder="1"/>
    <xf numFmtId="167" fontId="87" fillId="0" borderId="2" xfId="0" applyNumberFormat="1" applyFont="1" applyBorder="1" applyAlignment="1">
      <alignment horizontal="right" indent="1"/>
    </xf>
    <xf numFmtId="0" fontId="84" fillId="4" borderId="0" xfId="4" applyFont="1" applyFill="1" applyBorder="1" applyAlignment="1">
      <alignment horizontal="center"/>
    </xf>
    <xf numFmtId="0" fontId="87" fillId="0" borderId="0" xfId="0" applyFont="1" applyBorder="1"/>
    <xf numFmtId="0" fontId="87" fillId="7" borderId="0" xfId="0" applyFont="1" applyFill="1" applyBorder="1"/>
    <xf numFmtId="0" fontId="86" fillId="7" borderId="0" xfId="0" applyFont="1" applyFill="1" applyBorder="1"/>
    <xf numFmtId="0" fontId="87" fillId="10" borderId="0" xfId="0" applyFont="1" applyFill="1" applyBorder="1"/>
    <xf numFmtId="0" fontId="88" fillId="4" borderId="1" xfId="4" applyFont="1" applyFill="1" applyBorder="1" applyAlignment="1">
      <alignment horizontal="center"/>
    </xf>
    <xf numFmtId="0" fontId="87" fillId="7" borderId="35" xfId="0" applyFont="1" applyFill="1" applyBorder="1"/>
    <xf numFmtId="0" fontId="87" fillId="0" borderId="0" xfId="0" applyFont="1" applyFill="1" applyBorder="1" applyAlignment="1">
      <alignment horizontal="left" vertical="center" wrapText="1"/>
    </xf>
    <xf numFmtId="0" fontId="87" fillId="5" borderId="0" xfId="0" applyFont="1" applyFill="1"/>
    <xf numFmtId="0" fontId="87" fillId="0" borderId="0" xfId="0" applyFont="1" applyFill="1"/>
    <xf numFmtId="0" fontId="87" fillId="0" borderId="0" xfId="0" applyFont="1" applyFill="1" applyBorder="1"/>
    <xf numFmtId="0" fontId="87" fillId="5" borderId="2" xfId="0" applyFont="1" applyFill="1" applyBorder="1"/>
    <xf numFmtId="0" fontId="67" fillId="4" borderId="0" xfId="0" applyFont="1" applyFill="1"/>
    <xf numFmtId="165" fontId="87" fillId="4" borderId="2" xfId="0" applyNumberFormat="1" applyFont="1" applyFill="1" applyBorder="1" applyAlignment="1">
      <alignment horizontal="right" indent="1"/>
    </xf>
    <xf numFmtId="0" fontId="67" fillId="4" borderId="0" xfId="0" applyFont="1" applyFill="1" applyAlignment="1">
      <alignment horizontal="right" indent="1"/>
    </xf>
    <xf numFmtId="0" fontId="89" fillId="4" borderId="0" xfId="0" applyFont="1" applyFill="1" applyAlignment="1">
      <alignment horizontal="right" indent="1"/>
    </xf>
    <xf numFmtId="165" fontId="87" fillId="7" borderId="35" xfId="0" applyNumberFormat="1" applyFont="1" applyFill="1" applyBorder="1" applyAlignment="1">
      <alignment horizontal="right" indent="1"/>
    </xf>
    <xf numFmtId="165" fontId="89" fillId="7" borderId="35" xfId="0" applyNumberFormat="1" applyFont="1" applyFill="1" applyBorder="1" applyAlignment="1">
      <alignment horizontal="right" indent="1"/>
    </xf>
    <xf numFmtId="0" fontId="87" fillId="0" borderId="0" xfId="0" applyFont="1" applyBorder="1" applyAlignment="1">
      <alignment horizontal="left" vertical="center" wrapText="1"/>
    </xf>
    <xf numFmtId="165" fontId="87" fillId="7" borderId="0" xfId="0" applyNumberFormat="1" applyFont="1" applyFill="1" applyBorder="1" applyAlignment="1">
      <alignment horizontal="right" indent="1"/>
    </xf>
    <xf numFmtId="165" fontId="89" fillId="7" borderId="0" xfId="0" applyNumberFormat="1" applyFont="1" applyFill="1" applyBorder="1" applyAlignment="1">
      <alignment horizontal="right" indent="1"/>
    </xf>
    <xf numFmtId="0" fontId="1" fillId="0" borderId="4" xfId="0" applyFont="1" applyBorder="1"/>
    <xf numFmtId="0" fontId="1" fillId="0" borderId="0" xfId="0" applyFont="1" applyBorder="1" applyAlignment="1">
      <alignment horizontal="left"/>
    </xf>
    <xf numFmtId="166" fontId="0" fillId="0" borderId="0" xfId="0" applyNumberFormat="1" applyFill="1" applyAlignment="1">
      <alignment horizontal="right" indent="1"/>
    </xf>
    <xf numFmtId="165" fontId="87" fillId="0" borderId="0" xfId="0" applyNumberFormat="1" applyFont="1" applyFill="1" applyBorder="1" applyAlignment="1">
      <alignment horizontal="right" indent="1"/>
    </xf>
    <xf numFmtId="165" fontId="89" fillId="0" borderId="0" xfId="0" applyNumberFormat="1" applyFont="1" applyFill="1" applyBorder="1" applyAlignment="1">
      <alignment horizontal="right" indent="1"/>
    </xf>
    <xf numFmtId="3" fontId="85" fillId="0" borderId="0" xfId="0" quotePrefix="1" applyNumberFormat="1" applyFont="1" applyAlignment="1">
      <alignment horizontal="right" indent="1"/>
    </xf>
    <xf numFmtId="0" fontId="67" fillId="0" borderId="0" xfId="0" applyFont="1" applyFill="1"/>
    <xf numFmtId="171" fontId="86" fillId="7" borderId="35" xfId="0" applyNumberFormat="1" applyFont="1" applyFill="1" applyBorder="1" applyAlignment="1">
      <alignment horizontal="right" indent="1"/>
    </xf>
    <xf numFmtId="171" fontId="88" fillId="7" borderId="35" xfId="0" applyNumberFormat="1" applyFont="1" applyFill="1" applyBorder="1" applyAlignment="1">
      <alignment horizontal="right" indent="1"/>
    </xf>
    <xf numFmtId="171" fontId="87" fillId="0" borderId="0" xfId="0" applyNumberFormat="1" applyFont="1" applyAlignment="1">
      <alignment horizontal="right" indent="1"/>
    </xf>
    <xf numFmtId="171" fontId="89" fillId="0" borderId="0" xfId="0" applyNumberFormat="1" applyFont="1" applyAlignment="1">
      <alignment horizontal="right" indent="1"/>
    </xf>
    <xf numFmtId="171" fontId="87" fillId="7" borderId="0" xfId="0" applyNumberFormat="1" applyFont="1" applyFill="1" applyAlignment="1">
      <alignment horizontal="right" indent="1"/>
    </xf>
    <xf numFmtId="171" fontId="87" fillId="10" borderId="0" xfId="0" applyNumberFormat="1" applyFont="1" applyFill="1" applyAlignment="1">
      <alignment horizontal="right" indent="1"/>
    </xf>
    <xf numFmtId="171" fontId="89" fillId="7" borderId="0" xfId="0" applyNumberFormat="1" applyFont="1" applyFill="1" applyAlignment="1">
      <alignment horizontal="right" indent="1"/>
    </xf>
    <xf numFmtId="171" fontId="87" fillId="0" borderId="2" xfId="0" applyNumberFormat="1" applyFont="1" applyBorder="1" applyAlignment="1">
      <alignment horizontal="right" indent="1"/>
    </xf>
    <xf numFmtId="171" fontId="89" fillId="0" borderId="2" xfId="0" applyNumberFormat="1" applyFont="1" applyBorder="1" applyAlignment="1">
      <alignment horizontal="right" indent="1"/>
    </xf>
    <xf numFmtId="171" fontId="86" fillId="7" borderId="0" xfId="0" applyNumberFormat="1" applyFont="1" applyFill="1" applyAlignment="1">
      <alignment horizontal="right" indent="1"/>
    </xf>
    <xf numFmtId="171" fontId="88" fillId="7" borderId="0" xfId="0" applyNumberFormat="1" applyFont="1" applyFill="1" applyAlignment="1">
      <alignment horizontal="right" indent="1"/>
    </xf>
    <xf numFmtId="171" fontId="87" fillId="4" borderId="0" xfId="0" applyNumberFormat="1" applyFont="1" applyFill="1" applyBorder="1" applyAlignment="1">
      <alignment horizontal="right" indent="1"/>
    </xf>
    <xf numFmtId="171" fontId="89" fillId="4" borderId="0" xfId="0" applyNumberFormat="1" applyFont="1" applyFill="1" applyBorder="1" applyAlignment="1">
      <alignment horizontal="right" indent="1"/>
    </xf>
    <xf numFmtId="171" fontId="87" fillId="0" borderId="0" xfId="0" applyNumberFormat="1" applyFont="1" applyBorder="1" applyAlignment="1">
      <alignment horizontal="right" indent="1"/>
    </xf>
    <xf numFmtId="171" fontId="89" fillId="0" borderId="0" xfId="0" applyNumberFormat="1" applyFont="1" applyBorder="1" applyAlignment="1">
      <alignment horizontal="right" indent="1"/>
    </xf>
    <xf numFmtId="171" fontId="87" fillId="7" borderId="0" xfId="0" applyNumberFormat="1" applyFont="1" applyFill="1" applyBorder="1" applyAlignment="1">
      <alignment horizontal="right" indent="1"/>
    </xf>
    <xf numFmtId="171" fontId="89" fillId="7" borderId="0" xfId="0" applyNumberFormat="1" applyFont="1" applyFill="1" applyBorder="1" applyAlignment="1">
      <alignment horizontal="right" indent="1"/>
    </xf>
    <xf numFmtId="171" fontId="86" fillId="7" borderId="0" xfId="0" applyNumberFormat="1" applyFont="1" applyFill="1" applyBorder="1" applyAlignment="1">
      <alignment horizontal="right" indent="1"/>
    </xf>
    <xf numFmtId="171" fontId="88" fillId="7" borderId="0" xfId="0" applyNumberFormat="1" applyFont="1" applyFill="1" applyBorder="1" applyAlignment="1">
      <alignment horizontal="right" indent="1"/>
    </xf>
    <xf numFmtId="171" fontId="87" fillId="4" borderId="1" xfId="0" applyNumberFormat="1" applyFont="1" applyFill="1" applyBorder="1" applyAlignment="1">
      <alignment horizontal="right" indent="1"/>
    </xf>
    <xf numFmtId="171" fontId="89" fillId="4" borderId="1" xfId="0" applyNumberFormat="1" applyFont="1" applyFill="1" applyBorder="1" applyAlignment="1">
      <alignment horizontal="right" indent="1"/>
    </xf>
    <xf numFmtId="171" fontId="87" fillId="10" borderId="1" xfId="0" applyNumberFormat="1" applyFont="1" applyFill="1" applyBorder="1" applyAlignment="1">
      <alignment horizontal="right" indent="1"/>
    </xf>
    <xf numFmtId="171" fontId="89" fillId="10" borderId="1" xfId="0" applyNumberFormat="1" applyFont="1" applyFill="1" applyBorder="1" applyAlignment="1">
      <alignment horizontal="right" indent="1"/>
    </xf>
    <xf numFmtId="171" fontId="87" fillId="0" borderId="0" xfId="0" applyNumberFormat="1" applyFont="1" applyFill="1" applyBorder="1" applyAlignment="1">
      <alignment horizontal="right" indent="1"/>
    </xf>
    <xf numFmtId="171" fontId="89" fillId="0" borderId="0" xfId="0" applyNumberFormat="1" applyFont="1" applyFill="1" applyBorder="1" applyAlignment="1">
      <alignment horizontal="right" indent="1"/>
    </xf>
    <xf numFmtId="171" fontId="87" fillId="5" borderId="0" xfId="0" applyNumberFormat="1" applyFont="1" applyFill="1" applyBorder="1" applyAlignment="1">
      <alignment horizontal="right" indent="1"/>
    </xf>
    <xf numFmtId="171" fontId="89" fillId="5" borderId="0" xfId="0" applyNumberFormat="1" applyFont="1" applyFill="1" applyBorder="1" applyAlignment="1">
      <alignment horizontal="right" indent="1"/>
    </xf>
    <xf numFmtId="171" fontId="87" fillId="13" borderId="0" xfId="0" applyNumberFormat="1" applyFont="1" applyFill="1" applyAlignment="1">
      <alignment horizontal="right" indent="1"/>
    </xf>
    <xf numFmtId="171" fontId="89" fillId="13" borderId="0" xfId="0" applyNumberFormat="1" applyFont="1" applyFill="1" applyAlignment="1">
      <alignment horizontal="right" indent="1"/>
    </xf>
    <xf numFmtId="171" fontId="87" fillId="10" borderId="0" xfId="0" applyNumberFormat="1" applyFont="1" applyFill="1" applyBorder="1" applyAlignment="1">
      <alignment horizontal="right" indent="1"/>
    </xf>
    <xf numFmtId="171" fontId="89" fillId="10" borderId="0" xfId="0" applyNumberFormat="1" applyFont="1" applyFill="1" applyBorder="1" applyAlignment="1">
      <alignment horizontal="right" indent="1"/>
    </xf>
    <xf numFmtId="171" fontId="87" fillId="5" borderId="37" xfId="0" applyNumberFormat="1" applyFont="1" applyFill="1" applyBorder="1" applyAlignment="1">
      <alignment horizontal="right" indent="1"/>
    </xf>
    <xf numFmtId="171" fontId="89" fillId="5" borderId="37" xfId="0" applyNumberFormat="1" applyFont="1" applyFill="1" applyBorder="1" applyAlignment="1">
      <alignment horizontal="right" indent="1"/>
    </xf>
    <xf numFmtId="171" fontId="87" fillId="0" borderId="0" xfId="0" quotePrefix="1" applyNumberFormat="1" applyFont="1" applyBorder="1" applyAlignment="1">
      <alignment horizontal="right" indent="1"/>
    </xf>
    <xf numFmtId="0" fontId="85" fillId="0" borderId="1" xfId="0" applyFont="1" applyFill="1" applyBorder="1"/>
    <xf numFmtId="3" fontId="85" fillId="0" borderId="0" xfId="0" applyNumberFormat="1" applyFont="1" applyFill="1" applyAlignment="1">
      <alignment horizontal="right" indent="1"/>
    </xf>
    <xf numFmtId="3" fontId="88" fillId="0" borderId="0" xfId="0" applyNumberFormat="1" applyFont="1" applyFill="1" applyAlignment="1">
      <alignment horizontal="right" indent="1"/>
    </xf>
    <xf numFmtId="3" fontId="84" fillId="0" borderId="0" xfId="0" applyNumberFormat="1" applyFont="1" applyFill="1" applyAlignment="1">
      <alignment horizontal="right" indent="1"/>
    </xf>
    <xf numFmtId="0" fontId="85" fillId="11" borderId="3" xfId="0" applyFont="1" applyFill="1" applyBorder="1"/>
    <xf numFmtId="3" fontId="85" fillId="11" borderId="3" xfId="0" applyNumberFormat="1" applyFont="1" applyFill="1" applyBorder="1" applyAlignment="1">
      <alignment horizontal="right" indent="1"/>
    </xf>
    <xf numFmtId="3" fontId="88" fillId="11" borderId="3" xfId="0" applyNumberFormat="1" applyFont="1" applyFill="1" applyBorder="1" applyAlignment="1">
      <alignment horizontal="right" indent="1"/>
    </xf>
    <xf numFmtId="3" fontId="84" fillId="11" borderId="3" xfId="0" applyNumberFormat="1" applyFont="1" applyFill="1" applyBorder="1" applyAlignment="1">
      <alignment horizontal="right" indent="1"/>
    </xf>
    <xf numFmtId="0" fontId="94" fillId="0" borderId="0" xfId="0" applyFont="1" applyBorder="1"/>
    <xf numFmtId="3" fontId="85" fillId="0" borderId="0" xfId="0" applyNumberFormat="1" applyFont="1" applyBorder="1" applyAlignment="1">
      <alignment horizontal="right" indent="1"/>
    </xf>
    <xf numFmtId="3" fontId="88" fillId="0" borderId="0" xfId="0" applyNumberFormat="1" applyFont="1" applyBorder="1" applyAlignment="1">
      <alignment horizontal="right" indent="1"/>
    </xf>
    <xf numFmtId="3" fontId="84" fillId="0" borderId="0" xfId="0" applyNumberFormat="1" applyFont="1" applyBorder="1" applyAlignment="1">
      <alignment horizontal="right" indent="1"/>
    </xf>
    <xf numFmtId="0" fontId="67" fillId="2" borderId="0" xfId="0" applyFont="1" applyFill="1" applyBorder="1"/>
    <xf numFmtId="3" fontId="67" fillId="2" borderId="0" xfId="0" applyNumberFormat="1" applyFont="1" applyFill="1" applyAlignment="1">
      <alignment horizontal="right" indent="1"/>
    </xf>
    <xf numFmtId="3" fontId="89" fillId="2" borderId="0" xfId="0" applyNumberFormat="1" applyFont="1" applyFill="1" applyAlignment="1">
      <alignment horizontal="right" indent="1"/>
    </xf>
    <xf numFmtId="3" fontId="84" fillId="2" borderId="0" xfId="0" applyNumberFormat="1" applyFont="1" applyFill="1" applyAlignment="1">
      <alignment horizontal="right" indent="1"/>
    </xf>
    <xf numFmtId="0" fontId="67" fillId="0" borderId="0" xfId="0" applyFont="1" applyFill="1" applyBorder="1"/>
    <xf numFmtId="3" fontId="67" fillId="0" borderId="0" xfId="0" applyNumberFormat="1" applyFont="1" applyFill="1" applyAlignment="1">
      <alignment horizontal="right" indent="1"/>
    </xf>
    <xf numFmtId="3" fontId="89" fillId="0" borderId="0" xfId="0" applyNumberFormat="1" applyFont="1" applyFill="1" applyAlignment="1">
      <alignment horizontal="right" indent="1"/>
    </xf>
    <xf numFmtId="3" fontId="6" fillId="0" borderId="0" xfId="0" applyNumberFormat="1" applyFont="1" applyFill="1" applyBorder="1"/>
    <xf numFmtId="3" fontId="15" fillId="0" borderId="0" xfId="0" applyNumberFormat="1" applyFont="1" applyBorder="1" applyAlignment="1">
      <alignment horizontal="center" vertical="center"/>
    </xf>
    <xf numFmtId="3" fontId="95" fillId="0" borderId="0" xfId="0" applyNumberFormat="1" applyFont="1" applyBorder="1" applyAlignment="1">
      <alignment horizontal="center" vertical="center"/>
    </xf>
    <xf numFmtId="0" fontId="15" fillId="0" borderId="0" xfId="0" applyFont="1" applyFill="1"/>
    <xf numFmtId="165" fontId="15" fillId="0" borderId="0" xfId="0" applyNumberFormat="1" applyFont="1"/>
    <xf numFmtId="0" fontId="15" fillId="0" borderId="0" xfId="0" applyFont="1" applyAlignment="1">
      <alignment horizontal="center"/>
    </xf>
    <xf numFmtId="0" fontId="96" fillId="0" borderId="0" xfId="0" applyFont="1" applyAlignment="1">
      <alignment horizontal="center"/>
    </xf>
    <xf numFmtId="165" fontId="67" fillId="0" borderId="0" xfId="0" applyNumberFormat="1" applyFont="1"/>
    <xf numFmtId="167" fontId="85" fillId="11" borderId="3" xfId="0" applyNumberFormat="1" applyFont="1" applyFill="1" applyBorder="1" applyAlignment="1">
      <alignment horizontal="right" indent="1"/>
    </xf>
    <xf numFmtId="167" fontId="84" fillId="11" borderId="3" xfId="0" applyNumberFormat="1" applyFont="1" applyFill="1" applyBorder="1" applyAlignment="1">
      <alignment horizontal="right" indent="1"/>
    </xf>
    <xf numFmtId="167" fontId="85" fillId="0" borderId="0" xfId="0" applyNumberFormat="1" applyFont="1" applyBorder="1" applyAlignment="1">
      <alignment horizontal="right" indent="1"/>
    </xf>
    <xf numFmtId="167" fontId="84" fillId="0" borderId="0" xfId="0" applyNumberFormat="1" applyFont="1" applyBorder="1" applyAlignment="1">
      <alignment horizontal="right" indent="1"/>
    </xf>
    <xf numFmtId="167" fontId="67" fillId="2" borderId="0" xfId="0" applyNumberFormat="1" applyFont="1" applyFill="1" applyAlignment="1">
      <alignment horizontal="right" indent="1"/>
    </xf>
    <xf numFmtId="167" fontId="84" fillId="2" borderId="0" xfId="0" applyNumberFormat="1" applyFont="1" applyFill="1" applyAlignment="1">
      <alignment horizontal="right" indent="1"/>
    </xf>
    <xf numFmtId="167" fontId="67" fillId="0" borderId="0" xfId="0" applyNumberFormat="1" applyFont="1" applyFill="1" applyAlignment="1">
      <alignment horizontal="right" indent="1"/>
    </xf>
    <xf numFmtId="167" fontId="84" fillId="0" borderId="0" xfId="0" applyNumberFormat="1" applyFont="1" applyFill="1" applyAlignment="1">
      <alignment horizontal="right" indent="1"/>
    </xf>
    <xf numFmtId="167" fontId="88" fillId="11" borderId="3" xfId="0" applyNumberFormat="1" applyFont="1" applyFill="1" applyBorder="1" applyAlignment="1">
      <alignment horizontal="right" indent="1"/>
    </xf>
    <xf numFmtId="167" fontId="88" fillId="0" borderId="0" xfId="0" applyNumberFormat="1" applyFont="1" applyBorder="1" applyAlignment="1">
      <alignment horizontal="right" indent="1"/>
    </xf>
    <xf numFmtId="167" fontId="89" fillId="2" borderId="0" xfId="0" applyNumberFormat="1" applyFont="1" applyFill="1" applyAlignment="1">
      <alignment horizontal="right" indent="1"/>
    </xf>
    <xf numFmtId="167" fontId="89" fillId="0" borderId="0" xfId="0" applyNumberFormat="1" applyFont="1" applyFill="1" applyAlignment="1">
      <alignment horizontal="right" indent="1"/>
    </xf>
    <xf numFmtId="167" fontId="85" fillId="0" borderId="0" xfId="0" applyNumberFormat="1" applyFont="1" applyFill="1" applyAlignment="1">
      <alignment horizontal="right" indent="1"/>
    </xf>
    <xf numFmtId="167" fontId="88" fillId="0" borderId="0" xfId="0" applyNumberFormat="1" applyFont="1" applyFill="1" applyAlignment="1">
      <alignment horizontal="right" indent="1"/>
    </xf>
    <xf numFmtId="0" fontId="96" fillId="0" borderId="0" xfId="0" applyFont="1"/>
    <xf numFmtId="0" fontId="85" fillId="2" borderId="1" xfId="0" applyFont="1" applyFill="1" applyBorder="1"/>
    <xf numFmtId="3" fontId="6" fillId="0" borderId="0" xfId="0" applyNumberFormat="1" applyFont="1" applyBorder="1" applyAlignment="1">
      <alignment horizontal="center" vertical="center"/>
    </xf>
    <xf numFmtId="3" fontId="56" fillId="0" borderId="0" xfId="0" applyNumberFormat="1" applyFont="1" applyBorder="1" applyAlignment="1">
      <alignment horizontal="center" vertical="center"/>
    </xf>
    <xf numFmtId="0" fontId="6" fillId="2" borderId="2" xfId="0" applyFont="1" applyFill="1" applyBorder="1"/>
    <xf numFmtId="0" fontId="6" fillId="0" borderId="0" xfId="0" applyFont="1" applyAlignment="1">
      <alignment horizontal="center"/>
    </xf>
    <xf numFmtId="0" fontId="21" fillId="0" borderId="0" xfId="0" applyFont="1" applyAlignment="1">
      <alignment horizontal="center"/>
    </xf>
    <xf numFmtId="0" fontId="6" fillId="2" borderId="0" xfId="0" quotePrefix="1" applyFont="1" applyFill="1" applyBorder="1" applyAlignment="1"/>
    <xf numFmtId="0" fontId="21" fillId="0" borderId="0" xfId="0" applyFont="1"/>
    <xf numFmtId="0" fontId="5" fillId="5" borderId="0" xfId="0" applyFont="1" applyFill="1"/>
    <xf numFmtId="3" fontId="5" fillId="5" borderId="0" xfId="0" applyNumberFormat="1" applyFont="1" applyFill="1" applyAlignment="1">
      <alignment horizontal="right" indent="1"/>
    </xf>
    <xf numFmtId="3" fontId="0" fillId="5" borderId="0" xfId="0" quotePrefix="1" applyNumberFormat="1" applyFill="1" applyAlignment="1">
      <alignment horizontal="right" indent="1"/>
    </xf>
    <xf numFmtId="3" fontId="45" fillId="5" borderId="0" xfId="0" applyNumberFormat="1" applyFont="1" applyFill="1" applyAlignment="1">
      <alignment horizontal="right" indent="1"/>
    </xf>
    <xf numFmtId="3" fontId="4" fillId="5" borderId="0" xfId="0" applyNumberFormat="1" applyFont="1" applyFill="1" applyAlignment="1">
      <alignment horizontal="right" indent="1"/>
    </xf>
    <xf numFmtId="0" fontId="1" fillId="5" borderId="0" xfId="0" applyFont="1" applyFill="1"/>
    <xf numFmtId="3" fontId="0" fillId="5" borderId="0" xfId="0" applyNumberFormat="1" applyFill="1" applyAlignment="1">
      <alignment horizontal="right" indent="1"/>
    </xf>
    <xf numFmtId="3" fontId="46" fillId="5" borderId="0" xfId="0" applyNumberFormat="1" applyFont="1" applyFill="1" applyAlignment="1">
      <alignment horizontal="right" indent="1"/>
    </xf>
    <xf numFmtId="3" fontId="3" fillId="5" borderId="0" xfId="0" applyNumberFormat="1" applyFont="1" applyFill="1" applyAlignment="1">
      <alignment horizontal="right" indent="1"/>
    </xf>
    <xf numFmtId="3" fontId="5" fillId="5" borderId="0" xfId="0" quotePrefix="1" applyNumberFormat="1" applyFont="1" applyFill="1" applyAlignment="1">
      <alignment horizontal="right" indent="1"/>
    </xf>
    <xf numFmtId="166" fontId="5" fillId="5" borderId="0" xfId="0" applyNumberFormat="1" applyFont="1" applyFill="1" applyAlignment="1">
      <alignment horizontal="right" indent="1"/>
    </xf>
    <xf numFmtId="166" fontId="45" fillId="5" borderId="0" xfId="0" applyNumberFormat="1" applyFont="1" applyFill="1" applyAlignment="1">
      <alignment horizontal="right" indent="1"/>
    </xf>
    <xf numFmtId="166" fontId="4" fillId="5" borderId="0" xfId="0" applyNumberFormat="1" applyFont="1" applyFill="1" applyAlignment="1">
      <alignment horizontal="right" indent="1"/>
    </xf>
    <xf numFmtId="166" fontId="0" fillId="5" borderId="0" xfId="0" applyNumberFormat="1" applyFill="1" applyAlignment="1">
      <alignment horizontal="right" indent="1"/>
    </xf>
    <xf numFmtId="166" fontId="46" fillId="5" borderId="0" xfId="0" applyNumberFormat="1" applyFont="1" applyFill="1" applyAlignment="1">
      <alignment horizontal="right" indent="1"/>
    </xf>
    <xf numFmtId="166" fontId="3" fillId="5" borderId="0" xfId="0" applyNumberFormat="1" applyFont="1" applyFill="1" applyAlignment="1">
      <alignment horizontal="right" indent="1"/>
    </xf>
    <xf numFmtId="3" fontId="46" fillId="5" borderId="0" xfId="0" quotePrefix="1" applyNumberFormat="1" applyFont="1" applyFill="1" applyAlignment="1">
      <alignment horizontal="right" indent="1"/>
    </xf>
    <xf numFmtId="0" fontId="78" fillId="3" borderId="0" xfId="0" applyFont="1" applyFill="1" applyAlignment="1">
      <alignment horizontal="center"/>
    </xf>
    <xf numFmtId="0" fontId="78" fillId="3" borderId="38" xfId="0" applyFont="1" applyFill="1" applyBorder="1" applyAlignment="1">
      <alignment horizontal="center" vertical="top"/>
    </xf>
    <xf numFmtId="0" fontId="78" fillId="3" borderId="39" xfId="0" applyFont="1" applyFill="1" applyBorder="1" applyAlignment="1">
      <alignment horizontal="center" vertical="top"/>
    </xf>
    <xf numFmtId="0" fontId="78" fillId="3" borderId="40" xfId="0" applyFont="1" applyFill="1" applyBorder="1" applyAlignment="1">
      <alignment horizontal="center" vertical="top"/>
    </xf>
    <xf numFmtId="0" fontId="0" fillId="0" borderId="0" xfId="0" applyAlignment="1">
      <alignment vertical="center"/>
    </xf>
    <xf numFmtId="0" fontId="8" fillId="0" borderId="0" xfId="0" applyFont="1" applyFill="1" applyAlignment="1">
      <alignment horizontal="left" vertical="center"/>
    </xf>
    <xf numFmtId="0" fontId="9" fillId="0" borderId="0" xfId="0" applyFont="1" applyAlignment="1">
      <alignment vertical="center"/>
    </xf>
    <xf numFmtId="0" fontId="46" fillId="0" borderId="0" xfId="0" applyFont="1" applyAlignment="1">
      <alignment vertical="center"/>
    </xf>
    <xf numFmtId="0" fontId="9" fillId="0" borderId="0" xfId="0" applyFont="1" applyFill="1" applyAlignment="1">
      <alignment vertical="center"/>
    </xf>
    <xf numFmtId="0" fontId="80" fillId="3" borderId="0" xfId="3" applyFont="1" applyFill="1" applyBorder="1" applyAlignment="1">
      <alignment horizontal="left" vertical="top"/>
    </xf>
    <xf numFmtId="0" fontId="93" fillId="0" borderId="0" xfId="0" applyFont="1" applyBorder="1" applyAlignment="1">
      <alignment horizontal="center"/>
    </xf>
    <xf numFmtId="0" fontId="58" fillId="0" borderId="1" xfId="0" applyFont="1" applyBorder="1" applyAlignment="1">
      <alignment horizontal="center"/>
    </xf>
    <xf numFmtId="0" fontId="58" fillId="0" borderId="0" xfId="0" applyFont="1" applyBorder="1" applyAlignment="1">
      <alignment horizontal="center"/>
    </xf>
    <xf numFmtId="0" fontId="58" fillId="0" borderId="2" xfId="0" applyFont="1" applyBorder="1" applyAlignment="1">
      <alignment horizontal="center"/>
    </xf>
    <xf numFmtId="0" fontId="67" fillId="0" borderId="0" xfId="0" quotePrefix="1" applyFont="1"/>
    <xf numFmtId="166" fontId="5" fillId="5" borderId="0" xfId="0" quotePrefix="1" applyNumberFormat="1" applyFont="1" applyFill="1" applyAlignment="1">
      <alignment horizontal="right" indent="1"/>
    </xf>
    <xf numFmtId="167" fontId="0" fillId="5" borderId="0" xfId="0" quotePrefix="1" applyNumberFormat="1" applyFill="1" applyAlignment="1">
      <alignment horizontal="right" indent="1"/>
    </xf>
    <xf numFmtId="167" fontId="0" fillId="0" borderId="0" xfId="0" quotePrefix="1" applyNumberFormat="1" applyAlignment="1">
      <alignment horizontal="right" indent="1"/>
    </xf>
    <xf numFmtId="167" fontId="0" fillId="0" borderId="2" xfId="0" quotePrefix="1" applyNumberFormat="1" applyBorder="1" applyAlignment="1">
      <alignment horizontal="right" indent="1"/>
    </xf>
    <xf numFmtId="167" fontId="0" fillId="0" borderId="2" xfId="0" applyNumberFormat="1" applyBorder="1" applyAlignment="1">
      <alignment horizontal="right" indent="1"/>
    </xf>
    <xf numFmtId="0" fontId="87" fillId="7" borderId="0" xfId="0" quotePrefix="1" applyFont="1" applyFill="1"/>
    <xf numFmtId="166" fontId="9" fillId="4" borderId="19" xfId="0" quotePrefix="1" applyNumberFormat="1" applyFont="1" applyFill="1" applyBorder="1" applyAlignment="1">
      <alignment horizontal="right" indent="1"/>
    </xf>
    <xf numFmtId="0" fontId="5" fillId="9" borderId="2" xfId="0" applyFont="1" applyFill="1" applyBorder="1"/>
    <xf numFmtId="3" fontId="5" fillId="9" borderId="2" xfId="0" applyNumberFormat="1" applyFont="1" applyFill="1" applyBorder="1" applyAlignment="1">
      <alignment horizontal="right" indent="1"/>
    </xf>
    <xf numFmtId="3" fontId="45" fillId="9" borderId="2" xfId="0" applyNumberFormat="1" applyFont="1" applyFill="1" applyBorder="1" applyAlignment="1">
      <alignment horizontal="right" indent="1"/>
    </xf>
    <xf numFmtId="3" fontId="4" fillId="9" borderId="2" xfId="0" applyNumberFormat="1" applyFont="1" applyFill="1" applyBorder="1" applyAlignment="1">
      <alignment horizontal="right" indent="1"/>
    </xf>
    <xf numFmtId="165" fontId="0" fillId="2" borderId="0" xfId="0" applyNumberFormat="1" applyFill="1" applyBorder="1" applyAlignment="1">
      <alignment horizontal="right" indent="1"/>
    </xf>
    <xf numFmtId="165" fontId="1" fillId="2" borderId="0" xfId="0" quotePrefix="1" applyNumberFormat="1" applyFont="1" applyFill="1" applyBorder="1" applyAlignment="1">
      <alignment horizontal="right" indent="1"/>
    </xf>
    <xf numFmtId="165" fontId="46" fillId="2" borderId="0" xfId="0" applyNumberFormat="1" applyFont="1" applyFill="1" applyBorder="1" applyAlignment="1">
      <alignment horizontal="right" indent="1"/>
    </xf>
    <xf numFmtId="165" fontId="3" fillId="2" borderId="0" xfId="0" applyNumberFormat="1" applyFont="1" applyFill="1" applyBorder="1" applyAlignment="1">
      <alignment horizontal="right" indent="1"/>
    </xf>
    <xf numFmtId="173" fontId="67" fillId="0" borderId="0" xfId="0" applyNumberFormat="1" applyFont="1" applyBorder="1" applyAlignment="1">
      <alignment horizontal="right" indent="1"/>
    </xf>
    <xf numFmtId="173" fontId="89" fillId="0" borderId="0" xfId="0" applyNumberFormat="1" applyFont="1" applyBorder="1" applyAlignment="1">
      <alignment horizontal="right" indent="1"/>
    </xf>
    <xf numFmtId="171" fontId="85" fillId="0" borderId="0" xfId="0" applyNumberFormat="1" applyFont="1" applyAlignment="1">
      <alignment horizontal="right" indent="1"/>
    </xf>
    <xf numFmtId="171" fontId="88" fillId="0" borderId="0" xfId="0" applyNumberFormat="1" applyFont="1" applyAlignment="1">
      <alignment horizontal="right" indent="1"/>
    </xf>
    <xf numFmtId="171" fontId="67" fillId="0" borderId="0" xfId="0" applyNumberFormat="1" applyFont="1" applyAlignment="1">
      <alignment horizontal="right" indent="1"/>
    </xf>
    <xf numFmtId="171" fontId="67" fillId="0" borderId="2" xfId="0" applyNumberFormat="1" applyFont="1" applyBorder="1" applyAlignment="1">
      <alignment horizontal="right" indent="1"/>
    </xf>
    <xf numFmtId="171" fontId="85" fillId="0" borderId="2" xfId="0" applyNumberFormat="1" applyFont="1" applyBorder="1" applyAlignment="1">
      <alignment horizontal="right" indent="1"/>
    </xf>
    <xf numFmtId="171" fontId="88" fillId="0" borderId="2" xfId="0" applyNumberFormat="1" applyFont="1" applyBorder="1" applyAlignment="1">
      <alignment horizontal="right" indent="1"/>
    </xf>
    <xf numFmtId="171" fontId="67" fillId="0" borderId="0" xfId="0" applyNumberFormat="1" applyFont="1" applyBorder="1" applyAlignment="1">
      <alignment horizontal="right" indent="1"/>
    </xf>
    <xf numFmtId="173" fontId="87" fillId="0" borderId="2" xfId="0" applyNumberFormat="1" applyFont="1" applyBorder="1" applyAlignment="1">
      <alignment horizontal="right" indent="1"/>
    </xf>
    <xf numFmtId="173" fontId="89" fillId="0" borderId="2" xfId="0" applyNumberFormat="1" applyFont="1" applyBorder="1" applyAlignment="1">
      <alignment horizontal="right" indent="1"/>
    </xf>
    <xf numFmtId="3" fontId="89" fillId="0" borderId="0" xfId="0" applyNumberFormat="1" applyFont="1" applyBorder="1" applyAlignment="1">
      <alignment horizontal="right"/>
    </xf>
    <xf numFmtId="3" fontId="67" fillId="0" borderId="0" xfId="0" applyNumberFormat="1" applyFont="1" applyBorder="1" applyAlignment="1">
      <alignment horizontal="right"/>
    </xf>
    <xf numFmtId="3" fontId="67" fillId="0" borderId="0" xfId="0" applyNumberFormat="1" applyFont="1" applyFill="1" applyBorder="1" applyAlignment="1">
      <alignment horizontal="right"/>
    </xf>
    <xf numFmtId="165" fontId="90" fillId="0" borderId="0" xfId="0" applyNumberFormat="1" applyFont="1" applyBorder="1" applyAlignment="1">
      <alignment horizontal="right" indent="1"/>
    </xf>
    <xf numFmtId="165" fontId="100" fillId="0" borderId="0" xfId="0" applyNumberFormat="1" applyFont="1" applyBorder="1" applyAlignment="1">
      <alignment horizontal="right" indent="1"/>
    </xf>
    <xf numFmtId="165" fontId="86" fillId="7" borderId="35" xfId="0" applyNumberFormat="1" applyFont="1" applyFill="1" applyBorder="1" applyAlignment="1">
      <alignment horizontal="right"/>
    </xf>
    <xf numFmtId="165" fontId="88" fillId="7" borderId="35" xfId="0" applyNumberFormat="1" applyFont="1" applyFill="1" applyBorder="1" applyAlignment="1">
      <alignment horizontal="right"/>
    </xf>
    <xf numFmtId="165" fontId="87" fillId="0" borderId="0" xfId="0" applyNumberFormat="1" applyFont="1" applyAlignment="1">
      <alignment horizontal="right"/>
    </xf>
    <xf numFmtId="165" fontId="89" fillId="0" borderId="0" xfId="0" applyNumberFormat="1" applyFont="1" applyAlignment="1">
      <alignment horizontal="right"/>
    </xf>
    <xf numFmtId="165" fontId="87" fillId="7" borderId="0" xfId="0" applyNumberFormat="1" applyFont="1" applyFill="1" applyAlignment="1">
      <alignment horizontal="right"/>
    </xf>
    <xf numFmtId="165" fontId="89" fillId="7" borderId="0" xfId="0" applyNumberFormat="1" applyFont="1" applyFill="1" applyAlignment="1">
      <alignment horizontal="right"/>
    </xf>
    <xf numFmtId="165" fontId="87" fillId="0" borderId="2" xfId="0" applyNumberFormat="1" applyFont="1" applyBorder="1" applyAlignment="1">
      <alignment horizontal="right"/>
    </xf>
    <xf numFmtId="165" fontId="89" fillId="0" borderId="2" xfId="0" applyNumberFormat="1" applyFont="1" applyBorder="1" applyAlignment="1">
      <alignment horizontal="right"/>
    </xf>
    <xf numFmtId="165" fontId="86" fillId="7" borderId="0" xfId="0" applyNumberFormat="1" applyFont="1" applyFill="1" applyAlignment="1">
      <alignment horizontal="right"/>
    </xf>
    <xf numFmtId="165" fontId="88" fillId="7" borderId="0" xfId="0" applyNumberFormat="1" applyFont="1" applyFill="1" applyAlignment="1">
      <alignment horizontal="right"/>
    </xf>
    <xf numFmtId="0" fontId="87" fillId="4" borderId="2" xfId="0" applyFont="1" applyFill="1" applyBorder="1" applyAlignment="1">
      <alignment horizontal="right"/>
    </xf>
    <xf numFmtId="0" fontId="89" fillId="4" borderId="2" xfId="0" applyFont="1" applyFill="1" applyBorder="1" applyAlignment="1">
      <alignment horizontal="right"/>
    </xf>
    <xf numFmtId="165" fontId="87" fillId="4" borderId="2" xfId="0" applyNumberFormat="1" applyFont="1" applyFill="1" applyBorder="1" applyAlignment="1">
      <alignment horizontal="right"/>
    </xf>
    <xf numFmtId="0" fontId="67" fillId="4" borderId="0" xfId="0" applyFont="1" applyFill="1" applyAlignment="1">
      <alignment horizontal="right"/>
    </xf>
    <xf numFmtId="0" fontId="89" fillId="4" borderId="0" xfId="0" applyFont="1" applyFill="1" applyAlignment="1">
      <alignment horizontal="right"/>
    </xf>
    <xf numFmtId="165" fontId="67" fillId="0" borderId="0" xfId="0" applyNumberFormat="1" applyFont="1" applyAlignment="1">
      <alignment horizontal="right"/>
    </xf>
    <xf numFmtId="165" fontId="87" fillId="7" borderId="35" xfId="0" applyNumberFormat="1" applyFont="1" applyFill="1" applyBorder="1" applyAlignment="1">
      <alignment horizontal="right"/>
    </xf>
    <xf numFmtId="165" fontId="89" fillId="7" borderId="35" xfId="0" applyNumberFormat="1" applyFont="1" applyFill="1" applyBorder="1" applyAlignment="1">
      <alignment horizontal="right"/>
    </xf>
    <xf numFmtId="165" fontId="87" fillId="7" borderId="0" xfId="0" applyNumberFormat="1" applyFont="1" applyFill="1" applyBorder="1" applyAlignment="1">
      <alignment horizontal="right"/>
    </xf>
    <xf numFmtId="165" fontId="89" fillId="7" borderId="0" xfId="0" applyNumberFormat="1" applyFont="1" applyFill="1" applyBorder="1" applyAlignment="1">
      <alignment horizontal="right"/>
    </xf>
    <xf numFmtId="173" fontId="87" fillId="0" borderId="2" xfId="0" applyNumberFormat="1" applyFont="1" applyBorder="1" applyAlignment="1">
      <alignment horizontal="right"/>
    </xf>
    <xf numFmtId="173" fontId="89" fillId="0" borderId="2" xfId="0" applyNumberFormat="1" applyFont="1" applyBorder="1" applyAlignment="1">
      <alignment horizontal="right"/>
    </xf>
    <xf numFmtId="165" fontId="87" fillId="0" borderId="0" xfId="0" applyNumberFormat="1" applyFont="1" applyFill="1" applyBorder="1" applyAlignment="1">
      <alignment horizontal="right"/>
    </xf>
    <xf numFmtId="165" fontId="89" fillId="0" borderId="0" xfId="0" applyNumberFormat="1" applyFont="1" applyFill="1" applyBorder="1" applyAlignment="1">
      <alignment horizontal="right"/>
    </xf>
    <xf numFmtId="167" fontId="87" fillId="0" borderId="2" xfId="0" applyNumberFormat="1" applyFont="1" applyBorder="1" applyAlignment="1">
      <alignment horizontal="right"/>
    </xf>
    <xf numFmtId="167" fontId="9" fillId="0" borderId="0" xfId="0" applyNumberFormat="1" applyFont="1"/>
    <xf numFmtId="0" fontId="5" fillId="0" borderId="0" xfId="0" applyFont="1" applyAlignment="1">
      <alignment horizontal="center" vertical="top" wrapText="1"/>
    </xf>
    <xf numFmtId="0" fontId="101" fillId="0" borderId="0" xfId="0" applyFont="1" applyAlignment="1">
      <alignment horizontal="center"/>
    </xf>
    <xf numFmtId="0" fontId="102" fillId="0" borderId="0" xfId="0" applyFont="1" applyAlignment="1">
      <alignment horizontal="left" indent="7"/>
    </xf>
    <xf numFmtId="0" fontId="103" fillId="0" borderId="0" xfId="0" applyFont="1" applyAlignment="1">
      <alignment horizontal="left" indent="7"/>
    </xf>
    <xf numFmtId="0" fontId="104" fillId="0" borderId="0" xfId="0" applyFont="1" applyAlignment="1"/>
    <xf numFmtId="0" fontId="103" fillId="0" borderId="0" xfId="0" applyFont="1" applyAlignment="1">
      <alignment horizontal="left" indent="6"/>
    </xf>
    <xf numFmtId="0" fontId="2" fillId="0" borderId="0" xfId="0" applyFont="1" applyAlignment="1">
      <alignment horizontal="center"/>
    </xf>
    <xf numFmtId="0" fontId="1" fillId="0" borderId="0" xfId="0" applyFont="1" applyAlignment="1">
      <alignment horizontal="center"/>
    </xf>
    <xf numFmtId="17" fontId="5" fillId="0" borderId="0" xfId="0" quotePrefix="1" applyNumberFormat="1" applyFont="1" applyAlignment="1">
      <alignment horizontal="center"/>
    </xf>
    <xf numFmtId="3" fontId="1" fillId="5" borderId="19" xfId="0" applyNumberFormat="1" applyFont="1" applyFill="1" applyBorder="1" applyAlignment="1">
      <alignment horizontal="right" indent="1"/>
    </xf>
    <xf numFmtId="3" fontId="1" fillId="5" borderId="23" xfId="0" applyNumberFormat="1" applyFont="1" applyFill="1" applyBorder="1" applyAlignment="1">
      <alignment horizontal="right" indent="1"/>
    </xf>
    <xf numFmtId="165" fontId="1" fillId="6" borderId="0" xfId="0" applyNumberFormat="1" applyFont="1" applyFill="1" applyAlignment="1">
      <alignment horizontal="right" indent="1"/>
    </xf>
    <xf numFmtId="165" fontId="1" fillId="4" borderId="0" xfId="0" applyNumberFormat="1" applyFont="1" applyFill="1" applyAlignment="1">
      <alignment horizontal="right" indent="1"/>
    </xf>
    <xf numFmtId="3" fontId="1" fillId="2" borderId="0" xfId="0" applyNumberFormat="1" applyFont="1" applyFill="1" applyBorder="1" applyAlignment="1">
      <alignment horizontal="right" indent="1"/>
    </xf>
    <xf numFmtId="165" fontId="1" fillId="2" borderId="0" xfId="0" applyNumberFormat="1" applyFont="1" applyFill="1" applyBorder="1" applyAlignment="1">
      <alignment horizontal="right" indent="1"/>
    </xf>
    <xf numFmtId="0" fontId="1" fillId="0" borderId="4" xfId="0" applyFont="1" applyBorder="1" applyAlignment="1" applyProtection="1">
      <alignment horizontal="center"/>
      <protection locked="0"/>
    </xf>
    <xf numFmtId="3" fontId="1" fillId="0" borderId="4" xfId="0" applyNumberFormat="1" applyFont="1" applyBorder="1" applyAlignment="1" applyProtection="1">
      <alignment horizontal="center"/>
      <protection locked="0"/>
    </xf>
    <xf numFmtId="0" fontId="3" fillId="0" borderId="4" xfId="0" applyFont="1" applyBorder="1" applyAlignment="1" applyProtection="1">
      <alignment horizontal="center"/>
      <protection locked="0"/>
    </xf>
    <xf numFmtId="0" fontId="1" fillId="0" borderId="0" xfId="0" applyFont="1" applyBorder="1" applyAlignment="1" applyProtection="1">
      <alignment horizontal="center"/>
      <protection locked="0"/>
    </xf>
    <xf numFmtId="0" fontId="3" fillId="0" borderId="0" xfId="0" applyFont="1" applyBorder="1" applyAlignment="1" applyProtection="1">
      <alignment horizontal="center"/>
      <protection locked="0"/>
    </xf>
    <xf numFmtId="0" fontId="1" fillId="0" borderId="5" xfId="0" applyFont="1" applyBorder="1" applyAlignment="1" applyProtection="1">
      <alignment horizontal="center"/>
      <protection locked="0"/>
    </xf>
    <xf numFmtId="0" fontId="3" fillId="0" borderId="5" xfId="0" applyFont="1" applyBorder="1" applyAlignment="1" applyProtection="1">
      <alignment horizontal="center"/>
      <protection locked="0"/>
    </xf>
    <xf numFmtId="0" fontId="48" fillId="7" borderId="35" xfId="0" applyFont="1" applyFill="1" applyBorder="1"/>
    <xf numFmtId="3" fontId="48" fillId="7" borderId="35" xfId="0" applyNumberFormat="1" applyFont="1" applyFill="1" applyBorder="1" applyAlignment="1">
      <alignment horizontal="right" indent="1"/>
    </xf>
    <xf numFmtId="3" fontId="45" fillId="7" borderId="35" xfId="0" applyNumberFormat="1" applyFont="1" applyFill="1" applyBorder="1" applyAlignment="1">
      <alignment horizontal="right" indent="1"/>
    </xf>
    <xf numFmtId="0" fontId="98" fillId="0" borderId="0" xfId="0" applyFont="1"/>
    <xf numFmtId="3" fontId="98" fillId="0" borderId="0" xfId="0" applyNumberFormat="1" applyFont="1" applyAlignment="1">
      <alignment horizontal="right" indent="1"/>
    </xf>
    <xf numFmtId="0" fontId="98" fillId="7" borderId="0" xfId="0" applyFont="1" applyFill="1"/>
    <xf numFmtId="3" fontId="98" fillId="7" borderId="0" xfId="0" applyNumberFormat="1" applyFont="1" applyFill="1" applyAlignment="1">
      <alignment horizontal="right" indent="1"/>
    </xf>
    <xf numFmtId="3" fontId="46" fillId="7" borderId="0" xfId="0" applyNumberFormat="1" applyFont="1" applyFill="1" applyAlignment="1">
      <alignment horizontal="right" indent="1"/>
    </xf>
    <xf numFmtId="0" fontId="48" fillId="7" borderId="0" xfId="0" applyFont="1" applyFill="1"/>
    <xf numFmtId="3" fontId="48" fillId="7" borderId="0" xfId="0" applyNumberFormat="1" applyFont="1" applyFill="1" applyAlignment="1">
      <alignment horizontal="right" indent="1"/>
    </xf>
    <xf numFmtId="3" fontId="45" fillId="7" borderId="0" xfId="0" applyNumberFormat="1" applyFont="1" applyFill="1" applyAlignment="1">
      <alignment horizontal="right" indent="1"/>
    </xf>
    <xf numFmtId="0" fontId="98" fillId="7" borderId="0" xfId="0" quotePrefix="1" applyFont="1" applyFill="1"/>
    <xf numFmtId="0" fontId="48" fillId="0" borderId="0" xfId="0" applyFont="1"/>
    <xf numFmtId="3" fontId="48" fillId="0" borderId="0" xfId="0" applyNumberFormat="1" applyFont="1" applyAlignment="1">
      <alignment horizontal="right" indent="1"/>
    </xf>
    <xf numFmtId="3" fontId="45" fillId="0" borderId="0" xfId="0" applyNumberFormat="1" applyFont="1" applyAlignment="1">
      <alignment horizontal="right" indent="1"/>
    </xf>
    <xf numFmtId="0" fontId="98" fillId="0" borderId="0" xfId="0" applyFont="1" applyBorder="1"/>
    <xf numFmtId="3" fontId="98" fillId="0" borderId="0" xfId="0" applyNumberFormat="1" applyFont="1" applyBorder="1" applyAlignment="1">
      <alignment horizontal="right" indent="1"/>
    </xf>
    <xf numFmtId="0" fontId="98" fillId="7" borderId="0" xfId="0" applyFont="1" applyFill="1" applyBorder="1"/>
    <xf numFmtId="3" fontId="98" fillId="7" borderId="0" xfId="0" applyNumberFormat="1" applyFont="1" applyFill="1" applyBorder="1" applyAlignment="1">
      <alignment horizontal="right" indent="1"/>
    </xf>
    <xf numFmtId="3" fontId="46" fillId="7" borderId="0" xfId="0" applyNumberFormat="1" applyFont="1" applyFill="1" applyBorder="1" applyAlignment="1">
      <alignment horizontal="right" indent="1"/>
    </xf>
    <xf numFmtId="0" fontId="48" fillId="0" borderId="0" xfId="0" applyFont="1" applyBorder="1"/>
    <xf numFmtId="3" fontId="48" fillId="0" borderId="0" xfId="0" applyNumberFormat="1" applyFont="1" applyBorder="1" applyAlignment="1">
      <alignment horizontal="right" indent="1"/>
    </xf>
    <xf numFmtId="3" fontId="45" fillId="0" borderId="0" xfId="0" applyNumberFormat="1" applyFont="1" applyBorder="1" applyAlignment="1">
      <alignment horizontal="right" indent="1"/>
    </xf>
    <xf numFmtId="0" fontId="48" fillId="7" borderId="0" xfId="0" applyFont="1" applyFill="1" applyBorder="1"/>
    <xf numFmtId="3" fontId="48" fillId="7" borderId="0" xfId="0" applyNumberFormat="1" applyFont="1" applyFill="1" applyBorder="1" applyAlignment="1">
      <alignment horizontal="right" indent="1"/>
    </xf>
    <xf numFmtId="3" fontId="45" fillId="7" borderId="0" xfId="0" applyNumberFormat="1" applyFont="1" applyFill="1" applyBorder="1" applyAlignment="1">
      <alignment horizontal="right" indent="1"/>
    </xf>
    <xf numFmtId="0" fontId="98" fillId="10" borderId="0" xfId="0" applyFont="1" applyFill="1"/>
    <xf numFmtId="167" fontId="6" fillId="0" borderId="0" xfId="0" applyNumberFormat="1" applyFont="1"/>
    <xf numFmtId="165" fontId="48" fillId="7" borderId="35" xfId="0" applyNumberFormat="1" applyFont="1" applyFill="1" applyBorder="1" applyAlignment="1">
      <alignment horizontal="right" indent="1"/>
    </xf>
    <xf numFmtId="165" fontId="45" fillId="7" borderId="35" xfId="0" applyNumberFormat="1" applyFont="1" applyFill="1" applyBorder="1" applyAlignment="1">
      <alignment horizontal="right" indent="1"/>
    </xf>
    <xf numFmtId="165" fontId="98" fillId="0" borderId="0" xfId="0" applyNumberFormat="1" applyFont="1" applyAlignment="1">
      <alignment horizontal="right" indent="1"/>
    </xf>
    <xf numFmtId="165" fontId="98" fillId="7" borderId="0" xfId="0" applyNumberFormat="1" applyFont="1" applyFill="1" applyAlignment="1">
      <alignment horizontal="right" indent="1"/>
    </xf>
    <xf numFmtId="165" fontId="46" fillId="7" borderId="0" xfId="0" applyNumberFormat="1" applyFont="1" applyFill="1" applyAlignment="1">
      <alignment horizontal="right" indent="1"/>
    </xf>
    <xf numFmtId="165" fontId="48" fillId="7" borderId="0" xfId="0" applyNumberFormat="1" applyFont="1" applyFill="1" applyAlignment="1">
      <alignment horizontal="right" indent="1"/>
    </xf>
    <xf numFmtId="165" fontId="45" fillId="7" borderId="0" xfId="0" applyNumberFormat="1" applyFont="1" applyFill="1" applyAlignment="1">
      <alignment horizontal="right" indent="1"/>
    </xf>
    <xf numFmtId="165" fontId="48" fillId="0" borderId="0" xfId="0" applyNumberFormat="1" applyFont="1" applyAlignment="1">
      <alignment horizontal="right" indent="1"/>
    </xf>
    <xf numFmtId="165" fontId="45" fillId="0" borderId="0" xfId="0" applyNumberFormat="1" applyFont="1" applyAlignment="1">
      <alignment horizontal="right" indent="1"/>
    </xf>
    <xf numFmtId="165" fontId="98" fillId="0" borderId="0" xfId="0" applyNumberFormat="1" applyFont="1" applyBorder="1" applyAlignment="1">
      <alignment horizontal="right" indent="1"/>
    </xf>
    <xf numFmtId="165" fontId="46" fillId="0" borderId="0" xfId="0" applyNumberFormat="1" applyFont="1" applyBorder="1" applyAlignment="1">
      <alignment horizontal="right" indent="1"/>
    </xf>
    <xf numFmtId="165" fontId="98" fillId="7" borderId="0" xfId="0" applyNumberFormat="1" applyFont="1" applyFill="1" applyBorder="1" applyAlignment="1">
      <alignment horizontal="right" indent="1"/>
    </xf>
    <xf numFmtId="165" fontId="46" fillId="7" borderId="0" xfId="0" applyNumberFormat="1" applyFont="1" applyFill="1" applyBorder="1" applyAlignment="1">
      <alignment horizontal="right" indent="1"/>
    </xf>
    <xf numFmtId="165" fontId="48" fillId="0" borderId="0" xfId="0" applyNumberFormat="1" applyFont="1" applyBorder="1" applyAlignment="1">
      <alignment horizontal="right" indent="1"/>
    </xf>
    <xf numFmtId="165" fontId="45" fillId="0" borderId="0" xfId="0" applyNumberFormat="1" applyFont="1" applyBorder="1" applyAlignment="1">
      <alignment horizontal="right" indent="1"/>
    </xf>
    <xf numFmtId="165" fontId="48" fillId="7" borderId="0" xfId="0" applyNumberFormat="1" applyFont="1" applyFill="1" applyBorder="1" applyAlignment="1">
      <alignment horizontal="right" indent="1"/>
    </xf>
    <xf numFmtId="165" fontId="45" fillId="7" borderId="0" xfId="0" applyNumberFormat="1" applyFont="1" applyFill="1" applyBorder="1" applyAlignment="1">
      <alignment horizontal="right" indent="1"/>
    </xf>
    <xf numFmtId="2" fontId="73" fillId="3" borderId="0" xfId="1" applyNumberFormat="1" applyFont="1" applyFill="1" applyBorder="1" applyAlignment="1" applyProtection="1">
      <alignment vertical="top"/>
    </xf>
    <xf numFmtId="3" fontId="5" fillId="0" borderId="0" xfId="0" applyNumberFormat="1" applyFont="1"/>
    <xf numFmtId="3" fontId="1" fillId="5" borderId="42" xfId="0" applyNumberFormat="1" applyFont="1" applyFill="1" applyBorder="1" applyAlignment="1">
      <alignment horizontal="right" indent="1"/>
    </xf>
    <xf numFmtId="0" fontId="5" fillId="0" borderId="43" xfId="0" applyFont="1" applyBorder="1" applyAlignment="1">
      <alignment horizontal="center"/>
    </xf>
    <xf numFmtId="0" fontId="5" fillId="0" borderId="17" xfId="0" applyFont="1" applyBorder="1" applyAlignment="1">
      <alignment horizontal="center"/>
    </xf>
    <xf numFmtId="3" fontId="5" fillId="0" borderId="44" xfId="0" applyNumberFormat="1" applyFont="1" applyBorder="1" applyAlignment="1">
      <alignment horizontal="center" vertical="center" wrapText="1"/>
    </xf>
    <xf numFmtId="0" fontId="1" fillId="0" borderId="45" xfId="0" applyFont="1" applyBorder="1"/>
    <xf numFmtId="0" fontId="1" fillId="0" borderId="46" xfId="0" applyFont="1" applyBorder="1"/>
    <xf numFmtId="0" fontId="1" fillId="0" borderId="47" xfId="0" applyFont="1" applyBorder="1"/>
    <xf numFmtId="0" fontId="1" fillId="5" borderId="46" xfId="0" applyFont="1" applyFill="1" applyBorder="1"/>
    <xf numFmtId="0" fontId="1" fillId="4" borderId="46" xfId="0" applyFont="1" applyFill="1" applyBorder="1"/>
    <xf numFmtId="0" fontId="0" fillId="0" borderId="46" xfId="0" applyFill="1" applyBorder="1"/>
    <xf numFmtId="0" fontId="0" fillId="5" borderId="46" xfId="0" applyFill="1" applyBorder="1"/>
    <xf numFmtId="0" fontId="1" fillId="4" borderId="46" xfId="6" applyFont="1" applyFill="1" applyBorder="1"/>
    <xf numFmtId="0" fontId="1" fillId="5" borderId="46" xfId="6" applyFont="1" applyFill="1" applyBorder="1"/>
    <xf numFmtId="0" fontId="5" fillId="0" borderId="48" xfId="0" applyFont="1" applyBorder="1"/>
    <xf numFmtId="0" fontId="5" fillId="0" borderId="48" xfId="6" applyFont="1" applyFill="1" applyBorder="1"/>
    <xf numFmtId="0" fontId="5" fillId="0" borderId="49" xfId="6" applyFont="1" applyFill="1" applyBorder="1"/>
    <xf numFmtId="3" fontId="1" fillId="11" borderId="0" xfId="0" quotePrefix="1" applyNumberFormat="1" applyFont="1" applyFill="1" applyBorder="1" applyAlignment="1">
      <alignment horizontal="right" indent="1"/>
    </xf>
    <xf numFmtId="3" fontId="3" fillId="11" borderId="0" xfId="0" applyNumberFormat="1" applyFont="1" applyFill="1" applyAlignment="1">
      <alignment horizontal="right" indent="1"/>
    </xf>
    <xf numFmtId="3" fontId="46" fillId="11" borderId="0" xfId="0" applyNumberFormat="1" applyFont="1" applyFill="1" applyAlignment="1">
      <alignment horizontal="right" indent="1"/>
    </xf>
    <xf numFmtId="3" fontId="3" fillId="11" borderId="0" xfId="0" quotePrefix="1" applyNumberFormat="1" applyFont="1" applyFill="1" applyBorder="1" applyAlignment="1">
      <alignment horizontal="right" indent="1"/>
    </xf>
    <xf numFmtId="0" fontId="5" fillId="11" borderId="3" xfId="0" applyFont="1" applyFill="1" applyBorder="1"/>
    <xf numFmtId="3" fontId="1" fillId="11" borderId="3" xfId="0" applyNumberFormat="1" applyFont="1" applyFill="1" applyBorder="1" applyAlignment="1">
      <alignment horizontal="right" indent="1"/>
    </xf>
    <xf numFmtId="3" fontId="3" fillId="11" borderId="3" xfId="0" applyNumberFormat="1" applyFont="1" applyFill="1" applyBorder="1" applyAlignment="1">
      <alignment horizontal="right" indent="1"/>
    </xf>
    <xf numFmtId="0" fontId="1" fillId="11" borderId="0" xfId="0" applyFont="1" applyFill="1"/>
    <xf numFmtId="3" fontId="46" fillId="11" borderId="3" xfId="0" applyNumberFormat="1" applyFont="1" applyFill="1" applyBorder="1" applyAlignment="1">
      <alignment horizontal="right" indent="1"/>
    </xf>
    <xf numFmtId="3" fontId="0" fillId="6" borderId="0" xfId="0" quotePrefix="1" applyNumberFormat="1" applyFill="1" applyAlignment="1">
      <alignment horizontal="right" indent="1"/>
    </xf>
    <xf numFmtId="165" fontId="46" fillId="6" borderId="0" xfId="0" quotePrefix="1" applyNumberFormat="1" applyFont="1" applyFill="1" applyAlignment="1">
      <alignment horizontal="right" indent="1"/>
    </xf>
    <xf numFmtId="3" fontId="4" fillId="0" borderId="0" xfId="0" applyNumberFormat="1" applyFont="1" applyFill="1" applyAlignment="1">
      <alignment horizontal="right" indent="1"/>
    </xf>
    <xf numFmtId="165" fontId="4" fillId="0" borderId="2" xfId="0" applyNumberFormat="1" applyFont="1" applyFill="1" applyBorder="1" applyAlignment="1">
      <alignment horizontal="right" indent="1"/>
    </xf>
    <xf numFmtId="3" fontId="1" fillId="5" borderId="0" xfId="0" quotePrefix="1" applyNumberFormat="1" applyFont="1" applyFill="1" applyAlignment="1">
      <alignment horizontal="right" indent="1"/>
    </xf>
    <xf numFmtId="0" fontId="1" fillId="0" borderId="0" xfId="0" applyFont="1" applyAlignment="1">
      <alignment horizontal="left"/>
    </xf>
    <xf numFmtId="3" fontId="67" fillId="0" borderId="0" xfId="0" quotePrefix="1" applyNumberFormat="1" applyFont="1" applyAlignment="1">
      <alignment horizontal="right" indent="1"/>
    </xf>
    <xf numFmtId="171" fontId="87" fillId="0" borderId="0" xfId="0" quotePrefix="1" applyNumberFormat="1" applyFont="1" applyAlignment="1">
      <alignment horizontal="right" indent="1"/>
    </xf>
    <xf numFmtId="171" fontId="87" fillId="7" borderId="0" xfId="0" quotePrefix="1" applyNumberFormat="1" applyFont="1" applyFill="1" applyBorder="1" applyAlignment="1">
      <alignment horizontal="right" indent="1"/>
    </xf>
    <xf numFmtId="171" fontId="89" fillId="0" borderId="0" xfId="0" quotePrefix="1" applyNumberFormat="1" applyFont="1" applyBorder="1" applyAlignment="1">
      <alignment horizontal="right" indent="1"/>
    </xf>
    <xf numFmtId="0" fontId="1" fillId="0" borderId="0" xfId="0" applyFont="1" applyAlignment="1">
      <alignment horizontal="left"/>
    </xf>
    <xf numFmtId="0" fontId="67" fillId="2" borderId="0" xfId="0" quotePrefix="1" applyFont="1" applyFill="1" applyBorder="1"/>
    <xf numFmtId="0" fontId="67" fillId="0" borderId="0" xfId="0" quotePrefix="1" applyFont="1" applyFill="1" applyBorder="1"/>
    <xf numFmtId="0" fontId="67" fillId="6" borderId="0" xfId="0" quotePrefix="1" applyFont="1" applyFill="1" applyBorder="1" applyAlignment="1"/>
    <xf numFmtId="3" fontId="67" fillId="6" borderId="0" xfId="0" applyNumberFormat="1" applyFont="1" applyFill="1" applyAlignment="1">
      <alignment horizontal="right" indent="1"/>
    </xf>
    <xf numFmtId="3" fontId="89" fillId="6" borderId="0" xfId="0" applyNumberFormat="1" applyFont="1" applyFill="1" applyAlignment="1">
      <alignment horizontal="right" indent="1"/>
    </xf>
    <xf numFmtId="3" fontId="84" fillId="6" borderId="0" xfId="0" applyNumberFormat="1" applyFont="1" applyFill="1" applyAlignment="1">
      <alignment horizontal="right" indent="1"/>
    </xf>
    <xf numFmtId="0" fontId="67" fillId="4" borderId="0" xfId="0" quotePrefix="1" applyFont="1" applyFill="1" applyBorder="1" applyAlignment="1"/>
    <xf numFmtId="3" fontId="67" fillId="4" borderId="0" xfId="0" applyNumberFormat="1" applyFont="1" applyFill="1" applyAlignment="1">
      <alignment horizontal="right" indent="1"/>
    </xf>
    <xf numFmtId="3" fontId="89" fillId="4" borderId="0" xfId="0" applyNumberFormat="1" applyFont="1" applyFill="1" applyAlignment="1">
      <alignment horizontal="right" indent="1"/>
    </xf>
    <xf numFmtId="3" fontId="84" fillId="4" borderId="0" xfId="0" applyNumberFormat="1" applyFont="1" applyFill="1" applyAlignment="1">
      <alignment horizontal="right" indent="1"/>
    </xf>
    <xf numFmtId="0" fontId="67" fillId="4" borderId="2" xfId="0" quotePrefix="1" applyNumberFormat="1" applyFont="1" applyFill="1" applyBorder="1" applyAlignment="1">
      <alignment wrapText="1"/>
    </xf>
    <xf numFmtId="3" fontId="67" fillId="4" borderId="2" xfId="0" applyNumberFormat="1" applyFont="1" applyFill="1" applyBorder="1" applyAlignment="1">
      <alignment horizontal="right" indent="1"/>
    </xf>
    <xf numFmtId="3" fontId="67" fillId="4" borderId="2" xfId="0" quotePrefix="1" applyNumberFormat="1" applyFont="1" applyFill="1" applyBorder="1" applyAlignment="1">
      <alignment horizontal="right" indent="1"/>
    </xf>
    <xf numFmtId="3" fontId="89" fillId="4" borderId="2" xfId="0" applyNumberFormat="1" applyFont="1" applyFill="1" applyBorder="1" applyAlignment="1">
      <alignment horizontal="right" indent="1"/>
    </xf>
    <xf numFmtId="3" fontId="84" fillId="4" borderId="2" xfId="0" applyNumberFormat="1" applyFont="1" applyFill="1" applyBorder="1" applyAlignment="1">
      <alignment horizontal="right" indent="1"/>
    </xf>
    <xf numFmtId="0" fontId="67" fillId="6" borderId="0" xfId="0" quotePrefix="1" applyFont="1" applyFill="1" applyBorder="1" applyAlignment="1">
      <alignment wrapText="1"/>
    </xf>
    <xf numFmtId="3" fontId="67" fillId="6" borderId="0" xfId="0" quotePrefix="1" applyNumberFormat="1" applyFont="1" applyFill="1" applyAlignment="1">
      <alignment horizontal="right" indent="1"/>
    </xf>
    <xf numFmtId="166" fontId="67" fillId="6" borderId="0" xfId="0" applyNumberFormat="1" applyFont="1" applyFill="1" applyAlignment="1">
      <alignment horizontal="right" indent="1"/>
    </xf>
    <xf numFmtId="166" fontId="89" fillId="6" borderId="0" xfId="0" applyNumberFormat="1" applyFont="1" applyFill="1" applyAlignment="1">
      <alignment horizontal="right" indent="1"/>
    </xf>
    <xf numFmtId="166" fontId="84" fillId="6" borderId="0" xfId="0" applyNumberFormat="1" applyFont="1" applyFill="1" applyAlignment="1">
      <alignment horizontal="right" indent="1"/>
    </xf>
    <xf numFmtId="166" fontId="67" fillId="4" borderId="0" xfId="0" applyNumberFormat="1" applyFont="1" applyFill="1" applyAlignment="1">
      <alignment horizontal="right" indent="1"/>
    </xf>
    <xf numFmtId="166" fontId="89" fillId="4" borderId="0" xfId="0" applyNumberFormat="1" applyFont="1" applyFill="1" applyAlignment="1">
      <alignment horizontal="right" indent="1"/>
    </xf>
    <xf numFmtId="166" fontId="84" fillId="4" borderId="0" xfId="0" applyNumberFormat="1" applyFont="1" applyFill="1" applyAlignment="1">
      <alignment horizontal="right" indent="1"/>
    </xf>
    <xf numFmtId="166" fontId="67" fillId="6" borderId="0" xfId="0" quotePrefix="1" applyNumberFormat="1" applyFont="1" applyFill="1" applyAlignment="1">
      <alignment horizontal="right" indent="1"/>
    </xf>
    <xf numFmtId="166" fontId="67" fillId="4" borderId="2" xfId="0" applyNumberFormat="1" applyFont="1" applyFill="1" applyBorder="1" applyAlignment="1">
      <alignment horizontal="right" indent="1"/>
    </xf>
    <xf numFmtId="166" fontId="67" fillId="4" borderId="2" xfId="0" quotePrefix="1" applyNumberFormat="1" applyFont="1" applyFill="1" applyBorder="1" applyAlignment="1">
      <alignment horizontal="right" indent="1"/>
    </xf>
    <xf numFmtId="166" fontId="89" fillId="4" borderId="2" xfId="0" applyNumberFormat="1" applyFont="1" applyFill="1" applyBorder="1" applyAlignment="1">
      <alignment horizontal="right" indent="1"/>
    </xf>
    <xf numFmtId="166" fontId="84" fillId="4" borderId="2" xfId="0" applyNumberFormat="1" applyFont="1" applyFill="1" applyBorder="1" applyAlignment="1">
      <alignment horizontal="right" indent="1"/>
    </xf>
    <xf numFmtId="166" fontId="67" fillId="2" borderId="0" xfId="0" applyNumberFormat="1" applyFont="1" applyFill="1" applyAlignment="1">
      <alignment horizontal="right" indent="1"/>
    </xf>
    <xf numFmtId="166" fontId="89" fillId="2" borderId="0" xfId="0" applyNumberFormat="1" applyFont="1" applyFill="1" applyAlignment="1">
      <alignment horizontal="right" indent="1"/>
    </xf>
    <xf numFmtId="166" fontId="84" fillId="2" borderId="0" xfId="0" applyNumberFormat="1" applyFont="1" applyFill="1" applyAlignment="1">
      <alignment horizontal="right" indent="1"/>
    </xf>
    <xf numFmtId="166" fontId="67" fillId="0" borderId="0" xfId="0" applyNumberFormat="1" applyFont="1" applyFill="1" applyAlignment="1">
      <alignment horizontal="right" indent="1"/>
    </xf>
    <xf numFmtId="166" fontId="89" fillId="0" borderId="0" xfId="0" applyNumberFormat="1" applyFont="1" applyFill="1" applyAlignment="1">
      <alignment horizontal="right" indent="1"/>
    </xf>
    <xf numFmtId="166" fontId="84" fillId="0" borderId="0" xfId="0" applyNumberFormat="1" applyFont="1" applyFill="1" applyAlignment="1">
      <alignment horizontal="right" indent="1"/>
    </xf>
    <xf numFmtId="167" fontId="67" fillId="4" borderId="0" xfId="0" applyNumberFormat="1" applyFont="1" applyFill="1" applyAlignment="1">
      <alignment horizontal="right" indent="1"/>
    </xf>
    <xf numFmtId="167" fontId="89" fillId="4" borderId="0" xfId="0" applyNumberFormat="1" applyFont="1" applyFill="1" applyAlignment="1">
      <alignment horizontal="right" indent="1"/>
    </xf>
    <xf numFmtId="167" fontId="84" fillId="4" borderId="0" xfId="0" applyNumberFormat="1" applyFont="1" applyFill="1" applyAlignment="1">
      <alignment horizontal="right" indent="1"/>
    </xf>
    <xf numFmtId="167" fontId="67" fillId="6" borderId="0" xfId="0" applyNumberFormat="1" applyFont="1" applyFill="1" applyAlignment="1">
      <alignment horizontal="right" indent="1"/>
    </xf>
    <xf numFmtId="167" fontId="89" fillId="6" borderId="0" xfId="0" applyNumberFormat="1" applyFont="1" applyFill="1" applyAlignment="1">
      <alignment horizontal="right" indent="1"/>
    </xf>
    <xf numFmtId="167" fontId="84" fillId="6" borderId="0" xfId="0" applyNumberFormat="1" applyFont="1" applyFill="1" applyAlignment="1">
      <alignment horizontal="right" indent="1"/>
    </xf>
    <xf numFmtId="167" fontId="67" fillId="6" borderId="0" xfId="0" quotePrefix="1" applyNumberFormat="1" applyFont="1" applyFill="1" applyAlignment="1">
      <alignment horizontal="right" indent="1"/>
    </xf>
    <xf numFmtId="167" fontId="67" fillId="4" borderId="2" xfId="0" applyNumberFormat="1" applyFont="1" applyFill="1" applyBorder="1" applyAlignment="1">
      <alignment horizontal="right" indent="1"/>
    </xf>
    <xf numFmtId="167" fontId="67" fillId="4" borderId="2" xfId="0" quotePrefix="1" applyNumberFormat="1" applyFont="1" applyFill="1" applyBorder="1" applyAlignment="1">
      <alignment horizontal="right" indent="1"/>
    </xf>
    <xf numFmtId="167" fontId="89" fillId="4" borderId="2" xfId="0" applyNumberFormat="1" applyFont="1" applyFill="1" applyBorder="1" applyAlignment="1">
      <alignment horizontal="right" indent="1"/>
    </xf>
    <xf numFmtId="167" fontId="84" fillId="4" borderId="2" xfId="0" applyNumberFormat="1" applyFont="1" applyFill="1" applyBorder="1" applyAlignment="1">
      <alignment horizontal="right" indent="1"/>
    </xf>
    <xf numFmtId="167" fontId="1" fillId="0" borderId="0" xfId="0" applyNumberFormat="1" applyFont="1" applyFill="1"/>
    <xf numFmtId="1" fontId="85" fillId="0" borderId="0" xfId="0" applyNumberFormat="1" applyFont="1" applyFill="1" applyAlignment="1">
      <alignment horizontal="right" indent="1"/>
    </xf>
    <xf numFmtId="1" fontId="88" fillId="0" borderId="0" xfId="0" applyNumberFormat="1" applyFont="1" applyFill="1" applyAlignment="1">
      <alignment horizontal="right" indent="1"/>
    </xf>
    <xf numFmtId="1" fontId="84" fillId="0" borderId="0" xfId="0" applyNumberFormat="1" applyFont="1" applyFill="1" applyAlignment="1">
      <alignment horizontal="right" indent="1"/>
    </xf>
    <xf numFmtId="1" fontId="85" fillId="11" borderId="3" xfId="0" applyNumberFormat="1" applyFont="1" applyFill="1" applyBorder="1" applyAlignment="1">
      <alignment horizontal="right" indent="1"/>
    </xf>
    <xf numFmtId="1" fontId="88" fillId="11" borderId="3" xfId="0" applyNumberFormat="1" applyFont="1" applyFill="1" applyBorder="1" applyAlignment="1">
      <alignment horizontal="right" indent="1"/>
    </xf>
    <xf numFmtId="1" fontId="84" fillId="11" borderId="3" xfId="0" applyNumberFormat="1" applyFont="1" applyFill="1" applyBorder="1" applyAlignment="1">
      <alignment horizontal="right" indent="1"/>
    </xf>
    <xf numFmtId="1" fontId="85" fillId="0" borderId="0" xfId="0" applyNumberFormat="1" applyFont="1" applyBorder="1" applyAlignment="1">
      <alignment horizontal="right" indent="1"/>
    </xf>
    <xf numFmtId="1" fontId="88" fillId="0" borderId="0" xfId="0" applyNumberFormat="1" applyFont="1" applyBorder="1" applyAlignment="1">
      <alignment horizontal="right" indent="1"/>
    </xf>
    <xf numFmtId="1" fontId="84" fillId="0" borderId="0" xfId="0" applyNumberFormat="1" applyFont="1" applyBorder="1" applyAlignment="1">
      <alignment horizontal="right" indent="1"/>
    </xf>
    <xf numFmtId="1" fontId="67" fillId="2" borderId="0" xfId="0" applyNumberFormat="1" applyFont="1" applyFill="1" applyAlignment="1">
      <alignment horizontal="right" indent="1"/>
    </xf>
    <xf numFmtId="1" fontId="89" fillId="2" borderId="0" xfId="0" applyNumberFormat="1" applyFont="1" applyFill="1" applyAlignment="1">
      <alignment horizontal="right" indent="1"/>
    </xf>
    <xf numFmtId="1" fontId="84" fillId="2" borderId="0" xfId="0" applyNumberFormat="1" applyFont="1" applyFill="1" applyAlignment="1">
      <alignment horizontal="right" indent="1"/>
    </xf>
    <xf numFmtId="1" fontId="67" fillId="0" borderId="0" xfId="0" applyNumberFormat="1" applyFont="1" applyFill="1" applyAlignment="1">
      <alignment horizontal="right" indent="1"/>
    </xf>
    <xf numFmtId="1" fontId="89" fillId="0" borderId="0" xfId="0" applyNumberFormat="1" applyFont="1" applyFill="1" applyAlignment="1">
      <alignment horizontal="right" indent="1"/>
    </xf>
    <xf numFmtId="0" fontId="1" fillId="0" borderId="0" xfId="0" applyFont="1" applyAlignment="1">
      <alignment horizontal="left"/>
    </xf>
    <xf numFmtId="174" fontId="0" fillId="0" borderId="0" xfId="0" applyNumberFormat="1" applyBorder="1"/>
    <xf numFmtId="174" fontId="0" fillId="0" borderId="0" xfId="0" applyNumberFormat="1"/>
    <xf numFmtId="174" fontId="1" fillId="0" borderId="0" xfId="0" applyNumberFormat="1" applyFont="1"/>
    <xf numFmtId="166" fontId="1" fillId="2" borderId="0" xfId="0" quotePrefix="1" applyNumberFormat="1" applyFont="1" applyFill="1" applyBorder="1" applyAlignment="1">
      <alignment horizontal="right" indent="1"/>
    </xf>
    <xf numFmtId="166" fontId="1" fillId="0" borderId="0" xfId="0" quotePrefix="1" applyNumberFormat="1" applyFont="1" applyFill="1" applyBorder="1" applyAlignment="1">
      <alignment horizontal="right" indent="1"/>
    </xf>
    <xf numFmtId="3" fontId="1" fillId="5" borderId="30" xfId="0" applyNumberFormat="1" applyFont="1" applyFill="1" applyBorder="1" applyAlignment="1">
      <alignment horizontal="right" indent="1"/>
    </xf>
    <xf numFmtId="3" fontId="1" fillId="5" borderId="0" xfId="0" applyNumberFormat="1" applyFont="1" applyFill="1" applyAlignment="1">
      <alignment horizontal="right" indent="1"/>
    </xf>
    <xf numFmtId="166" fontId="0" fillId="5" borderId="0" xfId="0" quotePrefix="1" applyNumberFormat="1" applyFill="1" applyAlignment="1">
      <alignment horizontal="right" indent="1"/>
    </xf>
    <xf numFmtId="166" fontId="46" fillId="5" borderId="0" xfId="0" quotePrefix="1" applyNumberFormat="1" applyFont="1" applyFill="1" applyAlignment="1">
      <alignment horizontal="right" indent="1"/>
    </xf>
    <xf numFmtId="0" fontId="1" fillId="0" borderId="0" xfId="0" applyFont="1" applyAlignment="1">
      <alignment horizontal="left"/>
    </xf>
    <xf numFmtId="0" fontId="1" fillId="0" borderId="0" xfId="0" applyFont="1" applyAlignment="1">
      <alignment horizontal="left"/>
    </xf>
    <xf numFmtId="0" fontId="1" fillId="0" borderId="0" xfId="7" applyFont="1" applyFill="1" applyBorder="1"/>
    <xf numFmtId="171" fontId="0" fillId="0" borderId="0" xfId="0" applyNumberFormat="1"/>
    <xf numFmtId="166" fontId="1" fillId="5" borderId="19" xfId="0" applyNumberFormat="1" applyFont="1" applyFill="1" applyBorder="1" applyAlignment="1">
      <alignment horizontal="right" indent="1"/>
    </xf>
    <xf numFmtId="3" fontId="1" fillId="5" borderId="43" xfId="0" applyNumberFormat="1" applyFont="1" applyFill="1" applyBorder="1" applyAlignment="1">
      <alignment horizontal="right" indent="1"/>
    </xf>
    <xf numFmtId="166" fontId="1" fillId="11" borderId="0" xfId="0" quotePrefix="1" applyNumberFormat="1" applyFont="1" applyFill="1" applyBorder="1" applyAlignment="1">
      <alignment horizontal="right" indent="1"/>
    </xf>
    <xf numFmtId="171" fontId="0" fillId="4" borderId="0" xfId="0" applyNumberFormat="1" applyFill="1"/>
    <xf numFmtId="0" fontId="5" fillId="4" borderId="0" xfId="0" applyFont="1" applyFill="1"/>
    <xf numFmtId="171" fontId="0" fillId="4" borderId="0" xfId="0" applyNumberFormat="1" applyFill="1" applyBorder="1"/>
    <xf numFmtId="0" fontId="1" fillId="4" borderId="0" xfId="0" applyFont="1" applyFill="1" applyBorder="1"/>
    <xf numFmtId="0" fontId="1" fillId="0" borderId="0" xfId="0" applyFont="1" applyAlignment="1">
      <alignment horizontal="justify" vertical="center" wrapText="1"/>
    </xf>
    <xf numFmtId="0" fontId="1" fillId="0" borderId="0" xfId="0" applyFont="1" applyAlignment="1">
      <alignment horizontal="justify" wrapText="1"/>
    </xf>
    <xf numFmtId="0" fontId="62" fillId="0" borderId="0" xfId="0" applyFont="1" applyAlignment="1">
      <alignment horizontal="justify" vertical="center" wrapText="1"/>
    </xf>
    <xf numFmtId="0" fontId="60" fillId="0" borderId="0" xfId="0" applyFont="1" applyAlignment="1">
      <alignment horizontal="justify" vertical="center" wrapText="1"/>
    </xf>
    <xf numFmtId="0" fontId="48" fillId="8" borderId="3" xfId="0" applyFont="1" applyFill="1" applyBorder="1"/>
    <xf numFmtId="3" fontId="48" fillId="8" borderId="3" xfId="0" applyNumberFormat="1" applyFont="1" applyFill="1" applyBorder="1" applyAlignment="1">
      <alignment horizontal="right" indent="1"/>
    </xf>
    <xf numFmtId="165" fontId="48" fillId="8" borderId="3" xfId="0" applyNumberFormat="1" applyFont="1" applyFill="1" applyBorder="1" applyAlignment="1">
      <alignment horizontal="right" indent="1"/>
    </xf>
    <xf numFmtId="0" fontId="108" fillId="0" borderId="0" xfId="0" applyFont="1" applyAlignment="1">
      <alignment horizontal="justify" wrapText="1"/>
    </xf>
    <xf numFmtId="0" fontId="62" fillId="0" borderId="0" xfId="0" applyFont="1" applyAlignment="1">
      <alignment horizontal="justify" wrapText="1"/>
    </xf>
    <xf numFmtId="0" fontId="60" fillId="0" borderId="0" xfId="0" applyFont="1" applyAlignment="1">
      <alignment horizontal="justify" wrapText="1"/>
    </xf>
    <xf numFmtId="0" fontId="81" fillId="3" borderId="0" xfId="3" applyFont="1" applyFill="1" applyBorder="1" applyAlignment="1">
      <alignment vertical="top"/>
    </xf>
    <xf numFmtId="0" fontId="111" fillId="3" borderId="0" xfId="1" applyFont="1" applyFill="1" applyBorder="1" applyAlignment="1" applyProtection="1">
      <alignment vertical="top"/>
    </xf>
    <xf numFmtId="0" fontId="112" fillId="14" borderId="0" xfId="0" applyFont="1" applyFill="1" applyAlignment="1">
      <alignment vertical="top" wrapText="1"/>
    </xf>
    <xf numFmtId="0" fontId="113" fillId="0" borderId="0" xfId="0" applyFont="1" applyAlignment="1">
      <alignment horizontal="left"/>
    </xf>
    <xf numFmtId="175" fontId="0" fillId="0" borderId="0" xfId="0" applyNumberFormat="1"/>
    <xf numFmtId="0" fontId="1" fillId="0" borderId="0" xfId="0" applyFont="1" applyAlignment="1">
      <alignment horizontal="justify" vertical="center" wrapText="1"/>
    </xf>
    <xf numFmtId="0" fontId="98" fillId="6" borderId="0" xfId="0" applyFont="1" applyFill="1"/>
    <xf numFmtId="0" fontId="98" fillId="2" borderId="0" xfId="0" applyFont="1" applyFill="1"/>
    <xf numFmtId="0" fontId="98" fillId="6" borderId="0" xfId="0" applyFont="1" applyFill="1" applyBorder="1"/>
    <xf numFmtId="165" fontId="0" fillId="6" borderId="0" xfId="0" applyNumberFormat="1" applyFill="1" applyBorder="1" applyAlignment="1">
      <alignment horizontal="right" indent="1"/>
    </xf>
    <xf numFmtId="165" fontId="46" fillId="6" borderId="0" xfId="0" applyNumberFormat="1" applyFont="1" applyFill="1" applyBorder="1" applyAlignment="1">
      <alignment horizontal="right" indent="1"/>
    </xf>
    <xf numFmtId="165" fontId="3" fillId="6" borderId="0" xfId="0" applyNumberFormat="1" applyFont="1" applyFill="1" applyBorder="1" applyAlignment="1">
      <alignment horizontal="right" indent="1"/>
    </xf>
    <xf numFmtId="9" fontId="5" fillId="0" borderId="0" xfId="8" applyFont="1" applyBorder="1"/>
    <xf numFmtId="3" fontId="5" fillId="0" borderId="0" xfId="8" applyNumberFormat="1" applyFont="1" applyBorder="1" applyAlignment="1">
      <alignment horizontal="right" indent="1"/>
    </xf>
    <xf numFmtId="3" fontId="45" fillId="0" borderId="0" xfId="8" applyNumberFormat="1" applyFont="1" applyBorder="1" applyAlignment="1">
      <alignment horizontal="right" indent="1"/>
    </xf>
    <xf numFmtId="3" fontId="4" fillId="0" borderId="0" xfId="8" applyNumberFormat="1" applyFont="1" applyBorder="1" applyAlignment="1">
      <alignment horizontal="right" indent="1"/>
    </xf>
    <xf numFmtId="0" fontId="11" fillId="2" borderId="0" xfId="0" applyFont="1" applyFill="1" applyBorder="1"/>
    <xf numFmtId="165" fontId="5" fillId="0" borderId="0" xfId="0" applyNumberFormat="1" applyFont="1" applyAlignment="1">
      <alignment horizontal="right" indent="1"/>
    </xf>
    <xf numFmtId="165" fontId="4" fillId="0" borderId="0" xfId="0" applyNumberFormat="1" applyFont="1" applyAlignment="1">
      <alignment horizontal="right" indent="1"/>
    </xf>
    <xf numFmtId="165" fontId="1" fillId="0" borderId="0" xfId="8" applyNumberFormat="1" applyFont="1" applyBorder="1" applyAlignment="1">
      <alignment horizontal="right" indent="1"/>
    </xf>
    <xf numFmtId="165" fontId="46" fillId="0" borderId="0" xfId="8" applyNumberFormat="1" applyFont="1" applyBorder="1" applyAlignment="1">
      <alignment horizontal="right" indent="1"/>
    </xf>
    <xf numFmtId="165" fontId="3" fillId="0" borderId="0" xfId="8" applyNumberFormat="1" applyFont="1" applyBorder="1" applyAlignment="1">
      <alignment horizontal="right" indent="1"/>
    </xf>
    <xf numFmtId="0" fontId="5" fillId="11" borderId="0" xfId="0" applyFont="1" applyFill="1" applyBorder="1"/>
    <xf numFmtId="165" fontId="5" fillId="11" borderId="0" xfId="8" applyNumberFormat="1" applyFont="1" applyFill="1" applyBorder="1" applyAlignment="1">
      <alignment horizontal="right" indent="1"/>
    </xf>
    <xf numFmtId="165" fontId="45" fillId="11" borderId="0" xfId="8" applyNumberFormat="1" applyFont="1" applyFill="1" applyBorder="1" applyAlignment="1">
      <alignment horizontal="right" indent="1"/>
    </xf>
    <xf numFmtId="165" fontId="4" fillId="11" borderId="0" xfId="8" applyNumberFormat="1" applyFont="1" applyFill="1" applyBorder="1" applyAlignment="1">
      <alignment horizontal="right" indent="1"/>
    </xf>
    <xf numFmtId="3" fontId="46" fillId="2" borderId="0" xfId="0" quotePrefix="1" applyNumberFormat="1" applyFont="1" applyFill="1" applyAlignment="1">
      <alignment horizontal="right" indent="1"/>
    </xf>
    <xf numFmtId="0" fontId="48" fillId="7" borderId="3" xfId="0" applyFont="1" applyFill="1" applyBorder="1"/>
    <xf numFmtId="3" fontId="48" fillId="7" borderId="3" xfId="0" applyNumberFormat="1" applyFont="1" applyFill="1" applyBorder="1" applyAlignment="1">
      <alignment horizontal="right" indent="1"/>
    </xf>
    <xf numFmtId="3" fontId="45" fillId="7" borderId="3" xfId="0" applyNumberFormat="1" applyFont="1" applyFill="1" applyBorder="1" applyAlignment="1">
      <alignment horizontal="right" indent="1"/>
    </xf>
    <xf numFmtId="0" fontId="1" fillId="0" borderId="5" xfId="5" applyFont="1" applyBorder="1" applyAlignment="1">
      <alignment horizontal="center"/>
    </xf>
    <xf numFmtId="0" fontId="85" fillId="0" borderId="3" xfId="0" applyFont="1" applyFill="1" applyBorder="1"/>
    <xf numFmtId="3" fontId="85" fillId="0" borderId="3" xfId="0" applyNumberFormat="1" applyFont="1" applyFill="1" applyBorder="1" applyAlignment="1">
      <alignment horizontal="right" indent="1"/>
    </xf>
    <xf numFmtId="3" fontId="88" fillId="0" borderId="3" xfId="0" applyNumberFormat="1" applyFont="1" applyFill="1" applyBorder="1" applyAlignment="1">
      <alignment horizontal="right" indent="1"/>
    </xf>
    <xf numFmtId="3" fontId="84" fillId="0" borderId="3" xfId="0" applyNumberFormat="1" applyFont="1" applyFill="1" applyBorder="1" applyAlignment="1">
      <alignment horizontal="right" indent="1"/>
    </xf>
    <xf numFmtId="0" fontId="94" fillId="4" borderId="1" xfId="0" applyFont="1" applyFill="1" applyBorder="1"/>
    <xf numFmtId="0" fontId="67" fillId="4" borderId="1" xfId="0" applyFont="1" applyFill="1" applyBorder="1" applyAlignment="1">
      <alignment horizontal="right" indent="1"/>
    </xf>
    <xf numFmtId="0" fontId="89" fillId="4" borderId="1" xfId="0" applyFont="1" applyFill="1" applyBorder="1" applyAlignment="1">
      <alignment horizontal="right" indent="1"/>
    </xf>
    <xf numFmtId="0" fontId="84" fillId="4" borderId="1" xfId="0" applyFont="1" applyFill="1" applyBorder="1" applyAlignment="1">
      <alignment horizontal="right" indent="1"/>
    </xf>
    <xf numFmtId="165" fontId="85" fillId="0" borderId="0" xfId="0" applyNumberFormat="1" applyFont="1"/>
    <xf numFmtId="167" fontId="67" fillId="4" borderId="1" xfId="0" applyNumberFormat="1" applyFont="1" applyFill="1" applyBorder="1" applyAlignment="1">
      <alignment horizontal="right" indent="1"/>
    </xf>
    <xf numFmtId="167" fontId="89" fillId="4" borderId="1" xfId="0" applyNumberFormat="1" applyFont="1" applyFill="1" applyBorder="1" applyAlignment="1">
      <alignment horizontal="right" indent="1"/>
    </xf>
    <xf numFmtId="167" fontId="84" fillId="4" borderId="1" xfId="0" applyNumberFormat="1" applyFont="1" applyFill="1" applyBorder="1" applyAlignment="1">
      <alignment horizontal="right" indent="1"/>
    </xf>
    <xf numFmtId="0" fontId="85" fillId="2" borderId="0" xfId="0" applyFont="1" applyFill="1" applyBorder="1"/>
    <xf numFmtId="3" fontId="85" fillId="0" borderId="3" xfId="0" quotePrefix="1" applyNumberFormat="1" applyFont="1" applyFill="1" applyBorder="1" applyAlignment="1">
      <alignment horizontal="right" indent="1"/>
    </xf>
    <xf numFmtId="167" fontId="85" fillId="0" borderId="3" xfId="0" quotePrefix="1" applyNumberFormat="1" applyFont="1" applyFill="1" applyBorder="1" applyAlignment="1">
      <alignment horizontal="right" indent="1"/>
    </xf>
    <xf numFmtId="167" fontId="85" fillId="0" borderId="3" xfId="0" applyNumberFormat="1" applyFont="1" applyFill="1" applyBorder="1" applyAlignment="1">
      <alignment horizontal="right" indent="1"/>
    </xf>
    <xf numFmtId="167" fontId="88" fillId="0" borderId="3" xfId="0" applyNumberFormat="1" applyFont="1" applyFill="1" applyBorder="1" applyAlignment="1">
      <alignment horizontal="right" indent="1"/>
    </xf>
    <xf numFmtId="167" fontId="84" fillId="0" borderId="3" xfId="0" applyNumberFormat="1" applyFont="1" applyFill="1" applyBorder="1" applyAlignment="1">
      <alignment horizontal="right" indent="1"/>
    </xf>
    <xf numFmtId="1" fontId="1" fillId="6" borderId="0" xfId="0" applyNumberFormat="1" applyFont="1" applyFill="1" applyAlignment="1">
      <alignment horizontal="right" indent="1"/>
    </xf>
    <xf numFmtId="0" fontId="7" fillId="0" borderId="0" xfId="0" applyFont="1" applyBorder="1"/>
    <xf numFmtId="172" fontId="87" fillId="0" borderId="0" xfId="0" applyNumberFormat="1" applyFont="1" applyBorder="1" applyAlignment="1">
      <alignment horizontal="right" indent="1"/>
    </xf>
    <xf numFmtId="3" fontId="112" fillId="14" borderId="0" xfId="0" applyNumberFormat="1" applyFont="1" applyFill="1" applyAlignment="1">
      <alignment vertical="top" wrapText="1"/>
    </xf>
    <xf numFmtId="3" fontId="67" fillId="0" borderId="0" xfId="0" applyNumberFormat="1" applyFont="1" applyBorder="1" applyAlignment="1">
      <alignment horizontal="right" indent="1"/>
    </xf>
    <xf numFmtId="3" fontId="45" fillId="8" borderId="3" xfId="0" applyNumberFormat="1" applyFont="1" applyFill="1" applyBorder="1" applyAlignment="1">
      <alignment horizontal="right" indent="1"/>
    </xf>
    <xf numFmtId="3" fontId="1" fillId="4" borderId="23" xfId="0" quotePrefix="1" applyNumberFormat="1" applyFont="1" applyFill="1" applyBorder="1" applyAlignment="1">
      <alignment horizontal="right" indent="1"/>
    </xf>
    <xf numFmtId="165" fontId="1" fillId="2" borderId="0" xfId="0" quotePrefix="1" applyNumberFormat="1" applyFont="1" applyFill="1" applyAlignment="1">
      <alignment horizontal="right" indent="1"/>
    </xf>
    <xf numFmtId="165" fontId="45" fillId="8" borderId="3" xfId="0" applyNumberFormat="1" applyFont="1" applyFill="1" applyBorder="1" applyAlignment="1">
      <alignment horizontal="right" indent="1"/>
    </xf>
    <xf numFmtId="164" fontId="0" fillId="0" borderId="0" xfId="9" applyFont="1"/>
    <xf numFmtId="4" fontId="0" fillId="0" borderId="0" xfId="0" applyNumberFormat="1"/>
    <xf numFmtId="176" fontId="0" fillId="0" borderId="0" xfId="0" applyNumberFormat="1"/>
    <xf numFmtId="169" fontId="80" fillId="3" borderId="0" xfId="3" applyNumberFormat="1" applyFont="1" applyFill="1" applyBorder="1" applyAlignment="1">
      <alignment horizontal="left" vertical="top"/>
    </xf>
    <xf numFmtId="0" fontId="81" fillId="3" borderId="0" xfId="3" applyFont="1" applyFill="1" applyBorder="1" applyAlignment="1">
      <alignment horizontal="left"/>
    </xf>
    <xf numFmtId="0" fontId="76" fillId="3" borderId="12" xfId="3" applyFont="1" applyFill="1" applyBorder="1" applyAlignment="1">
      <alignment horizontal="left" vertical="top" wrapText="1"/>
    </xf>
    <xf numFmtId="0" fontId="76" fillId="3" borderId="9" xfId="3" applyFont="1" applyFill="1" applyBorder="1" applyAlignment="1">
      <alignment horizontal="left" vertical="top" wrapText="1"/>
    </xf>
    <xf numFmtId="0" fontId="76" fillId="3" borderId="13" xfId="3" applyFont="1" applyFill="1" applyBorder="1" applyAlignment="1">
      <alignment horizontal="left" vertical="top" wrapText="1"/>
    </xf>
    <xf numFmtId="0" fontId="71" fillId="3" borderId="0" xfId="0" quotePrefix="1" applyFont="1" applyFill="1" applyAlignment="1">
      <alignment horizontal="left"/>
    </xf>
    <xf numFmtId="0" fontId="71" fillId="3" borderId="0" xfId="0" quotePrefix="1" applyFont="1" applyFill="1" applyBorder="1" applyAlignment="1">
      <alignment horizontal="left"/>
    </xf>
    <xf numFmtId="0" fontId="76" fillId="3" borderId="14" xfId="3" applyFont="1" applyFill="1" applyBorder="1" applyAlignment="1">
      <alignment horizontal="left" vertical="top" wrapText="1"/>
    </xf>
    <xf numFmtId="0" fontId="5" fillId="0" borderId="34" xfId="0" applyFont="1" applyBorder="1" applyAlignment="1">
      <alignment horizontal="center"/>
    </xf>
    <xf numFmtId="0" fontId="5" fillId="0" borderId="6" xfId="0" applyFont="1" applyBorder="1" applyAlignment="1">
      <alignment horizontal="center"/>
    </xf>
    <xf numFmtId="0" fontId="5" fillId="0" borderId="21" xfId="0" applyFont="1" applyBorder="1" applyAlignment="1">
      <alignment horizontal="center"/>
    </xf>
    <xf numFmtId="0" fontId="5" fillId="0" borderId="4" xfId="0" applyFont="1" applyBorder="1" applyAlignment="1">
      <alignment horizontal="center"/>
    </xf>
    <xf numFmtId="0" fontId="5" fillId="0" borderId="28" xfId="0" applyFont="1" applyBorder="1" applyAlignment="1">
      <alignment horizontal="center"/>
    </xf>
    <xf numFmtId="0" fontId="1" fillId="0" borderId="0" xfId="0" applyFont="1" applyAlignment="1">
      <alignment horizontal="justify" vertical="center" wrapText="1"/>
    </xf>
    <xf numFmtId="0" fontId="1" fillId="0" borderId="0" xfId="0" applyFont="1" applyAlignment="1">
      <alignment horizontal="justify" wrapText="1"/>
    </xf>
    <xf numFmtId="0" fontId="5" fillId="0" borderId="0" xfId="0" applyFont="1" applyAlignment="1">
      <alignment horizontal="justify" vertical="center" wrapText="1"/>
    </xf>
    <xf numFmtId="0" fontId="7" fillId="0" borderId="0" xfId="0" applyFont="1" applyAlignment="1">
      <alignment horizontal="justify" vertical="center" wrapText="1"/>
    </xf>
    <xf numFmtId="0" fontId="6" fillId="0" borderId="0" xfId="0" applyFont="1" applyAlignment="1">
      <alignment horizontal="justify" vertical="center" wrapText="1"/>
    </xf>
    <xf numFmtId="0" fontId="60" fillId="0" borderId="0" xfId="0" applyFont="1" applyAlignment="1">
      <alignment horizontal="justify" wrapText="1"/>
    </xf>
    <xf numFmtId="0" fontId="60" fillId="0" borderId="0" xfId="0" applyFont="1" applyAlignment="1">
      <alignment horizontal="justify" vertical="center" wrapText="1"/>
    </xf>
    <xf numFmtId="0" fontId="61" fillId="0" borderId="0" xfId="0" applyFont="1" applyAlignment="1">
      <alignment horizontal="justify" vertical="center" wrapText="1"/>
    </xf>
    <xf numFmtId="0" fontId="62" fillId="0" borderId="0" xfId="0" applyFont="1" applyAlignment="1">
      <alignment horizontal="justify" vertical="center" wrapText="1"/>
    </xf>
    <xf numFmtId="0" fontId="1" fillId="0" borderId="0" xfId="0" applyFont="1" applyAlignment="1">
      <alignment horizontal="justify" vertical="center"/>
    </xf>
    <xf numFmtId="0" fontId="2" fillId="0" borderId="41" xfId="0" applyFont="1" applyBorder="1" applyAlignment="1">
      <alignment horizontal="justify" vertical="justify" wrapText="1"/>
    </xf>
    <xf numFmtId="0" fontId="2" fillId="0" borderId="3" xfId="0" applyFont="1" applyBorder="1" applyAlignment="1">
      <alignment horizontal="justify" vertical="justify" wrapText="1"/>
    </xf>
    <xf numFmtId="0" fontId="2" fillId="0" borderId="16" xfId="0" applyFont="1" applyBorder="1" applyAlignment="1">
      <alignment horizontal="justify" vertical="justify" wrapText="1"/>
    </xf>
    <xf numFmtId="0" fontId="4" fillId="0" borderId="0" xfId="0" applyFont="1" applyAlignment="1"/>
    <xf numFmtId="0" fontId="0" fillId="0" borderId="0" xfId="0" applyAlignment="1"/>
    <xf numFmtId="0" fontId="4" fillId="0" borderId="0" xfId="0" applyFont="1" applyAlignment="1">
      <alignment horizontal="left" vertical="top" wrapText="1"/>
    </xf>
    <xf numFmtId="0" fontId="97" fillId="0" borderId="0" xfId="0" applyFont="1" applyAlignment="1">
      <alignment horizontal="center"/>
    </xf>
    <xf numFmtId="0" fontId="8" fillId="0" borderId="0" xfId="0" applyFont="1" applyAlignment="1">
      <alignment wrapText="1"/>
    </xf>
    <xf numFmtId="0" fontId="0" fillId="0" borderId="0" xfId="0" applyAlignment="1">
      <alignment wrapText="1"/>
    </xf>
    <xf numFmtId="0" fontId="0" fillId="0" borderId="0" xfId="0" applyAlignment="1">
      <alignment horizontal="justify" wrapText="1"/>
    </xf>
    <xf numFmtId="0" fontId="4" fillId="0" borderId="0" xfId="0" applyFont="1"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106" fillId="0" borderId="0" xfId="0" applyFont="1" applyAlignment="1">
      <alignment wrapText="1"/>
    </xf>
    <xf numFmtId="0" fontId="46" fillId="0" borderId="0" xfId="0" applyFont="1" applyAlignment="1">
      <alignment wrapText="1"/>
    </xf>
    <xf numFmtId="0" fontId="4" fillId="0" borderId="0" xfId="0" applyFont="1" applyAlignment="1">
      <alignment horizontal="left" vertical="center" wrapText="1"/>
    </xf>
    <xf numFmtId="0" fontId="0" fillId="0" borderId="0" xfId="0" applyAlignment="1">
      <alignment horizontal="left" vertical="center" wrapText="1"/>
    </xf>
    <xf numFmtId="0" fontId="4" fillId="0" borderId="0" xfId="0" applyFont="1" applyAlignment="1">
      <alignment horizontal="justify" wrapText="1"/>
    </xf>
    <xf numFmtId="0" fontId="4" fillId="0" borderId="0" xfId="0" applyFont="1" applyAlignment="1">
      <alignment horizontal="left" wrapText="1"/>
    </xf>
    <xf numFmtId="0" fontId="1" fillId="0" borderId="0" xfId="0" applyFont="1" applyFill="1" applyAlignment="1">
      <alignment horizontal="left" wrapText="1"/>
    </xf>
    <xf numFmtId="0" fontId="8"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left" wrapText="1"/>
    </xf>
    <xf numFmtId="0" fontId="45" fillId="0" borderId="0" xfId="0" applyFont="1" applyAlignment="1">
      <alignment horizontal="left" vertical="center"/>
    </xf>
    <xf numFmtId="0" fontId="1" fillId="0" borderId="0" xfId="0" applyNumberFormat="1" applyFont="1" applyAlignment="1">
      <alignment horizontal="justify" wrapText="1"/>
    </xf>
    <xf numFmtId="0" fontId="0" fillId="0" borderId="0" xfId="0" applyNumberFormat="1" applyAlignment="1">
      <alignment horizontal="justify" wrapText="1"/>
    </xf>
    <xf numFmtId="0" fontId="1" fillId="0" borderId="41" xfId="0" applyFont="1" applyBorder="1" applyAlignment="1">
      <alignment horizontal="left" wrapText="1"/>
    </xf>
    <xf numFmtId="0" fontId="0" fillId="0" borderId="3" xfId="0" applyBorder="1" applyAlignment="1">
      <alignment horizontal="left" wrapText="1"/>
    </xf>
    <xf numFmtId="0" fontId="0" fillId="0" borderId="16" xfId="0" applyBorder="1" applyAlignment="1">
      <alignment horizontal="left" wrapText="1"/>
    </xf>
  </cellXfs>
  <cellStyles count="10">
    <cellStyle name="Lien hypertexte" xfId="1" builtinId="8"/>
    <cellStyle name="Lien hypertexte_FD2009" xfId="2"/>
    <cellStyle name="Milliers" xfId="9" builtinId="3"/>
    <cellStyle name="Normal" xfId="0" builtinId="0"/>
    <cellStyle name="Normal_Annexe5_B_2007" xfId="7"/>
    <cellStyle name="Normal_BPD961" xfId="3"/>
    <cellStyle name="Normal_Guide99" xfId="4"/>
    <cellStyle name="Normal_nb_com_pop_str_reg_g07_m10m" xfId="6"/>
    <cellStyle name="Normal_zau98_2" xfId="5"/>
    <cellStyle name="Pourcentage" xfId="8" builtinId="5"/>
  </cellStyles>
  <dxfs count="864">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name val="Arial"/>
        <scheme val="none"/>
      </font>
    </dxf>
    <dxf>
      <font>
        <strike val="0"/>
        <outline val="0"/>
        <shadow val="0"/>
        <u val="none"/>
        <sz val="1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name val="Arial"/>
        <scheme val="none"/>
      </font>
    </dxf>
    <dxf>
      <font>
        <strike val="0"/>
        <outline val="0"/>
        <shadow val="0"/>
        <u val="none"/>
        <sz val="1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relative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relative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b val="0"/>
        <i val="0"/>
        <strike val="0"/>
        <condense val="0"/>
        <extend val="0"/>
        <outline val="0"/>
        <shadow val="0"/>
        <u val="none"/>
        <vertAlign val="baseline"/>
        <sz val="11"/>
        <color auto="1"/>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b val="0"/>
        <i val="0"/>
        <strike val="0"/>
        <condense val="0"/>
        <extend val="0"/>
        <outline val="0"/>
        <shadow val="0"/>
        <u val="none"/>
        <vertAlign val="baseline"/>
        <sz val="11"/>
        <color auto="1"/>
        <name val="Arial"/>
        <scheme val="none"/>
      </font>
      <numFmt numFmtId="3" formatCode="#,##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color auto="1"/>
        <name val="Arial"/>
        <scheme val="none"/>
      </font>
    </dxf>
    <dxf>
      <font>
        <strike val="0"/>
        <outline val="0"/>
        <shadow val="0"/>
        <u val="none"/>
        <vertAlign val="baseline"/>
        <sz val="11"/>
        <color auto="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vertAlign val="baseline"/>
        <sz val="11"/>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3" formatCode="#,##0"/>
      <alignment horizontal="right" vertical="bottom" textRotation="0" wrapText="0" relativeIndent="0"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vertAlign val="baseline"/>
        <sz val="11"/>
        <color rgb="FF0000FF"/>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numFmt numFmtId="167" formatCode="0.0"/>
      <alignment horizontal="right" vertical="bottom" textRotation="0" wrapText="0" indent="1" justifyLastLine="0" shrinkToFit="0" readingOrder="0"/>
    </dxf>
    <dxf>
      <numFmt numFmtId="3" formatCode="#,##0"/>
    </dxf>
    <dxf>
      <font>
        <strike val="0"/>
        <outline val="0"/>
        <shadow val="0"/>
        <u val="none"/>
        <sz val="11"/>
        <color auto="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sz val="11"/>
        <color auto="1"/>
        <name val="Arial"/>
        <scheme val="none"/>
      </font>
    </dxf>
    <dxf>
      <font>
        <strike val="0"/>
        <outline val="0"/>
        <shadow val="0"/>
        <u val="none"/>
        <sz val="11"/>
        <color auto="1"/>
        <name val="Arial"/>
        <scheme val="none"/>
      </font>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name val="Arial"/>
        <scheme val="none"/>
      </font>
    </dxf>
    <dxf>
      <font>
        <b/>
        <i val="0"/>
        <strike val="0"/>
        <condense val="0"/>
        <extend val="0"/>
        <outline val="0"/>
        <shadow val="0"/>
        <u val="none"/>
        <vertAlign val="baseline"/>
        <sz val="10"/>
        <color auto="1"/>
        <name val="Arial"/>
        <scheme val="none"/>
      </font>
    </dxf>
    <dxf>
      <border outline="0">
        <bottom style="thin">
          <color indexed="64"/>
        </bottom>
      </border>
    </dxf>
    <dxf>
      <font>
        <strike val="0"/>
        <outline val="0"/>
        <shadow val="0"/>
        <u val="none"/>
        <vertAlign val="baseline"/>
        <sz val="11"/>
        <name val="Arial"/>
        <scheme val="none"/>
      </font>
    </dxf>
    <dxf>
      <font>
        <strike val="0"/>
        <outline val="0"/>
        <shadow val="0"/>
        <u val="none"/>
        <vertAlign val="baseline"/>
        <sz val="11"/>
        <name val="Arial"/>
        <scheme val="none"/>
      </font>
      <numFmt numFmtId="3" formatCode="#,##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rgb="FF0000FF"/>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alignment horizontal="right" vertical="bottom" textRotation="0" wrapText="0" indent="1" justifyLastLine="0" shrinkToFit="0" readingOrder="0"/>
    </dxf>
    <dxf>
      <font>
        <b/>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1"/>
        <color theme="1"/>
        <name val="Arial"/>
        <scheme val="none"/>
      </font>
      <fill>
        <patternFill patternType="solid">
          <fgColor theme="0" tint="-0.14999847407452621"/>
          <bgColor theme="0" tint="-0.14999847407452621"/>
        </patternFill>
      </fill>
    </dxf>
    <dxf>
      <font>
        <b/>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1"/>
        <color theme="1"/>
        <name val="Arial"/>
        <scheme val="none"/>
      </font>
      <numFmt numFmtId="165" formatCode="0.0%"/>
      <fill>
        <patternFill patternType="solid">
          <fgColor theme="0" tint="-0.14999847407452621"/>
          <bgColor theme="0" tint="-0.14999847407452621"/>
        </patternFill>
      </fill>
    </dxf>
    <dxf>
      <font>
        <b/>
        <i val="0"/>
        <strike val="0"/>
        <condense val="0"/>
        <extend val="0"/>
        <outline val="0"/>
        <shadow val="0"/>
        <u val="none"/>
        <vertAlign val="baseline"/>
        <sz val="11"/>
        <color theme="1"/>
        <name val="Arial"/>
        <scheme val="none"/>
      </font>
      <numFmt numFmtId="165" formatCode="0.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color rgb="FF0000FF"/>
        <name val="Arial"/>
        <scheme val="none"/>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5" formatCode="0.0%"/>
      <alignment horizontal="right" vertical="bottom" textRotation="0" wrapText="0" indent="1" justifyLastLine="0" shrinkToFit="0" readingOrder="0"/>
    </dxf>
    <dxf>
      <numFmt numFmtId="3" formatCode="#,##0"/>
    </dxf>
    <dxf>
      <font>
        <strike val="0"/>
        <outline val="0"/>
        <shadow val="0"/>
        <u val="none"/>
        <vertAlign val="baseline"/>
        <sz val="11"/>
      </font>
      <numFmt numFmtId="165" formatCode="0.0%"/>
      <alignment horizontal="right" vertical="bottom" textRotation="0" wrapText="0" indent="1" justifyLastLine="0" shrinkToFit="0" readingOrder="0"/>
    </dxf>
    <dxf>
      <numFmt numFmtId="3" formatCode="#,##0"/>
    </dxf>
    <dxf>
      <font>
        <b/>
        <i val="0"/>
        <strike val="0"/>
        <condense val="0"/>
        <extend val="0"/>
        <outline val="0"/>
        <shadow val="0"/>
        <u val="none"/>
        <vertAlign val="baseline"/>
        <sz val="10"/>
        <color auto="1"/>
        <name val="Arial"/>
        <scheme val="none"/>
      </font>
    </dxf>
    <dxf>
      <border outline="0">
        <bottom style="thin">
          <color indexed="64"/>
        </bottom>
      </border>
    </dxf>
    <dxf>
      <numFmt numFmtId="3" formatCode="#,##0"/>
    </dxf>
    <dxf>
      <font>
        <b val="0"/>
        <i val="0"/>
        <strike val="0"/>
        <condense val="0"/>
        <extend val="0"/>
        <outline val="0"/>
        <shadow val="0"/>
        <u val="none"/>
        <vertAlign val="baseline"/>
        <sz val="10"/>
        <color indexed="12"/>
        <name val="Arial"/>
        <scheme val="none"/>
      </font>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font>
        <b val="0"/>
        <i/>
        <strike val="0"/>
        <condense val="0"/>
        <extend val="0"/>
        <outline val="0"/>
        <shadow val="0"/>
        <u val="none"/>
        <vertAlign val="baseline"/>
        <sz val="10"/>
        <color auto="1"/>
        <name val="Arial"/>
        <scheme val="none"/>
      </font>
      <border diagonalUp="0" diagonalDown="0" outline="0">
        <left/>
        <right/>
        <top/>
        <bottom style="thin">
          <color indexed="64"/>
        </bottom>
      </border>
    </dxf>
    <dxf>
      <border outline="0">
        <bottom style="thin">
          <color indexed="64"/>
        </bottom>
      </border>
    </dxf>
    <dxf>
      <border outline="0">
        <bottom style="thin">
          <color indexed="64"/>
        </bottom>
      </border>
    </dxf>
    <dxf>
      <font>
        <b val="0"/>
        <i val="0"/>
        <strike val="0"/>
        <condense val="0"/>
        <extend val="0"/>
        <outline val="0"/>
        <shadow val="0"/>
        <u val="none"/>
        <vertAlign val="baseline"/>
        <sz val="10"/>
        <color indexed="12"/>
        <name val="Arial"/>
        <scheme val="none"/>
      </font>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border diagonalUp="0" diagonalDown="0" outline="0">
        <left/>
        <right/>
        <top/>
        <bottom style="thin">
          <color indexed="64"/>
        </bottom>
      </border>
    </dxf>
    <dxf>
      <font>
        <b val="0"/>
        <i/>
        <strike val="0"/>
        <condense val="0"/>
        <extend val="0"/>
        <outline val="0"/>
        <shadow val="0"/>
        <u val="none"/>
        <vertAlign val="baseline"/>
        <sz val="10"/>
        <color auto="1"/>
        <name val="Arial"/>
        <scheme val="none"/>
      </font>
      <border diagonalUp="0" diagonalDown="0" outline="0">
        <left/>
        <right/>
        <top/>
        <bottom style="thin">
          <color indexed="64"/>
        </bottom>
      </border>
    </dxf>
    <dxf>
      <border outline="0">
        <bottom style="thin">
          <color indexed="64"/>
        </bottom>
      </border>
    </dxf>
    <dxf>
      <border outline="0">
        <bottom style="thin">
          <color indexed="64"/>
        </bottom>
      </border>
    </dxf>
  </dxfs>
  <tableStyles count="0" defaultTableStyle="TableStyleMedium9" defaultPivotStyle="PivotStyleLight16"/>
  <colors>
    <mruColors>
      <color rgb="FF0000FF"/>
      <color rgb="FFDDDDDD"/>
      <color rgb="FFC0C0C0"/>
      <color rgb="FFFFFFFF"/>
      <color rgb="FFD8D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209550</xdr:colOff>
      <xdr:row>1</xdr:row>
      <xdr:rowOff>95249</xdr:rowOff>
    </xdr:from>
    <xdr:to>
      <xdr:col>0</xdr:col>
      <xdr:colOff>1958044</xdr:colOff>
      <xdr:row>6</xdr:row>
      <xdr:rowOff>152399</xdr:rowOff>
    </xdr:to>
    <xdr:pic>
      <xdr:nvPicPr>
        <xdr:cNvPr id="7" name="Image 6" descr="logo_dgcl_bleu"/>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257174"/>
          <a:ext cx="1748494"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2447925</xdr:colOff>
      <xdr:row>48</xdr:row>
      <xdr:rowOff>104775</xdr:rowOff>
    </xdr:from>
    <xdr:to>
      <xdr:col>0</xdr:col>
      <xdr:colOff>3609975</xdr:colOff>
      <xdr:row>54</xdr:row>
      <xdr:rowOff>114300</xdr:rowOff>
    </xdr:to>
    <xdr:pic>
      <xdr:nvPicPr>
        <xdr:cNvPr id="9" name="Image 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47925" y="8839200"/>
          <a:ext cx="11620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4772025</xdr:colOff>
      <xdr:row>0</xdr:row>
      <xdr:rowOff>0</xdr:rowOff>
    </xdr:from>
    <xdr:to>
      <xdr:col>0</xdr:col>
      <xdr:colOff>6709936</xdr:colOff>
      <xdr:row>7</xdr:row>
      <xdr:rowOff>52927</xdr:rowOff>
    </xdr:to>
    <xdr:pic>
      <xdr:nvPicPr>
        <xdr:cNvPr id="3" name="Image 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72025" y="0"/>
          <a:ext cx="1937911" cy="1186402"/>
        </a:xfrm>
        <a:prstGeom prst="rect">
          <a:avLst/>
        </a:prstGeom>
      </xdr:spPr>
    </xdr:pic>
    <xdr:clientData/>
  </xdr:twoCellAnchor>
</xdr:wsDr>
</file>

<file path=xl/tables/table1.xml><?xml version="1.0" encoding="utf-8"?>
<table xmlns="http://schemas.openxmlformats.org/spreadsheetml/2006/main" id="3" name="Tableau184" displayName="Tableau184" ref="A8:O33" headerRowCount="0" totalsRowShown="0" headerRowBorderDxfId="863" tableBorderDxfId="862">
  <tableColumns count="15">
    <tableColumn id="1" name="En nombre de budgets" headerRowDxfId="861"/>
    <tableColumn id="2" name="Colonne1" headerRowDxfId="860"/>
    <tableColumn id="3" name="Colonne2" headerRowDxfId="859"/>
    <tableColumn id="4" name="Colonne3" headerRowDxfId="858"/>
    <tableColumn id="5" name="Colonne4" headerRowDxfId="857"/>
    <tableColumn id="6" name="Colonne5" headerRowDxfId="856"/>
    <tableColumn id="7" name="Colonne6" headerRowDxfId="855"/>
    <tableColumn id="8" name="Colonne7" headerRowDxfId="854"/>
    <tableColumn id="9" name="Colonne8" headerRowDxfId="853"/>
    <tableColumn id="10" name="Colonne9" headerRowDxfId="852"/>
    <tableColumn id="11" name="Colonne10" headerRowDxfId="851"/>
    <tableColumn id="12" name="Colonne11" headerRowDxfId="850"/>
    <tableColumn id="13" name="Colonne12" headerRowDxfId="849"/>
    <tableColumn id="14" name="Colonne13" headerRowDxfId="848"/>
    <tableColumn id="15" name="Colonne14" headerRowDxfId="847"/>
  </tableColumns>
  <tableStyleInfo name="TableStyleLight1" showFirstColumn="0" showLastColumn="0" showRowStripes="0" showColumnStripes="0"/>
</table>
</file>

<file path=xl/tables/table2.xml><?xml version="1.0" encoding="utf-8"?>
<table xmlns="http://schemas.openxmlformats.org/spreadsheetml/2006/main" id="8" name="Tableau1849" displayName="Tableau1849" ref="A45:O71" headerRowCount="0" totalsRowShown="0" headerRowBorderDxfId="846" tableBorderDxfId="845">
  <tableColumns count="15">
    <tableColumn id="1" name="En nombre de budgets" headerRowDxfId="844"/>
    <tableColumn id="2" name="Colonne1" headerRowDxfId="843"/>
    <tableColumn id="3" name="Colonne2" headerRowDxfId="842"/>
    <tableColumn id="4" name="Colonne3" headerRowDxfId="841"/>
    <tableColumn id="5" name="Colonne4" headerRowDxfId="840"/>
    <tableColumn id="6" name="Colonne5" headerRowDxfId="839"/>
    <tableColumn id="7" name="Colonne6" headerRowDxfId="838"/>
    <tableColumn id="8" name="Colonne7" headerRowDxfId="837"/>
    <tableColumn id="9" name="Colonne8" headerRowDxfId="836"/>
    <tableColumn id="10" name="Colonne9" headerRowDxfId="835"/>
    <tableColumn id="11" name="Colonne10" headerRowDxfId="834"/>
    <tableColumn id="12" name="Colonne11" headerRowDxfId="833"/>
    <tableColumn id="13" name="Colonne12" headerRowDxfId="832"/>
    <tableColumn id="14" name="Colonne13" headerRowDxfId="831"/>
    <tableColumn id="15" name="Colonne14" headerRowDxfId="830"/>
  </tableColumns>
  <tableStyleInfo name="TableStyleLight1" showFirstColumn="0" showLastColumn="0" showRowStripes="0" showColumnStripes="0"/>
</table>
</file>

<file path=xl/tables/table3.xml><?xml version="1.0" encoding="utf-8"?>
<table xmlns="http://schemas.openxmlformats.org/spreadsheetml/2006/main" id="5" name="Tableau5" displayName="Tableau5" ref="A7:O52" headerRowCount="0" totalsRowShown="0" headerRowDxfId="829" tableBorderDxfId="828">
  <tableColumns count="15">
    <tableColumn id="1" name="Colonne1" headerRowDxfId="827"/>
    <tableColumn id="2" name="Colonne2" headerRowDxfId="826" dataDxfId="825"/>
    <tableColumn id="3" name="Colonne3" headerRowDxfId="824" dataDxfId="823"/>
    <tableColumn id="4" name="Colonne4" headerRowDxfId="822" dataDxfId="821"/>
    <tableColumn id="5" name="Colonne5" headerRowDxfId="820" dataDxfId="819"/>
    <tableColumn id="6" name="Colonne6" headerRowDxfId="818" dataDxfId="817"/>
    <tableColumn id="7" name="Colonne7" headerRowDxfId="816" dataDxfId="815"/>
    <tableColumn id="8" name="Colonne8" headerRowDxfId="814" dataDxfId="813"/>
    <tableColumn id="9" name="Colonne9" headerRowDxfId="812" dataDxfId="811"/>
    <tableColumn id="10" name="Colonne10" headerRowDxfId="810" dataDxfId="809"/>
    <tableColumn id="11" name="Colonne11" headerRowDxfId="808" dataDxfId="807"/>
    <tableColumn id="12" name="Colonne12" headerRowDxfId="806" dataDxfId="805"/>
    <tableColumn id="13" name="Colonne13" headerRowDxfId="804" dataDxfId="803"/>
    <tableColumn id="14" name="Colonne14" headerRowDxfId="802" dataDxfId="801"/>
    <tableColumn id="15" name="Colonne15" headerRowDxfId="800" dataDxfId="799"/>
  </tableColumns>
  <tableStyleInfo name="TableStyleLight1" showFirstColumn="0" showLastColumn="0" showRowStripes="1" showColumnStripes="0"/>
</table>
</file>

<file path=xl/tables/table4.xml><?xml version="1.0" encoding="utf-8"?>
<table xmlns="http://schemas.openxmlformats.org/spreadsheetml/2006/main" id="9" name="Tableau9" displayName="Tableau9" ref="A83:O90" headerRowCount="0" totalsRowShown="0" headerRowDxfId="798" dataDxfId="797" tableBorderDxfId="796">
  <tableColumns count="15">
    <tableColumn id="1" name="Colonne1" headerRowDxfId="795" dataDxfId="794"/>
    <tableColumn id="2" name="Colonne2" headerRowDxfId="793" dataDxfId="792"/>
    <tableColumn id="3" name="Colonne3" headerRowDxfId="791" dataDxfId="790"/>
    <tableColumn id="4" name="Colonne4" headerRowDxfId="789" dataDxfId="788"/>
    <tableColumn id="5" name="Colonne5" headerRowDxfId="787" dataDxfId="786"/>
    <tableColumn id="6" name="Colonne6" headerRowDxfId="785" dataDxfId="784"/>
    <tableColumn id="7" name="Colonne7" headerRowDxfId="783" dataDxfId="782"/>
    <tableColumn id="8" name="Colonne8" headerRowDxfId="781" dataDxfId="780"/>
    <tableColumn id="9" name="Colonne9" headerRowDxfId="779" dataDxfId="778"/>
    <tableColumn id="10" name="Colonne10" headerRowDxfId="777" dataDxfId="776"/>
    <tableColumn id="11" name="Colonne11" headerRowDxfId="775" dataDxfId="774"/>
    <tableColumn id="12" name="Colonne12" headerRowDxfId="773" dataDxfId="772"/>
    <tableColumn id="13" name="Colonne13" headerRowDxfId="771" dataDxfId="770"/>
    <tableColumn id="14" name="Colonne14" headerRowDxfId="769" dataDxfId="768"/>
    <tableColumn id="15" name="Colonne15" headerRowDxfId="767" dataDxfId="766"/>
  </tableColumns>
  <tableStyleInfo name="TableStyleLight1" showFirstColumn="0" showLastColumn="0" showRowStripes="1" showColumnStripes="0"/>
</table>
</file>

<file path=xl/tables/table5.xml><?xml version="1.0" encoding="utf-8"?>
<table xmlns="http://schemas.openxmlformats.org/spreadsheetml/2006/main" id="10" name="Tableau511" displayName="Tableau511" ref="A7:O52" headerRowCount="0" totalsRowShown="0" headerRowDxfId="765" dataDxfId="764" tableBorderDxfId="763">
  <tableColumns count="15">
    <tableColumn id="1" name="Colonne1" headerRowDxfId="762" dataDxfId="761"/>
    <tableColumn id="2" name="Colonne2" headerRowDxfId="760" dataDxfId="759"/>
    <tableColumn id="3" name="Colonne3" headerRowDxfId="758" dataDxfId="757"/>
    <tableColumn id="4" name="Colonne4" headerRowDxfId="756" dataDxfId="755"/>
    <tableColumn id="5" name="Colonne5" headerRowDxfId="754" dataDxfId="753"/>
    <tableColumn id="6" name="Colonne6" headerRowDxfId="752" dataDxfId="751"/>
    <tableColumn id="7" name="Colonne7" headerRowDxfId="750" dataDxfId="749"/>
    <tableColumn id="8" name="Colonne8" headerRowDxfId="748" dataDxfId="747"/>
    <tableColumn id="9" name="Colonne9" headerRowDxfId="746" dataDxfId="745"/>
    <tableColumn id="10" name="Colonne10" headerRowDxfId="744" dataDxfId="743"/>
    <tableColumn id="11" name="Colonne11" headerRowDxfId="742" dataDxfId="741"/>
    <tableColumn id="12" name="Colonne12" headerRowDxfId="740" dataDxfId="739"/>
    <tableColumn id="13" name="Colonne13" headerRowDxfId="738" dataDxfId="737"/>
    <tableColumn id="14" name="Colonne14" headerRowDxfId="736" dataDxfId="735"/>
    <tableColumn id="15" name="Colonne15" headerRowDxfId="734" dataDxfId="733"/>
  </tableColumns>
  <tableStyleInfo name="TableStyleLight1" showFirstColumn="0" showLastColumn="0" showRowStripes="1" showColumnStripes="0"/>
</table>
</file>

<file path=xl/tables/table6.xml><?xml version="1.0" encoding="utf-8"?>
<table xmlns="http://schemas.openxmlformats.org/spreadsheetml/2006/main" id="24" name="Tableau5225" displayName="Tableau5225" ref="A7:O59" headerRowCount="0" totalsRowShown="0" headerRowDxfId="732" dataDxfId="731" tableBorderDxfId="730">
  <tableColumns count="15">
    <tableColumn id="1" name="Colonne1" headerRowDxfId="729" dataDxfId="728"/>
    <tableColumn id="2" name="Colonne2" headerRowDxfId="727" dataDxfId="726"/>
    <tableColumn id="3" name="Colonne3" headerRowDxfId="725" dataDxfId="724"/>
    <tableColumn id="4" name="Colonne4" headerRowDxfId="723" dataDxfId="722"/>
    <tableColumn id="5" name="Colonne5" headerRowDxfId="721" dataDxfId="720"/>
    <tableColumn id="6" name="Colonne6" headerRowDxfId="719" dataDxfId="718"/>
    <tableColumn id="7" name="Colonne7" headerRowDxfId="717" dataDxfId="716"/>
    <tableColumn id="8" name="Colonne8" headerRowDxfId="715" dataDxfId="714"/>
    <tableColumn id="9" name="Colonne9" headerRowDxfId="713" dataDxfId="712"/>
    <tableColumn id="10" name="Colonne10" headerRowDxfId="711" dataDxfId="710"/>
    <tableColumn id="11" name="Colonne11" headerRowDxfId="709" dataDxfId="708"/>
    <tableColumn id="12" name="Colonne12" headerRowDxfId="707" dataDxfId="706"/>
    <tableColumn id="13" name="Colonne13" headerRowDxfId="705" dataDxfId="704"/>
    <tableColumn id="14" name="Colonne14" headerRowDxfId="703" dataDxfId="702"/>
    <tableColumn id="15" name="Colonne15" headerRowDxfId="701" dataDxfId="700"/>
  </tableColumns>
  <tableStyleInfo name="TableStyleLight1" showFirstColumn="0" showLastColumn="0" showRowStripes="1" showColumnStripes="0"/>
</table>
</file>

<file path=xl/tables/table7.xml><?xml version="1.0" encoding="utf-8"?>
<table xmlns="http://schemas.openxmlformats.org/spreadsheetml/2006/main" id="2" name="Tableau93" displayName="Tableau93" ref="A87:P94" headerRowCount="0" totalsRowShown="0" headerRowDxfId="699" dataDxfId="698" tableBorderDxfId="697">
  <tableColumns count="16">
    <tableColumn id="1" name="Colonne1" headerRowDxfId="696" dataDxfId="695"/>
    <tableColumn id="2" name="Colonne2" headerRowDxfId="694" dataDxfId="693"/>
    <tableColumn id="3" name="Colonne3" headerRowDxfId="692" dataDxfId="691"/>
    <tableColumn id="4" name="Colonne4" headerRowDxfId="690" dataDxfId="689"/>
    <tableColumn id="5" name="Colonne5" headerRowDxfId="688" dataDxfId="687"/>
    <tableColumn id="6" name="Colonne6" headerRowDxfId="686" dataDxfId="685"/>
    <tableColumn id="7" name="Colonne7" headerRowDxfId="684" dataDxfId="683"/>
    <tableColumn id="8" name="Colonne8" headerRowDxfId="682" dataDxfId="681"/>
    <tableColumn id="9" name="Colonne9" headerRowDxfId="680" dataDxfId="679"/>
    <tableColumn id="10" name="Colonne10" headerRowDxfId="678" dataDxfId="677"/>
    <tableColumn id="11" name="Colonne11" headerRowDxfId="676" dataDxfId="675"/>
    <tableColumn id="12" name="Colonne12" headerRowDxfId="674" dataDxfId="673"/>
    <tableColumn id="13" name="Colonne13" headerRowDxfId="672" dataDxfId="671"/>
    <tableColumn id="16" name="Colonne16" headerRowDxfId="670" dataDxfId="669"/>
    <tableColumn id="14" name="Colonne14" headerRowDxfId="668" dataDxfId="667"/>
    <tableColumn id="15" name="Colonne15" headerRowDxfId="666" dataDxfId="665"/>
  </tableColumns>
  <tableStyleInfo name="TableStyleLight1" showFirstColumn="0" showLastColumn="0" showRowStripes="1" showColumnStripes="0"/>
</table>
</file>

<file path=xl/tables/table8.xml><?xml version="1.0" encoding="utf-8"?>
<table xmlns="http://schemas.openxmlformats.org/spreadsheetml/2006/main" id="23" name="Tableau51124" displayName="Tableau51124" ref="A8:P53" headerRowCount="0" totalsRowShown="0" headerRowDxfId="664" dataDxfId="663" tableBorderDxfId="662">
  <tableColumns count="16">
    <tableColumn id="1" name="Colonne1" headerRowDxfId="661" dataDxfId="660"/>
    <tableColumn id="2" name="Colonne2" headerRowDxfId="659" dataDxfId="658"/>
    <tableColumn id="3" name="Colonne3" headerRowDxfId="657" dataDxfId="656"/>
    <tableColumn id="4" name="Colonne4" headerRowDxfId="655" dataDxfId="654"/>
    <tableColumn id="5" name="Colonne5" headerRowDxfId="653" dataDxfId="652"/>
    <tableColumn id="6" name="Colonne6" headerRowDxfId="651" dataDxfId="650"/>
    <tableColumn id="7" name="Colonne7" headerRowDxfId="649" dataDxfId="648"/>
    <tableColumn id="8" name="Colonne8" headerRowDxfId="647" dataDxfId="646"/>
    <tableColumn id="9" name="Colonne9" headerRowDxfId="645" dataDxfId="644"/>
    <tableColumn id="10" name="Colonne10" headerRowDxfId="643" dataDxfId="642"/>
    <tableColumn id="11" name="Colonne11" headerRowDxfId="641" dataDxfId="640"/>
    <tableColumn id="12" name="Colonne12" headerRowDxfId="639" dataDxfId="638"/>
    <tableColumn id="13" name="Colonne13" headerRowDxfId="637" dataDxfId="636"/>
    <tableColumn id="14" name="Colonne14" headerRowDxfId="635" dataDxfId="634"/>
    <tableColumn id="16" name="Colonne16" headerRowDxfId="633" dataDxfId="632"/>
    <tableColumn id="15" name="Colonne15" headerRowDxfId="631" dataDxfId="630"/>
  </tableColumns>
  <tableStyleInfo name="TableStyleLight1" showFirstColumn="0" showLastColumn="0" showRowStripes="1" showColumnStripes="0"/>
</table>
</file>

<file path=xl/tables/table9.xml><?xml version="1.0" encoding="utf-8"?>
<table xmlns="http://schemas.openxmlformats.org/spreadsheetml/2006/main" id="4" name="Tableau935" displayName="Tableau935" ref="A87:P94" headerRowCount="0" totalsRowShown="0" headerRowDxfId="629" dataDxfId="628" tableBorderDxfId="627">
  <tableColumns count="16">
    <tableColumn id="1" name="Colonne1" headerRowDxfId="626" dataDxfId="625"/>
    <tableColumn id="2" name="Colonne2" headerRowDxfId="624" dataDxfId="623"/>
    <tableColumn id="3" name="Colonne3" headerRowDxfId="622" dataDxfId="621"/>
    <tableColumn id="4" name="Colonne4" headerRowDxfId="620" dataDxfId="619"/>
    <tableColumn id="5" name="Colonne5" headerRowDxfId="618" dataDxfId="617"/>
    <tableColumn id="6" name="Colonne6" headerRowDxfId="616" dataDxfId="615"/>
    <tableColumn id="7" name="Colonne7" headerRowDxfId="614" dataDxfId="613"/>
    <tableColumn id="8" name="Colonne8" headerRowDxfId="612" dataDxfId="611"/>
    <tableColumn id="9" name="Colonne9" headerRowDxfId="610" dataDxfId="609"/>
    <tableColumn id="10" name="Colonne10" headerRowDxfId="608" dataDxfId="607"/>
    <tableColumn id="11" name="Colonne11" headerRowDxfId="606" dataDxfId="605"/>
    <tableColumn id="12" name="Colonne12" headerRowDxfId="604" dataDxfId="603"/>
    <tableColumn id="13" name="Colonne13" headerRowDxfId="602" dataDxfId="601"/>
    <tableColumn id="16" name="Colonne16" headerRowDxfId="600" dataDxfId="599"/>
    <tableColumn id="14" name="Colonne14" headerRowDxfId="598" dataDxfId="597"/>
    <tableColumn id="15" name="Colonne15" headerRowDxfId="596" dataDxfId="595"/>
  </tableColumns>
  <tableStyleInfo name="TableStyleLight1" showFirstColumn="0" showLastColumn="0" showRowStripes="1" showColumnStripes="0"/>
</table>
</file>

<file path=xl/tables/table10.xml><?xml version="1.0" encoding="utf-8"?>
<table xmlns="http://schemas.openxmlformats.org/spreadsheetml/2006/main" id="25" name="Tableau5112426" displayName="Tableau5112426" ref="A8:P53" headerRowCount="0" totalsRowShown="0" headerRowDxfId="594" dataDxfId="593" tableBorderDxfId="592">
  <tableColumns count="16">
    <tableColumn id="1" name="Colonne1" headerRowDxfId="591" dataDxfId="590"/>
    <tableColumn id="2" name="Colonne2" headerRowDxfId="589" dataDxfId="588"/>
    <tableColumn id="3" name="Colonne3" headerRowDxfId="587" dataDxfId="586"/>
    <tableColumn id="4" name="Colonne4" headerRowDxfId="585" dataDxfId="584"/>
    <tableColumn id="5" name="Colonne5" headerRowDxfId="583" dataDxfId="582"/>
    <tableColumn id="6" name="Colonne6" headerRowDxfId="581" dataDxfId="580"/>
    <tableColumn id="7" name="Colonne7" headerRowDxfId="579" dataDxfId="578"/>
    <tableColumn id="8" name="Colonne8" headerRowDxfId="577" dataDxfId="576"/>
    <tableColumn id="9" name="Colonne9" headerRowDxfId="575" dataDxfId="574"/>
    <tableColumn id="10" name="Colonne10" headerRowDxfId="573" dataDxfId="572"/>
    <tableColumn id="11" name="Colonne11" headerRowDxfId="571" dataDxfId="570"/>
    <tableColumn id="12" name="Colonne12" headerRowDxfId="569" dataDxfId="568"/>
    <tableColumn id="13" name="Colonne13" headerRowDxfId="567" dataDxfId="566"/>
    <tableColumn id="14" name="Colonne14" headerRowDxfId="565" dataDxfId="564"/>
    <tableColumn id="16" name="Colonne16" headerRowDxfId="563" dataDxfId="562"/>
    <tableColumn id="15" name="Colonne15" headerRowDxfId="561" dataDxfId="560"/>
  </tableColumns>
  <tableStyleInfo name="TableStyleLight1" showFirstColumn="0" showLastColumn="0" showRowStripes="1" showColumnStripes="0"/>
</table>
</file>

<file path=xl/tables/table11.xml><?xml version="1.0" encoding="utf-8"?>
<table xmlns="http://schemas.openxmlformats.org/spreadsheetml/2006/main" id="7" name="Tableau9358" displayName="Tableau9358" ref="A87:P94" headerRowCount="0" totalsRowShown="0" headerRowDxfId="559" dataDxfId="558" tableBorderDxfId="557">
  <tableColumns count="16">
    <tableColumn id="1" name="Colonne1" headerRowDxfId="556" dataDxfId="555"/>
    <tableColumn id="2" name="Colonne2" headerRowDxfId="554" dataDxfId="553"/>
    <tableColumn id="3" name="Colonne3" headerRowDxfId="552" dataDxfId="551"/>
    <tableColumn id="4" name="Colonne4" headerRowDxfId="550" dataDxfId="549"/>
    <tableColumn id="5" name="Colonne5" headerRowDxfId="548" dataDxfId="547"/>
    <tableColumn id="6" name="Colonne6" headerRowDxfId="546" dataDxfId="545"/>
    <tableColumn id="7" name="Colonne7" headerRowDxfId="544" dataDxfId="543"/>
    <tableColumn id="8" name="Colonne8" headerRowDxfId="542" dataDxfId="541"/>
    <tableColumn id="9" name="Colonne9" headerRowDxfId="540" dataDxfId="539"/>
    <tableColumn id="10" name="Colonne10" headerRowDxfId="538" dataDxfId="537"/>
    <tableColumn id="11" name="Colonne11" headerRowDxfId="536" dataDxfId="535"/>
    <tableColumn id="12" name="Colonne12" headerRowDxfId="534" dataDxfId="533"/>
    <tableColumn id="13" name="Colonne13" headerRowDxfId="532" dataDxfId="531"/>
    <tableColumn id="16" name="Colonne16" headerRowDxfId="530" dataDxfId="529"/>
    <tableColumn id="14" name="Colonne14" headerRowDxfId="528" dataDxfId="527"/>
    <tableColumn id="15" name="Colonne15" headerRowDxfId="526" dataDxfId="525"/>
  </tableColumns>
  <tableStyleInfo name="TableStyleLight1" showFirstColumn="0" showLastColumn="0" showRowStripes="1" showColumnStripes="0"/>
</table>
</file>

<file path=xl/tables/table12.xml><?xml version="1.0" encoding="utf-8"?>
<table xmlns="http://schemas.openxmlformats.org/spreadsheetml/2006/main" id="26" name="Tableau511242627" displayName="Tableau511242627" ref="A8:P53" headerRowCount="0" totalsRowShown="0" headerRowDxfId="524" dataDxfId="523" tableBorderDxfId="522">
  <tableColumns count="16">
    <tableColumn id="1" name="Colonne1" headerRowDxfId="521" dataDxfId="520"/>
    <tableColumn id="2" name="Colonne2" headerRowDxfId="519" dataDxfId="518"/>
    <tableColumn id="3" name="Colonne3" headerRowDxfId="517" dataDxfId="516"/>
    <tableColumn id="4" name="Colonne4" headerRowDxfId="515" dataDxfId="514"/>
    <tableColumn id="5" name="Colonne5" headerRowDxfId="513" dataDxfId="512"/>
    <tableColumn id="6" name="Colonne6" headerRowDxfId="511" dataDxfId="510"/>
    <tableColumn id="7" name="Colonne7" headerRowDxfId="509" dataDxfId="508"/>
    <tableColumn id="8" name="Colonne8" headerRowDxfId="507" dataDxfId="506"/>
    <tableColumn id="9" name="Colonne9" headerRowDxfId="505" dataDxfId="504"/>
    <tableColumn id="10" name="Colonne10" headerRowDxfId="503" dataDxfId="502"/>
    <tableColumn id="11" name="Colonne11" headerRowDxfId="501" dataDxfId="500"/>
    <tableColumn id="12" name="Colonne12" headerRowDxfId="499" dataDxfId="498"/>
    <tableColumn id="13" name="Colonne13" headerRowDxfId="497" dataDxfId="496"/>
    <tableColumn id="14" name="Colonne14" headerRowDxfId="495" dataDxfId="494"/>
    <tableColumn id="16" name="Colonne16" headerRowDxfId="493" dataDxfId="492"/>
    <tableColumn id="15" name="Colonne15" headerRowDxfId="491" dataDxfId="490"/>
  </tableColumns>
  <tableStyleInfo name="TableStyleLight1" showFirstColumn="0" showLastColumn="0" showRowStripes="1" showColumnStripes="0"/>
</table>
</file>

<file path=xl/tables/table13.xml><?xml version="1.0" encoding="utf-8"?>
<table xmlns="http://schemas.openxmlformats.org/spreadsheetml/2006/main" id="11" name="Tableau935812" displayName="Tableau935812" ref="A87:P94" headerRowCount="0" totalsRowShown="0" headerRowDxfId="489" dataDxfId="488" tableBorderDxfId="487">
  <tableColumns count="16">
    <tableColumn id="1" name="Colonne1" headerRowDxfId="486" dataDxfId="485"/>
    <tableColumn id="2" name="Colonne2" headerRowDxfId="484" dataDxfId="483"/>
    <tableColumn id="3" name="Colonne3" headerRowDxfId="482" dataDxfId="481"/>
    <tableColumn id="4" name="Colonne4" headerRowDxfId="480" dataDxfId="479"/>
    <tableColumn id="5" name="Colonne5" headerRowDxfId="478" dataDxfId="477"/>
    <tableColumn id="6" name="Colonne6" headerRowDxfId="476" dataDxfId="475"/>
    <tableColumn id="7" name="Colonne7" headerRowDxfId="474" dataDxfId="473"/>
    <tableColumn id="8" name="Colonne8" headerRowDxfId="472" dataDxfId="471"/>
    <tableColumn id="9" name="Colonne9" headerRowDxfId="470" dataDxfId="469"/>
    <tableColumn id="10" name="Colonne10" headerRowDxfId="468" dataDxfId="467"/>
    <tableColumn id="11" name="Colonne11" headerRowDxfId="466" dataDxfId="465"/>
    <tableColumn id="12" name="Colonne12" headerRowDxfId="464" dataDxfId="463"/>
    <tableColumn id="13" name="Colonne13" headerRowDxfId="462" dataDxfId="461"/>
    <tableColumn id="16" name="Colonne16" headerRowDxfId="460" dataDxfId="459"/>
    <tableColumn id="14" name="Colonne14" headerRowDxfId="458" dataDxfId="457"/>
    <tableColumn id="15" name="Colonne15" headerRowDxfId="456" dataDxfId="455"/>
  </tableColumns>
  <tableStyleInfo name="TableStyleLight1" showFirstColumn="0" showLastColumn="0" showRowStripes="1" showColumnStripes="0"/>
</table>
</file>

<file path=xl/tables/table14.xml><?xml version="1.0" encoding="utf-8"?>
<table xmlns="http://schemas.openxmlformats.org/spreadsheetml/2006/main" id="27" name="Tableau51124262728" displayName="Tableau51124262728" ref="A8:P53" headerRowCount="0" totalsRowShown="0" headerRowDxfId="454" dataDxfId="453" tableBorderDxfId="452">
  <tableColumns count="16">
    <tableColumn id="1" name="Colonne1" headerRowDxfId="451" dataDxfId="450"/>
    <tableColumn id="2" name="Colonne2" headerRowDxfId="449" dataDxfId="448"/>
    <tableColumn id="3" name="Colonne3" headerRowDxfId="447" dataDxfId="446"/>
    <tableColumn id="4" name="Colonne4" headerRowDxfId="445" dataDxfId="444"/>
    <tableColumn id="5" name="Colonne5" headerRowDxfId="443" dataDxfId="442"/>
    <tableColumn id="6" name="Colonne6" headerRowDxfId="441" dataDxfId="440"/>
    <tableColumn id="7" name="Colonne7" headerRowDxfId="439" dataDxfId="438"/>
    <tableColumn id="8" name="Colonne8" headerRowDxfId="437" dataDxfId="436"/>
    <tableColumn id="9" name="Colonne9" headerRowDxfId="435" dataDxfId="434"/>
    <tableColumn id="10" name="Colonne10" headerRowDxfId="433" dataDxfId="432"/>
    <tableColumn id="11" name="Colonne11" headerRowDxfId="431" dataDxfId="430"/>
    <tableColumn id="12" name="Colonne12" headerRowDxfId="429" dataDxfId="428"/>
    <tableColumn id="13" name="Colonne13" headerRowDxfId="427" dataDxfId="426"/>
    <tableColumn id="14" name="Colonne14" headerRowDxfId="425" dataDxfId="424"/>
    <tableColumn id="16" name="Colonne16" headerRowDxfId="423" dataDxfId="422"/>
    <tableColumn id="15" name="Colonne15" headerRowDxfId="421" dataDxfId="420"/>
  </tableColumns>
  <tableStyleInfo name="TableStyleLight1" showFirstColumn="0" showLastColumn="0" showRowStripes="1" showColumnStripes="0"/>
</table>
</file>

<file path=xl/tables/table15.xml><?xml version="1.0" encoding="utf-8"?>
<table xmlns="http://schemas.openxmlformats.org/spreadsheetml/2006/main" id="13" name="Tableau93581214" displayName="Tableau93581214" ref="A86:P93" headerRowCount="0" totalsRowShown="0" headerRowDxfId="419" dataDxfId="418" tableBorderDxfId="417">
  <tableColumns count="16">
    <tableColumn id="1" name="Colonne1" headerRowDxfId="416" dataDxfId="415"/>
    <tableColumn id="2" name="Colonne2" headerRowDxfId="414" dataDxfId="413"/>
    <tableColumn id="3" name="Colonne3" headerRowDxfId="412" dataDxfId="411"/>
    <tableColumn id="4" name="Colonne4" headerRowDxfId="410" dataDxfId="409"/>
    <tableColumn id="5" name="Colonne5" headerRowDxfId="408" dataDxfId="407"/>
    <tableColumn id="6" name="Colonne6" headerRowDxfId="406" dataDxfId="405"/>
    <tableColumn id="7" name="Colonne7" headerRowDxfId="404" dataDxfId="403"/>
    <tableColumn id="8" name="Colonne8" headerRowDxfId="402" dataDxfId="401"/>
    <tableColumn id="9" name="Colonne9" headerRowDxfId="400" dataDxfId="399"/>
    <tableColumn id="10" name="Colonne10" headerRowDxfId="398" dataDxfId="397"/>
    <tableColumn id="11" name="Colonne11" headerRowDxfId="396" dataDxfId="395"/>
    <tableColumn id="12" name="Colonne12" headerRowDxfId="394" dataDxfId="393"/>
    <tableColumn id="13" name="Colonne13" headerRowDxfId="392" dataDxfId="391"/>
    <tableColumn id="16" name="Colonne16" headerRowDxfId="390" dataDxfId="389"/>
    <tableColumn id="14" name="Colonne14" headerRowDxfId="388" dataDxfId="387"/>
    <tableColumn id="15" name="Colonne15" headerRowDxfId="386" dataDxfId="385"/>
  </tableColumns>
  <tableStyleInfo name="TableStyleLight1" showFirstColumn="0" showLastColumn="0" showRowStripes="1" showColumnStripes="0"/>
</table>
</file>

<file path=xl/tables/table16.xml><?xml version="1.0" encoding="utf-8"?>
<table xmlns="http://schemas.openxmlformats.org/spreadsheetml/2006/main" id="28" name="Tableau5112426272829" displayName="Tableau5112426272829" ref="A8:P53" headerRowCount="0" totalsRowShown="0" headerRowDxfId="384" dataDxfId="383" tableBorderDxfId="382">
  <tableColumns count="16">
    <tableColumn id="1" name="Colonne1" headerRowDxfId="381" dataDxfId="380"/>
    <tableColumn id="2" name="Colonne2" headerRowDxfId="379" dataDxfId="378"/>
    <tableColumn id="3" name="Colonne3" headerRowDxfId="377" dataDxfId="376"/>
    <tableColumn id="4" name="Colonne4" headerRowDxfId="375" dataDxfId="374"/>
    <tableColumn id="5" name="Colonne5" headerRowDxfId="373" dataDxfId="372"/>
    <tableColumn id="6" name="Colonne6" headerRowDxfId="371" dataDxfId="370"/>
    <tableColumn id="7" name="Colonne7" headerRowDxfId="369" dataDxfId="368"/>
    <tableColumn id="8" name="Colonne8" headerRowDxfId="367" dataDxfId="366"/>
    <tableColumn id="9" name="Colonne9" headerRowDxfId="365" dataDxfId="364"/>
    <tableColumn id="10" name="Colonne10" headerRowDxfId="363" dataDxfId="362"/>
    <tableColumn id="11" name="Colonne11" headerRowDxfId="361" dataDxfId="360"/>
    <tableColumn id="12" name="Colonne12" headerRowDxfId="359" dataDxfId="358"/>
    <tableColumn id="13" name="Colonne13" headerRowDxfId="357" dataDxfId="356"/>
    <tableColumn id="14" name="Colonne14" headerRowDxfId="355" dataDxfId="354"/>
    <tableColumn id="16" name="Colonne16" headerRowDxfId="353" dataDxfId="352"/>
    <tableColumn id="15" name="Colonne15" headerRowDxfId="351" dataDxfId="350"/>
  </tableColumns>
  <tableStyleInfo name="TableStyleLight1" showFirstColumn="0" showLastColumn="0" showRowStripes="1" showColumnStripes="0"/>
</table>
</file>

<file path=xl/tables/table17.xml><?xml version="1.0" encoding="utf-8"?>
<table xmlns="http://schemas.openxmlformats.org/spreadsheetml/2006/main" id="15" name="Tableau935816" displayName="Tableau935816" ref="A86:P93" headerRowCount="0" totalsRowShown="0" headerRowDxfId="349" dataDxfId="348" tableBorderDxfId="347">
  <tableColumns count="16">
    <tableColumn id="1" name="Colonne1" headerRowDxfId="346" dataDxfId="345"/>
    <tableColumn id="2" name="Colonne2" headerRowDxfId="344" dataDxfId="343"/>
    <tableColumn id="3" name="Colonne3" headerRowDxfId="342" dataDxfId="341"/>
    <tableColumn id="4" name="Colonne4" headerRowDxfId="340" dataDxfId="339"/>
    <tableColumn id="5" name="Colonne5" headerRowDxfId="338" dataDxfId="337"/>
    <tableColumn id="6" name="Colonne6" headerRowDxfId="336" dataDxfId="335"/>
    <tableColumn id="7" name="Colonne7" headerRowDxfId="334" dataDxfId="333"/>
    <tableColumn id="8" name="Colonne8" headerRowDxfId="332" dataDxfId="331"/>
    <tableColumn id="9" name="Colonne9" headerRowDxfId="330" dataDxfId="329"/>
    <tableColumn id="10" name="Colonne10" headerRowDxfId="328" dataDxfId="327"/>
    <tableColumn id="11" name="Colonne11" headerRowDxfId="326" dataDxfId="325"/>
    <tableColumn id="12" name="Colonne12" headerRowDxfId="324" dataDxfId="323"/>
    <tableColumn id="13" name="Colonne13" headerRowDxfId="322" dataDxfId="321"/>
    <tableColumn id="16" name="Colonne16" headerRowDxfId="320" dataDxfId="319"/>
    <tableColumn id="14" name="Colonne14" headerRowDxfId="318" dataDxfId="317"/>
    <tableColumn id="15" name="Colonne15" headerRowDxfId="316" dataDxfId="315"/>
  </tableColumns>
  <tableStyleInfo name="TableStyleLight1" showFirstColumn="0" showLastColumn="0" showRowStripes="1" showColumnStripes="0"/>
</table>
</file>

<file path=xl/tables/table18.xml><?xml version="1.0" encoding="utf-8"?>
<table xmlns="http://schemas.openxmlformats.org/spreadsheetml/2006/main" id="29" name="Tableau511242627282930" displayName="Tableau511242627282930" ref="A8:P53" headerRowCount="0" totalsRowShown="0" headerRowDxfId="314" dataDxfId="313" tableBorderDxfId="312">
  <tableColumns count="16">
    <tableColumn id="1" name="Colonne1" headerRowDxfId="311" dataDxfId="310"/>
    <tableColumn id="2" name="Colonne2" headerRowDxfId="309" dataDxfId="308"/>
    <tableColumn id="3" name="Colonne3" headerRowDxfId="307" dataDxfId="306"/>
    <tableColumn id="4" name="Colonne4" headerRowDxfId="305" dataDxfId="304"/>
    <tableColumn id="5" name="Colonne5" headerRowDxfId="303" dataDxfId="302"/>
    <tableColumn id="6" name="Colonne6" headerRowDxfId="301" dataDxfId="300"/>
    <tableColumn id="7" name="Colonne7" headerRowDxfId="299" dataDxfId="298"/>
    <tableColumn id="8" name="Colonne8" headerRowDxfId="297" dataDxfId="296"/>
    <tableColumn id="9" name="Colonne9" headerRowDxfId="295" dataDxfId="294"/>
    <tableColumn id="10" name="Colonne10" headerRowDxfId="293" dataDxfId="292"/>
    <tableColumn id="11" name="Colonne11" headerRowDxfId="291" dataDxfId="290"/>
    <tableColumn id="12" name="Colonne12" headerRowDxfId="289" dataDxfId="288"/>
    <tableColumn id="13" name="Colonne13" headerRowDxfId="287" dataDxfId="286"/>
    <tableColumn id="14" name="Colonne14" headerRowDxfId="285" dataDxfId="284"/>
    <tableColumn id="16" name="Colonne16" headerRowDxfId="283" dataDxfId="282"/>
    <tableColumn id="15" name="Colonne15" headerRowDxfId="281" dataDxfId="280"/>
  </tableColumns>
  <tableStyleInfo name="TableStyleLight1" showFirstColumn="0" showLastColumn="0" showRowStripes="1" showColumnStripes="0"/>
</table>
</file>

<file path=xl/tables/table19.xml><?xml version="1.0" encoding="utf-8"?>
<table xmlns="http://schemas.openxmlformats.org/spreadsheetml/2006/main" id="17" name="Tableau93581618" displayName="Tableau93581618" ref="A86:P93" headerRowCount="0" totalsRowShown="0" headerRowDxfId="279" dataDxfId="278" tableBorderDxfId="277">
  <tableColumns count="16">
    <tableColumn id="1" name="Colonne1" headerRowDxfId="276" dataDxfId="275"/>
    <tableColumn id="2" name="Colonne2" headerRowDxfId="274" dataDxfId="273"/>
    <tableColumn id="3" name="Colonne3" headerRowDxfId="272" dataDxfId="271"/>
    <tableColumn id="4" name="Colonne4" headerRowDxfId="270" dataDxfId="269"/>
    <tableColumn id="5" name="Colonne5" headerRowDxfId="268" dataDxfId="267"/>
    <tableColumn id="6" name="Colonne6" headerRowDxfId="266" dataDxfId="265"/>
    <tableColumn id="7" name="Colonne7" headerRowDxfId="264" dataDxfId="263"/>
    <tableColumn id="8" name="Colonne8" headerRowDxfId="262" dataDxfId="261"/>
    <tableColumn id="9" name="Colonne9" headerRowDxfId="260" dataDxfId="259"/>
    <tableColumn id="10" name="Colonne10" headerRowDxfId="258" dataDxfId="257"/>
    <tableColumn id="11" name="Colonne11" headerRowDxfId="256" dataDxfId="255"/>
    <tableColumn id="12" name="Colonne12" headerRowDxfId="254" dataDxfId="253"/>
    <tableColumn id="13" name="Colonne13" headerRowDxfId="252" dataDxfId="251"/>
    <tableColumn id="16" name="Colonne16" headerRowDxfId="250" dataDxfId="249"/>
    <tableColumn id="14" name="Colonne14" headerRowDxfId="248" dataDxfId="247"/>
    <tableColumn id="15" name="Colonne15" headerRowDxfId="246" dataDxfId="245"/>
  </tableColumns>
  <tableStyleInfo name="TableStyleLight1" showFirstColumn="0" showLastColumn="0" showRowStripes="1" showColumnStripes="0"/>
</table>
</file>

<file path=xl/tables/table20.xml><?xml version="1.0" encoding="utf-8"?>
<table xmlns="http://schemas.openxmlformats.org/spreadsheetml/2006/main" id="30" name="Tableau51124262728293031" displayName="Tableau51124262728293031" ref="A8:P53" headerRowCount="0" totalsRowShown="0" headerRowDxfId="244" dataDxfId="243" tableBorderDxfId="242">
  <tableColumns count="16">
    <tableColumn id="1" name="Colonne1" headerRowDxfId="241" dataDxfId="240"/>
    <tableColumn id="2" name="Colonne2" headerRowDxfId="239" dataDxfId="238"/>
    <tableColumn id="3" name="Colonne3" headerRowDxfId="237" dataDxfId="236"/>
    <tableColumn id="4" name="Colonne4" headerRowDxfId="235" dataDxfId="234"/>
    <tableColumn id="5" name="Colonne5" headerRowDxfId="233" dataDxfId="232"/>
    <tableColumn id="6" name="Colonne6" headerRowDxfId="231" dataDxfId="230"/>
    <tableColumn id="7" name="Colonne7" headerRowDxfId="229" dataDxfId="228"/>
    <tableColumn id="8" name="Colonne8" headerRowDxfId="227" dataDxfId="226"/>
    <tableColumn id="9" name="Colonne9" headerRowDxfId="225" dataDxfId="224"/>
    <tableColumn id="10" name="Colonne10" headerRowDxfId="223" dataDxfId="222"/>
    <tableColumn id="11" name="Colonne11" headerRowDxfId="221" dataDxfId="220"/>
    <tableColumn id="12" name="Colonne12" headerRowDxfId="219" dataDxfId="218"/>
    <tableColumn id="13" name="Colonne13" headerRowDxfId="217" dataDxfId="216"/>
    <tableColumn id="14" name="Colonne14" headerRowDxfId="215" dataDxfId="214"/>
    <tableColumn id="16" name="Colonne16" headerRowDxfId="213" dataDxfId="212"/>
    <tableColumn id="15" name="Colonne15" headerRowDxfId="211" dataDxfId="210"/>
  </tableColumns>
  <tableStyleInfo name="TableStyleLight1" showFirstColumn="0" showLastColumn="0" showRowStripes="1" showColumnStripes="0"/>
</table>
</file>

<file path=xl/tables/table21.xml><?xml version="1.0" encoding="utf-8"?>
<table xmlns="http://schemas.openxmlformats.org/spreadsheetml/2006/main" id="21" name="Tableau9358161822" displayName="Tableau9358161822" ref="A86:P93" headerRowCount="0" totalsRowShown="0" headerRowDxfId="209" dataDxfId="208" tableBorderDxfId="207">
  <tableColumns count="16">
    <tableColumn id="1" name="Colonne1" headerRowDxfId="206" dataDxfId="205"/>
    <tableColumn id="2" name="Colonne2" headerRowDxfId="204" dataDxfId="203"/>
    <tableColumn id="3" name="Colonne3" headerRowDxfId="202" dataDxfId="201"/>
    <tableColumn id="4" name="Colonne4" headerRowDxfId="200" dataDxfId="199"/>
    <tableColumn id="5" name="Colonne5" headerRowDxfId="198" dataDxfId="197"/>
    <tableColumn id="6" name="Colonne6" headerRowDxfId="196" dataDxfId="195"/>
    <tableColumn id="7" name="Colonne7" headerRowDxfId="194" dataDxfId="193"/>
    <tableColumn id="8" name="Colonne8" headerRowDxfId="192" dataDxfId="191"/>
    <tableColumn id="9" name="Colonne9" headerRowDxfId="190" dataDxfId="189"/>
    <tableColumn id="10" name="Colonne10" headerRowDxfId="188" dataDxfId="187"/>
    <tableColumn id="11" name="Colonne11" headerRowDxfId="186" dataDxfId="185"/>
    <tableColumn id="12" name="Colonne12" headerRowDxfId="184" dataDxfId="183"/>
    <tableColumn id="13" name="Colonne13" headerRowDxfId="182" dataDxfId="181"/>
    <tableColumn id="16" name="Colonne16" headerRowDxfId="180" dataDxfId="179"/>
    <tableColumn id="14" name="Colonne14" headerRowDxfId="178" dataDxfId="177"/>
    <tableColumn id="15" name="Colonne15" headerRowDxfId="176" dataDxfId="175"/>
  </tableColumns>
  <tableStyleInfo name="TableStyleLight1" showFirstColumn="0" showLastColumn="0" showRowStripes="1" showColumnStripes="0"/>
</table>
</file>

<file path=xl/tables/table22.xml><?xml version="1.0" encoding="utf-8"?>
<table xmlns="http://schemas.openxmlformats.org/spreadsheetml/2006/main" id="31" name="Tableau5112426272829303132" displayName="Tableau5112426272829303132" ref="A8:P53" headerRowCount="0" totalsRowShown="0" headerRowDxfId="174" dataDxfId="173" tableBorderDxfId="172">
  <tableColumns count="16">
    <tableColumn id="1" name="Colonne1" headerRowDxfId="171" dataDxfId="170"/>
    <tableColumn id="2" name="Colonne2" headerRowDxfId="169" dataDxfId="168"/>
    <tableColumn id="3" name="Colonne3" headerRowDxfId="167" dataDxfId="166"/>
    <tableColumn id="4" name="Colonne4" headerRowDxfId="165" dataDxfId="164"/>
    <tableColumn id="5" name="Colonne5" headerRowDxfId="163" dataDxfId="162"/>
    <tableColumn id="6" name="Colonne6" headerRowDxfId="161" dataDxfId="160"/>
    <tableColumn id="7" name="Colonne7" headerRowDxfId="159" dataDxfId="158"/>
    <tableColumn id="8" name="Colonne8" headerRowDxfId="157" dataDxfId="156"/>
    <tableColumn id="9" name="Colonne9" headerRowDxfId="155" dataDxfId="154"/>
    <tableColumn id="10" name="Colonne10" headerRowDxfId="153" dataDxfId="152"/>
    <tableColumn id="11" name="Colonne11" headerRowDxfId="151" dataDxfId="150"/>
    <tableColumn id="12" name="Colonne12" headerRowDxfId="149" dataDxfId="148"/>
    <tableColumn id="13" name="Colonne13" headerRowDxfId="147" dataDxfId="146"/>
    <tableColumn id="14" name="Colonne14" headerRowDxfId="145" dataDxfId="144"/>
    <tableColumn id="16" name="Colonne16" headerRowDxfId="143" dataDxfId="142"/>
    <tableColumn id="15" name="Colonne15" headerRowDxfId="141" dataDxfId="140"/>
  </tableColumns>
  <tableStyleInfo name="TableStyleLight1" showFirstColumn="0" showLastColumn="0" showRowStripes="1" showColumnStripes="0"/>
</table>
</file>

<file path=xl/tables/table23.xml><?xml version="1.0" encoding="utf-8"?>
<table xmlns="http://schemas.openxmlformats.org/spreadsheetml/2006/main" id="32" name="Tableau9333" displayName="Tableau9333" ref="A86:P93" headerRowCount="0" totalsRowShown="0" headerRowDxfId="139" dataDxfId="138" tableBorderDxfId="137">
  <tableColumns count="16">
    <tableColumn id="1" name="Colonne1" headerRowDxfId="136" dataDxfId="135"/>
    <tableColumn id="2" name="Colonne2" headerRowDxfId="134" dataDxfId="133"/>
    <tableColumn id="3" name="Colonne3" headerRowDxfId="132" dataDxfId="131"/>
    <tableColumn id="4" name="Colonne4" headerRowDxfId="130" dataDxfId="129"/>
    <tableColumn id="5" name="Colonne5" headerRowDxfId="128" dataDxfId="127"/>
    <tableColumn id="6" name="Colonne6" headerRowDxfId="126" dataDxfId="125"/>
    <tableColumn id="7" name="Colonne7" headerRowDxfId="124" dataDxfId="123"/>
    <tableColumn id="8" name="Colonne8" headerRowDxfId="122" dataDxfId="121"/>
    <tableColumn id="9" name="Colonne9" headerRowDxfId="120" dataDxfId="119"/>
    <tableColumn id="10" name="Colonne10" headerRowDxfId="118" dataDxfId="117"/>
    <tableColumn id="11" name="Colonne11" headerRowDxfId="116" dataDxfId="115"/>
    <tableColumn id="12" name="Colonne12" headerRowDxfId="114" dataDxfId="113"/>
    <tableColumn id="13" name="Colonne13" headerRowDxfId="112" dataDxfId="111"/>
    <tableColumn id="16" name="Colonne16" headerRowDxfId="110" dataDxfId="109"/>
    <tableColumn id="14" name="Colonne14" headerRowDxfId="108" dataDxfId="107"/>
    <tableColumn id="15" name="Colonne15" headerRowDxfId="106" dataDxfId="105"/>
  </tableColumns>
  <tableStyleInfo name="TableStyleLight1" showFirstColumn="0" showLastColumn="0" showRowStripes="1" showColumnStripes="0"/>
</table>
</file>

<file path=xl/tables/table24.xml><?xml version="1.0" encoding="utf-8"?>
<table xmlns="http://schemas.openxmlformats.org/spreadsheetml/2006/main" id="34" name="Tableau5112435" displayName="Tableau5112435" ref="A8:P53" headerRowCount="0" totalsRowShown="0" headerRowDxfId="104" dataDxfId="103" tableBorderDxfId="102">
  <tableColumns count="16">
    <tableColumn id="1" name="Colonne1" headerRowDxfId="101" dataDxfId="100"/>
    <tableColumn id="2" name="Colonne2" headerRowDxfId="99" dataDxfId="98"/>
    <tableColumn id="3" name="Colonne3" headerRowDxfId="97" dataDxfId="96"/>
    <tableColumn id="4" name="Colonne4" headerRowDxfId="95" dataDxfId="94"/>
    <tableColumn id="5" name="Colonne5" headerRowDxfId="93" dataDxfId="92"/>
    <tableColumn id="6" name="Colonne6" headerRowDxfId="91" dataDxfId="90"/>
    <tableColumn id="7" name="Colonne7" headerRowDxfId="89" dataDxfId="88"/>
    <tableColumn id="8" name="Colonne8" headerRowDxfId="87" dataDxfId="86"/>
    <tableColumn id="9" name="Colonne9" headerRowDxfId="85" dataDxfId="84"/>
    <tableColumn id="10" name="Colonne10" headerRowDxfId="83" dataDxfId="82"/>
    <tableColumn id="11" name="Colonne11" headerRowDxfId="81" dataDxfId="80"/>
    <tableColumn id="12" name="Colonne12" headerRowDxfId="79" dataDxfId="78"/>
    <tableColumn id="13" name="Colonne13" headerRowDxfId="77" dataDxfId="76"/>
    <tableColumn id="14" name="Colonne14" headerRowDxfId="75" dataDxfId="74"/>
    <tableColumn id="16" name="Colonne16" headerRowDxfId="73" dataDxfId="72"/>
    <tableColumn id="15" name="Colonne15" headerRowDxfId="71" dataDxfId="70"/>
  </tableColumns>
  <tableStyleInfo name="TableStyleLight1" showFirstColumn="0" showLastColumn="0" showRowStripes="1" showColumnStripes="0"/>
</table>
</file>

<file path=xl/tables/table25.xml><?xml version="1.0" encoding="utf-8"?>
<table xmlns="http://schemas.openxmlformats.org/spreadsheetml/2006/main" id="35" name="Tableau9336" displayName="Tableau9336" ref="A86:P93" headerRowCount="0" totalsRowShown="0" headerRowDxfId="69" dataDxfId="68" tableBorderDxfId="67">
  <tableColumns count="16">
    <tableColumn id="1" name="Colonne1" headerRowDxfId="66" dataDxfId="65"/>
    <tableColumn id="2" name="Colonne2" headerRowDxfId="64" dataDxfId="63"/>
    <tableColumn id="3" name="Colonne3" headerRowDxfId="62" dataDxfId="61"/>
    <tableColumn id="4" name="Colonne4" headerRowDxfId="60" dataDxfId="59"/>
    <tableColumn id="5" name="Colonne5" headerRowDxfId="58" dataDxfId="57"/>
    <tableColumn id="6" name="Colonne6" headerRowDxfId="56" dataDxfId="55"/>
    <tableColumn id="7" name="Colonne7" headerRowDxfId="54" dataDxfId="53"/>
    <tableColumn id="8" name="Colonne8" headerRowDxfId="52" dataDxfId="51"/>
    <tableColumn id="9" name="Colonne9" headerRowDxfId="50" dataDxfId="49"/>
    <tableColumn id="10" name="Colonne10" headerRowDxfId="48" dataDxfId="47"/>
    <tableColumn id="11" name="Colonne11" headerRowDxfId="46" dataDxfId="45"/>
    <tableColumn id="12" name="Colonne12" headerRowDxfId="44" dataDxfId="43"/>
    <tableColumn id="13" name="Colonne13" headerRowDxfId="42" dataDxfId="41"/>
    <tableColumn id="16" name="Colonne16" headerRowDxfId="40" dataDxfId="39"/>
    <tableColumn id="14" name="Colonne14" headerRowDxfId="38" dataDxfId="37"/>
    <tableColumn id="15" name="Colonne15" headerRowDxfId="36" dataDxfId="35"/>
  </tableColumns>
  <tableStyleInfo name="TableStyleLight1" showFirstColumn="0" showLastColumn="0" showRowStripes="1" showColumnStripes="0"/>
</table>
</file>

<file path=xl/tables/table26.xml><?xml version="1.0" encoding="utf-8"?>
<table xmlns="http://schemas.openxmlformats.org/spreadsheetml/2006/main" id="37" name="Tableau5112438" displayName="Tableau5112438" ref="A8:P53" headerRowCount="0" totalsRowShown="0" headerRowDxfId="34" dataDxfId="33" tableBorderDxfId="32">
  <tableColumns count="16">
    <tableColumn id="1" name="Colonne1" headerRowDxfId="31" dataDxfId="30"/>
    <tableColumn id="2" name="Colonne2" headerRowDxfId="29" dataDxfId="28"/>
    <tableColumn id="3" name="Colonne3" headerRowDxfId="27" dataDxfId="26"/>
    <tableColumn id="4" name="Colonne4" headerRowDxfId="25" dataDxfId="24"/>
    <tableColumn id="5" name="Colonne5" headerRowDxfId="23" dataDxfId="22"/>
    <tableColumn id="6" name="Colonne6" headerRowDxfId="21" dataDxfId="20"/>
    <tableColumn id="7" name="Colonne7" headerRowDxfId="19" dataDxfId="18"/>
    <tableColumn id="8" name="Colonne8" headerRowDxfId="17" dataDxfId="16"/>
    <tableColumn id="9" name="Colonne9" headerRowDxfId="15" dataDxfId="14"/>
    <tableColumn id="10" name="Colonne10" headerRowDxfId="13" dataDxfId="12"/>
    <tableColumn id="11" name="Colonne11" headerRowDxfId="11" dataDxfId="10"/>
    <tableColumn id="12" name="Colonne12" headerRowDxfId="9" dataDxfId="8"/>
    <tableColumn id="13" name="Colonne13" headerRowDxfId="7" dataDxfId="6"/>
    <tableColumn id="14" name="Colonne14" headerRowDxfId="5" dataDxfId="4"/>
    <tableColumn id="16" name="Colonne16" headerRowDxfId="3" dataDxfId="2"/>
    <tableColumn id="15" name="Colonne15" headerRowDxfId="1" dataDxfId="0"/>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collectivites-locales.gouv.fr/etudes-et-statistiques-locale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108"/>
  <sheetViews>
    <sheetView tabSelected="1" view="pageBreakPreview" zoomScaleNormal="100" zoomScaleSheetLayoutView="100" zoomScalePageLayoutView="70" workbookViewId="0">
      <selection activeCell="A41" sqref="A41"/>
    </sheetView>
  </sheetViews>
  <sheetFormatPr baseColWidth="10" defaultRowHeight="12.75" x14ac:dyDescent="0.2"/>
  <cols>
    <col min="1" max="1" width="100.7109375" customWidth="1"/>
  </cols>
  <sheetData>
    <row r="1" spans="1:1" x14ac:dyDescent="0.2">
      <c r="A1" s="745"/>
    </row>
    <row r="2" spans="1:1" x14ac:dyDescent="0.2">
      <c r="A2" s="53"/>
    </row>
    <row r="3" spans="1:1" x14ac:dyDescent="0.2">
      <c r="A3" s="53"/>
    </row>
    <row r="4" spans="1:1" x14ac:dyDescent="0.2">
      <c r="A4" s="53"/>
    </row>
    <row r="5" spans="1:1" x14ac:dyDescent="0.2">
      <c r="A5" s="53"/>
    </row>
    <row r="6" spans="1:1" x14ac:dyDescent="0.2">
      <c r="A6" s="745"/>
    </row>
    <row r="7" spans="1:1" x14ac:dyDescent="0.2">
      <c r="A7" s="745"/>
    </row>
    <row r="17" spans="1:1" x14ac:dyDescent="0.2">
      <c r="A17" s="745"/>
    </row>
    <row r="18" spans="1:1" x14ac:dyDescent="0.2">
      <c r="A18" s="745"/>
    </row>
    <row r="24" spans="1:1" ht="44.25" x14ac:dyDescent="0.55000000000000004">
      <c r="A24" s="746" t="s">
        <v>508</v>
      </c>
    </row>
    <row r="25" spans="1:1" ht="44.25" x14ac:dyDescent="0.55000000000000004">
      <c r="A25" s="746" t="s">
        <v>845</v>
      </c>
    </row>
    <row r="33" spans="1:1" ht="18" x14ac:dyDescent="0.25">
      <c r="A33" s="747" t="s">
        <v>509</v>
      </c>
    </row>
    <row r="34" spans="1:1" ht="18" x14ac:dyDescent="0.25">
      <c r="A34" s="748" t="s">
        <v>510</v>
      </c>
    </row>
    <row r="46" spans="1:1" ht="15" x14ac:dyDescent="0.2">
      <c r="A46" s="944"/>
    </row>
    <row r="50" spans="1:1" ht="18" x14ac:dyDescent="0.25">
      <c r="A50" s="750"/>
    </row>
    <row r="51" spans="1:1" ht="15" x14ac:dyDescent="0.2">
      <c r="A51" s="749"/>
    </row>
    <row r="101" spans="1:1" x14ac:dyDescent="0.2">
      <c r="A101" s="751" t="s">
        <v>846</v>
      </c>
    </row>
    <row r="102" spans="1:1" x14ac:dyDescent="0.2">
      <c r="A102" s="751" t="s">
        <v>512</v>
      </c>
    </row>
    <row r="103" spans="1:1" x14ac:dyDescent="0.2">
      <c r="A103" s="751" t="s">
        <v>513</v>
      </c>
    </row>
    <row r="104" spans="1:1" x14ac:dyDescent="0.2">
      <c r="A104" s="751" t="s">
        <v>511</v>
      </c>
    </row>
    <row r="105" spans="1:1" x14ac:dyDescent="0.2">
      <c r="A105" s="84"/>
    </row>
    <row r="106" spans="1:1" x14ac:dyDescent="0.2">
      <c r="A106" s="753" t="s">
        <v>847</v>
      </c>
    </row>
    <row r="107" spans="1:1" x14ac:dyDescent="0.2">
      <c r="A107" s="84"/>
    </row>
    <row r="108" spans="1:1" x14ac:dyDescent="0.2">
      <c r="A108" s="752" t="s">
        <v>813</v>
      </c>
    </row>
  </sheetData>
  <pageMargins left="0.70866141732283472" right="0.70866141732283472" top="0.74803149606299213" bottom="0.74803149606299213" header="0.31496062992125984" footer="0.31496062992125984"/>
  <pageSetup paperSize="9" scale="88" fitToHeight="2" orientation="portrait" r:id="rId1"/>
  <rowBreaks count="1" manualBreakCount="1">
    <brk id="5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tabColor rgb="FF00B050"/>
    <pageSetUpPr fitToPage="1"/>
  </sheetPr>
  <dimension ref="A2:K51"/>
  <sheetViews>
    <sheetView zoomScale="70" zoomScaleNormal="70" zoomScalePageLayoutView="70" workbookViewId="0">
      <selection activeCell="C34" sqref="C34"/>
    </sheetView>
  </sheetViews>
  <sheetFormatPr baseColWidth="10" defaultColWidth="11.42578125" defaultRowHeight="23.25" x14ac:dyDescent="0.35"/>
  <cols>
    <col min="1" max="1" width="6.140625" style="175" customWidth="1"/>
    <col min="2" max="2" width="4.28515625" style="176" customWidth="1"/>
    <col min="3" max="3" width="13.5703125" style="444" customWidth="1"/>
    <col min="4" max="4" width="2" style="445" bestFit="1" customWidth="1"/>
    <col min="5" max="5" width="6.7109375" style="434" customWidth="1"/>
    <col min="6" max="6" width="166.5703125" style="434" customWidth="1"/>
    <col min="7" max="7" width="11.42578125" style="673"/>
    <col min="8" max="8" width="6.140625" style="175" customWidth="1"/>
    <col min="9" max="16384" width="11.42578125" style="175"/>
  </cols>
  <sheetData>
    <row r="2" spans="1:11" ht="26.25" x14ac:dyDescent="0.35">
      <c r="A2" s="456" t="s">
        <v>849</v>
      </c>
      <c r="B2" s="449"/>
      <c r="C2" s="449"/>
      <c r="D2" s="449"/>
      <c r="E2" s="450"/>
      <c r="F2" s="450"/>
    </row>
    <row r="3" spans="1:11" x14ac:dyDescent="0.35">
      <c r="A3" s="455"/>
      <c r="B3" s="452"/>
      <c r="C3" s="682" t="s">
        <v>848</v>
      </c>
      <c r="D3" s="454"/>
      <c r="E3" s="454"/>
      <c r="F3" s="454"/>
    </row>
    <row r="4" spans="1:11" x14ac:dyDescent="0.35">
      <c r="A4" s="451"/>
      <c r="B4" s="452"/>
      <c r="C4" s="453"/>
      <c r="D4" s="1002"/>
      <c r="E4" s="1002"/>
      <c r="F4" s="1002"/>
    </row>
    <row r="5" spans="1:11" x14ac:dyDescent="0.35">
      <c r="A5" s="451"/>
      <c r="B5" s="452"/>
      <c r="C5" s="453"/>
      <c r="D5" s="454"/>
      <c r="E5" s="454"/>
      <c r="F5" s="454"/>
    </row>
    <row r="6" spans="1:11" x14ac:dyDescent="0.35">
      <c r="A6" s="451"/>
      <c r="B6" s="1003" t="s">
        <v>103</v>
      </c>
      <c r="C6" s="1003"/>
      <c r="D6" s="1003"/>
      <c r="E6" s="1003"/>
      <c r="F6" s="1003"/>
    </row>
    <row r="7" spans="1:11" x14ac:dyDescent="0.35">
      <c r="A7" s="451"/>
      <c r="B7" s="942" t="s">
        <v>689</v>
      </c>
      <c r="C7" s="941"/>
      <c r="D7" s="941"/>
      <c r="E7" s="941"/>
      <c r="F7" s="941"/>
    </row>
    <row r="8" spans="1:11" ht="25.5" customHeight="1" x14ac:dyDescent="0.35">
      <c r="B8" s="175"/>
      <c r="C8" s="437"/>
      <c r="D8" s="437"/>
      <c r="E8" s="431"/>
      <c r="F8" s="432"/>
    </row>
    <row r="9" spans="1:11" ht="46.5" customHeight="1" x14ac:dyDescent="0.2">
      <c r="B9" s="177" t="s">
        <v>104</v>
      </c>
      <c r="C9" s="438" t="s">
        <v>84</v>
      </c>
      <c r="D9" s="439" t="s">
        <v>105</v>
      </c>
      <c r="E9" s="1005" t="s">
        <v>850</v>
      </c>
      <c r="F9" s="1006"/>
      <c r="G9" s="674">
        <v>2</v>
      </c>
    </row>
    <row r="10" spans="1:11" ht="46.5" customHeight="1" x14ac:dyDescent="0.2">
      <c r="B10" s="178" t="s">
        <v>104</v>
      </c>
      <c r="C10" s="440" t="s">
        <v>85</v>
      </c>
      <c r="D10" s="441" t="s">
        <v>105</v>
      </c>
      <c r="E10" s="1004" t="s">
        <v>485</v>
      </c>
      <c r="F10" s="1004"/>
      <c r="G10" s="675">
        <v>3</v>
      </c>
    </row>
    <row r="11" spans="1:11" ht="46.5" customHeight="1" x14ac:dyDescent="0.2">
      <c r="B11" s="178" t="s">
        <v>104</v>
      </c>
      <c r="C11" s="440" t="s">
        <v>86</v>
      </c>
      <c r="D11" s="441" t="s">
        <v>105</v>
      </c>
      <c r="E11" s="1004" t="s">
        <v>486</v>
      </c>
      <c r="F11" s="1004"/>
      <c r="G11" s="675">
        <v>6</v>
      </c>
    </row>
    <row r="12" spans="1:11" ht="46.5" customHeight="1" x14ac:dyDescent="0.2">
      <c r="B12" s="178" t="s">
        <v>104</v>
      </c>
      <c r="C12" s="440" t="s">
        <v>87</v>
      </c>
      <c r="D12" s="441" t="s">
        <v>105</v>
      </c>
      <c r="E12" s="1004" t="s">
        <v>487</v>
      </c>
      <c r="F12" s="1004"/>
      <c r="G12" s="675">
        <v>7</v>
      </c>
    </row>
    <row r="13" spans="1:11" ht="46.5" customHeight="1" x14ac:dyDescent="0.2">
      <c r="B13" s="178" t="s">
        <v>104</v>
      </c>
      <c r="C13" s="440" t="s">
        <v>159</v>
      </c>
      <c r="D13" s="441" t="s">
        <v>105</v>
      </c>
      <c r="E13" s="1004" t="s">
        <v>488</v>
      </c>
      <c r="F13" s="1004"/>
      <c r="G13" s="675">
        <v>9</v>
      </c>
    </row>
    <row r="14" spans="1:11" ht="46.5" customHeight="1" x14ac:dyDescent="0.2">
      <c r="B14" s="178" t="s">
        <v>104</v>
      </c>
      <c r="C14" s="440" t="s">
        <v>19</v>
      </c>
      <c r="D14" s="441" t="s">
        <v>105</v>
      </c>
      <c r="E14" s="1004" t="s">
        <v>851</v>
      </c>
      <c r="F14" s="1004"/>
      <c r="G14" s="675">
        <v>11</v>
      </c>
    </row>
    <row r="15" spans="1:11" ht="46.5" customHeight="1" x14ac:dyDescent="0.2">
      <c r="B15" s="178" t="s">
        <v>104</v>
      </c>
      <c r="C15" s="440" t="s">
        <v>20</v>
      </c>
      <c r="D15" s="441" t="s">
        <v>105</v>
      </c>
      <c r="E15" s="1004" t="s">
        <v>489</v>
      </c>
      <c r="F15" s="1004"/>
      <c r="G15" s="675">
        <v>14</v>
      </c>
    </row>
    <row r="16" spans="1:11" ht="46.5" customHeight="1" x14ac:dyDescent="0.2">
      <c r="B16" s="178" t="s">
        <v>104</v>
      </c>
      <c r="C16" s="440" t="s">
        <v>21</v>
      </c>
      <c r="D16" s="441" t="s">
        <v>105</v>
      </c>
      <c r="E16" s="1004" t="s">
        <v>862</v>
      </c>
      <c r="F16" s="1004"/>
      <c r="G16" s="675">
        <v>16</v>
      </c>
      <c r="K16" s="179"/>
    </row>
    <row r="17" spans="2:11" ht="46.5" customHeight="1" x14ac:dyDescent="0.2">
      <c r="B17" s="178" t="s">
        <v>104</v>
      </c>
      <c r="C17" s="440" t="s">
        <v>24</v>
      </c>
      <c r="D17" s="441" t="s">
        <v>105</v>
      </c>
      <c r="E17" s="1004" t="s">
        <v>852</v>
      </c>
      <c r="F17" s="1004"/>
      <c r="G17" s="675">
        <v>18</v>
      </c>
    </row>
    <row r="18" spans="2:11" ht="46.5" customHeight="1" x14ac:dyDescent="0.2">
      <c r="B18" s="178" t="s">
        <v>104</v>
      </c>
      <c r="C18" s="440" t="s">
        <v>25</v>
      </c>
      <c r="D18" s="441" t="s">
        <v>105</v>
      </c>
      <c r="E18" s="1004" t="s">
        <v>490</v>
      </c>
      <c r="F18" s="1004"/>
      <c r="G18" s="675">
        <v>22</v>
      </c>
    </row>
    <row r="19" spans="2:11" ht="45.75" customHeight="1" x14ac:dyDescent="0.2">
      <c r="B19" s="178" t="s">
        <v>104</v>
      </c>
      <c r="C19" s="440" t="s">
        <v>26</v>
      </c>
      <c r="D19" s="441" t="s">
        <v>105</v>
      </c>
      <c r="E19" s="1004" t="s">
        <v>491</v>
      </c>
      <c r="F19" s="1004"/>
      <c r="G19" s="675">
        <v>26</v>
      </c>
    </row>
    <row r="20" spans="2:11" ht="63.75" customHeight="1" x14ac:dyDescent="0.2">
      <c r="B20" s="178" t="s">
        <v>104</v>
      </c>
      <c r="C20" s="440" t="s">
        <v>27</v>
      </c>
      <c r="D20" s="441" t="s">
        <v>105</v>
      </c>
      <c r="E20" s="1004" t="s">
        <v>492</v>
      </c>
      <c r="F20" s="1004"/>
      <c r="G20" s="675">
        <v>30</v>
      </c>
      <c r="K20" s="179"/>
    </row>
    <row r="21" spans="2:11" ht="45.75" customHeight="1" x14ac:dyDescent="0.2">
      <c r="B21" s="178" t="s">
        <v>104</v>
      </c>
      <c r="C21" s="440" t="s">
        <v>28</v>
      </c>
      <c r="D21" s="441" t="s">
        <v>105</v>
      </c>
      <c r="E21" s="1004" t="s">
        <v>493</v>
      </c>
      <c r="F21" s="1004"/>
      <c r="G21" s="675">
        <v>34</v>
      </c>
      <c r="K21" s="179"/>
    </row>
    <row r="22" spans="2:11" ht="45" customHeight="1" x14ac:dyDescent="0.2">
      <c r="B22" s="178" t="s">
        <v>104</v>
      </c>
      <c r="C22" s="440" t="s">
        <v>29</v>
      </c>
      <c r="D22" s="441" t="s">
        <v>105</v>
      </c>
      <c r="E22" s="1004" t="s">
        <v>494</v>
      </c>
      <c r="F22" s="1004"/>
      <c r="G22" s="675">
        <v>38</v>
      </c>
      <c r="K22" s="179"/>
    </row>
    <row r="23" spans="2:11" ht="46.5" customHeight="1" x14ac:dyDescent="0.2">
      <c r="B23" s="178" t="s">
        <v>104</v>
      </c>
      <c r="C23" s="440" t="s">
        <v>30</v>
      </c>
      <c r="D23" s="441" t="s">
        <v>105</v>
      </c>
      <c r="E23" s="1004" t="s">
        <v>495</v>
      </c>
      <c r="F23" s="1004"/>
      <c r="G23" s="675">
        <v>42</v>
      </c>
      <c r="K23" s="179"/>
    </row>
    <row r="24" spans="2:11" ht="46.5" customHeight="1" x14ac:dyDescent="0.2">
      <c r="B24" s="178" t="s">
        <v>104</v>
      </c>
      <c r="C24" s="440" t="s">
        <v>31</v>
      </c>
      <c r="D24" s="441" t="s">
        <v>105</v>
      </c>
      <c r="E24" s="1004" t="s">
        <v>496</v>
      </c>
      <c r="F24" s="1004"/>
      <c r="G24" s="675">
        <v>46</v>
      </c>
    </row>
    <row r="25" spans="2:11" ht="46.5" customHeight="1" x14ac:dyDescent="0.2">
      <c r="B25" s="178" t="s">
        <v>104</v>
      </c>
      <c r="C25" s="440" t="s">
        <v>32</v>
      </c>
      <c r="D25" s="441" t="s">
        <v>105</v>
      </c>
      <c r="E25" s="1004" t="s">
        <v>497</v>
      </c>
      <c r="F25" s="1004"/>
      <c r="G25" s="675">
        <v>50</v>
      </c>
    </row>
    <row r="26" spans="2:11" ht="46.5" customHeight="1" x14ac:dyDescent="0.2">
      <c r="B26" s="178" t="s">
        <v>104</v>
      </c>
      <c r="C26" s="440" t="s">
        <v>368</v>
      </c>
      <c r="D26" s="441" t="s">
        <v>105</v>
      </c>
      <c r="E26" s="1004" t="s">
        <v>498</v>
      </c>
      <c r="F26" s="1004"/>
      <c r="G26" s="675">
        <v>54</v>
      </c>
    </row>
    <row r="27" spans="2:11" ht="46.5" customHeight="1" x14ac:dyDescent="0.2">
      <c r="B27" s="178" t="s">
        <v>104</v>
      </c>
      <c r="C27" s="440" t="s">
        <v>369</v>
      </c>
      <c r="D27" s="441" t="s">
        <v>105</v>
      </c>
      <c r="E27" s="1004" t="s">
        <v>499</v>
      </c>
      <c r="F27" s="1004"/>
      <c r="G27" s="675">
        <v>58</v>
      </c>
    </row>
    <row r="28" spans="2:11" ht="46.5" customHeight="1" x14ac:dyDescent="0.2">
      <c r="B28" s="178" t="s">
        <v>104</v>
      </c>
      <c r="C28" s="440" t="s">
        <v>2</v>
      </c>
      <c r="D28" s="441" t="s">
        <v>105</v>
      </c>
      <c r="E28" s="1004" t="s">
        <v>853</v>
      </c>
      <c r="F28" s="1004"/>
      <c r="G28" s="675">
        <v>62</v>
      </c>
    </row>
    <row r="29" spans="2:11" ht="46.5" customHeight="1" x14ac:dyDescent="0.2">
      <c r="B29" s="178" t="s">
        <v>104</v>
      </c>
      <c r="C29" s="440" t="s">
        <v>3</v>
      </c>
      <c r="D29" s="441" t="s">
        <v>105</v>
      </c>
      <c r="E29" s="1004" t="s">
        <v>854</v>
      </c>
      <c r="F29" s="1004"/>
      <c r="G29" s="675">
        <v>66</v>
      </c>
      <c r="K29" s="179"/>
    </row>
    <row r="30" spans="2:11" ht="46.5" customHeight="1" x14ac:dyDescent="0.2">
      <c r="B30" s="178" t="s">
        <v>104</v>
      </c>
      <c r="C30" s="440" t="s">
        <v>4</v>
      </c>
      <c r="D30" s="441" t="s">
        <v>105</v>
      </c>
      <c r="E30" s="1004" t="s">
        <v>855</v>
      </c>
      <c r="F30" s="1004"/>
      <c r="G30" s="675">
        <v>73</v>
      </c>
      <c r="K30" s="179"/>
    </row>
    <row r="31" spans="2:11" ht="46.5" customHeight="1" x14ac:dyDescent="0.2">
      <c r="B31" s="178" t="s">
        <v>104</v>
      </c>
      <c r="C31" s="440" t="s">
        <v>5</v>
      </c>
      <c r="D31" s="441" t="s">
        <v>105</v>
      </c>
      <c r="E31" s="1004" t="s">
        <v>856</v>
      </c>
      <c r="F31" s="1004"/>
      <c r="G31" s="675">
        <v>81</v>
      </c>
    </row>
    <row r="32" spans="2:11" ht="46.5" customHeight="1" x14ac:dyDescent="0.2">
      <c r="B32" s="178" t="s">
        <v>104</v>
      </c>
      <c r="C32" s="440" t="s">
        <v>7</v>
      </c>
      <c r="D32" s="441" t="s">
        <v>105</v>
      </c>
      <c r="E32" s="1004" t="s">
        <v>857</v>
      </c>
      <c r="F32" s="1004"/>
      <c r="G32" s="675">
        <v>88</v>
      </c>
    </row>
    <row r="33" spans="2:7" ht="46.5" customHeight="1" x14ac:dyDescent="0.2">
      <c r="B33" s="178" t="s">
        <v>104</v>
      </c>
      <c r="C33" s="440" t="s">
        <v>236</v>
      </c>
      <c r="D33" s="441" t="s">
        <v>105</v>
      </c>
      <c r="E33" s="1004" t="s">
        <v>858</v>
      </c>
      <c r="F33" s="1004"/>
      <c r="G33" s="675">
        <v>93</v>
      </c>
    </row>
    <row r="34" spans="2:7" ht="46.5" customHeight="1" x14ac:dyDescent="0.2">
      <c r="B34" s="178" t="s">
        <v>104</v>
      </c>
      <c r="C34" s="812" t="s">
        <v>539</v>
      </c>
      <c r="D34" s="441" t="s">
        <v>105</v>
      </c>
      <c r="E34" s="1004" t="s">
        <v>859</v>
      </c>
      <c r="F34" s="1004"/>
      <c r="G34" s="675">
        <v>99</v>
      </c>
    </row>
    <row r="35" spans="2:7" ht="46.5" customHeight="1" x14ac:dyDescent="0.2">
      <c r="B35" s="178" t="s">
        <v>104</v>
      </c>
      <c r="C35" s="440" t="s">
        <v>540</v>
      </c>
      <c r="D35" s="441" t="s">
        <v>105</v>
      </c>
      <c r="E35" s="1004" t="s">
        <v>860</v>
      </c>
      <c r="F35" s="1004"/>
      <c r="G35" s="675">
        <v>102</v>
      </c>
    </row>
    <row r="36" spans="2:7" ht="46.5" customHeight="1" x14ac:dyDescent="0.2">
      <c r="B36" s="178" t="s">
        <v>104</v>
      </c>
      <c r="C36" s="440" t="s">
        <v>541</v>
      </c>
      <c r="D36" s="441" t="s">
        <v>105</v>
      </c>
      <c r="E36" s="1004" t="s">
        <v>861</v>
      </c>
      <c r="F36" s="1004"/>
      <c r="G36" s="675">
        <v>105</v>
      </c>
    </row>
    <row r="37" spans="2:7" ht="29.25" customHeight="1" x14ac:dyDescent="0.2">
      <c r="B37" s="178" t="s">
        <v>104</v>
      </c>
      <c r="C37" s="440" t="s">
        <v>349</v>
      </c>
      <c r="D37" s="441" t="s">
        <v>105</v>
      </c>
      <c r="E37" s="1004" t="s">
        <v>10</v>
      </c>
      <c r="F37" s="1004"/>
      <c r="G37" s="675">
        <v>108</v>
      </c>
    </row>
    <row r="38" spans="2:7" ht="29.25" customHeight="1" x14ac:dyDescent="0.2">
      <c r="B38" s="178" t="s">
        <v>104</v>
      </c>
      <c r="C38" s="440" t="s">
        <v>350</v>
      </c>
      <c r="D38" s="441" t="s">
        <v>105</v>
      </c>
      <c r="E38" s="1004" t="s">
        <v>353</v>
      </c>
      <c r="F38" s="1004"/>
      <c r="G38" s="675">
        <v>110</v>
      </c>
    </row>
    <row r="39" spans="2:7" x14ac:dyDescent="0.2">
      <c r="B39" s="180" t="s">
        <v>104</v>
      </c>
      <c r="C39" s="442" t="s">
        <v>351</v>
      </c>
      <c r="D39" s="443" t="s">
        <v>105</v>
      </c>
      <c r="E39" s="1009" t="s">
        <v>352</v>
      </c>
      <c r="F39" s="1009"/>
      <c r="G39" s="676">
        <v>111</v>
      </c>
    </row>
    <row r="40" spans="2:7" ht="18.75" customHeight="1" x14ac:dyDescent="0.35">
      <c r="E40" s="433"/>
    </row>
    <row r="41" spans="2:7" x14ac:dyDescent="0.35">
      <c r="B41" s="181"/>
      <c r="C41" s="446" t="s">
        <v>106</v>
      </c>
      <c r="D41" s="447"/>
      <c r="E41" s="1008" t="s">
        <v>107</v>
      </c>
      <c r="F41" s="1008"/>
    </row>
    <row r="42" spans="2:7" x14ac:dyDescent="0.35">
      <c r="B42" s="181"/>
      <c r="D42" s="448"/>
      <c r="E42" s="1007" t="s">
        <v>108</v>
      </c>
      <c r="F42" s="1007"/>
    </row>
    <row r="43" spans="2:7" x14ac:dyDescent="0.35">
      <c r="B43" s="181"/>
      <c r="D43" s="448"/>
      <c r="E43" s="1007" t="s">
        <v>109</v>
      </c>
      <c r="F43" s="1007"/>
    </row>
    <row r="44" spans="2:7" x14ac:dyDescent="0.35">
      <c r="B44" s="181"/>
      <c r="C44" s="446" t="s">
        <v>233</v>
      </c>
      <c r="D44" s="448"/>
      <c r="E44" s="435" t="s">
        <v>232</v>
      </c>
      <c r="F44" s="436"/>
    </row>
    <row r="45" spans="2:7" x14ac:dyDescent="0.35">
      <c r="B45" s="181"/>
      <c r="D45" s="448"/>
      <c r="E45" s="436"/>
      <c r="F45" s="436"/>
    </row>
    <row r="46" spans="2:7" x14ac:dyDescent="0.35">
      <c r="B46" s="181"/>
      <c r="D46" s="448"/>
      <c r="E46" s="436"/>
      <c r="F46" s="436"/>
    </row>
    <row r="47" spans="2:7" x14ac:dyDescent="0.35">
      <c r="B47" s="181"/>
      <c r="D47" s="448"/>
      <c r="E47" s="436"/>
      <c r="F47" s="436"/>
    </row>
    <row r="48" spans="2:7" x14ac:dyDescent="0.35">
      <c r="B48" s="181"/>
      <c r="D48" s="448"/>
      <c r="E48" s="436"/>
      <c r="F48" s="436"/>
    </row>
    <row r="49" spans="2:6" x14ac:dyDescent="0.35">
      <c r="B49" s="181"/>
      <c r="D49" s="448"/>
      <c r="E49" s="436"/>
      <c r="F49" s="436"/>
    </row>
    <row r="50" spans="2:6" x14ac:dyDescent="0.35">
      <c r="B50" s="181"/>
      <c r="D50" s="448"/>
      <c r="E50" s="436"/>
      <c r="F50" s="436"/>
    </row>
    <row r="51" spans="2:6" x14ac:dyDescent="0.35">
      <c r="B51" s="181"/>
      <c r="D51" s="448"/>
      <c r="E51" s="436"/>
      <c r="F51" s="436"/>
    </row>
  </sheetData>
  <mergeCells count="36">
    <mergeCell ref="E43:F43"/>
    <mergeCell ref="E42:F42"/>
    <mergeCell ref="E41:F41"/>
    <mergeCell ref="E18:F18"/>
    <mergeCell ref="E39:F39"/>
    <mergeCell ref="E19:F19"/>
    <mergeCell ref="E20:F20"/>
    <mergeCell ref="E23:F23"/>
    <mergeCell ref="E24:F24"/>
    <mergeCell ref="E21:F21"/>
    <mergeCell ref="E31:F31"/>
    <mergeCell ref="E38:F38"/>
    <mergeCell ref="E25:F25"/>
    <mergeCell ref="E28:F28"/>
    <mergeCell ref="E32:F32"/>
    <mergeCell ref="E29:F29"/>
    <mergeCell ref="E37:F37"/>
    <mergeCell ref="E33:F33"/>
    <mergeCell ref="E11:F11"/>
    <mergeCell ref="E30:F30"/>
    <mergeCell ref="E26:F26"/>
    <mergeCell ref="E27:F27"/>
    <mergeCell ref="E17:F17"/>
    <mergeCell ref="E16:F16"/>
    <mergeCell ref="E12:F12"/>
    <mergeCell ref="E14:F14"/>
    <mergeCell ref="E15:F15"/>
    <mergeCell ref="E13:F13"/>
    <mergeCell ref="E34:F34"/>
    <mergeCell ref="E35:F35"/>
    <mergeCell ref="E36:F36"/>
    <mergeCell ref="D4:F4"/>
    <mergeCell ref="B6:F6"/>
    <mergeCell ref="E10:F10"/>
    <mergeCell ref="E9:F9"/>
    <mergeCell ref="E22:F22"/>
  </mergeCells>
  <phoneticPr fontId="2" type="noConversion"/>
  <hyperlinks>
    <hyperlink ref="C9" location="'T 1.1'!A1" display="T 1.1"/>
    <hyperlink ref="C10" location="'T 1.2'!A1" display="T 1.2"/>
    <hyperlink ref="C11" location="'T 1.3'!A1" display="T 1.3"/>
    <hyperlink ref="C17" location="'T 3'!A1" display="T 3"/>
    <hyperlink ref="C18" location="'T 4.1'!A1" display="T 4.1"/>
    <hyperlink ref="C39" location="'Annexe 3'!A1" display="Annexe 3"/>
    <hyperlink ref="C12" location="'T 1.4'!A1" display="T 1.4"/>
    <hyperlink ref="C14" location="'T 2.1'!A1" display="T 2.1"/>
    <hyperlink ref="C15" location="'T 2.2'!A1" display="T 2.2"/>
    <hyperlink ref="C16" location="'T 2.3'!A1" display="T 2.3"/>
    <hyperlink ref="C24" location="'T 4.7'!A1" display="T 4.7"/>
    <hyperlink ref="C19" location="'T 4.2'!A1" display="T 4.2"/>
    <hyperlink ref="C20" location="'T 4.3'!A1" display="T 4.3"/>
    <hyperlink ref="C23" location="'T 4.6'!A1" display="T 4.6"/>
    <hyperlink ref="C25" location="'T 4.8'!A1" display="T 4.8"/>
    <hyperlink ref="C31" location="'T 5.4'!A1" display="T 5.4"/>
    <hyperlink ref="C38" location="'Annexe 2'!A1" display="Annexe 2"/>
    <hyperlink ref="C28" location="'T 5.1'!A1" display="T 5.1"/>
    <hyperlink ref="C29" location="'T 5.2'!A1" display="T 5.2"/>
    <hyperlink ref="C30" location="'T 5.3'!A1" display="T 5.3"/>
    <hyperlink ref="C21" location="'T 4.4'!A1" display="T 4.4"/>
    <hyperlink ref="C22" location="'T 4.5'!A1" display="T 4.5"/>
    <hyperlink ref="C13" location="'T 1.5'!A1" display="T 1.5"/>
    <hyperlink ref="C32" location="'T 5.5'!A1" display="T 5.4"/>
    <hyperlink ref="C33" location="'T 5.6'!A1" display="T 5.6"/>
    <hyperlink ref="C37" location="'Annexe 1'!A1" display="Annexe 1"/>
    <hyperlink ref="C26" location="'T 4.9'!A1" display="T 4.9"/>
    <hyperlink ref="C27" location="'T 4.10'!A1" display="T 4.10"/>
    <hyperlink ref="C34" location="'T 6.1'!A1" display="T 6.1"/>
    <hyperlink ref="C35" location="'T 6.2'!A1" display="T 6.2"/>
    <hyperlink ref="C36" location="'T 6.3'!A1" display="T 6.3"/>
    <hyperlink ref="B7" r:id="rId1"/>
  </hyperlinks>
  <pageMargins left="0.59055118110236227" right="0.59055118110236227" top="0.78740157480314965" bottom="0.78740157480314965" header="0.23622047244094491" footer="0.35433070866141736"/>
  <pageSetup paperSize="9" scale="43" firstPageNumber="3" orientation="portrait" useFirstPageNumber="1" r:id="rId2"/>
  <headerFooter alignWithMargins="0"/>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AD46"/>
  <sheetViews>
    <sheetView view="pageBreakPreview" zoomScaleNormal="100" zoomScaleSheetLayoutView="100" workbookViewId="0">
      <selection activeCell="A31" sqref="A31"/>
    </sheetView>
  </sheetViews>
  <sheetFormatPr baseColWidth="10" defaultRowHeight="12.75" x14ac:dyDescent="0.2"/>
  <cols>
    <col min="1" max="1" width="46.85546875" customWidth="1"/>
    <col min="2" max="2" width="13.5703125" customWidth="1"/>
    <col min="3" max="4" width="14.7109375" customWidth="1"/>
    <col min="5" max="5" width="13.7109375" customWidth="1"/>
    <col min="6" max="7" width="14.7109375" customWidth="1"/>
    <col min="8" max="8" width="13.5703125" customWidth="1"/>
    <col min="9" max="10" width="14.7109375" customWidth="1"/>
    <col min="12" max="12" width="12.42578125" bestFit="1" customWidth="1"/>
  </cols>
  <sheetData>
    <row r="1" spans="1:30" ht="21" x14ac:dyDescent="0.25">
      <c r="A1" s="10" t="s">
        <v>864</v>
      </c>
    </row>
    <row r="2" spans="1:30" ht="18" x14ac:dyDescent="0.25">
      <c r="A2" s="10"/>
    </row>
    <row r="3" spans="1:30" ht="18" x14ac:dyDescent="0.25">
      <c r="A3" s="10"/>
    </row>
    <row r="4" spans="1:30" x14ac:dyDescent="0.2">
      <c r="A4" s="68" t="s">
        <v>863</v>
      </c>
    </row>
    <row r="5" spans="1:30" ht="13.5" thickBot="1" x14ac:dyDescent="0.25"/>
    <row r="6" spans="1:30" ht="14.25" x14ac:dyDescent="0.2">
      <c r="A6" s="818"/>
      <c r="B6" s="1013" t="s">
        <v>391</v>
      </c>
      <c r="C6" s="1013"/>
      <c r="D6" s="1014"/>
      <c r="E6" s="1010" t="s">
        <v>239</v>
      </c>
      <c r="F6" s="1011"/>
      <c r="G6" s="1012"/>
      <c r="H6" s="1011" t="s">
        <v>392</v>
      </c>
      <c r="I6" s="1011"/>
      <c r="J6" s="1012"/>
    </row>
    <row r="7" spans="1:30" x14ac:dyDescent="0.2">
      <c r="A7" s="819"/>
      <c r="B7" s="815"/>
      <c r="C7" s="521"/>
      <c r="D7" s="522"/>
      <c r="E7" s="520"/>
      <c r="F7" s="521"/>
      <c r="G7" s="522"/>
      <c r="H7" s="520"/>
      <c r="I7" s="521"/>
      <c r="J7" s="522"/>
    </row>
    <row r="8" spans="1:30" x14ac:dyDescent="0.2">
      <c r="A8" s="819"/>
      <c r="B8" s="816" t="s">
        <v>69</v>
      </c>
      <c r="C8" s="524" t="s">
        <v>18</v>
      </c>
      <c r="D8" s="525" t="s">
        <v>18</v>
      </c>
      <c r="E8" s="523" t="s">
        <v>69</v>
      </c>
      <c r="F8" s="524" t="s">
        <v>18</v>
      </c>
      <c r="G8" s="525" t="s">
        <v>18</v>
      </c>
      <c r="H8" s="523" t="s">
        <v>69</v>
      </c>
      <c r="I8" s="524" t="s">
        <v>18</v>
      </c>
      <c r="J8" s="525" t="s">
        <v>18</v>
      </c>
    </row>
    <row r="9" spans="1:30" x14ac:dyDescent="0.2">
      <c r="A9" s="819" t="s">
        <v>68</v>
      </c>
      <c r="B9" s="816" t="s">
        <v>70</v>
      </c>
      <c r="C9" s="524" t="s">
        <v>118</v>
      </c>
      <c r="D9" s="525" t="s">
        <v>265</v>
      </c>
      <c r="E9" s="523" t="s">
        <v>70</v>
      </c>
      <c r="F9" s="524" t="s">
        <v>118</v>
      </c>
      <c r="G9" s="525" t="s">
        <v>265</v>
      </c>
      <c r="H9" s="523" t="s">
        <v>70</v>
      </c>
      <c r="I9" s="524" t="s">
        <v>118</v>
      </c>
      <c r="J9" s="525" t="s">
        <v>265</v>
      </c>
    </row>
    <row r="10" spans="1:30" x14ac:dyDescent="0.2">
      <c r="A10" s="819"/>
      <c r="B10" s="816" t="s">
        <v>116</v>
      </c>
      <c r="C10" s="524" t="s">
        <v>268</v>
      </c>
      <c r="D10" s="525" t="s">
        <v>266</v>
      </c>
      <c r="E10" s="523" t="s">
        <v>116</v>
      </c>
      <c r="F10" s="524" t="s">
        <v>268</v>
      </c>
      <c r="G10" s="525" t="s">
        <v>266</v>
      </c>
      <c r="H10" s="523" t="s">
        <v>116</v>
      </c>
      <c r="I10" s="524" t="s">
        <v>268</v>
      </c>
      <c r="J10" s="525" t="s">
        <v>266</v>
      </c>
    </row>
    <row r="11" spans="1:30" x14ac:dyDescent="0.2">
      <c r="A11" s="820"/>
      <c r="B11" s="817" t="s">
        <v>117</v>
      </c>
      <c r="C11" s="527" t="s">
        <v>71</v>
      </c>
      <c r="D11" s="527" t="s">
        <v>267</v>
      </c>
      <c r="E11" s="526" t="s">
        <v>117</v>
      </c>
      <c r="F11" s="527" t="s">
        <v>71</v>
      </c>
      <c r="G11" s="527" t="s">
        <v>267</v>
      </c>
      <c r="H11" s="526" t="s">
        <v>117</v>
      </c>
      <c r="I11" s="527" t="s">
        <v>71</v>
      </c>
      <c r="J11" s="528" t="s">
        <v>267</v>
      </c>
    </row>
    <row r="12" spans="1:30" x14ac:dyDescent="0.2">
      <c r="A12" s="821" t="s">
        <v>113</v>
      </c>
      <c r="B12" s="925" t="s">
        <v>102</v>
      </c>
      <c r="C12" s="925" t="s">
        <v>102</v>
      </c>
      <c r="D12" s="814" t="s">
        <v>102</v>
      </c>
      <c r="E12" s="398">
        <v>3285</v>
      </c>
      <c r="F12" s="399">
        <v>213.108</v>
      </c>
      <c r="G12" s="400">
        <f>F12*1000/E12</f>
        <v>64.873059360730593</v>
      </c>
      <c r="H12" s="401">
        <f>E12</f>
        <v>3285</v>
      </c>
      <c r="I12" s="754">
        <f>F12</f>
        <v>213.108</v>
      </c>
      <c r="J12" s="755">
        <f>I12*1000/H12</f>
        <v>64.873059360730593</v>
      </c>
    </row>
    <row r="13" spans="1:30" s="192" customFormat="1" x14ac:dyDescent="0.2">
      <c r="A13" s="822" t="s">
        <v>112</v>
      </c>
      <c r="B13" s="405" t="s">
        <v>102</v>
      </c>
      <c r="C13" s="694" t="s">
        <v>102</v>
      </c>
      <c r="D13" s="996" t="s">
        <v>102</v>
      </c>
      <c r="E13" s="402">
        <v>5363</v>
      </c>
      <c r="F13" s="404">
        <v>790.95500000000004</v>
      </c>
      <c r="G13" s="403">
        <f t="shared" ref="G13:G25" si="0">F13*1000/E13</f>
        <v>147.48368450494127</v>
      </c>
      <c r="H13" s="405">
        <f>E13</f>
        <v>5363</v>
      </c>
      <c r="I13" s="404">
        <f>F13</f>
        <v>790.95500000000004</v>
      </c>
      <c r="J13" s="403">
        <f>I13*1000/H13</f>
        <v>147.48368450494127</v>
      </c>
      <c r="K13"/>
      <c r="L13"/>
      <c r="M13"/>
      <c r="N13"/>
      <c r="O13"/>
      <c r="P13"/>
      <c r="Q13"/>
      <c r="R13"/>
      <c r="S13"/>
      <c r="T13"/>
      <c r="U13"/>
      <c r="V13"/>
      <c r="W13"/>
      <c r="X13"/>
      <c r="Y13"/>
      <c r="Z13"/>
      <c r="AA13"/>
      <c r="AB13"/>
      <c r="AC13"/>
      <c r="AD13"/>
    </row>
    <row r="14" spans="1:30" x14ac:dyDescent="0.2">
      <c r="A14" s="821" t="s">
        <v>111</v>
      </c>
      <c r="B14" s="916">
        <v>3</v>
      </c>
      <c r="C14" s="924">
        <v>0.82099999999999995</v>
      </c>
      <c r="D14" s="400">
        <f>C14*1000/B14</f>
        <v>273.66666666666669</v>
      </c>
      <c r="E14" s="398">
        <v>9463</v>
      </c>
      <c r="F14" s="399">
        <v>3081.3820000000001</v>
      </c>
      <c r="G14" s="400">
        <f t="shared" si="0"/>
        <v>325.62422064884288</v>
      </c>
      <c r="H14" s="401">
        <f t="shared" ref="H14:H25" si="1">B14+E14</f>
        <v>9466</v>
      </c>
      <c r="I14" s="399">
        <f t="shared" ref="I14:I25" si="2">C14+F14</f>
        <v>3082.203</v>
      </c>
      <c r="J14" s="400">
        <f>I14*1000/H14</f>
        <v>325.60775406718784</v>
      </c>
    </row>
    <row r="15" spans="1:30" x14ac:dyDescent="0.2">
      <c r="A15" s="823" t="s">
        <v>72</v>
      </c>
      <c r="B15" s="409">
        <v>13</v>
      </c>
      <c r="C15" s="407">
        <v>17.832000000000001</v>
      </c>
      <c r="D15" s="408">
        <f t="shared" ref="D15:D25" si="3">C15*1000/B15</f>
        <v>1371.6923076923076</v>
      </c>
      <c r="E15" s="428">
        <v>11240</v>
      </c>
      <c r="F15" s="407">
        <v>11089.396000000001</v>
      </c>
      <c r="G15" s="408">
        <f t="shared" si="0"/>
        <v>986.60106761565839</v>
      </c>
      <c r="H15" s="409">
        <f t="shared" si="1"/>
        <v>11253</v>
      </c>
      <c r="I15" s="407">
        <f t="shared" si="2"/>
        <v>11107.228000000001</v>
      </c>
      <c r="J15" s="408">
        <f t="shared" ref="J15:J25" si="4">I15*1000/H15</f>
        <v>987.04594330400801</v>
      </c>
    </row>
    <row r="16" spans="1:30" x14ac:dyDescent="0.2">
      <c r="A16" s="824" t="s">
        <v>73</v>
      </c>
      <c r="B16" s="401">
        <v>9</v>
      </c>
      <c r="C16" s="399">
        <v>25.501999999999999</v>
      </c>
      <c r="D16" s="400">
        <f t="shared" si="3"/>
        <v>2833.5555555555557</v>
      </c>
      <c r="E16" s="397">
        <v>2289</v>
      </c>
      <c r="F16" s="399">
        <v>5996.3370000000004</v>
      </c>
      <c r="G16" s="400">
        <f t="shared" si="0"/>
        <v>2619.6317169069462</v>
      </c>
      <c r="H16" s="401">
        <f t="shared" si="1"/>
        <v>2298</v>
      </c>
      <c r="I16" s="399">
        <f t="shared" si="2"/>
        <v>6021.8390000000009</v>
      </c>
      <c r="J16" s="400">
        <f t="shared" si="4"/>
        <v>2620.4695387293305</v>
      </c>
    </row>
    <row r="17" spans="1:30" x14ac:dyDescent="0.2">
      <c r="A17" s="823" t="s">
        <v>74</v>
      </c>
      <c r="B17" s="409">
        <v>10</v>
      </c>
      <c r="C17" s="407">
        <v>42.654000000000003</v>
      </c>
      <c r="D17" s="408">
        <f t="shared" si="3"/>
        <v>4265.3999999999996</v>
      </c>
      <c r="E17" s="406">
        <v>986</v>
      </c>
      <c r="F17" s="407">
        <v>4104.3410000000003</v>
      </c>
      <c r="G17" s="408">
        <f t="shared" si="0"/>
        <v>4162.6176470588243</v>
      </c>
      <c r="H17" s="409">
        <f t="shared" si="1"/>
        <v>996</v>
      </c>
      <c r="I17" s="407">
        <f t="shared" si="2"/>
        <v>4146.9950000000008</v>
      </c>
      <c r="J17" s="408">
        <f t="shared" si="4"/>
        <v>4163.6495983935756</v>
      </c>
    </row>
    <row r="18" spans="1:30" x14ac:dyDescent="0.2">
      <c r="A18" s="824" t="s">
        <v>75</v>
      </c>
      <c r="B18" s="401">
        <v>35</v>
      </c>
      <c r="C18" s="399">
        <v>257.774</v>
      </c>
      <c r="D18" s="400">
        <f t="shared" si="3"/>
        <v>7364.971428571429</v>
      </c>
      <c r="E18" s="398">
        <v>1192</v>
      </c>
      <c r="F18" s="399">
        <v>8271.6589999999997</v>
      </c>
      <c r="G18" s="400">
        <f t="shared" si="0"/>
        <v>6939.3112416107379</v>
      </c>
      <c r="H18" s="401">
        <f t="shared" si="1"/>
        <v>1227</v>
      </c>
      <c r="I18" s="399">
        <f t="shared" si="2"/>
        <v>8529.4329999999991</v>
      </c>
      <c r="J18" s="400">
        <f t="shared" si="4"/>
        <v>6951.453137734311</v>
      </c>
    </row>
    <row r="19" spans="1:30" s="192" customFormat="1" x14ac:dyDescent="0.2">
      <c r="A19" s="825" t="s">
        <v>827</v>
      </c>
      <c r="B19" s="413">
        <v>30</v>
      </c>
      <c r="C19" s="411">
        <v>430.58600000000001</v>
      </c>
      <c r="D19" s="412">
        <f t="shared" si="3"/>
        <v>14352.866666666667</v>
      </c>
      <c r="E19" s="410">
        <v>523</v>
      </c>
      <c r="F19" s="411">
        <v>7115.1139999999996</v>
      </c>
      <c r="G19" s="412">
        <f t="shared" si="0"/>
        <v>13604.424474187381</v>
      </c>
      <c r="H19" s="413">
        <f t="shared" si="1"/>
        <v>553</v>
      </c>
      <c r="I19" s="411">
        <f t="shared" si="2"/>
        <v>7545.7</v>
      </c>
      <c r="J19" s="412">
        <f t="shared" si="4"/>
        <v>13645.02712477396</v>
      </c>
      <c r="K19"/>
      <c r="L19"/>
      <c r="M19"/>
      <c r="N19"/>
      <c r="O19"/>
      <c r="P19"/>
      <c r="Q19"/>
      <c r="R19"/>
      <c r="S19"/>
      <c r="T19"/>
      <c r="U19"/>
      <c r="V19"/>
      <c r="W19"/>
      <c r="X19"/>
      <c r="Y19"/>
      <c r="Z19"/>
      <c r="AA19"/>
      <c r="AB19"/>
      <c r="AC19"/>
      <c r="AD19"/>
    </row>
    <row r="20" spans="1:30" s="192" customFormat="1" x14ac:dyDescent="0.2">
      <c r="A20" s="826" t="s">
        <v>828</v>
      </c>
      <c r="B20" s="417">
        <v>18</v>
      </c>
      <c r="C20" s="415">
        <v>553.17899999999997</v>
      </c>
      <c r="D20" s="416">
        <f t="shared" si="3"/>
        <v>30732.166666666668</v>
      </c>
      <c r="E20" s="414">
        <v>343</v>
      </c>
      <c r="F20" s="415">
        <v>10405.522000000001</v>
      </c>
      <c r="G20" s="416">
        <f t="shared" si="0"/>
        <v>30336.798833819241</v>
      </c>
      <c r="H20" s="417">
        <f t="shared" si="1"/>
        <v>361</v>
      </c>
      <c r="I20" s="415">
        <f t="shared" si="2"/>
        <v>10958.701000000001</v>
      </c>
      <c r="J20" s="416">
        <f t="shared" si="4"/>
        <v>30356.512465373962</v>
      </c>
      <c r="K20"/>
      <c r="L20"/>
      <c r="M20"/>
      <c r="N20"/>
      <c r="O20"/>
      <c r="P20"/>
      <c r="Q20"/>
      <c r="R20"/>
      <c r="S20"/>
      <c r="T20"/>
      <c r="U20"/>
      <c r="V20"/>
      <c r="W20"/>
      <c r="X20"/>
      <c r="Y20"/>
      <c r="Z20"/>
      <c r="AA20"/>
      <c r="AB20"/>
      <c r="AC20"/>
      <c r="AD20"/>
    </row>
    <row r="21" spans="1:30" s="192" customFormat="1" x14ac:dyDescent="0.2">
      <c r="A21" s="825" t="s">
        <v>829</v>
      </c>
      <c r="B21" s="413">
        <v>9</v>
      </c>
      <c r="C21" s="411">
        <v>595.51800000000003</v>
      </c>
      <c r="D21" s="412">
        <f t="shared" si="3"/>
        <v>66168.666666666672</v>
      </c>
      <c r="E21" s="410">
        <v>82</v>
      </c>
      <c r="F21" s="429">
        <v>5539.2089999999998</v>
      </c>
      <c r="G21" s="412">
        <f t="shared" si="0"/>
        <v>67551.329268292684</v>
      </c>
      <c r="H21" s="413">
        <f t="shared" si="1"/>
        <v>91</v>
      </c>
      <c r="I21" s="411">
        <f t="shared" si="2"/>
        <v>6134.7269999999999</v>
      </c>
      <c r="J21" s="412">
        <f t="shared" si="4"/>
        <v>67414.582417582424</v>
      </c>
      <c r="K21"/>
      <c r="L21"/>
      <c r="M21"/>
      <c r="N21"/>
      <c r="O21"/>
      <c r="P21"/>
      <c r="Q21"/>
      <c r="R21"/>
      <c r="S21"/>
      <c r="T21"/>
      <c r="U21"/>
      <c r="V21"/>
      <c r="W21"/>
      <c r="X21"/>
      <c r="Y21"/>
      <c r="Z21"/>
      <c r="AA21"/>
      <c r="AB21"/>
      <c r="AC21"/>
      <c r="AD21"/>
    </row>
    <row r="22" spans="1:30" x14ac:dyDescent="0.2">
      <c r="A22" s="826" t="s">
        <v>110</v>
      </c>
      <c r="B22" s="417">
        <v>2</v>
      </c>
      <c r="C22" s="415">
        <v>262.83600000000001</v>
      </c>
      <c r="D22" s="416">
        <f t="shared" si="3"/>
        <v>131418</v>
      </c>
      <c r="E22" s="414">
        <v>40</v>
      </c>
      <c r="F22" s="415">
        <v>10089.735000000001</v>
      </c>
      <c r="G22" s="416">
        <f t="shared" si="0"/>
        <v>252243.375</v>
      </c>
      <c r="H22" s="417">
        <f t="shared" si="1"/>
        <v>42</v>
      </c>
      <c r="I22" s="415">
        <f t="shared" si="2"/>
        <v>10352.571</v>
      </c>
      <c r="J22" s="416">
        <f t="shared" si="4"/>
        <v>246489.78571428571</v>
      </c>
    </row>
    <row r="23" spans="1:30" x14ac:dyDescent="0.2">
      <c r="A23" s="827" t="s">
        <v>76</v>
      </c>
      <c r="B23" s="532">
        <v>70</v>
      </c>
      <c r="C23" s="530">
        <v>344.58300000000003</v>
      </c>
      <c r="D23" s="531">
        <f t="shared" si="3"/>
        <v>4922.6142857142859</v>
      </c>
      <c r="E23" s="529">
        <v>33818</v>
      </c>
      <c r="F23" s="530">
        <v>33547.178</v>
      </c>
      <c r="G23" s="531">
        <f t="shared" si="0"/>
        <v>991.99177952569642</v>
      </c>
      <c r="H23" s="532">
        <f t="shared" si="1"/>
        <v>33888</v>
      </c>
      <c r="I23" s="530">
        <f t="shared" si="2"/>
        <v>33891.760999999999</v>
      </c>
      <c r="J23" s="531">
        <f t="shared" si="4"/>
        <v>1000.1109832389046</v>
      </c>
    </row>
    <row r="24" spans="1:30" x14ac:dyDescent="0.2">
      <c r="A24" s="828" t="s">
        <v>543</v>
      </c>
      <c r="B24" s="536">
        <v>59</v>
      </c>
      <c r="C24" s="534">
        <v>1842.1189999999999</v>
      </c>
      <c r="D24" s="535">
        <f t="shared" si="3"/>
        <v>31222.355932203391</v>
      </c>
      <c r="E24" s="533">
        <v>988</v>
      </c>
      <c r="F24" s="534">
        <v>33149.58</v>
      </c>
      <c r="G24" s="535">
        <f t="shared" si="0"/>
        <v>33552.206477732791</v>
      </c>
      <c r="H24" s="536">
        <f t="shared" si="1"/>
        <v>1047</v>
      </c>
      <c r="I24" s="534">
        <f t="shared" si="2"/>
        <v>34991.699000000001</v>
      </c>
      <c r="J24" s="535">
        <f t="shared" si="4"/>
        <v>33420.915950334289</v>
      </c>
    </row>
    <row r="25" spans="1:30" ht="13.5" thickBot="1" x14ac:dyDescent="0.25">
      <c r="A25" s="829" t="s">
        <v>114</v>
      </c>
      <c r="B25" s="540">
        <v>129</v>
      </c>
      <c r="C25" s="538">
        <v>2186.7020000000002</v>
      </c>
      <c r="D25" s="539">
        <f t="shared" si="3"/>
        <v>16951.178294573645</v>
      </c>
      <c r="E25" s="537">
        <v>34806</v>
      </c>
      <c r="F25" s="538">
        <v>66696.758000000002</v>
      </c>
      <c r="G25" s="539">
        <f t="shared" si="0"/>
        <v>1916.2431190024708</v>
      </c>
      <c r="H25" s="540">
        <f t="shared" si="1"/>
        <v>34935</v>
      </c>
      <c r="I25" s="538">
        <f t="shared" si="2"/>
        <v>68883.460000000006</v>
      </c>
      <c r="J25" s="539">
        <f t="shared" si="4"/>
        <v>1971.7606984399599</v>
      </c>
    </row>
    <row r="26" spans="1:30" x14ac:dyDescent="0.2">
      <c r="A26" s="193" t="s">
        <v>360</v>
      </c>
      <c r="B26" s="3"/>
      <c r="C26" s="3"/>
      <c r="D26" s="3"/>
      <c r="G26" s="185"/>
      <c r="J26" s="185"/>
    </row>
    <row r="27" spans="1:30" x14ac:dyDescent="0.2">
      <c r="A27" s="193" t="s">
        <v>264</v>
      </c>
      <c r="B27" s="3"/>
      <c r="C27" s="3"/>
      <c r="D27" s="3"/>
      <c r="F27" s="14"/>
      <c r="G27" s="185"/>
      <c r="I27" s="14"/>
      <c r="J27" s="185"/>
    </row>
    <row r="28" spans="1:30" x14ac:dyDescent="0.2">
      <c r="A28" s="9" t="s">
        <v>605</v>
      </c>
    </row>
    <row r="29" spans="1:30" x14ac:dyDescent="0.2">
      <c r="A29" s="195" t="s">
        <v>956</v>
      </c>
      <c r="B29" s="194"/>
      <c r="C29" s="194"/>
      <c r="D29" s="194"/>
      <c r="E29" s="194"/>
      <c r="F29" s="194"/>
      <c r="G29" s="194"/>
      <c r="H29" s="194"/>
      <c r="I29" s="194"/>
      <c r="J29" s="194"/>
    </row>
    <row r="30" spans="1:30" x14ac:dyDescent="0.2">
      <c r="A30" s="195" t="s">
        <v>867</v>
      </c>
    </row>
    <row r="31" spans="1:30" x14ac:dyDescent="0.2">
      <c r="A31" s="193"/>
    </row>
    <row r="46" spans="1:1" x14ac:dyDescent="0.2">
      <c r="A46" t="s">
        <v>514</v>
      </c>
    </row>
  </sheetData>
  <mergeCells count="3">
    <mergeCell ref="E6:G6"/>
    <mergeCell ref="B6:D6"/>
    <mergeCell ref="H6:J6"/>
  </mergeCells>
  <phoneticPr fontId="2" type="noConversion"/>
  <pageMargins left="0.59055118110236227" right="0.59055118110236227" top="1.4173228346456694" bottom="0.98425196850393704" header="0.27559055118110237" footer="0.31496062992125984"/>
  <pageSetup paperSize="9" scale="76" firstPageNumber="4" orientation="landscape" useFirstPageNumber="1" r:id="rId1"/>
  <headerFooter alignWithMargins="0">
    <oddHeader xml:space="preserve">&amp;R&amp;12Les finances des communes en 2024
</oddHeader>
    <oddFooter xml:space="preserve">&amp;L&amp;12Direction Générale des Collectivités Locales / DESL&amp;C&amp;12 2&amp;RMise en ligne :janvier 2026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O96"/>
  <sheetViews>
    <sheetView view="pageBreakPreview" zoomScale="60" zoomScaleNormal="100" zoomScalePageLayoutView="85" workbookViewId="0">
      <selection activeCell="A33" sqref="A33"/>
    </sheetView>
  </sheetViews>
  <sheetFormatPr baseColWidth="10" defaultRowHeight="12.75" x14ac:dyDescent="0.2"/>
  <cols>
    <col min="1" max="1" width="25.5703125" customWidth="1"/>
    <col min="13" max="14" width="18.140625" customWidth="1"/>
    <col min="15" max="15" width="13.7109375" customWidth="1"/>
  </cols>
  <sheetData>
    <row r="1" spans="1:15" ht="21" x14ac:dyDescent="0.25">
      <c r="A1" s="10" t="s">
        <v>870</v>
      </c>
    </row>
    <row r="2" spans="1:15" ht="14.25" x14ac:dyDescent="0.2">
      <c r="A2" s="37"/>
      <c r="N2" s="37" t="s">
        <v>515</v>
      </c>
    </row>
    <row r="3" spans="1:15" x14ac:dyDescent="0.2">
      <c r="A3" s="1"/>
      <c r="B3" s="1"/>
      <c r="C3" s="1"/>
      <c r="D3" s="1"/>
      <c r="E3" s="1"/>
      <c r="F3" s="1"/>
      <c r="G3" s="1"/>
      <c r="H3" s="1"/>
      <c r="I3" s="1"/>
      <c r="J3" s="1"/>
      <c r="K3" s="1"/>
      <c r="L3" s="2"/>
      <c r="M3" s="2"/>
      <c r="N3" s="1"/>
      <c r="O3" s="2"/>
    </row>
    <row r="4" spans="1:15" x14ac:dyDescent="0.2">
      <c r="A4" s="3"/>
      <c r="B4" s="11" t="s">
        <v>35</v>
      </c>
      <c r="C4" s="196" t="s">
        <v>121</v>
      </c>
      <c r="D4" s="196" t="s">
        <v>123</v>
      </c>
      <c r="E4" s="196" t="s">
        <v>36</v>
      </c>
      <c r="F4" s="196" t="s">
        <v>37</v>
      </c>
      <c r="G4" s="196" t="s">
        <v>38</v>
      </c>
      <c r="H4" s="197" t="s">
        <v>39</v>
      </c>
      <c r="I4" s="197" t="s">
        <v>125</v>
      </c>
      <c r="J4" s="197" t="s">
        <v>126</v>
      </c>
      <c r="K4" s="197" t="s">
        <v>127</v>
      </c>
      <c r="L4" s="198">
        <v>100000</v>
      </c>
      <c r="M4" s="204" t="s">
        <v>377</v>
      </c>
      <c r="N4" s="201" t="s">
        <v>377</v>
      </c>
      <c r="O4" s="206" t="s">
        <v>269</v>
      </c>
    </row>
    <row r="5" spans="1:15" x14ac:dyDescent="0.2">
      <c r="A5" s="203" t="s">
        <v>140</v>
      </c>
      <c r="B5" s="196" t="s">
        <v>120</v>
      </c>
      <c r="C5" s="11" t="s">
        <v>40</v>
      </c>
      <c r="D5" s="11" t="s">
        <v>40</v>
      </c>
      <c r="E5" s="11" t="s">
        <v>40</v>
      </c>
      <c r="F5" s="11" t="s">
        <v>40</v>
      </c>
      <c r="G5" s="11" t="s">
        <v>40</v>
      </c>
      <c r="H5" s="197" t="s">
        <v>40</v>
      </c>
      <c r="I5" s="197" t="s">
        <v>40</v>
      </c>
      <c r="J5" s="197" t="s">
        <v>40</v>
      </c>
      <c r="K5" s="197" t="s">
        <v>40</v>
      </c>
      <c r="L5" s="199" t="s">
        <v>43</v>
      </c>
      <c r="M5" s="204" t="s">
        <v>142</v>
      </c>
      <c r="N5" s="201" t="s">
        <v>83</v>
      </c>
      <c r="O5" s="205" t="s">
        <v>70</v>
      </c>
    </row>
    <row r="6" spans="1:15" x14ac:dyDescent="0.2">
      <c r="A6" s="3"/>
      <c r="B6" s="11" t="s">
        <v>43</v>
      </c>
      <c r="C6" s="196" t="s">
        <v>122</v>
      </c>
      <c r="D6" s="196" t="s">
        <v>124</v>
      </c>
      <c r="E6" s="196" t="s">
        <v>44</v>
      </c>
      <c r="F6" s="196" t="s">
        <v>45</v>
      </c>
      <c r="G6" s="196" t="s">
        <v>46</v>
      </c>
      <c r="H6" s="197" t="s">
        <v>42</v>
      </c>
      <c r="I6" s="197" t="s">
        <v>128</v>
      </c>
      <c r="J6" s="197" t="s">
        <v>129</v>
      </c>
      <c r="K6" s="197" t="s">
        <v>130</v>
      </c>
      <c r="L6" s="199" t="s">
        <v>131</v>
      </c>
      <c r="M6" s="204" t="s">
        <v>141</v>
      </c>
      <c r="N6" s="201" t="s">
        <v>136</v>
      </c>
      <c r="O6" s="205" t="s">
        <v>378</v>
      </c>
    </row>
    <row r="7" spans="1:15" x14ac:dyDescent="0.2">
      <c r="A7" s="202"/>
      <c r="B7" s="4"/>
      <c r="C7" s="4"/>
      <c r="D7" s="4"/>
      <c r="E7" s="4"/>
      <c r="F7" s="4"/>
      <c r="G7" s="4"/>
      <c r="H7" s="4"/>
      <c r="I7" s="4"/>
      <c r="J7" s="4"/>
      <c r="K7" s="4"/>
      <c r="L7" s="5"/>
      <c r="M7" s="5"/>
      <c r="N7" s="4"/>
      <c r="O7" s="5"/>
    </row>
    <row r="8" spans="1:15" x14ac:dyDescent="0.2">
      <c r="A8" s="200" t="s">
        <v>763</v>
      </c>
      <c r="B8" s="371">
        <v>256</v>
      </c>
      <c r="C8" s="371">
        <v>431</v>
      </c>
      <c r="D8" s="371">
        <v>931</v>
      </c>
      <c r="E8" s="371">
        <v>1631</v>
      </c>
      <c r="F8" s="371">
        <v>355</v>
      </c>
      <c r="G8" s="371">
        <v>137</v>
      </c>
      <c r="H8" s="371">
        <v>180</v>
      </c>
      <c r="I8" s="371">
        <v>63</v>
      </c>
      <c r="J8" s="371">
        <v>33</v>
      </c>
      <c r="K8" s="371">
        <v>4</v>
      </c>
      <c r="L8" s="371">
        <v>6</v>
      </c>
      <c r="M8" s="310">
        <v>3921</v>
      </c>
      <c r="N8" s="311">
        <v>106</v>
      </c>
      <c r="O8" s="308">
        <v>4027</v>
      </c>
    </row>
    <row r="9" spans="1:15" x14ac:dyDescent="0.2">
      <c r="A9" s="88" t="s">
        <v>764</v>
      </c>
      <c r="B9" s="541">
        <v>587</v>
      </c>
      <c r="C9" s="541">
        <v>851</v>
      </c>
      <c r="D9" s="541">
        <v>1156</v>
      </c>
      <c r="E9" s="541">
        <v>894</v>
      </c>
      <c r="F9" s="541">
        <v>102</v>
      </c>
      <c r="G9" s="541">
        <v>37</v>
      </c>
      <c r="H9" s="541">
        <v>47</v>
      </c>
      <c r="I9" s="541">
        <v>11</v>
      </c>
      <c r="J9" s="541">
        <v>10</v>
      </c>
      <c r="K9" s="541" t="s">
        <v>102</v>
      </c>
      <c r="L9" s="541">
        <v>2</v>
      </c>
      <c r="M9" s="312">
        <v>3674</v>
      </c>
      <c r="N9" s="313">
        <v>23</v>
      </c>
      <c r="O9" s="309">
        <v>3697</v>
      </c>
    </row>
    <row r="10" spans="1:15" x14ac:dyDescent="0.2">
      <c r="A10" s="200" t="s">
        <v>51</v>
      </c>
      <c r="B10" s="371">
        <v>2</v>
      </c>
      <c r="C10" s="371">
        <v>23</v>
      </c>
      <c r="D10" s="371">
        <v>162</v>
      </c>
      <c r="E10" s="371">
        <v>580</v>
      </c>
      <c r="F10" s="371">
        <v>202</v>
      </c>
      <c r="G10" s="371">
        <v>104</v>
      </c>
      <c r="H10" s="371">
        <v>90</v>
      </c>
      <c r="I10" s="371">
        <v>31</v>
      </c>
      <c r="J10" s="371">
        <v>7</v>
      </c>
      <c r="K10" s="371">
        <v>3</v>
      </c>
      <c r="L10" s="371">
        <v>2</v>
      </c>
      <c r="M10" s="310">
        <v>1163</v>
      </c>
      <c r="N10" s="311">
        <v>43</v>
      </c>
      <c r="O10" s="308">
        <v>1206</v>
      </c>
    </row>
    <row r="11" spans="1:15" x14ac:dyDescent="0.2">
      <c r="A11" s="88" t="s">
        <v>765</v>
      </c>
      <c r="B11" s="541">
        <v>56</v>
      </c>
      <c r="C11" s="541">
        <v>193</v>
      </c>
      <c r="D11" s="541">
        <v>579</v>
      </c>
      <c r="E11" s="541">
        <v>692</v>
      </c>
      <c r="F11" s="541">
        <v>112</v>
      </c>
      <c r="G11" s="541">
        <v>48</v>
      </c>
      <c r="H11" s="541">
        <v>42</v>
      </c>
      <c r="I11" s="541">
        <v>22</v>
      </c>
      <c r="J11" s="541">
        <v>9</v>
      </c>
      <c r="K11" s="541">
        <v>1</v>
      </c>
      <c r="L11" s="541">
        <v>2</v>
      </c>
      <c r="M11" s="312">
        <v>1722</v>
      </c>
      <c r="N11" s="313">
        <v>34</v>
      </c>
      <c r="O11" s="309">
        <v>1756</v>
      </c>
    </row>
    <row r="12" spans="1:15" x14ac:dyDescent="0.2">
      <c r="A12" s="200" t="s">
        <v>54</v>
      </c>
      <c r="B12" s="371">
        <v>119</v>
      </c>
      <c r="C12" s="371">
        <v>85</v>
      </c>
      <c r="D12" s="371">
        <v>59</v>
      </c>
      <c r="E12" s="371">
        <v>63</v>
      </c>
      <c r="F12" s="371">
        <v>19</v>
      </c>
      <c r="G12" s="371">
        <v>6</v>
      </c>
      <c r="H12" s="371">
        <v>6</v>
      </c>
      <c r="I12" s="371">
        <v>1</v>
      </c>
      <c r="J12" s="371">
        <v>1</v>
      </c>
      <c r="K12" s="371">
        <v>1</v>
      </c>
      <c r="L12" s="830" t="s">
        <v>102</v>
      </c>
      <c r="M12" s="310">
        <v>357</v>
      </c>
      <c r="N12" s="311">
        <v>3</v>
      </c>
      <c r="O12" s="308">
        <v>360</v>
      </c>
    </row>
    <row r="13" spans="1:15" x14ac:dyDescent="0.2">
      <c r="A13" s="88" t="s">
        <v>132</v>
      </c>
      <c r="B13" s="541">
        <v>844</v>
      </c>
      <c r="C13" s="541">
        <v>1041</v>
      </c>
      <c r="D13" s="541">
        <v>1394</v>
      </c>
      <c r="E13" s="541">
        <v>1346</v>
      </c>
      <c r="F13" s="541">
        <v>228</v>
      </c>
      <c r="G13" s="541">
        <v>89</v>
      </c>
      <c r="H13" s="541">
        <v>103</v>
      </c>
      <c r="I13" s="541">
        <v>50</v>
      </c>
      <c r="J13" s="541">
        <v>16</v>
      </c>
      <c r="K13" s="541">
        <v>2</v>
      </c>
      <c r="L13" s="541">
        <v>5</v>
      </c>
      <c r="M13" s="312">
        <v>5045</v>
      </c>
      <c r="N13" s="313">
        <v>73</v>
      </c>
      <c r="O13" s="309">
        <v>5118</v>
      </c>
    </row>
    <row r="14" spans="1:15" x14ac:dyDescent="0.2">
      <c r="A14" s="200" t="s">
        <v>766</v>
      </c>
      <c r="B14" s="371">
        <v>257</v>
      </c>
      <c r="C14" s="371">
        <v>610</v>
      </c>
      <c r="D14" s="371">
        <v>1157</v>
      </c>
      <c r="E14" s="371">
        <v>1214</v>
      </c>
      <c r="F14" s="371">
        <v>229</v>
      </c>
      <c r="G14" s="371">
        <v>97</v>
      </c>
      <c r="H14" s="371">
        <v>122</v>
      </c>
      <c r="I14" s="371">
        <v>62</v>
      </c>
      <c r="J14" s="371">
        <v>31</v>
      </c>
      <c r="K14" s="371">
        <v>7</v>
      </c>
      <c r="L14" s="371">
        <v>2</v>
      </c>
      <c r="M14" s="310">
        <v>3686</v>
      </c>
      <c r="N14" s="311">
        <v>102</v>
      </c>
      <c r="O14" s="308">
        <v>3788</v>
      </c>
    </row>
    <row r="15" spans="1:15" x14ac:dyDescent="0.2">
      <c r="A15" s="88" t="s">
        <v>133</v>
      </c>
      <c r="B15" s="541">
        <v>129</v>
      </c>
      <c r="C15" s="541">
        <v>398</v>
      </c>
      <c r="D15" s="541">
        <v>892</v>
      </c>
      <c r="E15" s="541">
        <v>936</v>
      </c>
      <c r="F15" s="541">
        <v>137</v>
      </c>
      <c r="G15" s="541">
        <v>64</v>
      </c>
      <c r="H15" s="541">
        <v>52</v>
      </c>
      <c r="I15" s="541">
        <v>27</v>
      </c>
      <c r="J15" s="541">
        <v>12</v>
      </c>
      <c r="K15" s="541">
        <v>1</v>
      </c>
      <c r="L15" s="541">
        <v>3</v>
      </c>
      <c r="M15" s="312">
        <v>2608</v>
      </c>
      <c r="N15" s="313">
        <v>43</v>
      </c>
      <c r="O15" s="309">
        <v>2651</v>
      </c>
    </row>
    <row r="16" spans="1:15" x14ac:dyDescent="0.2">
      <c r="A16" s="200" t="s">
        <v>767</v>
      </c>
      <c r="B16" s="371">
        <v>190</v>
      </c>
      <c r="C16" s="371">
        <v>650</v>
      </c>
      <c r="D16" s="371">
        <v>1343</v>
      </c>
      <c r="E16" s="371">
        <v>1559</v>
      </c>
      <c r="F16" s="371">
        <v>272</v>
      </c>
      <c r="G16" s="371">
        <v>95</v>
      </c>
      <c r="H16" s="371">
        <v>123</v>
      </c>
      <c r="I16" s="371">
        <v>37</v>
      </c>
      <c r="J16" s="371">
        <v>27</v>
      </c>
      <c r="K16" s="371">
        <v>7</v>
      </c>
      <c r="L16" s="371">
        <v>2</v>
      </c>
      <c r="M16" s="310">
        <v>4232</v>
      </c>
      <c r="N16" s="311">
        <v>73</v>
      </c>
      <c r="O16" s="308">
        <v>4305</v>
      </c>
    </row>
    <row r="17" spans="1:15" x14ac:dyDescent="0.2">
      <c r="A17" s="88" t="s">
        <v>134</v>
      </c>
      <c r="B17" s="541">
        <v>733</v>
      </c>
      <c r="C17" s="541">
        <v>858</v>
      </c>
      <c r="D17" s="541">
        <v>1198</v>
      </c>
      <c r="E17" s="541">
        <v>1117</v>
      </c>
      <c r="F17" s="541">
        <v>238</v>
      </c>
      <c r="G17" s="541">
        <v>107</v>
      </c>
      <c r="H17" s="541">
        <v>128</v>
      </c>
      <c r="I17" s="541">
        <v>47</v>
      </c>
      <c r="J17" s="541">
        <v>19</v>
      </c>
      <c r="K17" s="541">
        <v>4</v>
      </c>
      <c r="L17" s="541">
        <v>4</v>
      </c>
      <c r="M17" s="312">
        <v>4379</v>
      </c>
      <c r="N17" s="313">
        <v>74</v>
      </c>
      <c r="O17" s="309">
        <v>4453</v>
      </c>
    </row>
    <row r="18" spans="1:15" x14ac:dyDescent="0.2">
      <c r="A18" s="200" t="s">
        <v>63</v>
      </c>
      <c r="B18" s="371">
        <v>11</v>
      </c>
      <c r="C18" s="371">
        <v>57</v>
      </c>
      <c r="D18" s="371">
        <v>214</v>
      </c>
      <c r="E18" s="371">
        <v>525</v>
      </c>
      <c r="F18" s="371">
        <v>194</v>
      </c>
      <c r="G18" s="371">
        <v>80</v>
      </c>
      <c r="H18" s="371">
        <v>96</v>
      </c>
      <c r="I18" s="371">
        <v>32</v>
      </c>
      <c r="J18" s="371">
        <v>15</v>
      </c>
      <c r="K18" s="371">
        <v>5</v>
      </c>
      <c r="L18" s="371">
        <v>3</v>
      </c>
      <c r="M18" s="310">
        <v>1177</v>
      </c>
      <c r="N18" s="311">
        <v>55</v>
      </c>
      <c r="O18" s="308">
        <v>1232</v>
      </c>
    </row>
    <row r="19" spans="1:15" x14ac:dyDescent="0.2">
      <c r="A19" s="88" t="s">
        <v>93</v>
      </c>
      <c r="B19" s="541">
        <v>87</v>
      </c>
      <c r="C19" s="541">
        <v>110</v>
      </c>
      <c r="D19" s="541">
        <v>169</v>
      </c>
      <c r="E19" s="541">
        <v>246</v>
      </c>
      <c r="F19" s="541">
        <v>91</v>
      </c>
      <c r="G19" s="541">
        <v>59</v>
      </c>
      <c r="H19" s="541">
        <v>90</v>
      </c>
      <c r="I19" s="541">
        <v>52</v>
      </c>
      <c r="J19" s="541">
        <v>30</v>
      </c>
      <c r="K19" s="541">
        <v>8</v>
      </c>
      <c r="L19" s="541">
        <v>4</v>
      </c>
      <c r="M19" s="312">
        <v>852</v>
      </c>
      <c r="N19" s="313">
        <v>94</v>
      </c>
      <c r="O19" s="309">
        <v>946</v>
      </c>
    </row>
    <row r="20" spans="1:15" x14ac:dyDescent="0.2">
      <c r="A20" s="542" t="s">
        <v>135</v>
      </c>
      <c r="B20" s="371">
        <v>14</v>
      </c>
      <c r="C20" s="371">
        <v>56</v>
      </c>
      <c r="D20" s="371">
        <v>209</v>
      </c>
      <c r="E20" s="371">
        <v>437</v>
      </c>
      <c r="F20" s="371">
        <v>110</v>
      </c>
      <c r="G20" s="371">
        <v>63</v>
      </c>
      <c r="H20" s="371">
        <v>113</v>
      </c>
      <c r="I20" s="371">
        <v>88</v>
      </c>
      <c r="J20" s="371">
        <v>133</v>
      </c>
      <c r="K20" s="371">
        <v>39</v>
      </c>
      <c r="L20" s="371">
        <v>5</v>
      </c>
      <c r="M20" s="310">
        <v>1002</v>
      </c>
      <c r="N20" s="311">
        <v>265</v>
      </c>
      <c r="O20" s="308">
        <v>1267</v>
      </c>
    </row>
    <row r="21" spans="1:15" x14ac:dyDescent="0.2">
      <c r="A21" s="18" t="s">
        <v>239</v>
      </c>
      <c r="B21" s="541">
        <f t="shared" ref="B21:O21" si="0">SUM(B8:B20)</f>
        <v>3285</v>
      </c>
      <c r="C21" s="541">
        <f t="shared" si="0"/>
        <v>5363</v>
      </c>
      <c r="D21" s="541">
        <f t="shared" si="0"/>
        <v>9463</v>
      </c>
      <c r="E21" s="541">
        <f t="shared" si="0"/>
        <v>11240</v>
      </c>
      <c r="F21" s="541">
        <f t="shared" si="0"/>
        <v>2289</v>
      </c>
      <c r="G21" s="541">
        <f t="shared" si="0"/>
        <v>986</v>
      </c>
      <c r="H21" s="541">
        <f t="shared" si="0"/>
        <v>1192</v>
      </c>
      <c r="I21" s="541">
        <f t="shared" si="0"/>
        <v>523</v>
      </c>
      <c r="J21" s="541">
        <f t="shared" si="0"/>
        <v>343</v>
      </c>
      <c r="K21" s="541">
        <f t="shared" si="0"/>
        <v>82</v>
      </c>
      <c r="L21" s="541">
        <f t="shared" si="0"/>
        <v>40</v>
      </c>
      <c r="M21" s="312">
        <f t="shared" si="0"/>
        <v>33818</v>
      </c>
      <c r="N21" s="313">
        <f t="shared" si="0"/>
        <v>988</v>
      </c>
      <c r="O21" s="309">
        <f t="shared" si="0"/>
        <v>34806</v>
      </c>
    </row>
    <row r="22" spans="1:15" ht="14.25" x14ac:dyDescent="0.2">
      <c r="A22" s="247" t="s">
        <v>391</v>
      </c>
      <c r="B22" s="830" t="s">
        <v>102</v>
      </c>
      <c r="C22" s="371" t="s">
        <v>102</v>
      </c>
      <c r="D22" s="830">
        <v>3</v>
      </c>
      <c r="E22" s="371">
        <v>13</v>
      </c>
      <c r="F22" s="371">
        <v>9</v>
      </c>
      <c r="G22" s="371">
        <v>10</v>
      </c>
      <c r="H22" s="371">
        <v>35</v>
      </c>
      <c r="I22" s="371">
        <v>30</v>
      </c>
      <c r="J22" s="371">
        <v>18</v>
      </c>
      <c r="K22" s="371">
        <v>9</v>
      </c>
      <c r="L22" s="371">
        <v>2</v>
      </c>
      <c r="M22" s="310">
        <v>70</v>
      </c>
      <c r="N22" s="311">
        <v>59</v>
      </c>
      <c r="O22" s="308">
        <v>129</v>
      </c>
    </row>
    <row r="23" spans="1:15" x14ac:dyDescent="0.2">
      <c r="A23" s="88" t="s">
        <v>544</v>
      </c>
      <c r="B23" s="541" t="s">
        <v>102</v>
      </c>
      <c r="C23" s="541" t="s">
        <v>102</v>
      </c>
      <c r="D23" s="541" t="s">
        <v>102</v>
      </c>
      <c r="E23" s="541">
        <v>4</v>
      </c>
      <c r="F23" s="541">
        <v>2</v>
      </c>
      <c r="G23" s="541">
        <v>3</v>
      </c>
      <c r="H23" s="541">
        <v>10</v>
      </c>
      <c r="I23" s="541">
        <v>7</v>
      </c>
      <c r="J23" s="541">
        <v>5</v>
      </c>
      <c r="K23" s="541">
        <v>1</v>
      </c>
      <c r="L23" s="541" t="s">
        <v>102</v>
      </c>
      <c r="M23" s="312">
        <v>19</v>
      </c>
      <c r="N23" s="313">
        <v>13</v>
      </c>
      <c r="O23" s="309">
        <v>32</v>
      </c>
    </row>
    <row r="24" spans="1:15" x14ac:dyDescent="0.2">
      <c r="A24" s="837" t="s">
        <v>545</v>
      </c>
      <c r="B24" s="830" t="s">
        <v>102</v>
      </c>
      <c r="C24" s="830" t="s">
        <v>102</v>
      </c>
      <c r="D24" s="830" t="s">
        <v>102</v>
      </c>
      <c r="E24" s="830">
        <v>6</v>
      </c>
      <c r="F24" s="830">
        <v>3</v>
      </c>
      <c r="G24" s="830">
        <v>6</v>
      </c>
      <c r="H24" s="830">
        <v>7</v>
      </c>
      <c r="I24" s="830">
        <v>9</v>
      </c>
      <c r="J24" s="830">
        <v>2</v>
      </c>
      <c r="K24" s="830">
        <v>1</v>
      </c>
      <c r="L24" s="830" t="s">
        <v>102</v>
      </c>
      <c r="M24" s="831">
        <v>22</v>
      </c>
      <c r="N24" s="832">
        <v>12</v>
      </c>
      <c r="O24" s="833">
        <v>34</v>
      </c>
    </row>
    <row r="25" spans="1:15" x14ac:dyDescent="0.2">
      <c r="A25" s="88" t="s">
        <v>546</v>
      </c>
      <c r="B25" s="541" t="s">
        <v>102</v>
      </c>
      <c r="C25" s="541" t="s">
        <v>102</v>
      </c>
      <c r="D25" s="541">
        <v>3</v>
      </c>
      <c r="E25" s="541">
        <v>3</v>
      </c>
      <c r="F25" s="541">
        <v>4</v>
      </c>
      <c r="G25" s="541">
        <v>1</v>
      </c>
      <c r="H25" s="541">
        <v>4</v>
      </c>
      <c r="I25" s="541">
        <v>2</v>
      </c>
      <c r="J25" s="541">
        <v>3</v>
      </c>
      <c r="K25" s="541">
        <v>2</v>
      </c>
      <c r="L25" s="541" t="s">
        <v>102</v>
      </c>
      <c r="M25" s="312">
        <v>15</v>
      </c>
      <c r="N25" s="313">
        <v>7</v>
      </c>
      <c r="O25" s="309">
        <v>22</v>
      </c>
    </row>
    <row r="26" spans="1:15" x14ac:dyDescent="0.2">
      <c r="A26" s="837" t="s">
        <v>547</v>
      </c>
      <c r="B26" s="830" t="s">
        <v>102</v>
      </c>
      <c r="C26" s="830" t="s">
        <v>102</v>
      </c>
      <c r="D26" s="830" t="s">
        <v>102</v>
      </c>
      <c r="E26" s="830" t="s">
        <v>102</v>
      </c>
      <c r="F26" s="830" t="s">
        <v>102</v>
      </c>
      <c r="G26" s="830" t="s">
        <v>102</v>
      </c>
      <c r="H26" s="830">
        <v>7</v>
      </c>
      <c r="I26" s="830">
        <v>4</v>
      </c>
      <c r="J26" s="830">
        <v>7</v>
      </c>
      <c r="K26" s="830">
        <v>4</v>
      </c>
      <c r="L26" s="830">
        <v>2</v>
      </c>
      <c r="M26" s="831">
        <v>7</v>
      </c>
      <c r="N26" s="832">
        <v>17</v>
      </c>
      <c r="O26" s="833">
        <v>24</v>
      </c>
    </row>
    <row r="27" spans="1:15" x14ac:dyDescent="0.2">
      <c r="A27" s="88" t="s">
        <v>548</v>
      </c>
      <c r="B27" s="541" t="s">
        <v>102</v>
      </c>
      <c r="C27" s="541" t="s">
        <v>102</v>
      </c>
      <c r="D27" s="541" t="s">
        <v>102</v>
      </c>
      <c r="E27" s="541" t="s">
        <v>102</v>
      </c>
      <c r="F27" s="541" t="s">
        <v>102</v>
      </c>
      <c r="G27" s="541" t="s">
        <v>102</v>
      </c>
      <c r="H27" s="541">
        <v>7</v>
      </c>
      <c r="I27" s="541">
        <v>8</v>
      </c>
      <c r="J27" s="541">
        <v>1</v>
      </c>
      <c r="K27" s="541">
        <v>1</v>
      </c>
      <c r="L27" s="541" t="s">
        <v>102</v>
      </c>
      <c r="M27" s="312">
        <v>7</v>
      </c>
      <c r="N27" s="313">
        <v>10</v>
      </c>
      <c r="O27" s="309">
        <v>17</v>
      </c>
    </row>
    <row r="28" spans="1:15" x14ac:dyDescent="0.2">
      <c r="A28" s="834" t="s">
        <v>67</v>
      </c>
      <c r="B28" s="835">
        <f t="shared" ref="B28:O28" si="1">SUM(B21:B22)</f>
        <v>3285</v>
      </c>
      <c r="C28" s="835">
        <f t="shared" si="1"/>
        <v>5363</v>
      </c>
      <c r="D28" s="835">
        <f t="shared" si="1"/>
        <v>9466</v>
      </c>
      <c r="E28" s="835">
        <f t="shared" si="1"/>
        <v>11253</v>
      </c>
      <c r="F28" s="835">
        <f t="shared" si="1"/>
        <v>2298</v>
      </c>
      <c r="G28" s="835">
        <f t="shared" si="1"/>
        <v>996</v>
      </c>
      <c r="H28" s="835">
        <f t="shared" si="1"/>
        <v>1227</v>
      </c>
      <c r="I28" s="835">
        <f t="shared" si="1"/>
        <v>553</v>
      </c>
      <c r="J28" s="835">
        <f t="shared" si="1"/>
        <v>361</v>
      </c>
      <c r="K28" s="835">
        <f t="shared" si="1"/>
        <v>91</v>
      </c>
      <c r="L28" s="835">
        <f t="shared" si="1"/>
        <v>42</v>
      </c>
      <c r="M28" s="836">
        <f t="shared" si="1"/>
        <v>33888</v>
      </c>
      <c r="N28" s="836">
        <f t="shared" si="1"/>
        <v>1047</v>
      </c>
      <c r="O28" s="836">
        <f t="shared" si="1"/>
        <v>34935</v>
      </c>
    </row>
    <row r="29" spans="1:15" x14ac:dyDescent="0.2">
      <c r="A29" s="193" t="s">
        <v>277</v>
      </c>
      <c r="B29" s="3"/>
      <c r="C29" s="3"/>
      <c r="D29" s="3"/>
      <c r="E29" s="14"/>
      <c r="G29" s="185"/>
      <c r="J29" s="185"/>
    </row>
    <row r="30" spans="1:15" x14ac:dyDescent="0.2">
      <c r="A30" s="9" t="s">
        <v>500</v>
      </c>
    </row>
    <row r="31" spans="1:15" x14ac:dyDescent="0.2">
      <c r="A31" s="9" t="s">
        <v>831</v>
      </c>
    </row>
    <row r="32" spans="1:15" x14ac:dyDescent="0.2">
      <c r="A32" s="193" t="s">
        <v>999</v>
      </c>
      <c r="B32" s="3"/>
      <c r="C32" s="3"/>
      <c r="D32" s="3"/>
      <c r="G32" s="185"/>
      <c r="J32" s="185"/>
    </row>
    <row r="34" spans="1:15" ht="18" x14ac:dyDescent="0.25">
      <c r="A34" s="10" t="s">
        <v>866</v>
      </c>
    </row>
    <row r="35" spans="1:15" x14ac:dyDescent="0.2">
      <c r="A35" s="225" t="s">
        <v>204</v>
      </c>
      <c r="N35" s="225" t="s">
        <v>205</v>
      </c>
    </row>
    <row r="36" spans="1:15" x14ac:dyDescent="0.2">
      <c r="A36" s="182"/>
      <c r="B36" s="1"/>
      <c r="C36" s="1"/>
      <c r="D36" s="1"/>
      <c r="E36" s="1"/>
      <c r="F36" s="1"/>
      <c r="G36" s="1"/>
      <c r="H36" s="1"/>
      <c r="I36" s="1"/>
      <c r="J36" s="1"/>
      <c r="K36" s="1"/>
      <c r="L36" s="2"/>
      <c r="M36" s="2"/>
      <c r="N36" s="1"/>
      <c r="O36" s="2"/>
    </row>
    <row r="37" spans="1:15" x14ac:dyDescent="0.2">
      <c r="A37" s="3"/>
      <c r="B37" s="11" t="s">
        <v>35</v>
      </c>
      <c r="C37" s="196" t="s">
        <v>121</v>
      </c>
      <c r="D37" s="196" t="s">
        <v>123</v>
      </c>
      <c r="E37" s="196" t="s">
        <v>36</v>
      </c>
      <c r="F37" s="196" t="s">
        <v>37</v>
      </c>
      <c r="G37" s="196" t="s">
        <v>38</v>
      </c>
      <c r="H37" s="197" t="s">
        <v>39</v>
      </c>
      <c r="I37" s="197" t="s">
        <v>125</v>
      </c>
      <c r="J37" s="197" t="s">
        <v>126</v>
      </c>
      <c r="K37" s="197" t="s">
        <v>127</v>
      </c>
      <c r="L37" s="198">
        <v>100000</v>
      </c>
      <c r="M37" s="204" t="s">
        <v>119</v>
      </c>
      <c r="N37" s="201" t="s">
        <v>119</v>
      </c>
      <c r="O37" s="206" t="s">
        <v>18</v>
      </c>
    </row>
    <row r="38" spans="1:15" x14ac:dyDescent="0.2">
      <c r="A38" s="203" t="s">
        <v>271</v>
      </c>
      <c r="B38" s="196" t="s">
        <v>120</v>
      </c>
      <c r="C38" s="11" t="s">
        <v>40</v>
      </c>
      <c r="D38" s="11" t="s">
        <v>40</v>
      </c>
      <c r="E38" s="11" t="s">
        <v>40</v>
      </c>
      <c r="F38" s="11" t="s">
        <v>40</v>
      </c>
      <c r="G38" s="11" t="s">
        <v>40</v>
      </c>
      <c r="H38" s="197" t="s">
        <v>40</v>
      </c>
      <c r="I38" s="197" t="s">
        <v>40</v>
      </c>
      <c r="J38" s="197" t="s">
        <v>40</v>
      </c>
      <c r="K38" s="197" t="s">
        <v>40</v>
      </c>
      <c r="L38" s="199" t="s">
        <v>43</v>
      </c>
      <c r="M38" s="204" t="s">
        <v>142</v>
      </c>
      <c r="N38" s="201" t="s">
        <v>83</v>
      </c>
      <c r="O38" s="205" t="s">
        <v>139</v>
      </c>
    </row>
    <row r="39" spans="1:15" x14ac:dyDescent="0.2">
      <c r="A39" s="3"/>
      <c r="B39" s="11" t="s">
        <v>43</v>
      </c>
      <c r="C39" s="196" t="s">
        <v>122</v>
      </c>
      <c r="D39" s="196" t="s">
        <v>124</v>
      </c>
      <c r="E39" s="196" t="s">
        <v>44</v>
      </c>
      <c r="F39" s="196" t="s">
        <v>45</v>
      </c>
      <c r="G39" s="196" t="s">
        <v>46</v>
      </c>
      <c r="H39" s="197" t="s">
        <v>42</v>
      </c>
      <c r="I39" s="197" t="s">
        <v>128</v>
      </c>
      <c r="J39" s="197" t="s">
        <v>129</v>
      </c>
      <c r="K39" s="197" t="s">
        <v>130</v>
      </c>
      <c r="L39" s="199" t="s">
        <v>131</v>
      </c>
      <c r="M39" s="204" t="s">
        <v>141</v>
      </c>
      <c r="N39" s="201" t="s">
        <v>136</v>
      </c>
      <c r="O39" s="205" t="s">
        <v>41</v>
      </c>
    </row>
    <row r="40" spans="1:15" x14ac:dyDescent="0.2">
      <c r="A40" s="225"/>
      <c r="B40" s="4"/>
      <c r="C40" s="4"/>
      <c r="D40" s="4"/>
      <c r="E40" s="4"/>
      <c r="F40" s="4"/>
      <c r="G40" s="4"/>
      <c r="H40" s="4"/>
      <c r="I40" s="4"/>
      <c r="J40" s="4"/>
      <c r="K40" s="4"/>
      <c r="L40" s="5"/>
      <c r="M40" s="5"/>
      <c r="N40" s="4"/>
      <c r="O40" s="5"/>
    </row>
    <row r="41" spans="1:15" x14ac:dyDescent="0.2">
      <c r="A41" s="200" t="s">
        <v>763</v>
      </c>
      <c r="B41" s="371">
        <v>15.69</v>
      </c>
      <c r="C41" s="371">
        <v>63.145000000000003</v>
      </c>
      <c r="D41" s="371">
        <v>308.99799999999999</v>
      </c>
      <c r="E41" s="371">
        <v>1670.4780000000001</v>
      </c>
      <c r="F41" s="371">
        <v>924.66800000000001</v>
      </c>
      <c r="G41" s="371">
        <v>567.24699999999996</v>
      </c>
      <c r="H41" s="371">
        <v>1263.212</v>
      </c>
      <c r="I41" s="371">
        <v>872</v>
      </c>
      <c r="J41" s="371">
        <v>1047.3589999999999</v>
      </c>
      <c r="K41" s="371">
        <v>246.05699999999999</v>
      </c>
      <c r="L41" s="371">
        <v>1305.308</v>
      </c>
      <c r="M41" s="310">
        <v>4813.4380000000001</v>
      </c>
      <c r="N41" s="311">
        <v>3470.7240000000002</v>
      </c>
      <c r="O41" s="308">
        <v>8284.1620000000003</v>
      </c>
    </row>
    <row r="42" spans="1:15" x14ac:dyDescent="0.2">
      <c r="A42" s="88" t="s">
        <v>764</v>
      </c>
      <c r="B42" s="541">
        <v>38.976999999999997</v>
      </c>
      <c r="C42" s="541">
        <v>125.81399999999999</v>
      </c>
      <c r="D42" s="541">
        <v>371.666</v>
      </c>
      <c r="E42" s="541">
        <v>840.06799999999998</v>
      </c>
      <c r="F42" s="541">
        <v>264.72899999999998</v>
      </c>
      <c r="G42" s="541">
        <v>153.35400000000001</v>
      </c>
      <c r="H42" s="541">
        <v>317.79300000000001</v>
      </c>
      <c r="I42" s="541">
        <v>157.511</v>
      </c>
      <c r="J42" s="541">
        <v>317.36099999999999</v>
      </c>
      <c r="K42" s="541" t="s">
        <v>102</v>
      </c>
      <c r="L42" s="541">
        <v>285.113</v>
      </c>
      <c r="M42" s="312">
        <v>2112.4009999999998</v>
      </c>
      <c r="N42" s="313">
        <v>759.98500000000001</v>
      </c>
      <c r="O42" s="309">
        <v>2872.386</v>
      </c>
    </row>
    <row r="43" spans="1:15" x14ac:dyDescent="0.2">
      <c r="A43" s="200" t="s">
        <v>51</v>
      </c>
      <c r="B43" s="914">
        <v>0.156</v>
      </c>
      <c r="C43" s="371">
        <v>3.6469999999999998</v>
      </c>
      <c r="D43" s="371">
        <v>57.018000000000001</v>
      </c>
      <c r="E43" s="371">
        <v>652.67899999999997</v>
      </c>
      <c r="F43" s="371">
        <v>525.35799999999995</v>
      </c>
      <c r="G43" s="371">
        <v>430.93599999999998</v>
      </c>
      <c r="H43" s="371">
        <v>633.51900000000001</v>
      </c>
      <c r="I43" s="371">
        <v>424.51900000000001</v>
      </c>
      <c r="J43" s="371">
        <v>201.74100000000001</v>
      </c>
      <c r="K43" s="371">
        <v>181.55799999999999</v>
      </c>
      <c r="L43" s="371">
        <v>371.41199999999998</v>
      </c>
      <c r="M43" s="310">
        <v>2303.3130000000001</v>
      </c>
      <c r="N43" s="311">
        <v>1179.23</v>
      </c>
      <c r="O43" s="308">
        <v>3482.5430000000001</v>
      </c>
    </row>
    <row r="44" spans="1:15" x14ac:dyDescent="0.2">
      <c r="A44" s="88" t="s">
        <v>765</v>
      </c>
      <c r="B44" s="541">
        <v>4.0030000000000001</v>
      </c>
      <c r="C44" s="541">
        <v>29.114000000000001</v>
      </c>
      <c r="D44" s="541">
        <v>189.93799999999999</v>
      </c>
      <c r="E44" s="541">
        <v>685.93100000000004</v>
      </c>
      <c r="F44" s="541">
        <v>297.25799999999998</v>
      </c>
      <c r="G44" s="541">
        <v>198.84200000000001</v>
      </c>
      <c r="H44" s="541">
        <v>299.13099999999997</v>
      </c>
      <c r="I44" s="541">
        <v>306.221</v>
      </c>
      <c r="J44" s="541">
        <v>295.40100000000001</v>
      </c>
      <c r="K44" s="541">
        <v>65.722999999999999</v>
      </c>
      <c r="L44" s="541">
        <v>259.18099999999998</v>
      </c>
      <c r="M44" s="312">
        <v>1704.2170000000001</v>
      </c>
      <c r="N44" s="313">
        <v>926.52599999999995</v>
      </c>
      <c r="O44" s="309">
        <v>2630.7429999999999</v>
      </c>
    </row>
    <row r="45" spans="1:15" x14ac:dyDescent="0.2">
      <c r="A45" s="200" t="s">
        <v>54</v>
      </c>
      <c r="B45" s="371">
        <v>6.5960000000000001</v>
      </c>
      <c r="C45" s="371">
        <v>11.675000000000001</v>
      </c>
      <c r="D45" s="371">
        <v>17.940000000000001</v>
      </c>
      <c r="E45" s="371">
        <v>61.545000000000002</v>
      </c>
      <c r="F45" s="371">
        <v>52.338000000000001</v>
      </c>
      <c r="G45" s="371">
        <v>23.548999999999999</v>
      </c>
      <c r="H45" s="371">
        <v>43.526000000000003</v>
      </c>
      <c r="I45" s="371">
        <v>11.382</v>
      </c>
      <c r="J45" s="371">
        <v>49.375999999999998</v>
      </c>
      <c r="K45" s="371">
        <v>74.632000000000005</v>
      </c>
      <c r="L45" s="830" t="s">
        <v>102</v>
      </c>
      <c r="M45" s="310">
        <v>217.16900000000001</v>
      </c>
      <c r="N45" s="311">
        <v>135.38999999999999</v>
      </c>
      <c r="O45" s="308">
        <v>352.55900000000003</v>
      </c>
    </row>
    <row r="46" spans="1:15" x14ac:dyDescent="0.2">
      <c r="A46" s="88" t="s">
        <v>132</v>
      </c>
      <c r="B46" s="541">
        <v>54.643999999999998</v>
      </c>
      <c r="C46" s="541">
        <v>149.83600000000001</v>
      </c>
      <c r="D46" s="541">
        <v>446.24200000000002</v>
      </c>
      <c r="E46" s="541">
        <v>1276.5070000000001</v>
      </c>
      <c r="F46" s="541">
        <v>590.29999999999995</v>
      </c>
      <c r="G46" s="541">
        <v>370.02699999999999</v>
      </c>
      <c r="H46" s="541">
        <v>682.59900000000005</v>
      </c>
      <c r="I46" s="541">
        <v>676.29200000000003</v>
      </c>
      <c r="J46" s="541">
        <v>473.88299999999998</v>
      </c>
      <c r="K46" s="541">
        <v>132.649</v>
      </c>
      <c r="L46" s="541">
        <v>812.47799999999995</v>
      </c>
      <c r="M46" s="312">
        <v>3570.1550000000002</v>
      </c>
      <c r="N46" s="313">
        <v>2095.3020000000001</v>
      </c>
      <c r="O46" s="309">
        <v>5665.4570000000003</v>
      </c>
    </row>
    <row r="47" spans="1:15" x14ac:dyDescent="0.2">
      <c r="A47" s="200" t="s">
        <v>766</v>
      </c>
      <c r="B47" s="371">
        <v>17.606999999999999</v>
      </c>
      <c r="C47" s="371">
        <v>91.796000000000006</v>
      </c>
      <c r="D47" s="371">
        <v>371.584</v>
      </c>
      <c r="E47" s="371">
        <v>1153.3879999999999</v>
      </c>
      <c r="F47" s="371">
        <v>597.68200000000002</v>
      </c>
      <c r="G47" s="371">
        <v>413.16</v>
      </c>
      <c r="H47" s="371">
        <v>841.79300000000001</v>
      </c>
      <c r="I47" s="371">
        <v>800.79899999999998</v>
      </c>
      <c r="J47" s="371">
        <v>893.04700000000003</v>
      </c>
      <c r="K47" s="371">
        <v>530.00199999999995</v>
      </c>
      <c r="L47" s="371">
        <v>374.80700000000002</v>
      </c>
      <c r="M47" s="310">
        <v>3487.01</v>
      </c>
      <c r="N47" s="311">
        <v>2598.6550000000002</v>
      </c>
      <c r="O47" s="308">
        <v>6085.665</v>
      </c>
    </row>
    <row r="48" spans="1:15" x14ac:dyDescent="0.2">
      <c r="A48" s="88" t="s">
        <v>133</v>
      </c>
      <c r="B48" s="541">
        <v>9.3119999999999994</v>
      </c>
      <c r="C48" s="541">
        <v>60.777999999999999</v>
      </c>
      <c r="D48" s="541">
        <v>297.15100000000001</v>
      </c>
      <c r="E48" s="541">
        <v>886.16899999999998</v>
      </c>
      <c r="F48" s="541">
        <v>356.99900000000002</v>
      </c>
      <c r="G48" s="541">
        <v>268.60399999999998</v>
      </c>
      <c r="H48" s="541">
        <v>374.69400000000002</v>
      </c>
      <c r="I48" s="541">
        <v>351.76</v>
      </c>
      <c r="J48" s="541">
        <v>318.78100000000001</v>
      </c>
      <c r="K48" s="541">
        <v>80.02</v>
      </c>
      <c r="L48" s="541">
        <v>393.834</v>
      </c>
      <c r="M48" s="312">
        <v>2253.7069999999999</v>
      </c>
      <c r="N48" s="313">
        <v>1144.395</v>
      </c>
      <c r="O48" s="309">
        <v>3398.1019999999999</v>
      </c>
    </row>
    <row r="49" spans="1:15" x14ac:dyDescent="0.2">
      <c r="A49" s="200" t="s">
        <v>767</v>
      </c>
      <c r="B49" s="371">
        <v>13.989000000000001</v>
      </c>
      <c r="C49" s="371">
        <v>97.75</v>
      </c>
      <c r="D49" s="371">
        <v>440.25299999999999</v>
      </c>
      <c r="E49" s="371">
        <v>1501.2429999999999</v>
      </c>
      <c r="F49" s="371">
        <v>710.24</v>
      </c>
      <c r="G49" s="371">
        <v>396.35599999999999</v>
      </c>
      <c r="H49" s="371">
        <v>841.20799999999997</v>
      </c>
      <c r="I49" s="371">
        <v>494.17599999999999</v>
      </c>
      <c r="J49" s="371">
        <v>803.42499999999995</v>
      </c>
      <c r="K49" s="371">
        <v>510.73899999999998</v>
      </c>
      <c r="L49" s="371">
        <v>397.02499999999998</v>
      </c>
      <c r="M49" s="310">
        <v>4001.0390000000002</v>
      </c>
      <c r="N49" s="311">
        <v>2205.3649999999998</v>
      </c>
      <c r="O49" s="308">
        <v>6206.4040000000005</v>
      </c>
    </row>
    <row r="50" spans="1:15" x14ac:dyDescent="0.2">
      <c r="A50" s="88" t="s">
        <v>134</v>
      </c>
      <c r="B50" s="541">
        <v>45.124000000000002</v>
      </c>
      <c r="C50" s="541">
        <v>124.581</v>
      </c>
      <c r="D50" s="541">
        <v>378.161</v>
      </c>
      <c r="E50" s="541">
        <v>1090.1600000000001</v>
      </c>
      <c r="F50" s="541">
        <v>629.94500000000005</v>
      </c>
      <c r="G50" s="541">
        <v>445.15199999999999</v>
      </c>
      <c r="H50" s="541">
        <v>898.64499999999998</v>
      </c>
      <c r="I50" s="541">
        <v>603.678</v>
      </c>
      <c r="J50" s="541">
        <v>589.17899999999997</v>
      </c>
      <c r="K50" s="541">
        <v>253.726</v>
      </c>
      <c r="L50" s="541">
        <v>1086.4169999999999</v>
      </c>
      <c r="M50" s="312">
        <v>3611.768</v>
      </c>
      <c r="N50" s="313">
        <v>2533</v>
      </c>
      <c r="O50" s="309">
        <v>6144.768</v>
      </c>
    </row>
    <row r="51" spans="1:15" x14ac:dyDescent="0.2">
      <c r="A51" s="200" t="s">
        <v>63</v>
      </c>
      <c r="B51" s="371">
        <v>0.72899999999999998</v>
      </c>
      <c r="C51" s="371">
        <v>8.6470000000000002</v>
      </c>
      <c r="D51" s="371">
        <v>74.748000000000005</v>
      </c>
      <c r="E51" s="371">
        <v>566.16</v>
      </c>
      <c r="F51" s="371">
        <v>510.238</v>
      </c>
      <c r="G51" s="371">
        <v>327.38200000000001</v>
      </c>
      <c r="H51" s="371">
        <v>668.54200000000003</v>
      </c>
      <c r="I51" s="371">
        <v>453.60899999999998</v>
      </c>
      <c r="J51" s="371">
        <v>407.767</v>
      </c>
      <c r="K51" s="371">
        <v>289.89800000000002</v>
      </c>
      <c r="L51" s="371">
        <v>636.38</v>
      </c>
      <c r="M51" s="310">
        <v>2156.4459999999999</v>
      </c>
      <c r="N51" s="311">
        <v>1787.654</v>
      </c>
      <c r="O51" s="308">
        <v>3944.1</v>
      </c>
    </row>
    <row r="52" spans="1:15" x14ac:dyDescent="0.2">
      <c r="A52" s="88" t="s">
        <v>93</v>
      </c>
      <c r="B52" s="541">
        <v>5.43</v>
      </c>
      <c r="C52" s="541">
        <v>15.678000000000001</v>
      </c>
      <c r="D52" s="541">
        <v>56.241999999999997</v>
      </c>
      <c r="E52" s="541">
        <v>261.96300000000002</v>
      </c>
      <c r="F52" s="541">
        <v>243.89</v>
      </c>
      <c r="G52" s="541">
        <v>245.767</v>
      </c>
      <c r="H52" s="541">
        <v>612.31500000000005</v>
      </c>
      <c r="I52" s="541">
        <v>706.40099999999995</v>
      </c>
      <c r="J52" s="541">
        <v>967.48299999999995</v>
      </c>
      <c r="K52" s="541">
        <v>523.59100000000001</v>
      </c>
      <c r="L52" s="541">
        <v>1563.134</v>
      </c>
      <c r="M52" s="312">
        <v>1441.2850000000001</v>
      </c>
      <c r="N52" s="313">
        <v>3760.6089999999999</v>
      </c>
      <c r="O52" s="309">
        <v>5201.8940000000002</v>
      </c>
    </row>
    <row r="53" spans="1:15" x14ac:dyDescent="0.2">
      <c r="A53" s="542" t="s">
        <v>135</v>
      </c>
      <c r="B53" s="371">
        <v>0.85099999999999998</v>
      </c>
      <c r="C53" s="371">
        <v>8.4939999999999998</v>
      </c>
      <c r="D53" s="371">
        <v>71.441000000000003</v>
      </c>
      <c r="E53" s="371">
        <v>443.10500000000002</v>
      </c>
      <c r="F53" s="371">
        <v>292.69200000000001</v>
      </c>
      <c r="G53" s="371">
        <v>263.96499999999997</v>
      </c>
      <c r="H53" s="371">
        <v>794.68200000000002</v>
      </c>
      <c r="I53" s="371">
        <v>1256.7660000000001</v>
      </c>
      <c r="J53" s="371">
        <v>4040.7190000000001</v>
      </c>
      <c r="K53" s="371">
        <v>2650.614</v>
      </c>
      <c r="L53" s="371">
        <v>2604.6460000000002</v>
      </c>
      <c r="M53" s="310">
        <v>1875.23</v>
      </c>
      <c r="N53" s="311">
        <v>10552.745000000001</v>
      </c>
      <c r="O53" s="308">
        <v>12427.975</v>
      </c>
    </row>
    <row r="54" spans="1:15" x14ac:dyDescent="0.2">
      <c r="A54" s="18" t="s">
        <v>239</v>
      </c>
      <c r="B54" s="541">
        <f t="shared" ref="B54:O54" si="2">SUM(B41:B53)</f>
        <v>213.10800000000003</v>
      </c>
      <c r="C54" s="541">
        <f t="shared" si="2"/>
        <v>790.95500000000004</v>
      </c>
      <c r="D54" s="541">
        <f t="shared" si="2"/>
        <v>3081.3820000000005</v>
      </c>
      <c r="E54" s="541">
        <f t="shared" si="2"/>
        <v>11089.395999999999</v>
      </c>
      <c r="F54" s="541">
        <f t="shared" si="2"/>
        <v>5996.3369999999995</v>
      </c>
      <c r="G54" s="541">
        <f t="shared" si="2"/>
        <v>4104.3409999999994</v>
      </c>
      <c r="H54" s="541">
        <f t="shared" si="2"/>
        <v>8271.6590000000015</v>
      </c>
      <c r="I54" s="541">
        <f t="shared" si="2"/>
        <v>7115.1140000000014</v>
      </c>
      <c r="J54" s="541">
        <f t="shared" si="2"/>
        <v>10405.522000000001</v>
      </c>
      <c r="K54" s="541">
        <f t="shared" si="2"/>
        <v>5539.2090000000007</v>
      </c>
      <c r="L54" s="541">
        <f t="shared" si="2"/>
        <v>10089.734999999999</v>
      </c>
      <c r="M54" s="312">
        <f t="shared" si="2"/>
        <v>33547.178</v>
      </c>
      <c r="N54" s="313">
        <f t="shared" si="2"/>
        <v>33149.58</v>
      </c>
      <c r="O54" s="309">
        <f t="shared" si="2"/>
        <v>66696.758000000002</v>
      </c>
    </row>
    <row r="55" spans="1:15" ht="14.25" x14ac:dyDescent="0.2">
      <c r="A55" s="247" t="s">
        <v>393</v>
      </c>
      <c r="B55" s="830" t="s">
        <v>102</v>
      </c>
      <c r="C55" s="914" t="s">
        <v>102</v>
      </c>
      <c r="D55" s="926">
        <v>0.82099999999999995</v>
      </c>
      <c r="E55" s="371">
        <v>17.832000000000001</v>
      </c>
      <c r="F55" s="371">
        <v>25.501999999999999</v>
      </c>
      <c r="G55" s="371">
        <v>42.654000000000003</v>
      </c>
      <c r="H55" s="371">
        <v>257.774</v>
      </c>
      <c r="I55" s="371">
        <v>430.58600000000001</v>
      </c>
      <c r="J55" s="371">
        <v>553.17899999999997</v>
      </c>
      <c r="K55" s="371">
        <v>595.51800000000003</v>
      </c>
      <c r="L55" s="371">
        <v>262.83600000000001</v>
      </c>
      <c r="M55" s="310">
        <v>344.58300000000003</v>
      </c>
      <c r="N55" s="311">
        <v>1842.1189999999999</v>
      </c>
      <c r="O55" s="308">
        <v>2186.7020000000002</v>
      </c>
    </row>
    <row r="56" spans="1:15" x14ac:dyDescent="0.2">
      <c r="A56" s="88" t="s">
        <v>544</v>
      </c>
      <c r="B56" s="541" t="s">
        <v>102</v>
      </c>
      <c r="C56" s="541" t="s">
        <v>102</v>
      </c>
      <c r="D56" s="541" t="s">
        <v>102</v>
      </c>
      <c r="E56" s="541">
        <v>5.7169999999999996</v>
      </c>
      <c r="F56" s="541">
        <v>5.7869999999999999</v>
      </c>
      <c r="G56" s="541">
        <v>12.896000000000001</v>
      </c>
      <c r="H56" s="541">
        <v>72.171999999999997</v>
      </c>
      <c r="I56" s="541">
        <v>109.285</v>
      </c>
      <c r="J56" s="541">
        <v>130.834</v>
      </c>
      <c r="K56" s="541">
        <v>52.585999999999999</v>
      </c>
      <c r="L56" s="541" t="s">
        <v>102</v>
      </c>
      <c r="M56" s="312">
        <v>96.572000000000003</v>
      </c>
      <c r="N56" s="313">
        <v>292.70499999999998</v>
      </c>
      <c r="O56" s="309">
        <v>389.27699999999999</v>
      </c>
    </row>
    <row r="57" spans="1:15" x14ac:dyDescent="0.2">
      <c r="A57" s="837" t="s">
        <v>545</v>
      </c>
      <c r="B57" s="830" t="s">
        <v>102</v>
      </c>
      <c r="C57" s="830" t="s">
        <v>102</v>
      </c>
      <c r="D57" s="830" t="s">
        <v>102</v>
      </c>
      <c r="E57" s="830">
        <v>7.157</v>
      </c>
      <c r="F57" s="830">
        <v>7.907</v>
      </c>
      <c r="G57" s="830">
        <v>25.192</v>
      </c>
      <c r="H57" s="830">
        <v>56.268000000000001</v>
      </c>
      <c r="I57" s="830">
        <v>131.23099999999999</v>
      </c>
      <c r="J57" s="830">
        <v>61.533999999999999</v>
      </c>
      <c r="K57" s="830">
        <v>75.626999999999995</v>
      </c>
      <c r="L57" s="830" t="s">
        <v>102</v>
      </c>
      <c r="M57" s="831">
        <v>96.524000000000001</v>
      </c>
      <c r="N57" s="832">
        <v>268.392</v>
      </c>
      <c r="O57" s="833">
        <v>364.916</v>
      </c>
    </row>
    <row r="58" spans="1:15" x14ac:dyDescent="0.2">
      <c r="A58" s="88" t="s">
        <v>546</v>
      </c>
      <c r="B58" s="541" t="s">
        <v>102</v>
      </c>
      <c r="C58" s="915" t="s">
        <v>102</v>
      </c>
      <c r="D58" s="915">
        <v>0.82099999999999995</v>
      </c>
      <c r="E58" s="541">
        <v>4.9580000000000002</v>
      </c>
      <c r="F58" s="541">
        <v>11.808</v>
      </c>
      <c r="G58" s="541">
        <v>4.5659999999999998</v>
      </c>
      <c r="H58" s="541">
        <v>33.904000000000003</v>
      </c>
      <c r="I58" s="541">
        <v>30.905999999999999</v>
      </c>
      <c r="J58" s="541">
        <v>87.445999999999998</v>
      </c>
      <c r="K58" s="541">
        <v>114.33</v>
      </c>
      <c r="L58" s="541" t="s">
        <v>102</v>
      </c>
      <c r="M58" s="312">
        <v>56.057000000000002</v>
      </c>
      <c r="N58" s="313">
        <v>232.68199999999999</v>
      </c>
      <c r="O58" s="309">
        <v>288.73899999999998</v>
      </c>
    </row>
    <row r="59" spans="1:15" x14ac:dyDescent="0.2">
      <c r="A59" s="837" t="s">
        <v>547</v>
      </c>
      <c r="B59" s="830" t="s">
        <v>102</v>
      </c>
      <c r="C59" s="830" t="s">
        <v>102</v>
      </c>
      <c r="D59" s="830" t="s">
        <v>102</v>
      </c>
      <c r="E59" s="830" t="s">
        <v>102</v>
      </c>
      <c r="F59" s="830" t="s">
        <v>102</v>
      </c>
      <c r="G59" s="830" t="s">
        <v>102</v>
      </c>
      <c r="H59" s="830">
        <v>45.402999999999999</v>
      </c>
      <c r="I59" s="830">
        <v>52.021999999999998</v>
      </c>
      <c r="J59" s="830">
        <v>240.613</v>
      </c>
      <c r="K59" s="830">
        <v>280.00099999999998</v>
      </c>
      <c r="L59" s="830">
        <v>262.83600000000001</v>
      </c>
      <c r="M59" s="831">
        <v>45.402999999999999</v>
      </c>
      <c r="N59" s="832">
        <v>835.47199999999998</v>
      </c>
      <c r="O59" s="833">
        <v>880.875</v>
      </c>
    </row>
    <row r="60" spans="1:15" x14ac:dyDescent="0.2">
      <c r="A60" s="88" t="s">
        <v>548</v>
      </c>
      <c r="B60" s="541" t="s">
        <v>102</v>
      </c>
      <c r="C60" s="541" t="s">
        <v>102</v>
      </c>
      <c r="D60" s="541" t="s">
        <v>102</v>
      </c>
      <c r="E60" s="541" t="s">
        <v>102</v>
      </c>
      <c r="F60" s="541" t="s">
        <v>102</v>
      </c>
      <c r="G60" s="541" t="s">
        <v>102</v>
      </c>
      <c r="H60" s="541">
        <v>50.027000000000001</v>
      </c>
      <c r="I60" s="541">
        <v>107.142</v>
      </c>
      <c r="J60" s="541">
        <v>32.752000000000002</v>
      </c>
      <c r="K60" s="541">
        <v>72.974000000000004</v>
      </c>
      <c r="L60" s="541" t="s">
        <v>102</v>
      </c>
      <c r="M60" s="312">
        <v>50.027000000000001</v>
      </c>
      <c r="N60" s="313">
        <v>212.86799999999999</v>
      </c>
      <c r="O60" s="309">
        <v>262.89499999999998</v>
      </c>
    </row>
    <row r="61" spans="1:15" x14ac:dyDescent="0.2">
      <c r="A61" s="834" t="s">
        <v>67</v>
      </c>
      <c r="B61" s="835">
        <f t="shared" ref="B61:O61" si="3">SUM(B54:B55)</f>
        <v>213.10800000000003</v>
      </c>
      <c r="C61" s="835">
        <f t="shared" si="3"/>
        <v>790.95500000000004</v>
      </c>
      <c r="D61" s="835">
        <f t="shared" si="3"/>
        <v>3082.2030000000004</v>
      </c>
      <c r="E61" s="835">
        <f t="shared" si="3"/>
        <v>11107.227999999999</v>
      </c>
      <c r="F61" s="835">
        <f t="shared" si="3"/>
        <v>6021.8389999999999</v>
      </c>
      <c r="G61" s="835">
        <f t="shared" si="3"/>
        <v>4146.9949999999999</v>
      </c>
      <c r="H61" s="835">
        <f t="shared" si="3"/>
        <v>8529.4330000000009</v>
      </c>
      <c r="I61" s="835">
        <f t="shared" si="3"/>
        <v>7545.7000000000016</v>
      </c>
      <c r="J61" s="835">
        <f t="shared" si="3"/>
        <v>10958.701000000001</v>
      </c>
      <c r="K61" s="835">
        <f t="shared" si="3"/>
        <v>6134.7270000000008</v>
      </c>
      <c r="L61" s="835">
        <f t="shared" si="3"/>
        <v>10352.570999999998</v>
      </c>
      <c r="M61" s="836">
        <f t="shared" si="3"/>
        <v>33891.760999999999</v>
      </c>
      <c r="N61" s="838">
        <f t="shared" si="3"/>
        <v>34991.699000000001</v>
      </c>
      <c r="O61" s="836">
        <f t="shared" si="3"/>
        <v>68883.460000000006</v>
      </c>
    </row>
    <row r="62" spans="1:15" ht="12.75" customHeight="1" x14ac:dyDescent="0.2">
      <c r="A62" s="9" t="s">
        <v>270</v>
      </c>
    </row>
    <row r="63" spans="1:15" ht="12.75" customHeight="1" x14ac:dyDescent="0.2">
      <c r="A63" s="9" t="s">
        <v>957</v>
      </c>
    </row>
    <row r="64" spans="1:15" x14ac:dyDescent="0.2">
      <c r="A64" s="193" t="s">
        <v>867</v>
      </c>
      <c r="B64" s="3"/>
      <c r="C64" s="3"/>
      <c r="D64" s="3"/>
      <c r="G64" s="185"/>
      <c r="J64" s="185"/>
    </row>
    <row r="66" spans="1:15" ht="18.75" customHeight="1" x14ac:dyDescent="0.25">
      <c r="A66" s="10" t="s">
        <v>868</v>
      </c>
    </row>
    <row r="67" spans="1:15" ht="12.75" customHeight="1" x14ac:dyDescent="0.2">
      <c r="A67" s="225" t="s">
        <v>272</v>
      </c>
      <c r="N67" s="37" t="s">
        <v>144</v>
      </c>
    </row>
    <row r="68" spans="1:15" ht="12.75" customHeight="1" x14ac:dyDescent="0.2">
      <c r="A68" s="1"/>
      <c r="B68" s="1"/>
      <c r="C68" s="1"/>
      <c r="D68" s="1"/>
      <c r="E68" s="1"/>
      <c r="F68" s="1"/>
      <c r="G68" s="1"/>
      <c r="H68" s="1"/>
      <c r="I68" s="1"/>
      <c r="J68" s="1"/>
      <c r="K68" s="1"/>
      <c r="L68" s="2"/>
      <c r="M68" s="2"/>
      <c r="N68" s="1"/>
      <c r="O68" s="2"/>
    </row>
    <row r="69" spans="1:15" ht="12.75" customHeight="1" x14ac:dyDescent="0.2">
      <c r="A69" s="3"/>
      <c r="B69" s="11" t="s">
        <v>35</v>
      </c>
      <c r="C69" s="196" t="s">
        <v>121</v>
      </c>
      <c r="D69" s="196" t="s">
        <v>123</v>
      </c>
      <c r="E69" s="196" t="s">
        <v>36</v>
      </c>
      <c r="F69" s="196" t="s">
        <v>37</v>
      </c>
      <c r="G69" s="196" t="s">
        <v>38</v>
      </c>
      <c r="H69" s="197" t="s">
        <v>39</v>
      </c>
      <c r="I69" s="197" t="s">
        <v>125</v>
      </c>
      <c r="J69" s="197" t="s">
        <v>126</v>
      </c>
      <c r="K69" s="197" t="s">
        <v>127</v>
      </c>
      <c r="L69" s="198">
        <v>100000</v>
      </c>
      <c r="M69" s="204" t="s">
        <v>145</v>
      </c>
      <c r="N69" s="201" t="s">
        <v>145</v>
      </c>
      <c r="O69" s="206" t="s">
        <v>146</v>
      </c>
    </row>
    <row r="70" spans="1:15" ht="12.75" customHeight="1" x14ac:dyDescent="0.2">
      <c r="A70" s="203" t="s">
        <v>140</v>
      </c>
      <c r="B70" s="196" t="s">
        <v>120</v>
      </c>
      <c r="C70" s="11" t="s">
        <v>40</v>
      </c>
      <c r="D70" s="11" t="s">
        <v>40</v>
      </c>
      <c r="E70" s="11" t="s">
        <v>40</v>
      </c>
      <c r="F70" s="11" t="s">
        <v>40</v>
      </c>
      <c r="G70" s="11" t="s">
        <v>40</v>
      </c>
      <c r="H70" s="197" t="s">
        <v>40</v>
      </c>
      <c r="I70" s="197" t="s">
        <v>40</v>
      </c>
      <c r="J70" s="197" t="s">
        <v>40</v>
      </c>
      <c r="K70" s="197" t="s">
        <v>40</v>
      </c>
      <c r="L70" s="199" t="s">
        <v>43</v>
      </c>
      <c r="M70" s="204" t="s">
        <v>142</v>
      </c>
      <c r="N70" s="201" t="s">
        <v>83</v>
      </c>
      <c r="O70" s="205" t="s">
        <v>115</v>
      </c>
    </row>
    <row r="71" spans="1:15" ht="12.75" customHeight="1" x14ac:dyDescent="0.2">
      <c r="A71" s="3"/>
      <c r="B71" s="11" t="s">
        <v>43</v>
      </c>
      <c r="C71" s="196" t="s">
        <v>122</v>
      </c>
      <c r="D71" s="196" t="s">
        <v>124</v>
      </c>
      <c r="E71" s="196" t="s">
        <v>44</v>
      </c>
      <c r="F71" s="196" t="s">
        <v>45</v>
      </c>
      <c r="G71" s="196" t="s">
        <v>46</v>
      </c>
      <c r="H71" s="197" t="s">
        <v>42</v>
      </c>
      <c r="I71" s="197" t="s">
        <v>128</v>
      </c>
      <c r="J71" s="197" t="s">
        <v>129</v>
      </c>
      <c r="K71" s="197" t="s">
        <v>130</v>
      </c>
      <c r="L71" s="199" t="s">
        <v>131</v>
      </c>
      <c r="M71" s="204" t="s">
        <v>141</v>
      </c>
      <c r="N71" s="201" t="s">
        <v>136</v>
      </c>
      <c r="O71" s="205" t="s">
        <v>41</v>
      </c>
    </row>
    <row r="72" spans="1:15" ht="12.75" customHeight="1" x14ac:dyDescent="0.2">
      <c r="A72" s="225"/>
      <c r="B72" s="4"/>
      <c r="C72" s="4"/>
      <c r="D72" s="4"/>
      <c r="E72" s="4"/>
      <c r="F72" s="4"/>
      <c r="G72" s="4"/>
      <c r="H72" s="4"/>
      <c r="I72" s="4"/>
      <c r="J72" s="4"/>
      <c r="K72" s="4"/>
      <c r="L72" s="5"/>
      <c r="M72" s="5"/>
      <c r="N72" s="4"/>
      <c r="O72" s="5"/>
    </row>
    <row r="73" spans="1:15" ht="12.75" customHeight="1" x14ac:dyDescent="0.2">
      <c r="A73" s="200" t="s">
        <v>763</v>
      </c>
      <c r="B73" s="371">
        <f>B41*1000/B8</f>
        <v>61.2890625</v>
      </c>
      <c r="C73" s="371">
        <f t="shared" ref="C73:O73" si="4">C41*1000/C8</f>
        <v>146.50812064965197</v>
      </c>
      <c r="D73" s="371">
        <f t="shared" si="4"/>
        <v>331.89903329752951</v>
      </c>
      <c r="E73" s="371">
        <f t="shared" si="4"/>
        <v>1024.2047823421215</v>
      </c>
      <c r="F73" s="371">
        <f t="shared" si="4"/>
        <v>2604.698591549296</v>
      </c>
      <c r="G73" s="371">
        <f t="shared" si="4"/>
        <v>4140.4890510948908</v>
      </c>
      <c r="H73" s="371">
        <f t="shared" si="4"/>
        <v>7017.8444444444449</v>
      </c>
      <c r="I73" s="371">
        <f t="shared" si="4"/>
        <v>13841.269841269841</v>
      </c>
      <c r="J73" s="371">
        <f t="shared" si="4"/>
        <v>31738.151515151512</v>
      </c>
      <c r="K73" s="371">
        <f t="shared" si="4"/>
        <v>61514.25</v>
      </c>
      <c r="L73" s="371">
        <f t="shared" si="4"/>
        <v>217551.33333333334</v>
      </c>
      <c r="M73" s="310">
        <f t="shared" si="4"/>
        <v>1227.6046926804386</v>
      </c>
      <c r="N73" s="311">
        <f t="shared" si="4"/>
        <v>32742.67924528302</v>
      </c>
      <c r="O73" s="308">
        <f t="shared" si="4"/>
        <v>2057.15470573628</v>
      </c>
    </row>
    <row r="74" spans="1:15" ht="12.75" customHeight="1" x14ac:dyDescent="0.2">
      <c r="A74" s="88" t="s">
        <v>764</v>
      </c>
      <c r="B74" s="541">
        <f t="shared" ref="B74:O74" si="5">B42*1000/B9</f>
        <v>66.400340715502551</v>
      </c>
      <c r="C74" s="541">
        <f t="shared" si="5"/>
        <v>147.84253819036428</v>
      </c>
      <c r="D74" s="541">
        <f t="shared" si="5"/>
        <v>321.51038062283737</v>
      </c>
      <c r="E74" s="541">
        <f t="shared" si="5"/>
        <v>939.67337807606259</v>
      </c>
      <c r="F74" s="541">
        <f t="shared" si="5"/>
        <v>2595.3823529411766</v>
      </c>
      <c r="G74" s="541">
        <f t="shared" si="5"/>
        <v>4144.7027027027025</v>
      </c>
      <c r="H74" s="541">
        <f t="shared" si="5"/>
        <v>6761.5531914893618</v>
      </c>
      <c r="I74" s="541">
        <f t="shared" si="5"/>
        <v>14319.181818181818</v>
      </c>
      <c r="J74" s="541">
        <f t="shared" si="5"/>
        <v>31736.1</v>
      </c>
      <c r="K74" s="541" t="s">
        <v>102</v>
      </c>
      <c r="L74" s="541">
        <f t="shared" si="5"/>
        <v>142556.5</v>
      </c>
      <c r="M74" s="312">
        <f t="shared" si="5"/>
        <v>574.95944474686985</v>
      </c>
      <c r="N74" s="313">
        <f t="shared" si="5"/>
        <v>33042.82608695652</v>
      </c>
      <c r="O74" s="309">
        <f t="shared" si="5"/>
        <v>776.95050040573437</v>
      </c>
    </row>
    <row r="75" spans="1:15" ht="12.75" customHeight="1" x14ac:dyDescent="0.2">
      <c r="A75" s="200" t="s">
        <v>51</v>
      </c>
      <c r="B75" s="371">
        <f t="shared" ref="B75:O75" si="6">B43*1000/B10</f>
        <v>78</v>
      </c>
      <c r="C75" s="371">
        <f t="shared" si="6"/>
        <v>158.56521739130434</v>
      </c>
      <c r="D75" s="371">
        <f t="shared" si="6"/>
        <v>351.96296296296299</v>
      </c>
      <c r="E75" s="371">
        <f t="shared" si="6"/>
        <v>1125.3086206896551</v>
      </c>
      <c r="F75" s="371">
        <f t="shared" si="6"/>
        <v>2600.7821782178216</v>
      </c>
      <c r="G75" s="371">
        <f t="shared" si="6"/>
        <v>4143.6153846153848</v>
      </c>
      <c r="H75" s="371">
        <f t="shared" si="6"/>
        <v>7039.1</v>
      </c>
      <c r="I75" s="371">
        <f t="shared" si="6"/>
        <v>13694.161290322581</v>
      </c>
      <c r="J75" s="371">
        <f t="shared" si="6"/>
        <v>28820.142857142859</v>
      </c>
      <c r="K75" s="371">
        <f t="shared" si="6"/>
        <v>60519.333333333336</v>
      </c>
      <c r="L75" s="371">
        <f t="shared" si="6"/>
        <v>185706</v>
      </c>
      <c r="M75" s="310">
        <f t="shared" si="6"/>
        <v>1980.4926913155632</v>
      </c>
      <c r="N75" s="311">
        <f t="shared" si="6"/>
        <v>27423.953488372092</v>
      </c>
      <c r="O75" s="308">
        <f t="shared" si="6"/>
        <v>2887.6807628524048</v>
      </c>
    </row>
    <row r="76" spans="1:15" ht="12.75" customHeight="1" x14ac:dyDescent="0.2">
      <c r="A76" s="88" t="s">
        <v>765</v>
      </c>
      <c r="B76" s="541">
        <f t="shared" ref="B76:O76" si="7">B44*1000/B11</f>
        <v>71.482142857142861</v>
      </c>
      <c r="C76" s="541">
        <f t="shared" si="7"/>
        <v>150.84974093264248</v>
      </c>
      <c r="D76" s="541">
        <f t="shared" si="7"/>
        <v>328.04490500863557</v>
      </c>
      <c r="E76" s="541">
        <f t="shared" si="7"/>
        <v>991.22976878612712</v>
      </c>
      <c r="F76" s="541">
        <f t="shared" si="7"/>
        <v>2654.0892857142858</v>
      </c>
      <c r="G76" s="541">
        <f t="shared" si="7"/>
        <v>4142.541666666667</v>
      </c>
      <c r="H76" s="541">
        <f t="shared" si="7"/>
        <v>7122.166666666667</v>
      </c>
      <c r="I76" s="541">
        <f t="shared" si="7"/>
        <v>13919.136363636364</v>
      </c>
      <c r="J76" s="541">
        <f t="shared" si="7"/>
        <v>32822.333333333336</v>
      </c>
      <c r="K76" s="541">
        <f t="shared" si="7"/>
        <v>65723</v>
      </c>
      <c r="L76" s="541">
        <f t="shared" si="7"/>
        <v>129590.49999999999</v>
      </c>
      <c r="M76" s="312">
        <f t="shared" si="7"/>
        <v>989.67305458768874</v>
      </c>
      <c r="N76" s="313">
        <f t="shared" si="7"/>
        <v>27250.764705882353</v>
      </c>
      <c r="O76" s="309">
        <f t="shared" si="7"/>
        <v>1498.1452164009111</v>
      </c>
    </row>
    <row r="77" spans="1:15" ht="12.75" customHeight="1" x14ac:dyDescent="0.2">
      <c r="A77" s="200" t="s">
        <v>54</v>
      </c>
      <c r="B77" s="371">
        <f t="shared" ref="B77:O77" si="8">B45*1000/B12</f>
        <v>55.428571428571431</v>
      </c>
      <c r="C77" s="371">
        <f t="shared" si="8"/>
        <v>137.35294117647058</v>
      </c>
      <c r="D77" s="371">
        <f t="shared" si="8"/>
        <v>304.06779661016947</v>
      </c>
      <c r="E77" s="371">
        <f t="shared" si="8"/>
        <v>976.90476190476193</v>
      </c>
      <c r="F77" s="371">
        <f t="shared" si="8"/>
        <v>2754.6315789473683</v>
      </c>
      <c r="G77" s="371">
        <f t="shared" si="8"/>
        <v>3924.8333333333335</v>
      </c>
      <c r="H77" s="371">
        <f t="shared" si="8"/>
        <v>7254.333333333333</v>
      </c>
      <c r="I77" s="371">
        <f t="shared" si="8"/>
        <v>11382</v>
      </c>
      <c r="J77" s="371">
        <f t="shared" si="8"/>
        <v>49376</v>
      </c>
      <c r="K77" s="371">
        <f t="shared" si="8"/>
        <v>74632</v>
      </c>
      <c r="L77" s="758" t="s">
        <v>102</v>
      </c>
      <c r="M77" s="310">
        <f t="shared" si="8"/>
        <v>608.31652661064425</v>
      </c>
      <c r="N77" s="311">
        <f t="shared" si="8"/>
        <v>45130</v>
      </c>
      <c r="O77" s="308">
        <f t="shared" si="8"/>
        <v>979.33055555555552</v>
      </c>
    </row>
    <row r="78" spans="1:15" ht="12.75" customHeight="1" x14ac:dyDescent="0.2">
      <c r="A78" s="88" t="s">
        <v>132</v>
      </c>
      <c r="B78" s="541">
        <f t="shared" ref="B78:O78" si="9">B46*1000/B13</f>
        <v>64.744075829383888</v>
      </c>
      <c r="C78" s="541">
        <f t="shared" si="9"/>
        <v>143.93467819404418</v>
      </c>
      <c r="D78" s="541">
        <f t="shared" si="9"/>
        <v>320.11621233859398</v>
      </c>
      <c r="E78" s="541">
        <f t="shared" si="9"/>
        <v>948.37072808320954</v>
      </c>
      <c r="F78" s="541">
        <f t="shared" si="9"/>
        <v>2589.0350877192982</v>
      </c>
      <c r="G78" s="541">
        <f t="shared" si="9"/>
        <v>4157.606741573034</v>
      </c>
      <c r="H78" s="541">
        <f t="shared" si="9"/>
        <v>6627.174757281553</v>
      </c>
      <c r="I78" s="541">
        <f t="shared" si="9"/>
        <v>13525.84</v>
      </c>
      <c r="J78" s="541">
        <f t="shared" si="9"/>
        <v>29617.6875</v>
      </c>
      <c r="K78" s="541">
        <f t="shared" si="9"/>
        <v>66324.5</v>
      </c>
      <c r="L78" s="541">
        <f t="shared" si="9"/>
        <v>162495.6</v>
      </c>
      <c r="M78" s="312">
        <f t="shared" si="9"/>
        <v>707.66204162537167</v>
      </c>
      <c r="N78" s="313">
        <f t="shared" si="9"/>
        <v>28702.767123287675</v>
      </c>
      <c r="O78" s="309">
        <f t="shared" si="9"/>
        <v>1106.9669792887846</v>
      </c>
    </row>
    <row r="79" spans="1:15" ht="12.75" customHeight="1" x14ac:dyDescent="0.2">
      <c r="A79" s="200" t="s">
        <v>766</v>
      </c>
      <c r="B79" s="371">
        <f t="shared" ref="B79:O79" si="10">B47*1000/B14</f>
        <v>68.509727626459139</v>
      </c>
      <c r="C79" s="371">
        <f t="shared" si="10"/>
        <v>150.48524590163933</v>
      </c>
      <c r="D79" s="371">
        <f t="shared" si="10"/>
        <v>321.16162489196199</v>
      </c>
      <c r="E79" s="371">
        <f t="shared" si="10"/>
        <v>950.07248764415158</v>
      </c>
      <c r="F79" s="371">
        <f t="shared" si="10"/>
        <v>2609.9650655021833</v>
      </c>
      <c r="G79" s="371">
        <f t="shared" si="10"/>
        <v>4259.3814432989693</v>
      </c>
      <c r="H79" s="371">
        <f t="shared" si="10"/>
        <v>6899.9426229508199</v>
      </c>
      <c r="I79" s="371">
        <f t="shared" si="10"/>
        <v>12916.112903225807</v>
      </c>
      <c r="J79" s="371">
        <f t="shared" si="10"/>
        <v>28807.967741935485</v>
      </c>
      <c r="K79" s="371">
        <f t="shared" si="10"/>
        <v>75714.571428571435</v>
      </c>
      <c r="L79" s="371">
        <f t="shared" si="10"/>
        <v>187403.5</v>
      </c>
      <c r="M79" s="310">
        <f t="shared" si="10"/>
        <v>946.01465002712973</v>
      </c>
      <c r="N79" s="311">
        <f t="shared" si="10"/>
        <v>25477.00980392157</v>
      </c>
      <c r="O79" s="308">
        <f t="shared" si="10"/>
        <v>1606.5641499472017</v>
      </c>
    </row>
    <row r="80" spans="1:15" ht="12.75" customHeight="1" x14ac:dyDescent="0.2">
      <c r="A80" s="88" t="s">
        <v>133</v>
      </c>
      <c r="B80" s="541">
        <f t="shared" ref="B80:O80" si="11">B48*1000/B15</f>
        <v>72.186046511627907</v>
      </c>
      <c r="C80" s="541">
        <f t="shared" si="11"/>
        <v>152.70854271356785</v>
      </c>
      <c r="D80" s="541">
        <f t="shared" si="11"/>
        <v>333.12892376681617</v>
      </c>
      <c r="E80" s="541">
        <f t="shared" si="11"/>
        <v>946.76175213675219</v>
      </c>
      <c r="F80" s="541">
        <f t="shared" si="11"/>
        <v>2605.8321167883209</v>
      </c>
      <c r="G80" s="541">
        <f t="shared" si="11"/>
        <v>4196.9375</v>
      </c>
      <c r="H80" s="541">
        <f t="shared" si="11"/>
        <v>7205.6538461538457</v>
      </c>
      <c r="I80" s="541">
        <f t="shared" si="11"/>
        <v>13028.148148148148</v>
      </c>
      <c r="J80" s="541">
        <f t="shared" si="11"/>
        <v>26565.083333333332</v>
      </c>
      <c r="K80" s="541">
        <f t="shared" si="11"/>
        <v>80020</v>
      </c>
      <c r="L80" s="541">
        <f t="shared" si="11"/>
        <v>131278</v>
      </c>
      <c r="M80" s="312">
        <f t="shared" si="11"/>
        <v>864.15145705521468</v>
      </c>
      <c r="N80" s="313">
        <f t="shared" si="11"/>
        <v>26613.837209302324</v>
      </c>
      <c r="O80" s="309">
        <f t="shared" si="11"/>
        <v>1281.8189362504716</v>
      </c>
    </row>
    <row r="81" spans="1:15" ht="12.75" customHeight="1" x14ac:dyDescent="0.2">
      <c r="A81" s="200" t="s">
        <v>767</v>
      </c>
      <c r="B81" s="371">
        <f t="shared" ref="B81:O81" si="12">B49*1000/B16</f>
        <v>73.626315789473679</v>
      </c>
      <c r="C81" s="371">
        <f t="shared" si="12"/>
        <v>150.38461538461539</v>
      </c>
      <c r="D81" s="371">
        <f t="shared" si="12"/>
        <v>327.81310498883096</v>
      </c>
      <c r="E81" s="371">
        <f t="shared" si="12"/>
        <v>962.95253367543296</v>
      </c>
      <c r="F81" s="371">
        <f t="shared" si="12"/>
        <v>2611.1764705882351</v>
      </c>
      <c r="G81" s="371">
        <f t="shared" si="12"/>
        <v>4172.1684210526319</v>
      </c>
      <c r="H81" s="371">
        <f t="shared" si="12"/>
        <v>6839.0894308943089</v>
      </c>
      <c r="I81" s="371">
        <f t="shared" si="12"/>
        <v>13356.108108108108</v>
      </c>
      <c r="J81" s="371">
        <f t="shared" si="12"/>
        <v>29756.481481481482</v>
      </c>
      <c r="K81" s="371">
        <f t="shared" si="12"/>
        <v>72962.71428571429</v>
      </c>
      <c r="L81" s="371">
        <f t="shared" si="12"/>
        <v>198512.5</v>
      </c>
      <c r="M81" s="310">
        <f t="shared" si="12"/>
        <v>945.42509451795843</v>
      </c>
      <c r="N81" s="311">
        <f t="shared" si="12"/>
        <v>30210.479452054795</v>
      </c>
      <c r="O81" s="308">
        <f t="shared" si="12"/>
        <v>1441.6734030197445</v>
      </c>
    </row>
    <row r="82" spans="1:15" ht="12.75" customHeight="1" x14ac:dyDescent="0.2">
      <c r="A82" s="88" t="s">
        <v>134</v>
      </c>
      <c r="B82" s="541">
        <f t="shared" ref="B82:O82" si="13">B50*1000/B17</f>
        <v>61.560709413369715</v>
      </c>
      <c r="C82" s="541">
        <f t="shared" si="13"/>
        <v>145.19930069930069</v>
      </c>
      <c r="D82" s="541">
        <f t="shared" si="13"/>
        <v>315.6602671118531</v>
      </c>
      <c r="E82" s="541">
        <f t="shared" si="13"/>
        <v>975.97135183527303</v>
      </c>
      <c r="F82" s="541">
        <f t="shared" si="13"/>
        <v>2646.8277310924368</v>
      </c>
      <c r="G82" s="541">
        <f t="shared" si="13"/>
        <v>4160.2990654205605</v>
      </c>
      <c r="H82" s="541">
        <f t="shared" si="13"/>
        <v>7020.6640625</v>
      </c>
      <c r="I82" s="541">
        <f t="shared" si="13"/>
        <v>12844.212765957447</v>
      </c>
      <c r="J82" s="541">
        <f t="shared" si="13"/>
        <v>31009.42105263158</v>
      </c>
      <c r="K82" s="541">
        <f t="shared" si="13"/>
        <v>63431.5</v>
      </c>
      <c r="L82" s="541">
        <f t="shared" si="13"/>
        <v>271604.25</v>
      </c>
      <c r="M82" s="312">
        <f t="shared" si="13"/>
        <v>824.79287508563596</v>
      </c>
      <c r="N82" s="313">
        <f t="shared" si="13"/>
        <v>34229.729729729726</v>
      </c>
      <c r="O82" s="309">
        <f t="shared" si="13"/>
        <v>1379.9164608129352</v>
      </c>
    </row>
    <row r="83" spans="1:15" ht="12.75" customHeight="1" x14ac:dyDescent="0.2">
      <c r="A83" s="200" t="s">
        <v>63</v>
      </c>
      <c r="B83" s="371">
        <f t="shared" ref="B83:O83" si="14">B51*1000/B18</f>
        <v>66.272727272727266</v>
      </c>
      <c r="C83" s="371">
        <f t="shared" si="14"/>
        <v>151.7017543859649</v>
      </c>
      <c r="D83" s="371">
        <f t="shared" si="14"/>
        <v>349.28971962616822</v>
      </c>
      <c r="E83" s="371">
        <f t="shared" si="14"/>
        <v>1078.4000000000001</v>
      </c>
      <c r="F83" s="371">
        <f t="shared" si="14"/>
        <v>2630.0927835051548</v>
      </c>
      <c r="G83" s="371">
        <f t="shared" si="14"/>
        <v>4092.2750000000001</v>
      </c>
      <c r="H83" s="371">
        <f t="shared" si="14"/>
        <v>6963.979166666667</v>
      </c>
      <c r="I83" s="371">
        <f t="shared" si="14"/>
        <v>14175.28125</v>
      </c>
      <c r="J83" s="371">
        <f t="shared" si="14"/>
        <v>27184.466666666667</v>
      </c>
      <c r="K83" s="371">
        <f t="shared" si="14"/>
        <v>57979.6</v>
      </c>
      <c r="L83" s="371">
        <f t="shared" si="14"/>
        <v>212126.66666666666</v>
      </c>
      <c r="M83" s="310">
        <f t="shared" si="14"/>
        <v>1832.1546304163126</v>
      </c>
      <c r="N83" s="311">
        <f t="shared" si="14"/>
        <v>32502.799999999999</v>
      </c>
      <c r="O83" s="308">
        <f t="shared" si="14"/>
        <v>3201.3798701298701</v>
      </c>
    </row>
    <row r="84" spans="1:15" ht="12.75" customHeight="1" x14ac:dyDescent="0.2">
      <c r="A84" s="88" t="s">
        <v>93</v>
      </c>
      <c r="B84" s="541">
        <f t="shared" ref="B84:O84" si="15">B52*1000/B19</f>
        <v>62.413793103448278</v>
      </c>
      <c r="C84" s="541">
        <f t="shared" si="15"/>
        <v>142.52727272727273</v>
      </c>
      <c r="D84" s="541">
        <f t="shared" si="15"/>
        <v>332.79289940828403</v>
      </c>
      <c r="E84" s="541">
        <f t="shared" si="15"/>
        <v>1064.8902439024391</v>
      </c>
      <c r="F84" s="541">
        <f t="shared" si="15"/>
        <v>2680.1098901098903</v>
      </c>
      <c r="G84" s="541">
        <f t="shared" si="15"/>
        <v>4165.5423728813557</v>
      </c>
      <c r="H84" s="541">
        <f t="shared" si="15"/>
        <v>6803.5</v>
      </c>
      <c r="I84" s="541">
        <f t="shared" si="15"/>
        <v>13584.634615384615</v>
      </c>
      <c r="J84" s="541">
        <f t="shared" si="15"/>
        <v>32249.433333333334</v>
      </c>
      <c r="K84" s="541">
        <f t="shared" si="15"/>
        <v>65448.875</v>
      </c>
      <c r="L84" s="541">
        <f t="shared" si="15"/>
        <v>390783.5</v>
      </c>
      <c r="M84" s="312">
        <f t="shared" si="15"/>
        <v>1691.6490610328638</v>
      </c>
      <c r="N84" s="313">
        <f t="shared" si="15"/>
        <v>40006.478723404252</v>
      </c>
      <c r="O84" s="309">
        <f t="shared" si="15"/>
        <v>5498.8308668076106</v>
      </c>
    </row>
    <row r="85" spans="1:15" ht="12.75" customHeight="1" x14ac:dyDescent="0.2">
      <c r="A85" s="542" t="s">
        <v>135</v>
      </c>
      <c r="B85" s="371">
        <f t="shared" ref="B85:O85" si="16">B53*1000/B20</f>
        <v>60.785714285714285</v>
      </c>
      <c r="C85" s="371">
        <f t="shared" si="16"/>
        <v>151.67857142857142</v>
      </c>
      <c r="D85" s="371">
        <f t="shared" si="16"/>
        <v>341.82296650717706</v>
      </c>
      <c r="E85" s="371">
        <f t="shared" si="16"/>
        <v>1013.9702517162472</v>
      </c>
      <c r="F85" s="371">
        <f t="shared" si="16"/>
        <v>2660.8363636363638</v>
      </c>
      <c r="G85" s="371">
        <f t="shared" si="16"/>
        <v>4189.9206349206352</v>
      </c>
      <c r="H85" s="371">
        <f t="shared" si="16"/>
        <v>7032.5840707964599</v>
      </c>
      <c r="I85" s="371">
        <f t="shared" si="16"/>
        <v>14281.431818181818</v>
      </c>
      <c r="J85" s="371">
        <f t="shared" si="16"/>
        <v>30381.345864661653</v>
      </c>
      <c r="K85" s="371">
        <f t="shared" si="16"/>
        <v>67964.461538461532</v>
      </c>
      <c r="L85" s="371">
        <f t="shared" si="16"/>
        <v>520929.2</v>
      </c>
      <c r="M85" s="310">
        <f t="shared" si="16"/>
        <v>1871.4870259481038</v>
      </c>
      <c r="N85" s="311">
        <f t="shared" si="16"/>
        <v>39821.67924528302</v>
      </c>
      <c r="O85" s="308">
        <f t="shared" si="16"/>
        <v>9808.977900552487</v>
      </c>
    </row>
    <row r="86" spans="1:15" ht="12.75" customHeight="1" x14ac:dyDescent="0.2">
      <c r="A86" s="18" t="s">
        <v>239</v>
      </c>
      <c r="B86" s="541">
        <f t="shared" ref="B86:O86" si="17">B54*1000/B21</f>
        <v>64.873059360730608</v>
      </c>
      <c r="C86" s="541">
        <f t="shared" si="17"/>
        <v>147.48368450494127</v>
      </c>
      <c r="D86" s="541">
        <f t="shared" si="17"/>
        <v>325.62422064884294</v>
      </c>
      <c r="E86" s="541">
        <f t="shared" si="17"/>
        <v>986.60106761565817</v>
      </c>
      <c r="F86" s="541">
        <f t="shared" si="17"/>
        <v>2619.6317169069462</v>
      </c>
      <c r="G86" s="541">
        <f t="shared" si="17"/>
        <v>4162.6176470588234</v>
      </c>
      <c r="H86" s="541">
        <f t="shared" si="17"/>
        <v>6939.3112416107397</v>
      </c>
      <c r="I86" s="541">
        <f t="shared" si="17"/>
        <v>13604.424474187384</v>
      </c>
      <c r="J86" s="541">
        <f t="shared" si="17"/>
        <v>30336.798833819241</v>
      </c>
      <c r="K86" s="541">
        <f t="shared" si="17"/>
        <v>67551.329268292699</v>
      </c>
      <c r="L86" s="541">
        <f t="shared" si="17"/>
        <v>252243.37499999994</v>
      </c>
      <c r="M86" s="312">
        <f t="shared" si="17"/>
        <v>991.99177952569642</v>
      </c>
      <c r="N86" s="313">
        <f t="shared" si="17"/>
        <v>33552.206477732791</v>
      </c>
      <c r="O86" s="309">
        <f t="shared" si="17"/>
        <v>1916.2431190024708</v>
      </c>
    </row>
    <row r="87" spans="1:15" ht="12.75" customHeight="1" x14ac:dyDescent="0.2">
      <c r="A87" s="247" t="s">
        <v>393</v>
      </c>
      <c r="B87" s="371" t="s">
        <v>102</v>
      </c>
      <c r="C87" s="371" t="s">
        <v>102</v>
      </c>
      <c r="D87" s="371">
        <f t="shared" ref="D87:O87" si="18">D55*1000/D22</f>
        <v>273.66666666666669</v>
      </c>
      <c r="E87" s="371">
        <f t="shared" si="18"/>
        <v>1371.6923076923076</v>
      </c>
      <c r="F87" s="371">
        <f t="shared" si="18"/>
        <v>2833.5555555555557</v>
      </c>
      <c r="G87" s="371">
        <f t="shared" si="18"/>
        <v>4265.3999999999996</v>
      </c>
      <c r="H87" s="371">
        <f t="shared" si="18"/>
        <v>7364.971428571429</v>
      </c>
      <c r="I87" s="371">
        <f t="shared" si="18"/>
        <v>14352.866666666667</v>
      </c>
      <c r="J87" s="371">
        <f t="shared" si="18"/>
        <v>30732.166666666668</v>
      </c>
      <c r="K87" s="371">
        <f t="shared" si="18"/>
        <v>66168.666666666672</v>
      </c>
      <c r="L87" s="371">
        <f t="shared" si="18"/>
        <v>131418</v>
      </c>
      <c r="M87" s="310">
        <f t="shared" si="18"/>
        <v>4922.6142857142859</v>
      </c>
      <c r="N87" s="311">
        <f t="shared" si="18"/>
        <v>31222.355932203391</v>
      </c>
      <c r="O87" s="308">
        <f t="shared" si="18"/>
        <v>16951.178294573645</v>
      </c>
    </row>
    <row r="88" spans="1:15" x14ac:dyDescent="0.2">
      <c r="A88" s="88" t="s">
        <v>544</v>
      </c>
      <c r="B88" s="541" t="s">
        <v>102</v>
      </c>
      <c r="C88" s="541" t="s">
        <v>102</v>
      </c>
      <c r="D88" s="541" t="s">
        <v>102</v>
      </c>
      <c r="E88" s="541">
        <f t="shared" ref="E88:K88" si="19">E56*1000/E23</f>
        <v>1429.25</v>
      </c>
      <c r="F88" s="541">
        <f t="shared" si="19"/>
        <v>2893.5</v>
      </c>
      <c r="G88" s="541">
        <f t="shared" si="19"/>
        <v>4298.666666666667</v>
      </c>
      <c r="H88" s="541">
        <f t="shared" si="19"/>
        <v>7217.2</v>
      </c>
      <c r="I88" s="541">
        <f t="shared" si="19"/>
        <v>15612.142857142857</v>
      </c>
      <c r="J88" s="541">
        <f t="shared" si="19"/>
        <v>26166.799999999999</v>
      </c>
      <c r="K88" s="541">
        <f t="shared" si="19"/>
        <v>52586</v>
      </c>
      <c r="L88" s="541" t="s">
        <v>102</v>
      </c>
      <c r="M88" s="312">
        <f t="shared" ref="M88:O88" si="20">M56*1000/M23</f>
        <v>5082.7368421052633</v>
      </c>
      <c r="N88" s="313">
        <f t="shared" si="20"/>
        <v>22515.76923076923</v>
      </c>
      <c r="O88" s="309">
        <f t="shared" si="20"/>
        <v>12164.90625</v>
      </c>
    </row>
    <row r="89" spans="1:15" x14ac:dyDescent="0.2">
      <c r="A89" s="837" t="s">
        <v>545</v>
      </c>
      <c r="B89" s="830" t="s">
        <v>102</v>
      </c>
      <c r="C89" s="830" t="s">
        <v>102</v>
      </c>
      <c r="D89" s="830" t="s">
        <v>102</v>
      </c>
      <c r="E89" s="830">
        <f t="shared" ref="E89:K89" si="21">E57*1000/E24</f>
        <v>1192.8333333333333</v>
      </c>
      <c r="F89" s="830">
        <f t="shared" si="21"/>
        <v>2635.6666666666665</v>
      </c>
      <c r="G89" s="830">
        <f t="shared" si="21"/>
        <v>4198.666666666667</v>
      </c>
      <c r="H89" s="830">
        <f t="shared" si="21"/>
        <v>8038.2857142857147</v>
      </c>
      <c r="I89" s="830">
        <f t="shared" si="21"/>
        <v>14581.222222222223</v>
      </c>
      <c r="J89" s="830">
        <f t="shared" si="21"/>
        <v>30767</v>
      </c>
      <c r="K89" s="830">
        <f t="shared" si="21"/>
        <v>75627</v>
      </c>
      <c r="L89" s="830" t="s">
        <v>102</v>
      </c>
      <c r="M89" s="831">
        <f t="shared" ref="M89:O89" si="22">M57*1000/M24</f>
        <v>4387.454545454545</v>
      </c>
      <c r="N89" s="832">
        <f t="shared" si="22"/>
        <v>22366</v>
      </c>
      <c r="O89" s="833">
        <f t="shared" si="22"/>
        <v>10732.823529411764</v>
      </c>
    </row>
    <row r="90" spans="1:15" x14ac:dyDescent="0.2">
      <c r="A90" s="88" t="s">
        <v>546</v>
      </c>
      <c r="B90" s="541" t="s">
        <v>102</v>
      </c>
      <c r="C90" s="541" t="s">
        <v>102</v>
      </c>
      <c r="D90" s="541">
        <f t="shared" ref="D90" si="23">D58*1000/D25</f>
        <v>273.66666666666669</v>
      </c>
      <c r="E90" s="541">
        <f t="shared" ref="E90:K90" si="24">E58*1000/E25</f>
        <v>1652.6666666666667</v>
      </c>
      <c r="F90" s="541">
        <f t="shared" si="24"/>
        <v>2952</v>
      </c>
      <c r="G90" s="541">
        <f t="shared" si="24"/>
        <v>4566</v>
      </c>
      <c r="H90" s="541">
        <f t="shared" si="24"/>
        <v>8476</v>
      </c>
      <c r="I90" s="541">
        <f t="shared" si="24"/>
        <v>15453</v>
      </c>
      <c r="J90" s="541">
        <f t="shared" si="24"/>
        <v>29148.666666666668</v>
      </c>
      <c r="K90" s="541">
        <f t="shared" si="24"/>
        <v>57165</v>
      </c>
      <c r="L90" s="541" t="s">
        <v>102</v>
      </c>
      <c r="M90" s="312">
        <f t="shared" ref="M90:O90" si="25">M58*1000/M25</f>
        <v>3737.1333333333332</v>
      </c>
      <c r="N90" s="313">
        <f t="shared" si="25"/>
        <v>33240.285714285717</v>
      </c>
      <c r="O90" s="309">
        <f t="shared" si="25"/>
        <v>13124.5</v>
      </c>
    </row>
    <row r="91" spans="1:15" x14ac:dyDescent="0.2">
      <c r="A91" s="837" t="s">
        <v>547</v>
      </c>
      <c r="B91" s="830" t="s">
        <v>102</v>
      </c>
      <c r="C91" s="830" t="s">
        <v>102</v>
      </c>
      <c r="D91" s="830" t="s">
        <v>102</v>
      </c>
      <c r="E91" s="830" t="s">
        <v>102</v>
      </c>
      <c r="F91" s="830" t="s">
        <v>102</v>
      </c>
      <c r="G91" s="830" t="s">
        <v>102</v>
      </c>
      <c r="H91" s="830">
        <f t="shared" ref="H91:O91" si="26">H59*1000/H26</f>
        <v>6486.1428571428569</v>
      </c>
      <c r="I91" s="830">
        <f t="shared" si="26"/>
        <v>13005.5</v>
      </c>
      <c r="J91" s="830">
        <f t="shared" si="26"/>
        <v>34373.285714285717</v>
      </c>
      <c r="K91" s="830">
        <f t="shared" si="26"/>
        <v>70000.25</v>
      </c>
      <c r="L91" s="830">
        <f t="shared" si="26"/>
        <v>131418</v>
      </c>
      <c r="M91" s="831">
        <f t="shared" si="26"/>
        <v>6486.1428571428569</v>
      </c>
      <c r="N91" s="832">
        <f t="shared" si="26"/>
        <v>49145.411764705881</v>
      </c>
      <c r="O91" s="833">
        <f t="shared" si="26"/>
        <v>36703.125</v>
      </c>
    </row>
    <row r="92" spans="1:15" x14ac:dyDescent="0.2">
      <c r="A92" s="88" t="s">
        <v>548</v>
      </c>
      <c r="B92" s="541" t="s">
        <v>102</v>
      </c>
      <c r="C92" s="541" t="s">
        <v>102</v>
      </c>
      <c r="D92" s="541" t="s">
        <v>102</v>
      </c>
      <c r="E92" s="541" t="s">
        <v>102</v>
      </c>
      <c r="F92" s="541" t="s">
        <v>102</v>
      </c>
      <c r="G92" s="541" t="s">
        <v>102</v>
      </c>
      <c r="H92" s="541">
        <f t="shared" ref="H92:K92" si="27">H60*1000/H27</f>
        <v>7146.7142857142853</v>
      </c>
      <c r="I92" s="541">
        <f t="shared" si="27"/>
        <v>13392.75</v>
      </c>
      <c r="J92" s="541">
        <f t="shared" si="27"/>
        <v>32752.000000000004</v>
      </c>
      <c r="K92" s="541">
        <f t="shared" si="27"/>
        <v>72974</v>
      </c>
      <c r="L92" s="541" t="s">
        <v>102</v>
      </c>
      <c r="M92" s="312">
        <f t="shared" ref="M92:O92" si="28">M60*1000/M27</f>
        <v>7146.7142857142853</v>
      </c>
      <c r="N92" s="313">
        <f t="shared" si="28"/>
        <v>21286.799999999999</v>
      </c>
      <c r="O92" s="309">
        <f t="shared" si="28"/>
        <v>15464.411764705883</v>
      </c>
    </row>
    <row r="93" spans="1:15" ht="12.75" customHeight="1" x14ac:dyDescent="0.2">
      <c r="A93" s="834" t="s">
        <v>67</v>
      </c>
      <c r="B93" s="835">
        <f t="shared" ref="B93:O93" si="29">B61*1000/B28</f>
        <v>64.873059360730608</v>
      </c>
      <c r="C93" s="835">
        <f t="shared" si="29"/>
        <v>147.48368450494127</v>
      </c>
      <c r="D93" s="835">
        <f t="shared" si="29"/>
        <v>325.6077540671879</v>
      </c>
      <c r="E93" s="835">
        <f t="shared" si="29"/>
        <v>987.04594330400778</v>
      </c>
      <c r="F93" s="835">
        <f t="shared" si="29"/>
        <v>2620.46953872933</v>
      </c>
      <c r="G93" s="835">
        <f t="shared" si="29"/>
        <v>4163.6495983935747</v>
      </c>
      <c r="H93" s="835">
        <f t="shared" si="29"/>
        <v>6951.453137734311</v>
      </c>
      <c r="I93" s="835">
        <f t="shared" si="29"/>
        <v>13645.027124773964</v>
      </c>
      <c r="J93" s="835">
        <f t="shared" si="29"/>
        <v>30356.512465373962</v>
      </c>
      <c r="K93" s="835">
        <f t="shared" si="29"/>
        <v>67414.582417582424</v>
      </c>
      <c r="L93" s="835">
        <f t="shared" si="29"/>
        <v>246489.78571428568</v>
      </c>
      <c r="M93" s="836">
        <f t="shared" si="29"/>
        <v>1000.1109832389046</v>
      </c>
      <c r="N93" s="838">
        <f t="shared" si="29"/>
        <v>33420.915950334289</v>
      </c>
      <c r="O93" s="836">
        <f t="shared" si="29"/>
        <v>1971.7606984399599</v>
      </c>
    </row>
    <row r="94" spans="1:15" ht="12.75" customHeight="1" x14ac:dyDescent="0.2">
      <c r="A94" s="9" t="s">
        <v>270</v>
      </c>
    </row>
    <row r="95" spans="1:15" ht="12.75" customHeight="1" x14ac:dyDescent="0.2">
      <c r="A95" s="9" t="s">
        <v>814</v>
      </c>
    </row>
    <row r="96" spans="1:15" x14ac:dyDescent="0.2">
      <c r="A96" s="193" t="s">
        <v>869</v>
      </c>
      <c r="B96" s="3"/>
      <c r="C96" s="3"/>
      <c r="D96" s="3"/>
      <c r="G96" s="185"/>
      <c r="J96" s="185"/>
    </row>
  </sheetData>
  <phoneticPr fontId="2" type="noConversion"/>
  <pageMargins left="0.59055118110236227" right="0.59055118110236227" top="1.5748031496062993" bottom="0.78740157480314965" header="0.39370078740157483" footer="0.39370078740157483"/>
  <pageSetup paperSize="9" scale="67" firstPageNumber="3" fitToHeight="3" orientation="landscape" useFirstPageNumber="1" r:id="rId1"/>
  <headerFooter alignWithMargins="0">
    <oddHeader>&amp;R&amp;12Les finances des communes en 2025</oddHeader>
    <oddFooter>&amp;L&amp;12Direction Générale des Collectivités Locales / DESL&amp;C&amp;12&amp;P&amp;R&amp;12Mise en ligne : janvier 2026</oddFooter>
  </headerFooter>
  <rowBreaks count="2" manualBreakCount="2">
    <brk id="33" max="14" man="1"/>
    <brk id="65" max="1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O57"/>
  <sheetViews>
    <sheetView view="pageBreakPreview" zoomScale="85" zoomScaleNormal="100" zoomScaleSheetLayoutView="85" workbookViewId="0"/>
  </sheetViews>
  <sheetFormatPr baseColWidth="10" defaultRowHeight="12.75" x14ac:dyDescent="0.2"/>
  <cols>
    <col min="1" max="1" width="34" customWidth="1"/>
    <col min="2" max="12" width="12.5703125" customWidth="1"/>
    <col min="13" max="14" width="18" style="215" customWidth="1"/>
    <col min="15" max="15" width="12.7109375" customWidth="1"/>
  </cols>
  <sheetData>
    <row r="1" spans="1:15" ht="20.25" customHeight="1" x14ac:dyDescent="0.25">
      <c r="A1" s="10" t="s">
        <v>873</v>
      </c>
    </row>
    <row r="3" spans="1:15" x14ac:dyDescent="0.2">
      <c r="A3" s="1"/>
      <c r="B3" s="1"/>
      <c r="C3" s="1"/>
      <c r="D3" s="1"/>
      <c r="E3" s="1"/>
      <c r="F3" s="1"/>
      <c r="G3" s="1"/>
      <c r="H3" s="1"/>
      <c r="I3" s="1"/>
      <c r="J3" s="1"/>
      <c r="K3" s="1"/>
      <c r="L3" s="1"/>
      <c r="M3" s="217"/>
      <c r="N3" s="217"/>
      <c r="O3" s="2"/>
    </row>
    <row r="4" spans="1:15" x14ac:dyDescent="0.2">
      <c r="A4" s="3"/>
      <c r="B4" s="11" t="s">
        <v>35</v>
      </c>
      <c r="C4" s="11" t="s">
        <v>121</v>
      </c>
      <c r="D4" s="11" t="s">
        <v>123</v>
      </c>
      <c r="E4" s="11" t="s">
        <v>36</v>
      </c>
      <c r="F4" s="11" t="s">
        <v>37</v>
      </c>
      <c r="G4" s="11" t="s">
        <v>38</v>
      </c>
      <c r="H4" s="11" t="s">
        <v>39</v>
      </c>
      <c r="I4" s="11" t="s">
        <v>125</v>
      </c>
      <c r="J4" s="11" t="s">
        <v>126</v>
      </c>
      <c r="K4" s="11" t="s">
        <v>127</v>
      </c>
      <c r="L4" s="209">
        <v>100000</v>
      </c>
      <c r="M4" s="201" t="s">
        <v>227</v>
      </c>
      <c r="N4" s="201" t="s">
        <v>227</v>
      </c>
      <c r="O4" s="204" t="s">
        <v>77</v>
      </c>
    </row>
    <row r="5" spans="1:15" x14ac:dyDescent="0.2">
      <c r="A5" s="208" t="s">
        <v>147</v>
      </c>
      <c r="B5" s="11" t="s">
        <v>120</v>
      </c>
      <c r="C5" s="11" t="s">
        <v>40</v>
      </c>
      <c r="D5" s="11" t="s">
        <v>40</v>
      </c>
      <c r="E5" s="11" t="s">
        <v>40</v>
      </c>
      <c r="F5" s="11" t="s">
        <v>40</v>
      </c>
      <c r="G5" s="11" t="s">
        <v>40</v>
      </c>
      <c r="H5" s="11" t="s">
        <v>40</v>
      </c>
      <c r="I5" s="11" t="s">
        <v>40</v>
      </c>
      <c r="J5" s="11" t="s">
        <v>40</v>
      </c>
      <c r="K5" s="11" t="s">
        <v>40</v>
      </c>
      <c r="L5" s="11" t="s">
        <v>43</v>
      </c>
      <c r="M5" s="201" t="s">
        <v>143</v>
      </c>
      <c r="N5" s="201" t="s">
        <v>83</v>
      </c>
      <c r="O5" s="204" t="s">
        <v>137</v>
      </c>
    </row>
    <row r="6" spans="1:15" x14ac:dyDescent="0.2">
      <c r="A6" s="3"/>
      <c r="B6" s="11" t="s">
        <v>43</v>
      </c>
      <c r="C6" s="11" t="s">
        <v>122</v>
      </c>
      <c r="D6" s="11" t="s">
        <v>124</v>
      </c>
      <c r="E6" s="11" t="s">
        <v>44</v>
      </c>
      <c r="F6" s="11" t="s">
        <v>45</v>
      </c>
      <c r="G6" s="11" t="s">
        <v>46</v>
      </c>
      <c r="H6" s="11" t="s">
        <v>42</v>
      </c>
      <c r="I6" s="11" t="s">
        <v>128</v>
      </c>
      <c r="J6" s="11" t="s">
        <v>129</v>
      </c>
      <c r="K6" s="11" t="s">
        <v>130</v>
      </c>
      <c r="L6" s="11" t="s">
        <v>131</v>
      </c>
      <c r="M6" s="201" t="s">
        <v>138</v>
      </c>
      <c r="N6" s="201" t="s">
        <v>136</v>
      </c>
      <c r="O6" s="204" t="s">
        <v>116</v>
      </c>
    </row>
    <row r="7" spans="1:15" x14ac:dyDescent="0.2">
      <c r="A7" s="4"/>
      <c r="B7" s="4"/>
      <c r="C7" s="4"/>
      <c r="D7" s="4"/>
      <c r="E7" s="4"/>
      <c r="F7" s="4"/>
      <c r="G7" s="4"/>
      <c r="H7" s="4"/>
      <c r="I7" s="4"/>
      <c r="J7" s="4"/>
      <c r="K7" s="4"/>
      <c r="L7" s="4"/>
      <c r="M7" s="218"/>
      <c r="N7" s="218"/>
      <c r="O7" s="5"/>
    </row>
    <row r="8" spans="1:15" x14ac:dyDescent="0.2">
      <c r="A8" s="37" t="s">
        <v>280</v>
      </c>
      <c r="O8" s="68"/>
    </row>
    <row r="9" spans="1:15" ht="14.25" customHeight="1" x14ac:dyDescent="0.2">
      <c r="A9" s="200" t="s">
        <v>379</v>
      </c>
      <c r="B9" s="314">
        <v>11</v>
      </c>
      <c r="C9" s="314">
        <v>50</v>
      </c>
      <c r="D9" s="314">
        <v>139</v>
      </c>
      <c r="E9" s="314">
        <v>448</v>
      </c>
      <c r="F9" s="314">
        <v>198</v>
      </c>
      <c r="G9" s="314">
        <v>125</v>
      </c>
      <c r="H9" s="314">
        <v>266</v>
      </c>
      <c r="I9" s="314">
        <v>158</v>
      </c>
      <c r="J9" s="314">
        <v>155</v>
      </c>
      <c r="K9" s="314">
        <v>43</v>
      </c>
      <c r="L9" s="314">
        <v>36</v>
      </c>
      <c r="M9" s="311">
        <v>1237</v>
      </c>
      <c r="N9" s="311">
        <v>392</v>
      </c>
      <c r="O9" s="310">
        <v>1629</v>
      </c>
    </row>
    <row r="10" spans="1:15" x14ac:dyDescent="0.2">
      <c r="A10" s="68" t="s">
        <v>430</v>
      </c>
      <c r="B10" s="315">
        <v>225</v>
      </c>
      <c r="C10" s="315">
        <v>546</v>
      </c>
      <c r="D10" s="315">
        <v>1595</v>
      </c>
      <c r="E10" s="315">
        <v>3066</v>
      </c>
      <c r="F10" s="315">
        <v>820</v>
      </c>
      <c r="G10" s="315">
        <v>366</v>
      </c>
      <c r="H10" s="315">
        <v>468</v>
      </c>
      <c r="I10" s="315">
        <v>250</v>
      </c>
      <c r="J10" s="315">
        <v>197</v>
      </c>
      <c r="K10" s="315">
        <v>47</v>
      </c>
      <c r="L10" s="315">
        <v>6</v>
      </c>
      <c r="M10" s="316">
        <v>7086</v>
      </c>
      <c r="N10" s="316">
        <v>500</v>
      </c>
      <c r="O10" s="317">
        <v>7586</v>
      </c>
    </row>
    <row r="11" spans="1:15" x14ac:dyDescent="0.2">
      <c r="A11" s="210" t="s">
        <v>154</v>
      </c>
      <c r="B11" s="314">
        <v>2215</v>
      </c>
      <c r="C11" s="314">
        <v>3670</v>
      </c>
      <c r="D11" s="314">
        <v>6340</v>
      </c>
      <c r="E11" s="314">
        <v>6782</v>
      </c>
      <c r="F11" s="314">
        <v>1168</v>
      </c>
      <c r="G11" s="314">
        <v>457</v>
      </c>
      <c r="H11" s="314">
        <v>452</v>
      </c>
      <c r="I11" s="314">
        <v>137</v>
      </c>
      <c r="J11" s="314">
        <v>9</v>
      </c>
      <c r="K11" s="318">
        <v>1</v>
      </c>
      <c r="L11" s="318" t="s">
        <v>102</v>
      </c>
      <c r="M11" s="311">
        <v>21084</v>
      </c>
      <c r="N11" s="311">
        <v>147</v>
      </c>
      <c r="O11" s="310">
        <v>21231</v>
      </c>
    </row>
    <row r="12" spans="1:15" x14ac:dyDescent="0.2">
      <c r="A12" s="68" t="s">
        <v>155</v>
      </c>
      <c r="B12" s="315">
        <v>834</v>
      </c>
      <c r="C12" s="315">
        <v>1097</v>
      </c>
      <c r="D12" s="315">
        <v>1390</v>
      </c>
      <c r="E12" s="315">
        <v>956</v>
      </c>
      <c r="F12" s="315">
        <v>112</v>
      </c>
      <c r="G12" s="315">
        <v>48</v>
      </c>
      <c r="H12" s="315">
        <v>40</v>
      </c>
      <c r="I12" s="315">
        <v>8</v>
      </c>
      <c r="J12" s="757" t="s">
        <v>102</v>
      </c>
      <c r="K12" s="319" t="s">
        <v>102</v>
      </c>
      <c r="L12" s="319" t="s">
        <v>102</v>
      </c>
      <c r="M12" s="316">
        <v>4477</v>
      </c>
      <c r="N12" s="316">
        <v>8</v>
      </c>
      <c r="O12" s="317">
        <v>4485</v>
      </c>
    </row>
    <row r="13" spans="1:15" x14ac:dyDescent="0.2">
      <c r="A13" s="210" t="s">
        <v>273</v>
      </c>
      <c r="B13" s="756" t="s">
        <v>102</v>
      </c>
      <c r="C13" s="756" t="s">
        <v>102</v>
      </c>
      <c r="D13" s="320">
        <v>2</v>
      </c>
      <c r="E13" s="320">
        <v>1</v>
      </c>
      <c r="F13" s="839" t="s">
        <v>102</v>
      </c>
      <c r="G13" s="320" t="s">
        <v>102</v>
      </c>
      <c r="H13" s="990">
        <v>1</v>
      </c>
      <c r="I13" s="756" t="s">
        <v>102</v>
      </c>
      <c r="J13" s="756" t="s">
        <v>102</v>
      </c>
      <c r="K13" s="756" t="s">
        <v>102</v>
      </c>
      <c r="L13" s="318" t="s">
        <v>102</v>
      </c>
      <c r="M13" s="322">
        <v>4</v>
      </c>
      <c r="N13" s="840" t="s">
        <v>102</v>
      </c>
      <c r="O13" s="323">
        <v>4</v>
      </c>
    </row>
    <row r="14" spans="1:15" x14ac:dyDescent="0.2">
      <c r="A14" s="110" t="s">
        <v>274</v>
      </c>
      <c r="B14" s="324">
        <f t="shared" ref="B14:O14" si="0">SUM(B9:B13)</f>
        <v>3285</v>
      </c>
      <c r="C14" s="324">
        <f t="shared" si="0"/>
        <v>5363</v>
      </c>
      <c r="D14" s="324">
        <f t="shared" si="0"/>
        <v>9466</v>
      </c>
      <c r="E14" s="324">
        <f t="shared" si="0"/>
        <v>11253</v>
      </c>
      <c r="F14" s="324">
        <f t="shared" si="0"/>
        <v>2298</v>
      </c>
      <c r="G14" s="324">
        <f t="shared" si="0"/>
        <v>996</v>
      </c>
      <c r="H14" s="324">
        <f t="shared" si="0"/>
        <v>1227</v>
      </c>
      <c r="I14" s="324">
        <f t="shared" si="0"/>
        <v>553</v>
      </c>
      <c r="J14" s="324">
        <f t="shared" si="0"/>
        <v>361</v>
      </c>
      <c r="K14" s="324">
        <f t="shared" si="0"/>
        <v>91</v>
      </c>
      <c r="L14" s="324">
        <f t="shared" si="0"/>
        <v>42</v>
      </c>
      <c r="M14" s="325">
        <f t="shared" si="0"/>
        <v>33888</v>
      </c>
      <c r="N14" s="325">
        <f t="shared" si="0"/>
        <v>1047</v>
      </c>
      <c r="O14" s="841">
        <f t="shared" si="0"/>
        <v>34935</v>
      </c>
    </row>
    <row r="15" spans="1:15" x14ac:dyDescent="0.2">
      <c r="A15" s="182" t="s">
        <v>427</v>
      </c>
      <c r="B15" s="326"/>
      <c r="C15" s="326"/>
      <c r="D15" s="326"/>
      <c r="E15" s="326"/>
      <c r="F15" s="326"/>
      <c r="G15" s="326"/>
      <c r="H15" s="326"/>
      <c r="I15" s="326"/>
      <c r="J15" s="326"/>
      <c r="K15" s="326"/>
      <c r="L15" s="326"/>
      <c r="M15" s="327"/>
      <c r="N15" s="327"/>
      <c r="O15" s="328"/>
    </row>
    <row r="16" spans="1:15" ht="14.25" x14ac:dyDescent="0.2">
      <c r="A16" s="200" t="s">
        <v>379</v>
      </c>
      <c r="B16" s="329">
        <f>B9/B$14</f>
        <v>3.3485540334855404E-3</v>
      </c>
      <c r="C16" s="329">
        <f t="shared" ref="C16:O16" si="1">C9/C$14</f>
        <v>9.3231400335633038E-3</v>
      </c>
      <c r="D16" s="329">
        <f t="shared" si="1"/>
        <v>1.468413268540038E-2</v>
      </c>
      <c r="E16" s="329">
        <f t="shared" si="1"/>
        <v>3.9811605794010489E-2</v>
      </c>
      <c r="F16" s="329">
        <f t="shared" si="1"/>
        <v>8.6161879895561358E-2</v>
      </c>
      <c r="G16" s="330">
        <f t="shared" si="1"/>
        <v>0.12550200803212852</v>
      </c>
      <c r="H16" s="329">
        <f t="shared" si="1"/>
        <v>0.21678891605541972</v>
      </c>
      <c r="I16" s="329">
        <f t="shared" si="1"/>
        <v>0.2857142857142857</v>
      </c>
      <c r="J16" s="329">
        <f t="shared" si="1"/>
        <v>0.4293628808864266</v>
      </c>
      <c r="K16" s="329">
        <f t="shared" si="1"/>
        <v>0.47252747252747251</v>
      </c>
      <c r="L16" s="329">
        <f t="shared" si="1"/>
        <v>0.8571428571428571</v>
      </c>
      <c r="M16" s="331">
        <f t="shared" si="1"/>
        <v>3.6502596789423983E-2</v>
      </c>
      <c r="N16" s="331">
        <f t="shared" si="1"/>
        <v>0.37440305635148041</v>
      </c>
      <c r="O16" s="332">
        <f t="shared" si="1"/>
        <v>4.6629454701588663E-2</v>
      </c>
    </row>
    <row r="17" spans="1:15" x14ac:dyDescent="0.2">
      <c r="A17" s="68" t="s">
        <v>430</v>
      </c>
      <c r="B17" s="333">
        <f t="shared" ref="B17:O18" si="2">B10/B$14</f>
        <v>6.8493150684931503E-2</v>
      </c>
      <c r="C17" s="333">
        <f t="shared" si="2"/>
        <v>0.10180868916651128</v>
      </c>
      <c r="D17" s="333">
        <f t="shared" si="2"/>
        <v>0.16849778153391085</v>
      </c>
      <c r="E17" s="333">
        <f t="shared" si="2"/>
        <v>0.27246067715275929</v>
      </c>
      <c r="F17" s="333">
        <f t="shared" si="2"/>
        <v>0.3568320278503046</v>
      </c>
      <c r="G17" s="333">
        <f t="shared" si="2"/>
        <v>0.36746987951807231</v>
      </c>
      <c r="H17" s="333">
        <f t="shared" si="2"/>
        <v>0.38141809290953543</v>
      </c>
      <c r="I17" s="333">
        <f t="shared" si="2"/>
        <v>0.45207956600361665</v>
      </c>
      <c r="J17" s="333">
        <f t="shared" si="2"/>
        <v>0.54570637119113574</v>
      </c>
      <c r="K17" s="333">
        <f t="shared" si="2"/>
        <v>0.51648351648351654</v>
      </c>
      <c r="L17" s="333">
        <f t="shared" si="2"/>
        <v>0.14285714285714285</v>
      </c>
      <c r="M17" s="334">
        <f t="shared" si="2"/>
        <v>0.20910056657223797</v>
      </c>
      <c r="N17" s="334">
        <f t="shared" si="2"/>
        <v>0.47755491881566381</v>
      </c>
      <c r="O17" s="335">
        <f t="shared" si="2"/>
        <v>0.21714612852440246</v>
      </c>
    </row>
    <row r="18" spans="1:15" x14ac:dyDescent="0.2">
      <c r="A18" s="200" t="s">
        <v>154</v>
      </c>
      <c r="B18" s="329">
        <f t="shared" ref="B18:O18" si="3">B11/B$14</f>
        <v>0.67427701674277019</v>
      </c>
      <c r="C18" s="329">
        <f t="shared" si="3"/>
        <v>0.68431847846354654</v>
      </c>
      <c r="D18" s="329">
        <f t="shared" si="3"/>
        <v>0.6697654764420029</v>
      </c>
      <c r="E18" s="330">
        <f t="shared" si="3"/>
        <v>0.60268372878343557</v>
      </c>
      <c r="F18" s="329">
        <f t="shared" si="3"/>
        <v>0.50826805918189732</v>
      </c>
      <c r="G18" s="330">
        <f t="shared" si="3"/>
        <v>0.45883534136546184</v>
      </c>
      <c r="H18" s="329">
        <f t="shared" si="3"/>
        <v>0.36837815810920943</v>
      </c>
      <c r="I18" s="329">
        <f t="shared" si="3"/>
        <v>0.24773960216998192</v>
      </c>
      <c r="J18" s="329">
        <f t="shared" si="3"/>
        <v>2.4930747922437674E-2</v>
      </c>
      <c r="K18" s="997">
        <f t="shared" si="2"/>
        <v>1.098901098901099E-2</v>
      </c>
      <c r="L18" s="318" t="s">
        <v>102</v>
      </c>
      <c r="M18" s="331">
        <f t="shared" si="3"/>
        <v>0.62216713881019825</v>
      </c>
      <c r="N18" s="331">
        <f t="shared" si="3"/>
        <v>0.14040114613180515</v>
      </c>
      <c r="O18" s="332">
        <f t="shared" si="3"/>
        <v>0.60772863890081585</v>
      </c>
    </row>
    <row r="19" spans="1:15" x14ac:dyDescent="0.2">
      <c r="A19" s="68" t="s">
        <v>155</v>
      </c>
      <c r="B19" s="333">
        <f t="shared" ref="B19:O19" si="4">B12/B$14</f>
        <v>0.25388127853881276</v>
      </c>
      <c r="C19" s="333">
        <f t="shared" si="4"/>
        <v>0.2045496923363789</v>
      </c>
      <c r="D19" s="333">
        <f t="shared" si="4"/>
        <v>0.14684132685400381</v>
      </c>
      <c r="E19" s="333">
        <f t="shared" si="4"/>
        <v>8.4955123078290229E-2</v>
      </c>
      <c r="F19" s="333">
        <f t="shared" si="4"/>
        <v>4.8738033072236731E-2</v>
      </c>
      <c r="G19" s="333">
        <f t="shared" si="4"/>
        <v>4.8192771084337352E-2</v>
      </c>
      <c r="H19" s="333">
        <f t="shared" si="4"/>
        <v>3.2599837000814993E-2</v>
      </c>
      <c r="I19" s="333">
        <f t="shared" si="4"/>
        <v>1.4466546112115732E-2</v>
      </c>
      <c r="J19" s="757" t="s">
        <v>102</v>
      </c>
      <c r="K19" s="319" t="s">
        <v>102</v>
      </c>
      <c r="L19" s="319" t="s">
        <v>102</v>
      </c>
      <c r="M19" s="334">
        <f t="shared" si="4"/>
        <v>0.13211166194523136</v>
      </c>
      <c r="N19" s="334">
        <f t="shared" si="4"/>
        <v>7.6408787010506206E-3</v>
      </c>
      <c r="O19" s="335">
        <f t="shared" si="4"/>
        <v>0.12838127951910691</v>
      </c>
    </row>
    <row r="20" spans="1:15" x14ac:dyDescent="0.2">
      <c r="A20" s="210" t="s">
        <v>273</v>
      </c>
      <c r="B20" s="756" t="s">
        <v>102</v>
      </c>
      <c r="C20" s="756" t="s">
        <v>102</v>
      </c>
      <c r="D20" s="330">
        <f t="shared" ref="D20:O20" si="5">D13/D$14</f>
        <v>2.1128248468201986E-4</v>
      </c>
      <c r="E20" s="330">
        <f t="shared" si="5"/>
        <v>8.8865191504487693E-5</v>
      </c>
      <c r="F20" s="756" t="s">
        <v>102</v>
      </c>
      <c r="G20" s="756" t="s">
        <v>102</v>
      </c>
      <c r="H20" s="330">
        <f t="shared" si="5"/>
        <v>8.1499592502037486E-4</v>
      </c>
      <c r="I20" s="756" t="s">
        <v>102</v>
      </c>
      <c r="J20" s="756" t="s">
        <v>102</v>
      </c>
      <c r="K20" s="756" t="s">
        <v>102</v>
      </c>
      <c r="L20" s="318" t="s">
        <v>102</v>
      </c>
      <c r="M20" s="336">
        <f t="shared" si="5"/>
        <v>1.1803588290840416E-4</v>
      </c>
      <c r="N20" s="840" t="s">
        <v>102</v>
      </c>
      <c r="O20" s="337">
        <f t="shared" si="5"/>
        <v>1.1449835408616001E-4</v>
      </c>
    </row>
    <row r="21" spans="1:15" x14ac:dyDescent="0.2">
      <c r="A21" s="279" t="s">
        <v>275</v>
      </c>
      <c r="B21" s="338">
        <f t="shared" ref="B21:O21" si="6">B14/B$14</f>
        <v>1</v>
      </c>
      <c r="C21" s="338">
        <f t="shared" si="6"/>
        <v>1</v>
      </c>
      <c r="D21" s="338">
        <f t="shared" si="6"/>
        <v>1</v>
      </c>
      <c r="E21" s="338">
        <f t="shared" si="6"/>
        <v>1</v>
      </c>
      <c r="F21" s="338">
        <f t="shared" si="6"/>
        <v>1</v>
      </c>
      <c r="G21" s="338">
        <f t="shared" si="6"/>
        <v>1</v>
      </c>
      <c r="H21" s="338">
        <f t="shared" si="6"/>
        <v>1</v>
      </c>
      <c r="I21" s="338">
        <f t="shared" si="6"/>
        <v>1</v>
      </c>
      <c r="J21" s="338">
        <f t="shared" si="6"/>
        <v>1</v>
      </c>
      <c r="K21" s="338">
        <f t="shared" si="6"/>
        <v>1</v>
      </c>
      <c r="L21" s="338">
        <f t="shared" si="6"/>
        <v>1</v>
      </c>
      <c r="M21" s="339">
        <f t="shared" si="6"/>
        <v>1</v>
      </c>
      <c r="N21" s="339">
        <f t="shared" si="6"/>
        <v>1</v>
      </c>
      <c r="O21" s="842">
        <f t="shared" si="6"/>
        <v>1</v>
      </c>
    </row>
    <row r="22" spans="1:15" x14ac:dyDescent="0.2">
      <c r="A22" s="193" t="s">
        <v>277</v>
      </c>
    </row>
    <row r="23" spans="1:15" x14ac:dyDescent="0.2">
      <c r="A23" s="9" t="s">
        <v>871</v>
      </c>
    </row>
    <row r="24" spans="1:15" x14ac:dyDescent="0.2">
      <c r="A24" s="9" t="s">
        <v>429</v>
      </c>
    </row>
    <row r="25" spans="1:15" x14ac:dyDescent="0.2">
      <c r="A25" s="17" t="s">
        <v>78</v>
      </c>
    </row>
    <row r="26" spans="1:15" x14ac:dyDescent="0.2">
      <c r="A26" s="17" t="s">
        <v>433</v>
      </c>
    </row>
    <row r="27" spans="1:15" x14ac:dyDescent="0.2">
      <c r="A27" s="17" t="s">
        <v>431</v>
      </c>
    </row>
    <row r="28" spans="1:15" x14ac:dyDescent="0.2">
      <c r="A28" s="9" t="s">
        <v>958</v>
      </c>
    </row>
    <row r="29" spans="1:15" s="16" customFormat="1" ht="11.25" x14ac:dyDescent="0.2">
      <c r="A29" s="193" t="s">
        <v>865</v>
      </c>
      <c r="B29" s="224"/>
      <c r="C29" s="224"/>
      <c r="D29" s="224"/>
      <c r="G29" s="185"/>
      <c r="J29" s="185"/>
    </row>
    <row r="31" spans="1:15" ht="20.25" customHeight="1" x14ac:dyDescent="0.25">
      <c r="A31" s="10" t="s">
        <v>872</v>
      </c>
    </row>
    <row r="32" spans="1:15" x14ac:dyDescent="0.2">
      <c r="A32" s="225" t="s">
        <v>272</v>
      </c>
    </row>
    <row r="33" spans="1:15" x14ac:dyDescent="0.2">
      <c r="A33" s="1"/>
      <c r="B33" s="1"/>
      <c r="C33" s="1"/>
      <c r="D33" s="1"/>
      <c r="E33" s="1"/>
      <c r="F33" s="1"/>
      <c r="G33" s="1"/>
      <c r="H33" s="1"/>
      <c r="I33" s="1"/>
      <c r="J33" s="1"/>
      <c r="K33" s="1"/>
      <c r="L33" s="1"/>
      <c r="M33" s="217"/>
      <c r="N33" s="217"/>
      <c r="O33" s="2"/>
    </row>
    <row r="34" spans="1:15" x14ac:dyDescent="0.2">
      <c r="A34" s="3"/>
      <c r="B34" s="11" t="s">
        <v>35</v>
      </c>
      <c r="C34" s="11" t="s">
        <v>121</v>
      </c>
      <c r="D34" s="11" t="s">
        <v>123</v>
      </c>
      <c r="E34" s="11" t="s">
        <v>36</v>
      </c>
      <c r="F34" s="11" t="s">
        <v>37</v>
      </c>
      <c r="G34" s="11" t="s">
        <v>38</v>
      </c>
      <c r="H34" s="11" t="s">
        <v>39</v>
      </c>
      <c r="I34" s="11" t="s">
        <v>125</v>
      </c>
      <c r="J34" s="11" t="s">
        <v>126</v>
      </c>
      <c r="K34" s="11" t="s">
        <v>127</v>
      </c>
      <c r="L34" s="209">
        <v>100000</v>
      </c>
      <c r="M34" s="201" t="s">
        <v>228</v>
      </c>
      <c r="N34" s="201" t="s">
        <v>228</v>
      </c>
      <c r="O34" s="204" t="s">
        <v>77</v>
      </c>
    </row>
    <row r="35" spans="1:15" x14ac:dyDescent="0.2">
      <c r="A35" s="208" t="s">
        <v>147</v>
      </c>
      <c r="B35" s="11" t="s">
        <v>120</v>
      </c>
      <c r="C35" s="11" t="s">
        <v>40</v>
      </c>
      <c r="D35" s="11" t="s">
        <v>40</v>
      </c>
      <c r="E35" s="11" t="s">
        <v>40</v>
      </c>
      <c r="F35" s="11" t="s">
        <v>40</v>
      </c>
      <c r="G35" s="11" t="s">
        <v>40</v>
      </c>
      <c r="H35" s="11" t="s">
        <v>40</v>
      </c>
      <c r="I35" s="11" t="s">
        <v>40</v>
      </c>
      <c r="J35" s="11" t="s">
        <v>40</v>
      </c>
      <c r="K35" s="11" t="s">
        <v>40</v>
      </c>
      <c r="L35" s="11" t="s">
        <v>43</v>
      </c>
      <c r="M35" s="201" t="s">
        <v>230</v>
      </c>
      <c r="N35" s="201" t="s">
        <v>138</v>
      </c>
      <c r="O35" s="204" t="s">
        <v>137</v>
      </c>
    </row>
    <row r="36" spans="1:15" x14ac:dyDescent="0.2">
      <c r="A36" s="3"/>
      <c r="B36" s="11" t="s">
        <v>43</v>
      </c>
      <c r="C36" s="11" t="s">
        <v>122</v>
      </c>
      <c r="D36" s="11" t="s">
        <v>124</v>
      </c>
      <c r="E36" s="11" t="s">
        <v>44</v>
      </c>
      <c r="F36" s="11" t="s">
        <v>45</v>
      </c>
      <c r="G36" s="11" t="s">
        <v>46</v>
      </c>
      <c r="H36" s="11" t="s">
        <v>42</v>
      </c>
      <c r="I36" s="11" t="s">
        <v>128</v>
      </c>
      <c r="J36" s="11" t="s">
        <v>129</v>
      </c>
      <c r="K36" s="11" t="s">
        <v>130</v>
      </c>
      <c r="L36" s="11" t="s">
        <v>131</v>
      </c>
      <c r="M36" s="201" t="s">
        <v>138</v>
      </c>
      <c r="N36" s="201" t="s">
        <v>131</v>
      </c>
      <c r="O36" s="204" t="s">
        <v>41</v>
      </c>
    </row>
    <row r="37" spans="1:15" x14ac:dyDescent="0.2">
      <c r="A37" s="4"/>
      <c r="B37" s="4"/>
      <c r="C37" s="4"/>
      <c r="D37" s="4"/>
      <c r="E37" s="4"/>
      <c r="F37" s="4"/>
      <c r="G37" s="4"/>
      <c r="H37" s="4"/>
      <c r="I37" s="4"/>
      <c r="J37" s="4"/>
      <c r="K37" s="4"/>
      <c r="L37" s="4"/>
      <c r="M37" s="218"/>
      <c r="N37" s="218"/>
      <c r="O37" s="5"/>
    </row>
    <row r="38" spans="1:15" x14ac:dyDescent="0.2">
      <c r="A38" s="37" t="s">
        <v>516</v>
      </c>
      <c r="O38" s="68"/>
    </row>
    <row r="39" spans="1:15" ht="14.25" x14ac:dyDescent="0.2">
      <c r="A39" s="200" t="s">
        <v>380</v>
      </c>
      <c r="B39" s="314">
        <v>857</v>
      </c>
      <c r="C39" s="314">
        <v>7302</v>
      </c>
      <c r="D39" s="314">
        <v>48416</v>
      </c>
      <c r="E39" s="314">
        <v>501787</v>
      </c>
      <c r="F39" s="314">
        <v>520479</v>
      </c>
      <c r="G39" s="314">
        <v>521567</v>
      </c>
      <c r="H39" s="314">
        <v>1895546</v>
      </c>
      <c r="I39" s="314">
        <v>2152524</v>
      </c>
      <c r="J39" s="314">
        <v>4776233</v>
      </c>
      <c r="K39" s="314">
        <v>3032672</v>
      </c>
      <c r="L39" s="314">
        <v>9560835</v>
      </c>
      <c r="M39" s="311">
        <v>3495954</v>
      </c>
      <c r="N39" s="311">
        <v>19522264</v>
      </c>
      <c r="O39" s="310">
        <v>23018218</v>
      </c>
    </row>
    <row r="40" spans="1:15" x14ac:dyDescent="0.2">
      <c r="A40" s="68" t="s">
        <v>430</v>
      </c>
      <c r="B40" s="315">
        <v>14636</v>
      </c>
      <c r="C40" s="315">
        <v>82071</v>
      </c>
      <c r="D40" s="315">
        <v>540907</v>
      </c>
      <c r="E40" s="315">
        <v>3174205</v>
      </c>
      <c r="F40" s="315">
        <v>2158202</v>
      </c>
      <c r="G40" s="315">
        <v>1523844</v>
      </c>
      <c r="H40" s="315">
        <v>3249981</v>
      </c>
      <c r="I40" s="315">
        <v>3522107</v>
      </c>
      <c r="J40" s="315">
        <v>5972482</v>
      </c>
      <c r="K40" s="315">
        <v>3051518</v>
      </c>
      <c r="L40" s="315">
        <v>791736</v>
      </c>
      <c r="M40" s="316">
        <v>10743846</v>
      </c>
      <c r="N40" s="316">
        <v>13337843</v>
      </c>
      <c r="O40" s="317">
        <v>24081689</v>
      </c>
    </row>
    <row r="41" spans="1:15" x14ac:dyDescent="0.2">
      <c r="A41" s="210" t="s">
        <v>154</v>
      </c>
      <c r="B41" s="314">
        <v>145526</v>
      </c>
      <c r="C41" s="314">
        <v>541295</v>
      </c>
      <c r="D41" s="314">
        <v>2054577</v>
      </c>
      <c r="E41" s="314">
        <v>6561600</v>
      </c>
      <c r="F41" s="314">
        <v>3050888</v>
      </c>
      <c r="G41" s="314">
        <v>1900346</v>
      </c>
      <c r="H41" s="314">
        <v>3111498</v>
      </c>
      <c r="I41" s="314">
        <v>1760804</v>
      </c>
      <c r="J41" s="314">
        <v>209986</v>
      </c>
      <c r="K41" s="314">
        <v>50537</v>
      </c>
      <c r="L41" s="756" t="s">
        <v>102</v>
      </c>
      <c r="M41" s="311">
        <v>17365730</v>
      </c>
      <c r="N41" s="311">
        <v>2021327</v>
      </c>
      <c r="O41" s="310">
        <v>19387057</v>
      </c>
    </row>
    <row r="42" spans="1:15" x14ac:dyDescent="0.2">
      <c r="A42" s="68" t="s">
        <v>155</v>
      </c>
      <c r="B42" s="315">
        <v>52089</v>
      </c>
      <c r="C42" s="315">
        <v>160287</v>
      </c>
      <c r="D42" s="315">
        <v>437616</v>
      </c>
      <c r="E42" s="315">
        <v>868783</v>
      </c>
      <c r="F42" s="315">
        <v>292270</v>
      </c>
      <c r="G42" s="315">
        <v>201238</v>
      </c>
      <c r="H42" s="315">
        <v>267391</v>
      </c>
      <c r="I42" s="315">
        <v>110265</v>
      </c>
      <c r="J42" s="757" t="s">
        <v>102</v>
      </c>
      <c r="K42" s="757" t="s">
        <v>102</v>
      </c>
      <c r="L42" s="757" t="s">
        <v>102</v>
      </c>
      <c r="M42" s="316">
        <v>2279674</v>
      </c>
      <c r="N42" s="316">
        <v>110265</v>
      </c>
      <c r="O42" s="317">
        <v>2389939</v>
      </c>
    </row>
    <row r="43" spans="1:15" x14ac:dyDescent="0.2">
      <c r="A43" s="210" t="s">
        <v>273</v>
      </c>
      <c r="B43" s="756" t="s">
        <v>102</v>
      </c>
      <c r="C43" s="756" t="s">
        <v>102</v>
      </c>
      <c r="D43" s="320">
        <v>687</v>
      </c>
      <c r="E43" s="320">
        <v>853</v>
      </c>
      <c r="F43" s="756" t="s">
        <v>102</v>
      </c>
      <c r="G43" s="320" t="s">
        <v>102</v>
      </c>
      <c r="H43" s="990">
        <v>5017</v>
      </c>
      <c r="I43" s="756" t="s">
        <v>102</v>
      </c>
      <c r="J43" s="756" t="s">
        <v>102</v>
      </c>
      <c r="K43" s="756" t="s">
        <v>102</v>
      </c>
      <c r="L43" s="756" t="s">
        <v>102</v>
      </c>
      <c r="M43" s="322">
        <v>6557</v>
      </c>
      <c r="N43" s="840" t="s">
        <v>102</v>
      </c>
      <c r="O43" s="323">
        <v>6557</v>
      </c>
    </row>
    <row r="44" spans="1:15" x14ac:dyDescent="0.2">
      <c r="A44" s="110" t="s">
        <v>275</v>
      </c>
      <c r="B44" s="324">
        <f t="shared" ref="B44:O44" si="7">SUM(B39:B43)</f>
        <v>213108</v>
      </c>
      <c r="C44" s="324">
        <f t="shared" si="7"/>
        <v>790955</v>
      </c>
      <c r="D44" s="324">
        <f t="shared" si="7"/>
        <v>3082203</v>
      </c>
      <c r="E44" s="324">
        <f t="shared" si="7"/>
        <v>11107228</v>
      </c>
      <c r="F44" s="324">
        <f t="shared" si="7"/>
        <v>6021839</v>
      </c>
      <c r="G44" s="324">
        <f t="shared" si="7"/>
        <v>4146995</v>
      </c>
      <c r="H44" s="324">
        <f t="shared" si="7"/>
        <v>8529433</v>
      </c>
      <c r="I44" s="324">
        <f t="shared" si="7"/>
        <v>7545700</v>
      </c>
      <c r="J44" s="324">
        <f t="shared" si="7"/>
        <v>10958701</v>
      </c>
      <c r="K44" s="324">
        <f t="shared" si="7"/>
        <v>6134727</v>
      </c>
      <c r="L44" s="324">
        <f t="shared" si="7"/>
        <v>10352571</v>
      </c>
      <c r="M44" s="325">
        <f t="shared" si="7"/>
        <v>33891761</v>
      </c>
      <c r="N44" s="325">
        <f t="shared" si="7"/>
        <v>34991699</v>
      </c>
      <c r="O44" s="841">
        <f t="shared" si="7"/>
        <v>68883460</v>
      </c>
    </row>
    <row r="45" spans="1:15" x14ac:dyDescent="0.2">
      <c r="A45" s="182" t="s">
        <v>428</v>
      </c>
      <c r="B45" s="326"/>
      <c r="C45" s="326"/>
      <c r="D45" s="326"/>
      <c r="E45" s="326"/>
      <c r="F45" s="326"/>
      <c r="G45" s="326"/>
      <c r="H45" s="326"/>
      <c r="I45" s="326"/>
      <c r="J45" s="326"/>
      <c r="K45" s="326"/>
      <c r="L45" s="326"/>
      <c r="M45" s="327"/>
      <c r="N45" s="327"/>
      <c r="O45" s="328"/>
    </row>
    <row r="46" spans="1:15" ht="14.25" x14ac:dyDescent="0.2">
      <c r="A46" s="200" t="s">
        <v>380</v>
      </c>
      <c r="B46" s="329">
        <f>B39/B$44</f>
        <v>4.021435140867541E-3</v>
      </c>
      <c r="C46" s="329">
        <f t="shared" ref="C46:O46" si="8">C39/C$44</f>
        <v>9.2318779197299462E-3</v>
      </c>
      <c r="D46" s="329">
        <f t="shared" si="8"/>
        <v>1.570824504421026E-2</v>
      </c>
      <c r="E46" s="329">
        <f t="shared" si="8"/>
        <v>4.5176618324572072E-2</v>
      </c>
      <c r="F46" s="329">
        <f t="shared" si="8"/>
        <v>8.6431902281014161E-2</v>
      </c>
      <c r="G46" s="330">
        <f t="shared" si="8"/>
        <v>0.12576986468515153</v>
      </c>
      <c r="H46" s="329">
        <f t="shared" si="8"/>
        <v>0.22223587429551295</v>
      </c>
      <c r="I46" s="329">
        <f t="shared" si="8"/>
        <v>0.28526498535589806</v>
      </c>
      <c r="J46" s="329">
        <f t="shared" si="8"/>
        <v>0.43583933898734895</v>
      </c>
      <c r="K46" s="329">
        <f t="shared" si="8"/>
        <v>0.4943450621356093</v>
      </c>
      <c r="L46" s="329">
        <f t="shared" si="8"/>
        <v>0.92352276550433698</v>
      </c>
      <c r="M46" s="331">
        <f t="shared" si="8"/>
        <v>0.10315055626646252</v>
      </c>
      <c r="N46" s="331">
        <f t="shared" si="8"/>
        <v>0.5579112920467223</v>
      </c>
      <c r="O46" s="332">
        <f t="shared" si="8"/>
        <v>0.33416175668295406</v>
      </c>
    </row>
    <row r="47" spans="1:15" x14ac:dyDescent="0.2">
      <c r="A47" s="68" t="s">
        <v>430</v>
      </c>
      <c r="B47" s="333">
        <f t="shared" ref="B47:O48" si="9">B40/B$44</f>
        <v>6.867879197402256E-2</v>
      </c>
      <c r="C47" s="333">
        <f t="shared" si="9"/>
        <v>0.10376190807315208</v>
      </c>
      <c r="D47" s="333">
        <f t="shared" si="9"/>
        <v>0.17549363231428949</v>
      </c>
      <c r="E47" s="333">
        <f t="shared" si="9"/>
        <v>0.28577832380860463</v>
      </c>
      <c r="F47" s="333">
        <f t="shared" si="9"/>
        <v>0.35839583223663068</v>
      </c>
      <c r="G47" s="333">
        <f t="shared" si="9"/>
        <v>0.36745739987629594</v>
      </c>
      <c r="H47" s="333">
        <f t="shared" si="9"/>
        <v>0.3810313065358506</v>
      </c>
      <c r="I47" s="333">
        <f t="shared" si="9"/>
        <v>0.46677008097326955</v>
      </c>
      <c r="J47" s="333">
        <f t="shared" si="9"/>
        <v>0.54499908337676151</v>
      </c>
      <c r="K47" s="333">
        <f t="shared" si="9"/>
        <v>0.49741708147730129</v>
      </c>
      <c r="L47" s="333">
        <f t="shared" si="9"/>
        <v>7.647723449566296E-2</v>
      </c>
      <c r="M47" s="334">
        <f t="shared" si="9"/>
        <v>0.31700465490713214</v>
      </c>
      <c r="N47" s="334">
        <f t="shared" si="9"/>
        <v>0.3811716315918241</v>
      </c>
      <c r="O47" s="335">
        <f t="shared" si="9"/>
        <v>0.34960045561009856</v>
      </c>
    </row>
    <row r="48" spans="1:15" x14ac:dyDescent="0.2">
      <c r="A48" s="200" t="s">
        <v>154</v>
      </c>
      <c r="B48" s="329">
        <f t="shared" ref="B48:O48" si="10">B41/B$44</f>
        <v>0.68287441109672087</v>
      </c>
      <c r="C48" s="329">
        <f t="shared" si="10"/>
        <v>0.68435625288417168</v>
      </c>
      <c r="D48" s="329">
        <f t="shared" si="10"/>
        <v>0.66659366693238575</v>
      </c>
      <c r="E48" s="329">
        <f t="shared" si="10"/>
        <v>0.59075045546917737</v>
      </c>
      <c r="F48" s="329">
        <f t="shared" si="10"/>
        <v>0.50663725815319871</v>
      </c>
      <c r="G48" s="330">
        <f t="shared" si="10"/>
        <v>0.45824651343924938</v>
      </c>
      <c r="H48" s="329">
        <f t="shared" si="10"/>
        <v>0.36479540902660235</v>
      </c>
      <c r="I48" s="329">
        <f t="shared" si="10"/>
        <v>0.23335197529718912</v>
      </c>
      <c r="J48" s="329">
        <f t="shared" si="10"/>
        <v>1.916157763588951E-2</v>
      </c>
      <c r="K48" s="997">
        <f t="shared" si="9"/>
        <v>8.2378563870894334E-3</v>
      </c>
      <c r="L48" s="318" t="s">
        <v>102</v>
      </c>
      <c r="M48" s="331">
        <f t="shared" si="10"/>
        <v>0.5123879517502794</v>
      </c>
      <c r="N48" s="331">
        <f t="shared" si="10"/>
        <v>5.7765900421125595E-2</v>
      </c>
      <c r="O48" s="332">
        <f t="shared" si="10"/>
        <v>0.28144720082295516</v>
      </c>
    </row>
    <row r="49" spans="1:15" x14ac:dyDescent="0.2">
      <c r="A49" s="68" t="s">
        <v>155</v>
      </c>
      <c r="B49" s="333">
        <f t="shared" ref="B49:O51" si="11">B42/B$44</f>
        <v>0.24442536178838897</v>
      </c>
      <c r="C49" s="333">
        <f t="shared" si="11"/>
        <v>0.20264996112294631</v>
      </c>
      <c r="D49" s="333">
        <f t="shared" si="11"/>
        <v>0.14198156318711</v>
      </c>
      <c r="E49" s="333">
        <f t="shared" si="11"/>
        <v>7.8217805558686654E-2</v>
      </c>
      <c r="F49" s="333">
        <f t="shared" si="11"/>
        <v>4.8535007329156422E-2</v>
      </c>
      <c r="G49" s="333">
        <f t="shared" si="11"/>
        <v>4.8526221999303107E-2</v>
      </c>
      <c r="H49" s="333">
        <f t="shared" si="11"/>
        <v>3.134921160644559E-2</v>
      </c>
      <c r="I49" s="333">
        <f t="shared" si="11"/>
        <v>1.4612958373643266E-2</v>
      </c>
      <c r="J49" s="757" t="s">
        <v>102</v>
      </c>
      <c r="K49" s="319" t="s">
        <v>102</v>
      </c>
      <c r="L49" s="319" t="s">
        <v>102</v>
      </c>
      <c r="M49" s="334">
        <f t="shared" si="11"/>
        <v>6.7263368226867876E-2</v>
      </c>
      <c r="N49" s="334">
        <f t="shared" si="11"/>
        <v>3.151175940328019E-3</v>
      </c>
      <c r="O49" s="335">
        <f t="shared" si="11"/>
        <v>3.4695397124360476E-2</v>
      </c>
    </row>
    <row r="50" spans="1:15" x14ac:dyDescent="0.2">
      <c r="A50" s="210" t="s">
        <v>273</v>
      </c>
      <c r="B50" s="756" t="s">
        <v>102</v>
      </c>
      <c r="C50" s="756" t="s">
        <v>102</v>
      </c>
      <c r="D50" s="330">
        <f t="shared" ref="D50:O50" si="12">D43/D$44</f>
        <v>2.2289252200455322E-4</v>
      </c>
      <c r="E50" s="330">
        <f t="shared" si="12"/>
        <v>7.679683895927949E-5</v>
      </c>
      <c r="F50" s="756" t="s">
        <v>102</v>
      </c>
      <c r="G50" s="756" t="s">
        <v>102</v>
      </c>
      <c r="H50" s="330">
        <f t="shared" si="12"/>
        <v>5.8819853558847348E-4</v>
      </c>
      <c r="I50" s="756" t="s">
        <v>102</v>
      </c>
      <c r="J50" s="756" t="s">
        <v>102</v>
      </c>
      <c r="K50" s="756" t="s">
        <v>102</v>
      </c>
      <c r="L50" s="318" t="s">
        <v>102</v>
      </c>
      <c r="M50" s="336">
        <f t="shared" si="12"/>
        <v>1.934688492580837E-4</v>
      </c>
      <c r="N50" s="840" t="s">
        <v>102</v>
      </c>
      <c r="O50" s="337">
        <f t="shared" si="12"/>
        <v>9.5189759631702592E-5</v>
      </c>
    </row>
    <row r="51" spans="1:15" x14ac:dyDescent="0.2">
      <c r="A51" s="279" t="s">
        <v>274</v>
      </c>
      <c r="B51" s="338">
        <f t="shared" si="11"/>
        <v>1</v>
      </c>
      <c r="C51" s="338">
        <f t="shared" si="11"/>
        <v>1</v>
      </c>
      <c r="D51" s="338">
        <f t="shared" si="11"/>
        <v>1</v>
      </c>
      <c r="E51" s="338">
        <f t="shared" si="11"/>
        <v>1</v>
      </c>
      <c r="F51" s="338">
        <f t="shared" si="11"/>
        <v>1</v>
      </c>
      <c r="G51" s="338">
        <f t="shared" si="11"/>
        <v>1</v>
      </c>
      <c r="H51" s="338">
        <f t="shared" si="11"/>
        <v>1</v>
      </c>
      <c r="I51" s="338">
        <f t="shared" si="11"/>
        <v>1</v>
      </c>
      <c r="J51" s="338">
        <f t="shared" si="11"/>
        <v>1</v>
      </c>
      <c r="K51" s="338">
        <f t="shared" si="11"/>
        <v>1</v>
      </c>
      <c r="L51" s="338">
        <f t="shared" si="11"/>
        <v>1</v>
      </c>
      <c r="M51" s="339">
        <f t="shared" si="11"/>
        <v>1</v>
      </c>
      <c r="N51" s="339">
        <f t="shared" si="11"/>
        <v>1</v>
      </c>
      <c r="O51" s="842">
        <f t="shared" si="11"/>
        <v>1</v>
      </c>
    </row>
    <row r="52" spans="1:15" x14ac:dyDescent="0.2">
      <c r="A52" s="9" t="s">
        <v>432</v>
      </c>
    </row>
    <row r="53" spans="1:15" x14ac:dyDescent="0.2">
      <c r="A53" s="17" t="s">
        <v>78</v>
      </c>
    </row>
    <row r="54" spans="1:15" x14ac:dyDescent="0.2">
      <c r="A54" s="17" t="s">
        <v>433</v>
      </c>
    </row>
    <row r="55" spans="1:15" x14ac:dyDescent="0.2">
      <c r="A55" s="17" t="s">
        <v>431</v>
      </c>
    </row>
    <row r="56" spans="1:15" x14ac:dyDescent="0.2">
      <c r="A56" s="9" t="s">
        <v>959</v>
      </c>
    </row>
    <row r="57" spans="1:15" s="16" customFormat="1" ht="11.25" x14ac:dyDescent="0.2">
      <c r="A57" s="193" t="s">
        <v>869</v>
      </c>
      <c r="B57" s="224"/>
      <c r="C57" s="224"/>
      <c r="D57" s="224"/>
      <c r="G57" s="185"/>
      <c r="J57" s="185"/>
    </row>
  </sheetData>
  <phoneticPr fontId="2" type="noConversion"/>
  <pageMargins left="0.59055118110236227" right="0.59055118110236227" top="0.78740157480314965" bottom="0.78740157480314965" header="0.39370078740157483" footer="0.39370078740157483"/>
  <pageSetup paperSize="9" scale="61" firstPageNumber="6" orientation="landscape" useFirstPageNumber="1" r:id="rId1"/>
  <headerFooter alignWithMargins="0">
    <oddHeader>&amp;R&amp;12Les finances des communes en 2024</oddHeader>
    <oddFooter>&amp;L&amp;12Direction Générale des Collectivités Locales / DESL&amp;C&amp;12 6&amp;R&amp;12Mise en ligne : janvier 2026</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Q85"/>
  <sheetViews>
    <sheetView view="pageBreakPreview" zoomScale="70" zoomScaleNormal="100" zoomScaleSheetLayoutView="70" zoomScalePageLayoutView="85" workbookViewId="0">
      <selection activeCell="C8" sqref="C8"/>
    </sheetView>
  </sheetViews>
  <sheetFormatPr baseColWidth="10" defaultRowHeight="12.75" x14ac:dyDescent="0.2"/>
  <cols>
    <col min="1" max="1" width="57.140625" customWidth="1"/>
    <col min="2" max="14" width="12.28515625" customWidth="1"/>
    <col min="15" max="15" width="13.7109375" customWidth="1"/>
    <col min="16" max="16" width="8.5703125" customWidth="1"/>
  </cols>
  <sheetData>
    <row r="1" spans="1:15" ht="18" customHeight="1" x14ac:dyDescent="0.25">
      <c r="A1" s="10" t="s">
        <v>874</v>
      </c>
    </row>
    <row r="2" spans="1:15" x14ac:dyDescent="0.2">
      <c r="N2" s="226"/>
    </row>
    <row r="3" spans="1:15" ht="12.75" customHeight="1" x14ac:dyDescent="0.2">
      <c r="A3" s="1"/>
      <c r="B3" s="1"/>
      <c r="C3" s="1"/>
      <c r="D3" s="1"/>
      <c r="E3" s="1"/>
      <c r="F3" s="1"/>
      <c r="G3" s="1"/>
      <c r="H3" s="1"/>
      <c r="I3" s="1"/>
      <c r="J3" s="1"/>
      <c r="K3" s="1"/>
      <c r="L3" s="1"/>
      <c r="M3" s="1"/>
      <c r="N3" s="1"/>
      <c r="O3" s="2"/>
    </row>
    <row r="4" spans="1:15" x14ac:dyDescent="0.2">
      <c r="A4" s="3"/>
      <c r="B4" s="11" t="s">
        <v>35</v>
      </c>
      <c r="C4" s="11" t="s">
        <v>121</v>
      </c>
      <c r="D4" s="11" t="s">
        <v>123</v>
      </c>
      <c r="E4" s="11" t="s">
        <v>36</v>
      </c>
      <c r="F4" s="11" t="s">
        <v>37</v>
      </c>
      <c r="G4" s="11" t="s">
        <v>38</v>
      </c>
      <c r="H4" s="11" t="s">
        <v>39</v>
      </c>
      <c r="I4" s="11" t="s">
        <v>125</v>
      </c>
      <c r="J4" s="11" t="s">
        <v>126</v>
      </c>
      <c r="K4" s="11" t="s">
        <v>127</v>
      </c>
      <c r="L4" s="209">
        <v>100000</v>
      </c>
      <c r="M4" s="201" t="s">
        <v>228</v>
      </c>
      <c r="N4" s="201" t="s">
        <v>228</v>
      </c>
      <c r="O4" s="204" t="s">
        <v>77</v>
      </c>
    </row>
    <row r="5" spans="1:15" x14ac:dyDescent="0.2">
      <c r="A5" s="208" t="s">
        <v>147</v>
      </c>
      <c r="B5" s="11" t="s">
        <v>120</v>
      </c>
      <c r="C5" s="11" t="s">
        <v>40</v>
      </c>
      <c r="D5" s="11" t="s">
        <v>40</v>
      </c>
      <c r="E5" s="11" t="s">
        <v>40</v>
      </c>
      <c r="F5" s="11" t="s">
        <v>40</v>
      </c>
      <c r="G5" s="11" t="s">
        <v>40</v>
      </c>
      <c r="H5" s="11" t="s">
        <v>40</v>
      </c>
      <c r="I5" s="11" t="s">
        <v>40</v>
      </c>
      <c r="J5" s="11" t="s">
        <v>40</v>
      </c>
      <c r="K5" s="11" t="s">
        <v>40</v>
      </c>
      <c r="L5" s="11" t="s">
        <v>43</v>
      </c>
      <c r="M5" s="201" t="s">
        <v>230</v>
      </c>
      <c r="N5" s="201" t="s">
        <v>381</v>
      </c>
      <c r="O5" s="204" t="s">
        <v>137</v>
      </c>
    </row>
    <row r="6" spans="1:15" x14ac:dyDescent="0.2">
      <c r="A6" s="3"/>
      <c r="B6" s="11" t="s">
        <v>43</v>
      </c>
      <c r="C6" s="11" t="s">
        <v>122</v>
      </c>
      <c r="D6" s="11" t="s">
        <v>124</v>
      </c>
      <c r="E6" s="11" t="s">
        <v>44</v>
      </c>
      <c r="F6" s="11" t="s">
        <v>45</v>
      </c>
      <c r="G6" s="11" t="s">
        <v>46</v>
      </c>
      <c r="H6" s="11" t="s">
        <v>42</v>
      </c>
      <c r="I6" s="11" t="s">
        <v>128</v>
      </c>
      <c r="J6" s="11" t="s">
        <v>129</v>
      </c>
      <c r="K6" s="11" t="s">
        <v>130</v>
      </c>
      <c r="L6" s="11" t="s">
        <v>131</v>
      </c>
      <c r="M6" s="201" t="s">
        <v>138</v>
      </c>
      <c r="N6" s="201" t="s">
        <v>131</v>
      </c>
      <c r="O6" s="204" t="s">
        <v>41</v>
      </c>
    </row>
    <row r="7" spans="1:15" ht="14.25" x14ac:dyDescent="0.2">
      <c r="A7" s="225" t="s">
        <v>612</v>
      </c>
      <c r="B7" s="4"/>
      <c r="C7" s="4"/>
      <c r="D7" s="4"/>
      <c r="E7" s="4"/>
      <c r="F7" s="4"/>
      <c r="G7" s="4"/>
      <c r="H7" s="4"/>
      <c r="I7" s="4"/>
      <c r="J7" s="4"/>
      <c r="K7" s="4"/>
      <c r="L7" s="4"/>
      <c r="M7" s="4"/>
      <c r="N7" s="4"/>
      <c r="O7" s="5"/>
    </row>
    <row r="8" spans="1:15" ht="14.25" x14ac:dyDescent="0.2">
      <c r="A8" s="59" t="s">
        <v>434</v>
      </c>
      <c r="O8" s="68"/>
    </row>
    <row r="9" spans="1:15" ht="12.75" customHeight="1" x14ac:dyDescent="0.2">
      <c r="A9" s="200" t="s">
        <v>389</v>
      </c>
      <c r="B9" s="314">
        <v>3</v>
      </c>
      <c r="C9" s="314">
        <v>18</v>
      </c>
      <c r="D9" s="314">
        <v>33</v>
      </c>
      <c r="E9" s="314">
        <v>160</v>
      </c>
      <c r="F9" s="314">
        <v>116</v>
      </c>
      <c r="G9" s="314">
        <v>74</v>
      </c>
      <c r="H9" s="314">
        <v>71</v>
      </c>
      <c r="I9" s="314">
        <v>37</v>
      </c>
      <c r="J9" s="314">
        <v>17</v>
      </c>
      <c r="K9" s="314">
        <v>3</v>
      </c>
      <c r="L9" s="314" t="s">
        <v>102</v>
      </c>
      <c r="M9" s="311">
        <v>475</v>
      </c>
      <c r="N9" s="311">
        <v>57</v>
      </c>
      <c r="O9" s="310">
        <v>532</v>
      </c>
    </row>
    <row r="10" spans="1:15" x14ac:dyDescent="0.2">
      <c r="A10" s="68" t="s">
        <v>390</v>
      </c>
      <c r="B10" s="315">
        <v>10</v>
      </c>
      <c r="C10" s="315">
        <v>21</v>
      </c>
      <c r="D10" s="315">
        <v>77</v>
      </c>
      <c r="E10" s="315">
        <v>139</v>
      </c>
      <c r="F10" s="315">
        <v>27</v>
      </c>
      <c r="G10" s="315">
        <v>14</v>
      </c>
      <c r="H10" s="315">
        <v>7</v>
      </c>
      <c r="I10" s="315">
        <v>4</v>
      </c>
      <c r="J10" s="319" t="s">
        <v>102</v>
      </c>
      <c r="K10" s="319" t="s">
        <v>102</v>
      </c>
      <c r="L10" s="319" t="s">
        <v>102</v>
      </c>
      <c r="M10" s="316">
        <v>295</v>
      </c>
      <c r="N10" s="316">
        <v>4</v>
      </c>
      <c r="O10" s="317">
        <v>299</v>
      </c>
    </row>
    <row r="11" spans="1:15" x14ac:dyDescent="0.2">
      <c r="A11" s="6" t="s">
        <v>148</v>
      </c>
      <c r="B11" s="314">
        <v>145</v>
      </c>
      <c r="C11" s="314">
        <v>141</v>
      </c>
      <c r="D11" s="314">
        <v>232</v>
      </c>
      <c r="E11" s="314">
        <v>258</v>
      </c>
      <c r="F11" s="314">
        <v>51</v>
      </c>
      <c r="G11" s="314">
        <v>17</v>
      </c>
      <c r="H11" s="314">
        <v>10</v>
      </c>
      <c r="I11" s="314">
        <v>1</v>
      </c>
      <c r="J11" s="314">
        <v>1</v>
      </c>
      <c r="K11" s="318" t="s">
        <v>102</v>
      </c>
      <c r="L11" s="318" t="s">
        <v>102</v>
      </c>
      <c r="M11" s="311">
        <v>854</v>
      </c>
      <c r="N11" s="311">
        <v>2</v>
      </c>
      <c r="O11" s="310">
        <v>856</v>
      </c>
    </row>
    <row r="12" spans="1:15" x14ac:dyDescent="0.2">
      <c r="A12" t="s">
        <v>149</v>
      </c>
      <c r="B12" s="315">
        <v>6</v>
      </c>
      <c r="C12" s="315">
        <v>23</v>
      </c>
      <c r="D12" s="315">
        <v>66</v>
      </c>
      <c r="E12" s="315">
        <v>194</v>
      </c>
      <c r="F12" s="315">
        <v>72</v>
      </c>
      <c r="G12" s="315">
        <v>29</v>
      </c>
      <c r="H12" s="315">
        <v>32</v>
      </c>
      <c r="I12" s="315">
        <v>12</v>
      </c>
      <c r="J12" s="315">
        <v>3</v>
      </c>
      <c r="K12" s="319" t="s">
        <v>102</v>
      </c>
      <c r="L12" s="319" t="s">
        <v>102</v>
      </c>
      <c r="M12" s="316">
        <v>422</v>
      </c>
      <c r="N12" s="316">
        <v>15</v>
      </c>
      <c r="O12" s="317">
        <v>437</v>
      </c>
    </row>
    <row r="13" spans="1:15" ht="14.25" x14ac:dyDescent="0.2">
      <c r="A13" s="457" t="s">
        <v>355</v>
      </c>
      <c r="B13" s="356">
        <f t="shared" ref="B13:K13" si="0">SUM(B9:B12)</f>
        <v>164</v>
      </c>
      <c r="C13" s="356">
        <f t="shared" si="0"/>
        <v>203</v>
      </c>
      <c r="D13" s="356">
        <f t="shared" si="0"/>
        <v>408</v>
      </c>
      <c r="E13" s="356">
        <f t="shared" si="0"/>
        <v>751</v>
      </c>
      <c r="F13" s="356">
        <f t="shared" si="0"/>
        <v>266</v>
      </c>
      <c r="G13" s="356">
        <f t="shared" si="0"/>
        <v>134</v>
      </c>
      <c r="H13" s="356">
        <f t="shared" si="0"/>
        <v>120</v>
      </c>
      <c r="I13" s="356">
        <f t="shared" si="0"/>
        <v>54</v>
      </c>
      <c r="J13" s="356">
        <f t="shared" si="0"/>
        <v>21</v>
      </c>
      <c r="K13" s="356">
        <f t="shared" si="0"/>
        <v>3</v>
      </c>
      <c r="L13" s="348" t="s">
        <v>102</v>
      </c>
      <c r="M13" s="357">
        <f>SUM(M9:M12)</f>
        <v>2046</v>
      </c>
      <c r="N13" s="357">
        <f>SUM(N9:N12)</f>
        <v>78</v>
      </c>
      <c r="O13" s="358">
        <f>SUM(O9:O12)</f>
        <v>2124</v>
      </c>
    </row>
    <row r="14" spans="1:15" ht="12.75" customHeight="1" x14ac:dyDescent="0.2">
      <c r="A14" s="59" t="s">
        <v>435</v>
      </c>
      <c r="B14" s="341"/>
      <c r="C14" s="341"/>
      <c r="D14" s="341"/>
      <c r="E14" s="341"/>
      <c r="F14" s="341"/>
      <c r="G14" s="341"/>
      <c r="H14" s="341"/>
      <c r="I14" s="341"/>
      <c r="J14" s="341"/>
      <c r="K14" s="341"/>
      <c r="L14" s="341"/>
      <c r="M14" s="346"/>
      <c r="N14" s="346"/>
      <c r="O14" s="347"/>
    </row>
    <row r="15" spans="1:15" x14ac:dyDescent="0.2">
      <c r="A15" s="200" t="s">
        <v>150</v>
      </c>
      <c r="B15" s="314">
        <v>889</v>
      </c>
      <c r="C15" s="314">
        <v>963</v>
      </c>
      <c r="D15" s="314">
        <v>1332</v>
      </c>
      <c r="E15" s="314">
        <v>1222</v>
      </c>
      <c r="F15" s="314">
        <v>169</v>
      </c>
      <c r="G15" s="314">
        <v>69</v>
      </c>
      <c r="H15" s="314">
        <v>107</v>
      </c>
      <c r="I15" s="314">
        <v>44</v>
      </c>
      <c r="J15" s="314">
        <v>18</v>
      </c>
      <c r="K15" s="314">
        <v>6</v>
      </c>
      <c r="L15" s="365">
        <v>4</v>
      </c>
      <c r="M15" s="311">
        <v>4751</v>
      </c>
      <c r="N15" s="311">
        <v>72</v>
      </c>
      <c r="O15" s="310">
        <v>4823</v>
      </c>
    </row>
    <row r="16" spans="1:15" x14ac:dyDescent="0.2">
      <c r="A16" s="68" t="s">
        <v>151</v>
      </c>
      <c r="B16" s="315">
        <v>2232</v>
      </c>
      <c r="C16" s="315">
        <v>4197</v>
      </c>
      <c r="D16" s="315">
        <v>7726</v>
      </c>
      <c r="E16" s="315">
        <v>9280</v>
      </c>
      <c r="F16" s="315">
        <v>1863</v>
      </c>
      <c r="G16" s="315">
        <v>793</v>
      </c>
      <c r="H16" s="315">
        <v>1000</v>
      </c>
      <c r="I16" s="315">
        <v>455</v>
      </c>
      <c r="J16" s="315">
        <v>322</v>
      </c>
      <c r="K16" s="315">
        <v>82</v>
      </c>
      <c r="L16" s="315">
        <v>38</v>
      </c>
      <c r="M16" s="316">
        <v>27091</v>
      </c>
      <c r="N16" s="316">
        <v>897</v>
      </c>
      <c r="O16" s="317">
        <v>27988</v>
      </c>
    </row>
    <row r="17" spans="1:17" x14ac:dyDescent="0.2">
      <c r="A17" s="207" t="s">
        <v>436</v>
      </c>
      <c r="B17" s="340">
        <f t="shared" ref="B17:O17" si="1">SUM(B15:B16)</f>
        <v>3121</v>
      </c>
      <c r="C17" s="340">
        <f t="shared" si="1"/>
        <v>5160</v>
      </c>
      <c r="D17" s="340">
        <f t="shared" si="1"/>
        <v>9058</v>
      </c>
      <c r="E17" s="340">
        <f t="shared" si="1"/>
        <v>10502</v>
      </c>
      <c r="F17" s="340">
        <f t="shared" si="1"/>
        <v>2032</v>
      </c>
      <c r="G17" s="340">
        <f t="shared" si="1"/>
        <v>862</v>
      </c>
      <c r="H17" s="340">
        <f t="shared" si="1"/>
        <v>1107</v>
      </c>
      <c r="I17" s="340">
        <f t="shared" si="1"/>
        <v>499</v>
      </c>
      <c r="J17" s="340">
        <f t="shared" si="1"/>
        <v>340</v>
      </c>
      <c r="K17" s="340">
        <f t="shared" si="1"/>
        <v>88</v>
      </c>
      <c r="L17" s="318">
        <f t="shared" si="1"/>
        <v>42</v>
      </c>
      <c r="M17" s="345">
        <f t="shared" si="1"/>
        <v>31842</v>
      </c>
      <c r="N17" s="345">
        <f t="shared" si="1"/>
        <v>969</v>
      </c>
      <c r="O17" s="323">
        <f t="shared" si="1"/>
        <v>32811</v>
      </c>
      <c r="P17" s="14"/>
      <c r="Q17" s="14"/>
    </row>
    <row r="18" spans="1:17" ht="14.25" x14ac:dyDescent="0.2">
      <c r="A18" s="211" t="s">
        <v>356</v>
      </c>
      <c r="B18" s="326"/>
      <c r="C18" s="326"/>
      <c r="D18" s="326"/>
      <c r="E18" s="326"/>
      <c r="F18" s="326"/>
      <c r="G18" s="326"/>
      <c r="H18" s="326"/>
      <c r="I18" s="326"/>
      <c r="J18" s="326"/>
      <c r="K18" s="326"/>
      <c r="L18" s="326"/>
      <c r="M18" s="327"/>
      <c r="N18" s="327"/>
      <c r="O18" s="328"/>
    </row>
    <row r="19" spans="1:17" x14ac:dyDescent="0.2">
      <c r="A19" s="200" t="s">
        <v>389</v>
      </c>
      <c r="B19" s="329">
        <f>B9/B$13</f>
        <v>1.8292682926829267E-2</v>
      </c>
      <c r="C19" s="329">
        <f t="shared" ref="C19:O19" si="2">C9/C$13</f>
        <v>8.8669950738916259E-2</v>
      </c>
      <c r="D19" s="329">
        <f t="shared" si="2"/>
        <v>8.0882352941176475E-2</v>
      </c>
      <c r="E19" s="329">
        <f t="shared" si="2"/>
        <v>0.21304926764314247</v>
      </c>
      <c r="F19" s="329">
        <f t="shared" si="2"/>
        <v>0.43609022556390975</v>
      </c>
      <c r="G19" s="330">
        <f t="shared" si="2"/>
        <v>0.55223880597014929</v>
      </c>
      <c r="H19" s="329">
        <f t="shared" si="2"/>
        <v>0.59166666666666667</v>
      </c>
      <c r="I19" s="329">
        <f t="shared" si="2"/>
        <v>0.68518518518518523</v>
      </c>
      <c r="J19" s="329">
        <f t="shared" si="2"/>
        <v>0.80952380952380953</v>
      </c>
      <c r="K19" s="329">
        <f t="shared" si="2"/>
        <v>1</v>
      </c>
      <c r="L19" s="314" t="s">
        <v>102</v>
      </c>
      <c r="M19" s="331">
        <f t="shared" si="2"/>
        <v>0.23216031280547408</v>
      </c>
      <c r="N19" s="331">
        <f t="shared" si="2"/>
        <v>0.73076923076923073</v>
      </c>
      <c r="O19" s="332">
        <f t="shared" si="2"/>
        <v>0.2504708097928437</v>
      </c>
    </row>
    <row r="20" spans="1:17" x14ac:dyDescent="0.2">
      <c r="A20" s="68" t="s">
        <v>390</v>
      </c>
      <c r="B20" s="333">
        <f t="shared" ref="B20:O20" si="3">B10/B$13</f>
        <v>6.097560975609756E-2</v>
      </c>
      <c r="C20" s="333">
        <f t="shared" si="3"/>
        <v>0.10344827586206896</v>
      </c>
      <c r="D20" s="333">
        <f t="shared" si="3"/>
        <v>0.18872549019607843</v>
      </c>
      <c r="E20" s="333">
        <f t="shared" si="3"/>
        <v>0.18508655126498003</v>
      </c>
      <c r="F20" s="333">
        <f t="shared" si="3"/>
        <v>0.10150375939849623</v>
      </c>
      <c r="G20" s="333">
        <f t="shared" si="3"/>
        <v>0.1044776119402985</v>
      </c>
      <c r="H20" s="333">
        <f t="shared" si="3"/>
        <v>5.8333333333333334E-2</v>
      </c>
      <c r="I20" s="333">
        <f t="shared" si="3"/>
        <v>7.407407407407407E-2</v>
      </c>
      <c r="J20" s="319" t="s">
        <v>102</v>
      </c>
      <c r="K20" s="319" t="s">
        <v>102</v>
      </c>
      <c r="L20" s="319" t="s">
        <v>102</v>
      </c>
      <c r="M20" s="334">
        <f t="shared" si="3"/>
        <v>0.14418377321603129</v>
      </c>
      <c r="N20" s="334">
        <f t="shared" si="3"/>
        <v>5.128205128205128E-2</v>
      </c>
      <c r="O20" s="335">
        <f t="shared" si="3"/>
        <v>0.14077212806026365</v>
      </c>
    </row>
    <row r="21" spans="1:17" x14ac:dyDescent="0.2">
      <c r="A21" s="6" t="s">
        <v>148</v>
      </c>
      <c r="B21" s="329">
        <f t="shared" ref="B21:O21" si="4">B11/B$13</f>
        <v>0.88414634146341464</v>
      </c>
      <c r="C21" s="329">
        <f t="shared" si="4"/>
        <v>0.69458128078817738</v>
      </c>
      <c r="D21" s="329">
        <f t="shared" si="4"/>
        <v>0.56862745098039214</v>
      </c>
      <c r="E21" s="329">
        <f t="shared" si="4"/>
        <v>0.34354194407456723</v>
      </c>
      <c r="F21" s="329">
        <f t="shared" si="4"/>
        <v>0.19172932330827067</v>
      </c>
      <c r="G21" s="330">
        <f t="shared" si="4"/>
        <v>0.12686567164179105</v>
      </c>
      <c r="H21" s="329">
        <f t="shared" si="4"/>
        <v>8.3333333333333329E-2</v>
      </c>
      <c r="I21" s="329">
        <f t="shared" si="4"/>
        <v>1.8518518518518517E-2</v>
      </c>
      <c r="J21" s="329">
        <f t="shared" si="4"/>
        <v>4.7619047619047616E-2</v>
      </c>
      <c r="K21" s="318" t="s">
        <v>102</v>
      </c>
      <c r="L21" s="318" t="s">
        <v>102</v>
      </c>
      <c r="M21" s="331">
        <f t="shared" si="4"/>
        <v>0.41739980449657871</v>
      </c>
      <c r="N21" s="331">
        <f t="shared" si="4"/>
        <v>2.564102564102564E-2</v>
      </c>
      <c r="O21" s="332">
        <f t="shared" si="4"/>
        <v>0.40301318267419961</v>
      </c>
    </row>
    <row r="22" spans="1:17" x14ac:dyDescent="0.2">
      <c r="A22" t="s">
        <v>149</v>
      </c>
      <c r="B22" s="333">
        <f t="shared" ref="B22:O22" si="5">B12/B$13</f>
        <v>3.6585365853658534E-2</v>
      </c>
      <c r="C22" s="333">
        <f t="shared" si="5"/>
        <v>0.11330049261083744</v>
      </c>
      <c r="D22" s="333">
        <f t="shared" si="5"/>
        <v>0.16176470588235295</v>
      </c>
      <c r="E22" s="333">
        <f t="shared" si="5"/>
        <v>0.25832223701731027</v>
      </c>
      <c r="F22" s="333">
        <f t="shared" si="5"/>
        <v>0.27067669172932329</v>
      </c>
      <c r="G22" s="333">
        <f t="shared" si="5"/>
        <v>0.21641791044776118</v>
      </c>
      <c r="H22" s="333">
        <f t="shared" si="5"/>
        <v>0.26666666666666666</v>
      </c>
      <c r="I22" s="333">
        <f t="shared" si="5"/>
        <v>0.22222222222222221</v>
      </c>
      <c r="J22" s="333">
        <f t="shared" si="5"/>
        <v>0.14285714285714285</v>
      </c>
      <c r="K22" s="319" t="s">
        <v>102</v>
      </c>
      <c r="L22" s="319" t="s">
        <v>102</v>
      </c>
      <c r="M22" s="334">
        <f t="shared" si="5"/>
        <v>0.20625610948191594</v>
      </c>
      <c r="N22" s="334">
        <f t="shared" si="5"/>
        <v>0.19230769230769232</v>
      </c>
      <c r="O22" s="335">
        <f t="shared" si="5"/>
        <v>0.20574387947269304</v>
      </c>
    </row>
    <row r="23" spans="1:17" ht="14.25" x14ac:dyDescent="0.2">
      <c r="A23" s="248" t="s">
        <v>437</v>
      </c>
      <c r="B23" s="342">
        <f t="shared" ref="B23:O23" si="6">B13/B$13</f>
        <v>1</v>
      </c>
      <c r="C23" s="342">
        <f t="shared" si="6"/>
        <v>1</v>
      </c>
      <c r="D23" s="342">
        <f t="shared" si="6"/>
        <v>1</v>
      </c>
      <c r="E23" s="342">
        <f t="shared" si="6"/>
        <v>1</v>
      </c>
      <c r="F23" s="342">
        <f t="shared" si="6"/>
        <v>1</v>
      </c>
      <c r="G23" s="342">
        <f t="shared" si="6"/>
        <v>1</v>
      </c>
      <c r="H23" s="342">
        <f t="shared" si="6"/>
        <v>1</v>
      </c>
      <c r="I23" s="342">
        <f t="shared" si="6"/>
        <v>1</v>
      </c>
      <c r="J23" s="342">
        <f t="shared" si="6"/>
        <v>1</v>
      </c>
      <c r="K23" s="342">
        <f t="shared" si="6"/>
        <v>1</v>
      </c>
      <c r="L23" s="318" t="s">
        <v>102</v>
      </c>
      <c r="M23" s="349">
        <f t="shared" si="6"/>
        <v>1</v>
      </c>
      <c r="N23" s="349">
        <f t="shared" si="6"/>
        <v>1</v>
      </c>
      <c r="O23" s="350">
        <f t="shared" si="6"/>
        <v>1</v>
      </c>
    </row>
    <row r="24" spans="1:17" x14ac:dyDescent="0.2">
      <c r="A24" s="211" t="s">
        <v>278</v>
      </c>
      <c r="B24" s="326"/>
      <c r="C24" s="326"/>
      <c r="D24" s="326"/>
      <c r="E24" s="326"/>
      <c r="F24" s="326"/>
      <c r="G24" s="326"/>
      <c r="H24" s="326"/>
      <c r="I24" s="326"/>
      <c r="J24" s="326"/>
      <c r="K24" s="326"/>
      <c r="L24" s="326"/>
      <c r="M24" s="327"/>
      <c r="N24" s="327"/>
      <c r="O24" s="328"/>
    </row>
    <row r="25" spans="1:17" x14ac:dyDescent="0.2">
      <c r="A25" s="200" t="s">
        <v>150</v>
      </c>
      <c r="B25" s="329">
        <f>B15/B$17</f>
        <v>0.28484460108939441</v>
      </c>
      <c r="C25" s="329">
        <f t="shared" ref="C25:O25" si="7">C15/C$17</f>
        <v>0.1866279069767442</v>
      </c>
      <c r="D25" s="329">
        <f t="shared" si="7"/>
        <v>0.14705232943254581</v>
      </c>
      <c r="E25" s="329">
        <f t="shared" si="7"/>
        <v>0.11635878880213292</v>
      </c>
      <c r="F25" s="329">
        <f t="shared" si="7"/>
        <v>8.3169291338582682E-2</v>
      </c>
      <c r="G25" s="329">
        <f t="shared" si="7"/>
        <v>8.0046403712296987E-2</v>
      </c>
      <c r="H25" s="329">
        <f t="shared" si="7"/>
        <v>9.66576332429991E-2</v>
      </c>
      <c r="I25" s="329">
        <f t="shared" si="7"/>
        <v>8.8176352705410826E-2</v>
      </c>
      <c r="J25" s="329">
        <f t="shared" si="7"/>
        <v>5.2941176470588235E-2</v>
      </c>
      <c r="K25" s="329">
        <f t="shared" si="7"/>
        <v>6.8181818181818177E-2</v>
      </c>
      <c r="L25" s="329">
        <f t="shared" si="7"/>
        <v>9.5238095238095233E-2</v>
      </c>
      <c r="M25" s="331">
        <f t="shared" si="7"/>
        <v>0.14920545191884932</v>
      </c>
      <c r="N25" s="331">
        <f t="shared" si="7"/>
        <v>7.4303405572755415E-2</v>
      </c>
      <c r="O25" s="332">
        <f t="shared" si="7"/>
        <v>0.14699338636432904</v>
      </c>
    </row>
    <row r="26" spans="1:17" x14ac:dyDescent="0.2">
      <c r="A26" s="68" t="s">
        <v>151</v>
      </c>
      <c r="B26" s="343">
        <f t="shared" ref="B26:O26" si="8">B16/B$17</f>
        <v>0.71515539891060553</v>
      </c>
      <c r="C26" s="343">
        <f t="shared" si="8"/>
        <v>0.81337209302325586</v>
      </c>
      <c r="D26" s="343">
        <f t="shared" si="8"/>
        <v>0.85294767056745413</v>
      </c>
      <c r="E26" s="343">
        <f t="shared" si="8"/>
        <v>0.88364121119786709</v>
      </c>
      <c r="F26" s="343">
        <f t="shared" si="8"/>
        <v>0.91683070866141736</v>
      </c>
      <c r="G26" s="343">
        <f t="shared" si="8"/>
        <v>0.91995359628770301</v>
      </c>
      <c r="H26" s="343">
        <f t="shared" si="8"/>
        <v>0.90334236675700086</v>
      </c>
      <c r="I26" s="343">
        <f t="shared" si="8"/>
        <v>0.9118236472945892</v>
      </c>
      <c r="J26" s="343">
        <f t="shared" si="8"/>
        <v>0.94705882352941173</v>
      </c>
      <c r="K26" s="343">
        <f t="shared" si="8"/>
        <v>0.93181818181818177</v>
      </c>
      <c r="L26" s="343">
        <f t="shared" si="8"/>
        <v>0.90476190476190477</v>
      </c>
      <c r="M26" s="351">
        <f t="shared" si="8"/>
        <v>0.85079454808115074</v>
      </c>
      <c r="N26" s="351">
        <f t="shared" si="8"/>
        <v>0.92569659442724461</v>
      </c>
      <c r="O26" s="352">
        <f t="shared" si="8"/>
        <v>0.85300661363567098</v>
      </c>
    </row>
    <row r="27" spans="1:17" x14ac:dyDescent="0.2">
      <c r="A27" s="457" t="s">
        <v>438</v>
      </c>
      <c r="B27" s="344">
        <f t="shared" ref="B27:O27" si="9">B17/B$17</f>
        <v>1</v>
      </c>
      <c r="C27" s="344">
        <f t="shared" si="9"/>
        <v>1</v>
      </c>
      <c r="D27" s="344">
        <f t="shared" si="9"/>
        <v>1</v>
      </c>
      <c r="E27" s="344">
        <f t="shared" si="9"/>
        <v>1</v>
      </c>
      <c r="F27" s="344">
        <f t="shared" si="9"/>
        <v>1</v>
      </c>
      <c r="G27" s="344">
        <f t="shared" si="9"/>
        <v>1</v>
      </c>
      <c r="H27" s="344">
        <f t="shared" si="9"/>
        <v>1</v>
      </c>
      <c r="I27" s="344">
        <f t="shared" si="9"/>
        <v>1</v>
      </c>
      <c r="J27" s="344">
        <f t="shared" si="9"/>
        <v>1</v>
      </c>
      <c r="K27" s="344">
        <f t="shared" si="9"/>
        <v>1</v>
      </c>
      <c r="L27" s="353">
        <f t="shared" si="9"/>
        <v>1</v>
      </c>
      <c r="M27" s="354">
        <f t="shared" si="9"/>
        <v>1</v>
      </c>
      <c r="N27" s="354">
        <f t="shared" si="9"/>
        <v>1</v>
      </c>
      <c r="O27" s="355">
        <f t="shared" si="9"/>
        <v>1</v>
      </c>
    </row>
    <row r="28" spans="1:17" x14ac:dyDescent="0.2">
      <c r="A28" s="193" t="s">
        <v>277</v>
      </c>
      <c r="M28" s="215"/>
      <c r="N28" s="215"/>
    </row>
    <row r="29" spans="1:17" x14ac:dyDescent="0.2">
      <c r="A29" s="9" t="s">
        <v>357</v>
      </c>
      <c r="M29" s="215"/>
      <c r="N29" s="215"/>
    </row>
    <row r="30" spans="1:17" x14ac:dyDescent="0.2">
      <c r="A30" s="9" t="s">
        <v>960</v>
      </c>
      <c r="M30" s="215"/>
      <c r="N30" s="215"/>
    </row>
    <row r="31" spans="1:17" s="16" customFormat="1" ht="11.25" x14ac:dyDescent="0.2">
      <c r="A31" s="193" t="s">
        <v>875</v>
      </c>
      <c r="B31" s="224"/>
      <c r="C31" s="224"/>
      <c r="D31" s="224"/>
      <c r="G31" s="185"/>
      <c r="J31" s="185"/>
    </row>
    <row r="32" spans="1:17" x14ac:dyDescent="0.2">
      <c r="M32" s="215"/>
      <c r="N32" s="215"/>
    </row>
    <row r="33" spans="1:15" ht="18" x14ac:dyDescent="0.25">
      <c r="A33" s="10" t="s">
        <v>876</v>
      </c>
      <c r="M33" s="215"/>
      <c r="N33" s="215"/>
    </row>
    <row r="34" spans="1:15" x14ac:dyDescent="0.2">
      <c r="M34" s="215"/>
      <c r="N34" s="59"/>
    </row>
    <row r="35" spans="1:15" x14ac:dyDescent="0.2">
      <c r="A35" s="1"/>
      <c r="B35" s="1"/>
      <c r="C35" s="1"/>
      <c r="D35" s="1"/>
      <c r="E35" s="1"/>
      <c r="F35" s="1"/>
      <c r="G35" s="1"/>
      <c r="H35" s="1"/>
      <c r="I35" s="1"/>
      <c r="J35" s="1"/>
      <c r="K35" s="1"/>
      <c r="L35" s="1"/>
      <c r="M35" s="217"/>
      <c r="N35" s="217"/>
      <c r="O35" s="2"/>
    </row>
    <row r="36" spans="1:15" x14ac:dyDescent="0.2">
      <c r="A36" s="3"/>
      <c r="B36" s="11" t="s">
        <v>35</v>
      </c>
      <c r="C36" s="11" t="s">
        <v>121</v>
      </c>
      <c r="D36" s="11" t="s">
        <v>123</v>
      </c>
      <c r="E36" s="11" t="s">
        <v>36</v>
      </c>
      <c r="F36" s="11" t="s">
        <v>37</v>
      </c>
      <c r="G36" s="11" t="s">
        <v>38</v>
      </c>
      <c r="H36" s="11" t="s">
        <v>39</v>
      </c>
      <c r="I36" s="11" t="s">
        <v>125</v>
      </c>
      <c r="J36" s="11" t="s">
        <v>126</v>
      </c>
      <c r="K36" s="11" t="s">
        <v>127</v>
      </c>
      <c r="L36" s="209">
        <v>100000</v>
      </c>
      <c r="M36" s="201" t="s">
        <v>228</v>
      </c>
      <c r="N36" s="201" t="s">
        <v>228</v>
      </c>
      <c r="O36" s="204" t="s">
        <v>77</v>
      </c>
    </row>
    <row r="37" spans="1:15" ht="14.25" x14ac:dyDescent="0.2">
      <c r="A37" s="208" t="s">
        <v>613</v>
      </c>
      <c r="B37" s="11" t="s">
        <v>120</v>
      </c>
      <c r="C37" s="11" t="s">
        <v>40</v>
      </c>
      <c r="D37" s="11" t="s">
        <v>40</v>
      </c>
      <c r="E37" s="11" t="s">
        <v>40</v>
      </c>
      <c r="F37" s="11" t="s">
        <v>40</v>
      </c>
      <c r="G37" s="11" t="s">
        <v>40</v>
      </c>
      <c r="H37" s="11" t="s">
        <v>40</v>
      </c>
      <c r="I37" s="11" t="s">
        <v>40</v>
      </c>
      <c r="J37" s="11" t="s">
        <v>40</v>
      </c>
      <c r="K37" s="11" t="s">
        <v>40</v>
      </c>
      <c r="L37" s="11" t="s">
        <v>43</v>
      </c>
      <c r="M37" s="201" t="s">
        <v>230</v>
      </c>
      <c r="N37" s="201" t="s">
        <v>138</v>
      </c>
      <c r="O37" s="204" t="s">
        <v>137</v>
      </c>
    </row>
    <row r="38" spans="1:15" x14ac:dyDescent="0.2">
      <c r="A38" s="3"/>
      <c r="B38" s="11" t="s">
        <v>43</v>
      </c>
      <c r="C38" s="11" t="s">
        <v>122</v>
      </c>
      <c r="D38" s="11" t="s">
        <v>124</v>
      </c>
      <c r="E38" s="11" t="s">
        <v>44</v>
      </c>
      <c r="F38" s="11" t="s">
        <v>45</v>
      </c>
      <c r="G38" s="11" t="s">
        <v>46</v>
      </c>
      <c r="H38" s="11" t="s">
        <v>42</v>
      </c>
      <c r="I38" s="11" t="s">
        <v>128</v>
      </c>
      <c r="J38" s="11" t="s">
        <v>129</v>
      </c>
      <c r="K38" s="11" t="s">
        <v>130</v>
      </c>
      <c r="L38" s="11" t="s">
        <v>131</v>
      </c>
      <c r="M38" s="201" t="s">
        <v>138</v>
      </c>
      <c r="N38" s="201" t="s">
        <v>131</v>
      </c>
      <c r="O38" s="204" t="s">
        <v>41</v>
      </c>
    </row>
    <row r="39" spans="1:15" x14ac:dyDescent="0.2">
      <c r="A39" s="4"/>
      <c r="B39" s="4"/>
      <c r="C39" s="4"/>
      <c r="D39" s="4"/>
      <c r="E39" s="30"/>
      <c r="F39" s="30"/>
      <c r="G39" s="4"/>
      <c r="H39" s="4"/>
      <c r="I39" s="4"/>
      <c r="J39" s="4"/>
      <c r="K39" s="4"/>
      <c r="L39" s="4"/>
      <c r="M39" s="218"/>
      <c r="N39" s="218"/>
      <c r="O39" s="5"/>
    </row>
    <row r="40" spans="1:15" ht="14.25" x14ac:dyDescent="0.2">
      <c r="A40" s="59" t="s">
        <v>439</v>
      </c>
      <c r="M40" s="215"/>
      <c r="N40" s="215"/>
      <c r="O40" s="68"/>
    </row>
    <row r="41" spans="1:15" x14ac:dyDescent="0.2">
      <c r="A41" s="200" t="s">
        <v>389</v>
      </c>
      <c r="B41" s="314">
        <v>466</v>
      </c>
      <c r="C41" s="314">
        <v>6063</v>
      </c>
      <c r="D41" s="314">
        <v>18917</v>
      </c>
      <c r="E41" s="314">
        <v>322405</v>
      </c>
      <c r="F41" s="314">
        <v>477537</v>
      </c>
      <c r="G41" s="314">
        <v>503400</v>
      </c>
      <c r="H41" s="314">
        <v>750217</v>
      </c>
      <c r="I41" s="314">
        <v>709482</v>
      </c>
      <c r="J41" s="314">
        <v>719743</v>
      </c>
      <c r="K41" s="314">
        <v>239732</v>
      </c>
      <c r="L41" s="318" t="s">
        <v>102</v>
      </c>
      <c r="M41" s="311">
        <v>2079005</v>
      </c>
      <c r="N41" s="311">
        <v>1668957</v>
      </c>
      <c r="O41" s="310">
        <v>3747962</v>
      </c>
    </row>
    <row r="42" spans="1:15" x14ac:dyDescent="0.2">
      <c r="A42" s="68" t="s">
        <v>390</v>
      </c>
      <c r="B42" s="315">
        <v>2261</v>
      </c>
      <c r="C42" s="315">
        <v>11791</v>
      </c>
      <c r="D42" s="315">
        <v>72572</v>
      </c>
      <c r="E42" s="315">
        <v>334525</v>
      </c>
      <c r="F42" s="315">
        <v>131352</v>
      </c>
      <c r="G42" s="315">
        <v>94591</v>
      </c>
      <c r="H42" s="315">
        <v>81819</v>
      </c>
      <c r="I42" s="315">
        <v>56358</v>
      </c>
      <c r="J42" s="319" t="s">
        <v>102</v>
      </c>
      <c r="K42" s="319" t="s">
        <v>102</v>
      </c>
      <c r="L42" s="319" t="s">
        <v>102</v>
      </c>
      <c r="M42" s="316">
        <v>728911</v>
      </c>
      <c r="N42" s="316">
        <v>56358</v>
      </c>
      <c r="O42" s="317">
        <v>785269</v>
      </c>
    </row>
    <row r="43" spans="1:15" x14ac:dyDescent="0.2">
      <c r="A43" s="6" t="s">
        <v>148</v>
      </c>
      <c r="B43" s="314">
        <v>15497</v>
      </c>
      <c r="C43" s="314">
        <v>33841</v>
      </c>
      <c r="D43" s="314">
        <v>109980</v>
      </c>
      <c r="E43" s="314">
        <v>302490</v>
      </c>
      <c r="F43" s="314">
        <v>145325</v>
      </c>
      <c r="G43" s="314">
        <v>79307</v>
      </c>
      <c r="H43" s="314">
        <v>67262</v>
      </c>
      <c r="I43" s="314">
        <v>14934</v>
      </c>
      <c r="J43" s="314">
        <v>23545</v>
      </c>
      <c r="K43" s="318" t="s">
        <v>102</v>
      </c>
      <c r="L43" s="318" t="s">
        <v>102</v>
      </c>
      <c r="M43" s="311">
        <v>753702</v>
      </c>
      <c r="N43" s="311">
        <v>38479</v>
      </c>
      <c r="O43" s="310">
        <v>792181</v>
      </c>
    </row>
    <row r="44" spans="1:15" x14ac:dyDescent="0.2">
      <c r="A44" t="s">
        <v>149</v>
      </c>
      <c r="B44" s="315">
        <v>537</v>
      </c>
      <c r="C44" s="315">
        <v>5122</v>
      </c>
      <c r="D44" s="315">
        <v>29518</v>
      </c>
      <c r="E44" s="315">
        <v>242182</v>
      </c>
      <c r="F44" s="315">
        <v>214716</v>
      </c>
      <c r="G44" s="315">
        <v>127250</v>
      </c>
      <c r="H44" s="315">
        <v>245562</v>
      </c>
      <c r="I44" s="315">
        <v>168340</v>
      </c>
      <c r="J44" s="315">
        <v>74549</v>
      </c>
      <c r="K44" s="319" t="s">
        <v>102</v>
      </c>
      <c r="L44" s="319" t="s">
        <v>102</v>
      </c>
      <c r="M44" s="316">
        <v>864887</v>
      </c>
      <c r="N44" s="316">
        <v>242889</v>
      </c>
      <c r="O44" s="317">
        <v>1107776</v>
      </c>
    </row>
    <row r="45" spans="1:15" ht="14.25" x14ac:dyDescent="0.2">
      <c r="A45" s="248" t="s">
        <v>358</v>
      </c>
      <c r="B45" s="356">
        <f t="shared" ref="B45:K45" si="10">SUM(B41:B44)</f>
        <v>18761</v>
      </c>
      <c r="C45" s="356">
        <f t="shared" si="10"/>
        <v>56817</v>
      </c>
      <c r="D45" s="356">
        <f t="shared" si="10"/>
        <v>230987</v>
      </c>
      <c r="E45" s="356">
        <f t="shared" si="10"/>
        <v>1201602</v>
      </c>
      <c r="F45" s="356">
        <f t="shared" si="10"/>
        <v>968930</v>
      </c>
      <c r="G45" s="356">
        <f t="shared" si="10"/>
        <v>804548</v>
      </c>
      <c r="H45" s="356">
        <f t="shared" si="10"/>
        <v>1144860</v>
      </c>
      <c r="I45" s="356">
        <f t="shared" si="10"/>
        <v>949114</v>
      </c>
      <c r="J45" s="356">
        <f t="shared" si="10"/>
        <v>817837</v>
      </c>
      <c r="K45" s="356">
        <f t="shared" si="10"/>
        <v>239732</v>
      </c>
      <c r="L45" s="348" t="s">
        <v>102</v>
      </c>
      <c r="M45" s="357">
        <f>SUM(M41:M44)</f>
        <v>4426505</v>
      </c>
      <c r="N45" s="357">
        <f>SUM(N41:N44)</f>
        <v>2006683</v>
      </c>
      <c r="O45" s="358">
        <f>SUM(O41:O44)</f>
        <v>6433188</v>
      </c>
    </row>
    <row r="46" spans="1:15" x14ac:dyDescent="0.2">
      <c r="A46" s="59" t="s">
        <v>440</v>
      </c>
      <c r="B46" s="341"/>
      <c r="C46" s="341"/>
      <c r="D46" s="341"/>
      <c r="E46" s="341"/>
      <c r="F46" s="341"/>
      <c r="G46" s="341"/>
      <c r="H46" s="341"/>
      <c r="I46" s="341"/>
      <c r="J46" s="341"/>
      <c r="K46" s="341"/>
      <c r="L46" s="341"/>
      <c r="M46" s="346"/>
      <c r="N46" s="346"/>
      <c r="O46" s="347"/>
    </row>
    <row r="47" spans="1:15" x14ac:dyDescent="0.2">
      <c r="A47" s="200" t="s">
        <v>150</v>
      </c>
      <c r="B47" s="314">
        <v>81999</v>
      </c>
      <c r="C47" s="314">
        <v>191177</v>
      </c>
      <c r="D47" s="314">
        <v>514746</v>
      </c>
      <c r="E47" s="314">
        <v>1270852</v>
      </c>
      <c r="F47" s="314">
        <v>459529</v>
      </c>
      <c r="G47" s="314">
        <v>290551</v>
      </c>
      <c r="H47" s="314">
        <v>781805</v>
      </c>
      <c r="I47" s="314">
        <v>630302</v>
      </c>
      <c r="J47" s="314">
        <v>564977</v>
      </c>
      <c r="K47" s="314">
        <v>413173</v>
      </c>
      <c r="L47" s="314">
        <v>584276</v>
      </c>
      <c r="M47" s="311">
        <v>3590659</v>
      </c>
      <c r="N47" s="311">
        <v>2192728</v>
      </c>
      <c r="O47" s="310">
        <v>5783387</v>
      </c>
    </row>
    <row r="48" spans="1:15" x14ac:dyDescent="0.2">
      <c r="A48" s="68" t="s">
        <v>151</v>
      </c>
      <c r="B48" s="315">
        <v>169167</v>
      </c>
      <c r="C48" s="315">
        <v>680698</v>
      </c>
      <c r="D48" s="315">
        <v>2687075</v>
      </c>
      <c r="E48" s="315">
        <v>9484619</v>
      </c>
      <c r="F48" s="315">
        <v>4976523</v>
      </c>
      <c r="G48" s="315">
        <v>3365063</v>
      </c>
      <c r="H48" s="315">
        <v>7029789</v>
      </c>
      <c r="I48" s="315">
        <v>6278733</v>
      </c>
      <c r="J48" s="315">
        <v>9868384</v>
      </c>
      <c r="K48" s="315">
        <v>5679292</v>
      </c>
      <c r="L48" s="315">
        <v>10107427</v>
      </c>
      <c r="M48" s="316">
        <v>28392934</v>
      </c>
      <c r="N48" s="316">
        <v>31933836</v>
      </c>
      <c r="O48" s="317">
        <v>60326770</v>
      </c>
    </row>
    <row r="49" spans="1:16" x14ac:dyDescent="0.2">
      <c r="A49" s="248" t="s">
        <v>606</v>
      </c>
      <c r="B49" s="340">
        <f t="shared" ref="B49:O49" si="11">SUM(B47:B48)</f>
        <v>251166</v>
      </c>
      <c r="C49" s="340">
        <f t="shared" si="11"/>
        <v>871875</v>
      </c>
      <c r="D49" s="340">
        <f t="shared" si="11"/>
        <v>3201821</v>
      </c>
      <c r="E49" s="340">
        <f t="shared" si="11"/>
        <v>10755471</v>
      </c>
      <c r="F49" s="340">
        <f t="shared" si="11"/>
        <v>5436052</v>
      </c>
      <c r="G49" s="340">
        <f t="shared" si="11"/>
        <v>3655614</v>
      </c>
      <c r="H49" s="340">
        <f t="shared" si="11"/>
        <v>7811594</v>
      </c>
      <c r="I49" s="340">
        <f t="shared" si="11"/>
        <v>6909035</v>
      </c>
      <c r="J49" s="340">
        <f t="shared" si="11"/>
        <v>10433361</v>
      </c>
      <c r="K49" s="340">
        <f t="shared" si="11"/>
        <v>6092465</v>
      </c>
      <c r="L49" s="374">
        <f t="shared" si="11"/>
        <v>10691703</v>
      </c>
      <c r="M49" s="345">
        <f t="shared" si="11"/>
        <v>31983593</v>
      </c>
      <c r="N49" s="345">
        <f t="shared" si="11"/>
        <v>34126564</v>
      </c>
      <c r="O49" s="323">
        <f t="shared" si="11"/>
        <v>66110157</v>
      </c>
      <c r="P49" s="14"/>
    </row>
    <row r="50" spans="1:16" ht="14.25" x14ac:dyDescent="0.2">
      <c r="A50" s="211" t="s">
        <v>359</v>
      </c>
      <c r="B50" s="326"/>
      <c r="C50" s="326"/>
      <c r="D50" s="326"/>
      <c r="E50" s="326"/>
      <c r="F50" s="326"/>
      <c r="G50" s="326"/>
      <c r="H50" s="326"/>
      <c r="I50" s="326"/>
      <c r="J50" s="326"/>
      <c r="K50" s="326"/>
      <c r="L50" s="326"/>
      <c r="M50" s="327"/>
      <c r="N50" s="327"/>
      <c r="O50" s="328"/>
    </row>
    <row r="51" spans="1:16" x14ac:dyDescent="0.2">
      <c r="A51" s="200" t="s">
        <v>389</v>
      </c>
      <c r="B51" s="329">
        <f>B41/B$45</f>
        <v>2.4838761260060765E-2</v>
      </c>
      <c r="C51" s="329">
        <f t="shared" ref="C51:O51" si="12">C41/C$45</f>
        <v>0.10671101958920745</v>
      </c>
      <c r="D51" s="329">
        <f t="shared" si="12"/>
        <v>8.1896383779173715E-2</v>
      </c>
      <c r="E51" s="329">
        <f t="shared" si="12"/>
        <v>0.26831263596432098</v>
      </c>
      <c r="F51" s="329">
        <f t="shared" si="12"/>
        <v>0.49284984467402188</v>
      </c>
      <c r="G51" s="330">
        <f t="shared" si="12"/>
        <v>0.62569293566076856</v>
      </c>
      <c r="H51" s="329">
        <f t="shared" si="12"/>
        <v>0.65529147668710586</v>
      </c>
      <c r="I51" s="329">
        <f t="shared" si="12"/>
        <v>0.74752031895009452</v>
      </c>
      <c r="J51" s="329">
        <f t="shared" si="12"/>
        <v>0.8800567839312724</v>
      </c>
      <c r="K51" s="329">
        <f t="shared" si="12"/>
        <v>1</v>
      </c>
      <c r="L51" s="318" t="s">
        <v>102</v>
      </c>
      <c r="M51" s="331">
        <f t="shared" si="12"/>
        <v>0.46967189690286126</v>
      </c>
      <c r="N51" s="331">
        <f t="shared" si="12"/>
        <v>0.83169937653331394</v>
      </c>
      <c r="O51" s="332">
        <f t="shared" si="12"/>
        <v>0.58259792811899791</v>
      </c>
    </row>
    <row r="52" spans="1:16" x14ac:dyDescent="0.2">
      <c r="A52" s="68" t="s">
        <v>390</v>
      </c>
      <c r="B52" s="333">
        <f t="shared" ref="B52:O52" si="13">B42/B$45</f>
        <v>0.12051596396780555</v>
      </c>
      <c r="C52" s="333">
        <f t="shared" si="13"/>
        <v>0.20752591653906402</v>
      </c>
      <c r="D52" s="333">
        <f t="shared" si="13"/>
        <v>0.31418218341291937</v>
      </c>
      <c r="E52" s="333">
        <f t="shared" si="13"/>
        <v>0.27839917044079487</v>
      </c>
      <c r="F52" s="333">
        <f t="shared" si="13"/>
        <v>0.13556397262960174</v>
      </c>
      <c r="G52" s="333">
        <f t="shared" si="13"/>
        <v>0.11757036248924863</v>
      </c>
      <c r="H52" s="333">
        <f t="shared" si="13"/>
        <v>7.1466380168754257E-2</v>
      </c>
      <c r="I52" s="333">
        <f t="shared" si="13"/>
        <v>5.9379589806914657E-2</v>
      </c>
      <c r="J52" s="319" t="s">
        <v>102</v>
      </c>
      <c r="K52" s="319" t="s">
        <v>102</v>
      </c>
      <c r="L52" s="315" t="s">
        <v>102</v>
      </c>
      <c r="M52" s="334">
        <f t="shared" si="13"/>
        <v>0.16466964343200788</v>
      </c>
      <c r="N52" s="334">
        <f t="shared" si="13"/>
        <v>2.8085153459714365E-2</v>
      </c>
      <c r="O52" s="335">
        <f t="shared" si="13"/>
        <v>0.12206529639736939</v>
      </c>
    </row>
    <row r="53" spans="1:16" x14ac:dyDescent="0.2">
      <c r="A53" s="6" t="s">
        <v>148</v>
      </c>
      <c r="B53" s="329">
        <f t="shared" ref="B53:O53" si="14">B43/B$45</f>
        <v>0.82602206705399495</v>
      </c>
      <c r="C53" s="329">
        <f t="shared" si="14"/>
        <v>0.59561398877096638</v>
      </c>
      <c r="D53" s="329">
        <f t="shared" si="14"/>
        <v>0.47613069133760777</v>
      </c>
      <c r="E53" s="329">
        <f t="shared" si="14"/>
        <v>0.25173892853041191</v>
      </c>
      <c r="F53" s="329">
        <f t="shared" si="14"/>
        <v>0.14998503503865088</v>
      </c>
      <c r="G53" s="330">
        <f t="shared" si="14"/>
        <v>9.857336044586526E-2</v>
      </c>
      <c r="H53" s="329">
        <f t="shared" si="14"/>
        <v>5.8751288367136591E-2</v>
      </c>
      <c r="I53" s="329">
        <f t="shared" si="14"/>
        <v>1.5734674654467221E-2</v>
      </c>
      <c r="J53" s="329">
        <f t="shared" si="14"/>
        <v>2.8789355336087754E-2</v>
      </c>
      <c r="K53" s="318" t="s">
        <v>102</v>
      </c>
      <c r="L53" s="318" t="s">
        <v>102</v>
      </c>
      <c r="M53" s="331">
        <f t="shared" si="14"/>
        <v>0.17027022447732465</v>
      </c>
      <c r="N53" s="331">
        <f t="shared" si="14"/>
        <v>1.9175425316305564E-2</v>
      </c>
      <c r="O53" s="332">
        <f t="shared" si="14"/>
        <v>0.12313972481450876</v>
      </c>
    </row>
    <row r="54" spans="1:16" x14ac:dyDescent="0.2">
      <c r="A54" t="s">
        <v>149</v>
      </c>
      <c r="B54" s="333">
        <f t="shared" ref="B54:O54" si="15">B44/B$45</f>
        <v>2.8623207718138692E-2</v>
      </c>
      <c r="C54" s="333">
        <f t="shared" si="15"/>
        <v>9.0149075100762102E-2</v>
      </c>
      <c r="D54" s="333">
        <f t="shared" si="15"/>
        <v>0.1277907414702992</v>
      </c>
      <c r="E54" s="333">
        <f t="shared" si="15"/>
        <v>0.20154926506447227</v>
      </c>
      <c r="F54" s="333">
        <f t="shared" si="15"/>
        <v>0.22160114765772554</v>
      </c>
      <c r="G54" s="333">
        <f t="shared" si="15"/>
        <v>0.15816334140411759</v>
      </c>
      <c r="H54" s="333">
        <f t="shared" si="15"/>
        <v>0.2144908547770033</v>
      </c>
      <c r="I54" s="333">
        <f t="shared" si="15"/>
        <v>0.17736541658852362</v>
      </c>
      <c r="J54" s="333">
        <f t="shared" si="15"/>
        <v>9.1153860732639883E-2</v>
      </c>
      <c r="K54" s="315" t="s">
        <v>102</v>
      </c>
      <c r="L54" s="315" t="s">
        <v>102</v>
      </c>
      <c r="M54" s="334">
        <f t="shared" si="15"/>
        <v>0.19538823518780618</v>
      </c>
      <c r="N54" s="334">
        <f t="shared" si="15"/>
        <v>0.12104004469066613</v>
      </c>
      <c r="O54" s="335">
        <f t="shared" si="15"/>
        <v>0.17219705066912391</v>
      </c>
    </row>
    <row r="55" spans="1:16" ht="14.25" x14ac:dyDescent="0.2">
      <c r="A55" s="248" t="s">
        <v>437</v>
      </c>
      <c r="B55" s="342">
        <f t="shared" ref="B55:O55" si="16">B45/B$45</f>
        <v>1</v>
      </c>
      <c r="C55" s="342">
        <f t="shared" si="16"/>
        <v>1</v>
      </c>
      <c r="D55" s="342">
        <f t="shared" si="16"/>
        <v>1</v>
      </c>
      <c r="E55" s="342">
        <f t="shared" si="16"/>
        <v>1</v>
      </c>
      <c r="F55" s="342">
        <f t="shared" si="16"/>
        <v>1</v>
      </c>
      <c r="G55" s="342">
        <f t="shared" si="16"/>
        <v>1</v>
      </c>
      <c r="H55" s="342">
        <f t="shared" si="16"/>
        <v>1</v>
      </c>
      <c r="I55" s="342">
        <f t="shared" si="16"/>
        <v>1</v>
      </c>
      <c r="J55" s="342">
        <f t="shared" si="16"/>
        <v>1</v>
      </c>
      <c r="K55" s="342">
        <f t="shared" si="16"/>
        <v>1</v>
      </c>
      <c r="L55" s="348" t="s">
        <v>102</v>
      </c>
      <c r="M55" s="349">
        <f t="shared" si="16"/>
        <v>1</v>
      </c>
      <c r="N55" s="349">
        <f t="shared" si="16"/>
        <v>1</v>
      </c>
      <c r="O55" s="350">
        <f t="shared" si="16"/>
        <v>1</v>
      </c>
    </row>
    <row r="56" spans="1:16" x14ac:dyDescent="0.2">
      <c r="A56" s="211" t="s">
        <v>279</v>
      </c>
      <c r="B56" s="326"/>
      <c r="C56" s="326"/>
      <c r="D56" s="326"/>
      <c r="E56" s="326"/>
      <c r="F56" s="326"/>
      <c r="G56" s="326"/>
      <c r="H56" s="326"/>
      <c r="I56" s="326"/>
      <c r="J56" s="326"/>
      <c r="K56" s="326"/>
      <c r="L56" s="326"/>
      <c r="M56" s="327"/>
      <c r="N56" s="327"/>
      <c r="O56" s="328"/>
    </row>
    <row r="57" spans="1:16" x14ac:dyDescent="0.2">
      <c r="A57" s="200" t="s">
        <v>150</v>
      </c>
      <c r="B57" s="329">
        <f>B47/B$49</f>
        <v>0.3264733283963594</v>
      </c>
      <c r="C57" s="329">
        <f t="shared" ref="C57:O57" si="17">C47/C$49</f>
        <v>0.21927111111111111</v>
      </c>
      <c r="D57" s="329">
        <f t="shared" si="17"/>
        <v>0.16076663873464506</v>
      </c>
      <c r="E57" s="329">
        <f t="shared" si="17"/>
        <v>0.11815865618530327</v>
      </c>
      <c r="F57" s="329">
        <f t="shared" si="17"/>
        <v>8.4533591658063609E-2</v>
      </c>
      <c r="G57" s="329">
        <f t="shared" si="17"/>
        <v>7.9480765748243656E-2</v>
      </c>
      <c r="H57" s="329">
        <f t="shared" si="17"/>
        <v>0.10008264638433589</v>
      </c>
      <c r="I57" s="329">
        <f t="shared" si="17"/>
        <v>9.122865928454553E-2</v>
      </c>
      <c r="J57" s="329">
        <f t="shared" si="17"/>
        <v>5.4151006564423489E-2</v>
      </c>
      <c r="K57" s="329">
        <f t="shared" si="17"/>
        <v>6.7817049420883013E-2</v>
      </c>
      <c r="L57" s="329">
        <f t="shared" si="17"/>
        <v>5.4647608524105093E-2</v>
      </c>
      <c r="M57" s="331">
        <f t="shared" si="17"/>
        <v>0.11226565445602062</v>
      </c>
      <c r="N57" s="331">
        <f t="shared" si="17"/>
        <v>6.4252820764493027E-2</v>
      </c>
      <c r="O57" s="332">
        <f t="shared" si="17"/>
        <v>8.7481065882206263E-2</v>
      </c>
    </row>
    <row r="58" spans="1:16" x14ac:dyDescent="0.2">
      <c r="A58" s="68" t="s">
        <v>151</v>
      </c>
      <c r="B58" s="343">
        <f t="shared" ref="B58:O58" si="18">B48/B$49</f>
        <v>0.67352667160364066</v>
      </c>
      <c r="C58" s="343">
        <f t="shared" si="18"/>
        <v>0.78072888888888892</v>
      </c>
      <c r="D58" s="343">
        <f t="shared" si="18"/>
        <v>0.83923336126535497</v>
      </c>
      <c r="E58" s="343">
        <f t="shared" si="18"/>
        <v>0.8818413438146967</v>
      </c>
      <c r="F58" s="343">
        <f t="shared" si="18"/>
        <v>0.91546640834193638</v>
      </c>
      <c r="G58" s="343">
        <f t="shared" si="18"/>
        <v>0.9205192342517563</v>
      </c>
      <c r="H58" s="343">
        <f t="shared" si="18"/>
        <v>0.89991735361566405</v>
      </c>
      <c r="I58" s="343">
        <f t="shared" si="18"/>
        <v>0.90877134071545451</v>
      </c>
      <c r="J58" s="343">
        <f t="shared" si="18"/>
        <v>0.94584899343557649</v>
      </c>
      <c r="K58" s="343">
        <f t="shared" si="18"/>
        <v>0.93218295057911704</v>
      </c>
      <c r="L58" s="343">
        <f t="shared" si="18"/>
        <v>0.94535239147589489</v>
      </c>
      <c r="M58" s="351">
        <f t="shared" si="18"/>
        <v>0.88773434554397934</v>
      </c>
      <c r="N58" s="351">
        <f t="shared" si="18"/>
        <v>0.93574717923550699</v>
      </c>
      <c r="O58" s="352">
        <f t="shared" si="18"/>
        <v>0.91251893411779372</v>
      </c>
    </row>
    <row r="59" spans="1:16" x14ac:dyDescent="0.2">
      <c r="A59" s="457" t="s">
        <v>438</v>
      </c>
      <c r="B59" s="344">
        <f t="shared" ref="B59:O59" si="19">B49/B$49</f>
        <v>1</v>
      </c>
      <c r="C59" s="344">
        <f t="shared" si="19"/>
        <v>1</v>
      </c>
      <c r="D59" s="344">
        <f t="shared" si="19"/>
        <v>1</v>
      </c>
      <c r="E59" s="344">
        <f t="shared" si="19"/>
        <v>1</v>
      </c>
      <c r="F59" s="344">
        <f t="shared" si="19"/>
        <v>1</v>
      </c>
      <c r="G59" s="344">
        <f t="shared" si="19"/>
        <v>1</v>
      </c>
      <c r="H59" s="344">
        <f t="shared" si="19"/>
        <v>1</v>
      </c>
      <c r="I59" s="344">
        <f t="shared" si="19"/>
        <v>1</v>
      </c>
      <c r="J59" s="344">
        <f t="shared" si="19"/>
        <v>1</v>
      </c>
      <c r="K59" s="344">
        <f t="shared" si="19"/>
        <v>1</v>
      </c>
      <c r="L59" s="353">
        <f t="shared" si="19"/>
        <v>1</v>
      </c>
      <c r="M59" s="354">
        <f t="shared" si="19"/>
        <v>1</v>
      </c>
      <c r="N59" s="354">
        <f t="shared" si="19"/>
        <v>1</v>
      </c>
      <c r="O59" s="355">
        <f t="shared" si="19"/>
        <v>1</v>
      </c>
    </row>
    <row r="60" spans="1:16" x14ac:dyDescent="0.2">
      <c r="A60" s="9" t="s">
        <v>877</v>
      </c>
    </row>
    <row r="61" spans="1:16" x14ac:dyDescent="0.2">
      <c r="A61" s="9" t="s">
        <v>357</v>
      </c>
    </row>
    <row r="62" spans="1:16" x14ac:dyDescent="0.2">
      <c r="A62" s="9" t="s">
        <v>961</v>
      </c>
    </row>
    <row r="63" spans="1:16" s="16" customFormat="1" ht="11.25" x14ac:dyDescent="0.2">
      <c r="A63" s="193" t="s">
        <v>878</v>
      </c>
      <c r="B63" s="224"/>
      <c r="C63" s="224"/>
      <c r="D63" s="224"/>
      <c r="G63" s="185"/>
      <c r="J63" s="185"/>
    </row>
    <row r="65" spans="1:15" ht="12.75" customHeight="1" x14ac:dyDescent="0.2">
      <c r="A65" s="1017" t="s">
        <v>671</v>
      </c>
      <c r="B65" s="1017"/>
      <c r="C65" s="1017"/>
      <c r="D65" s="1017"/>
      <c r="E65" s="1017"/>
      <c r="F65" s="1017"/>
      <c r="G65" s="1017"/>
      <c r="H65" s="1017"/>
      <c r="I65" s="1017"/>
      <c r="J65" s="1017"/>
      <c r="K65" s="1017"/>
      <c r="L65" s="1017"/>
      <c r="M65" s="1017"/>
      <c r="N65" s="1017"/>
      <c r="O65" s="1017"/>
    </row>
    <row r="66" spans="1:15" x14ac:dyDescent="0.2">
      <c r="A66" s="1017"/>
      <c r="B66" s="1017"/>
      <c r="C66" s="1017"/>
      <c r="D66" s="1017"/>
      <c r="E66" s="1017"/>
      <c r="F66" s="1017"/>
      <c r="G66" s="1017"/>
      <c r="H66" s="1017"/>
      <c r="I66" s="1017"/>
      <c r="J66" s="1017"/>
      <c r="K66" s="1017"/>
      <c r="L66" s="1017"/>
      <c r="M66" s="1017"/>
      <c r="N66" s="1017"/>
      <c r="O66" s="1017"/>
    </row>
    <row r="67" spans="1:15" ht="26.25" customHeight="1" x14ac:dyDescent="0.2">
      <c r="A67" s="1017"/>
      <c r="B67" s="1017"/>
      <c r="C67" s="1017"/>
      <c r="D67" s="1017"/>
      <c r="E67" s="1017"/>
      <c r="F67" s="1017"/>
      <c r="G67" s="1017"/>
      <c r="H67" s="1017"/>
      <c r="I67" s="1017"/>
      <c r="J67" s="1017"/>
      <c r="K67" s="1017"/>
      <c r="L67" s="1017"/>
      <c r="M67" s="1017"/>
      <c r="N67" s="1017"/>
      <c r="O67" s="1017"/>
    </row>
    <row r="68" spans="1:15" x14ac:dyDescent="0.2">
      <c r="A68" s="932"/>
      <c r="B68" s="932"/>
      <c r="C68" s="932"/>
      <c r="D68" s="932"/>
      <c r="E68" s="932"/>
      <c r="F68" s="932"/>
    </row>
    <row r="69" spans="1:15" x14ac:dyDescent="0.2">
      <c r="A69" s="1015" t="s">
        <v>17</v>
      </c>
      <c r="B69" s="1015"/>
      <c r="C69" s="1015"/>
      <c r="D69" s="1015"/>
      <c r="E69" s="1015"/>
      <c r="F69" s="1015"/>
    </row>
    <row r="70" spans="1:15" x14ac:dyDescent="0.2">
      <c r="A70" s="932"/>
      <c r="B70" s="932"/>
      <c r="C70" s="932"/>
      <c r="D70" s="932"/>
      <c r="E70" s="932"/>
      <c r="F70" s="932"/>
    </row>
    <row r="71" spans="1:15" ht="12.75" customHeight="1" x14ac:dyDescent="0.2">
      <c r="A71" s="1017" t="s">
        <v>672</v>
      </c>
      <c r="B71" s="1017"/>
      <c r="C71" s="1017"/>
      <c r="D71" s="1017"/>
      <c r="E71" s="1017"/>
      <c r="F71" s="1017"/>
      <c r="G71" s="1017"/>
      <c r="H71" s="1017"/>
      <c r="I71" s="1017"/>
      <c r="J71" s="1017"/>
      <c r="K71" s="1017"/>
      <c r="L71" s="1017"/>
      <c r="M71" s="1017"/>
      <c r="N71" s="1017"/>
      <c r="O71" s="1017"/>
    </row>
    <row r="72" spans="1:15" x14ac:dyDescent="0.2">
      <c r="A72" s="1017"/>
      <c r="B72" s="1017"/>
      <c r="C72" s="1017"/>
      <c r="D72" s="1017"/>
      <c r="E72" s="1017"/>
      <c r="F72" s="1017"/>
      <c r="G72" s="1017"/>
      <c r="H72" s="1017"/>
      <c r="I72" s="1017"/>
      <c r="J72" s="1017"/>
      <c r="K72" s="1017"/>
      <c r="L72" s="1017"/>
      <c r="M72" s="1017"/>
      <c r="N72" s="1017"/>
      <c r="O72" s="1017"/>
    </row>
    <row r="73" spans="1:15" x14ac:dyDescent="0.2">
      <c r="A73" s="932"/>
      <c r="B73" s="932"/>
      <c r="C73" s="932"/>
      <c r="D73" s="932"/>
      <c r="E73" s="932"/>
      <c r="F73" s="932"/>
    </row>
    <row r="74" spans="1:15" ht="12.75" customHeight="1" x14ac:dyDescent="0.2">
      <c r="A74" s="1017" t="s">
        <v>673</v>
      </c>
      <c r="B74" s="1017"/>
      <c r="C74" s="1017"/>
      <c r="D74" s="1017"/>
      <c r="E74" s="1017"/>
      <c r="F74" s="1017"/>
      <c r="G74" s="1017"/>
      <c r="H74" s="1017"/>
      <c r="I74" s="1017"/>
      <c r="J74" s="1017"/>
      <c r="K74" s="1017"/>
      <c r="L74" s="1017"/>
      <c r="M74" s="1017"/>
      <c r="N74" s="1017"/>
      <c r="O74" s="1017"/>
    </row>
    <row r="75" spans="1:15" x14ac:dyDescent="0.2">
      <c r="A75" s="1017"/>
      <c r="B75" s="1017"/>
      <c r="C75" s="1017"/>
      <c r="D75" s="1017"/>
      <c r="E75" s="1017"/>
      <c r="F75" s="1017"/>
      <c r="G75" s="1017"/>
      <c r="H75" s="1017"/>
      <c r="I75" s="1017"/>
      <c r="J75" s="1017"/>
      <c r="K75" s="1017"/>
      <c r="L75" s="1017"/>
      <c r="M75" s="1017"/>
      <c r="N75" s="1017"/>
      <c r="O75" s="1017"/>
    </row>
    <row r="76" spans="1:15" x14ac:dyDescent="0.2">
      <c r="A76" s="1017"/>
      <c r="B76" s="1017"/>
      <c r="C76" s="1017"/>
      <c r="D76" s="1017"/>
      <c r="E76" s="1017"/>
      <c r="F76" s="1017"/>
      <c r="G76" s="1017"/>
      <c r="H76" s="1017"/>
      <c r="I76" s="1017"/>
      <c r="J76" s="1017"/>
      <c r="K76" s="1017"/>
      <c r="L76" s="1017"/>
      <c r="M76" s="1017"/>
      <c r="N76" s="1017"/>
      <c r="O76" s="1017"/>
    </row>
    <row r="77" spans="1:15" x14ac:dyDescent="0.2">
      <c r="A77" s="932"/>
      <c r="B77" s="932"/>
      <c r="C77" s="932"/>
      <c r="D77" s="932"/>
      <c r="E77" s="932"/>
      <c r="F77" s="932"/>
    </row>
    <row r="78" spans="1:15" ht="12.75" customHeight="1" x14ac:dyDescent="0.2">
      <c r="A78" s="1017" t="s">
        <v>674</v>
      </c>
      <c r="B78" s="1017"/>
      <c r="C78" s="1017"/>
      <c r="D78" s="1017"/>
      <c r="E78" s="1017"/>
      <c r="F78" s="1017"/>
      <c r="G78" s="1017"/>
      <c r="H78" s="1017"/>
      <c r="I78" s="1017"/>
      <c r="J78" s="1017"/>
      <c r="K78" s="1017"/>
      <c r="L78" s="1017"/>
      <c r="M78" s="1017"/>
      <c r="N78" s="1017"/>
      <c r="O78" s="1017"/>
    </row>
    <row r="79" spans="1:15" x14ac:dyDescent="0.2">
      <c r="A79" s="1017"/>
      <c r="B79" s="1017"/>
      <c r="C79" s="1017"/>
      <c r="D79" s="1017"/>
      <c r="E79" s="1017"/>
      <c r="F79" s="1017"/>
      <c r="G79" s="1017"/>
      <c r="H79" s="1017"/>
      <c r="I79" s="1017"/>
      <c r="J79" s="1017"/>
      <c r="K79" s="1017"/>
      <c r="L79" s="1017"/>
      <c r="M79" s="1017"/>
      <c r="N79" s="1017"/>
      <c r="O79" s="1017"/>
    </row>
    <row r="80" spans="1:15" x14ac:dyDescent="0.2">
      <c r="A80" s="1017"/>
      <c r="B80" s="1017"/>
      <c r="C80" s="1017"/>
      <c r="D80" s="1017"/>
      <c r="E80" s="1017"/>
      <c r="F80" s="1017"/>
      <c r="G80" s="1017"/>
      <c r="H80" s="1017"/>
      <c r="I80" s="1017"/>
      <c r="J80" s="1017"/>
      <c r="K80" s="1017"/>
      <c r="L80" s="1017"/>
      <c r="M80" s="1017"/>
      <c r="N80" s="1017"/>
      <c r="O80" s="1017"/>
    </row>
    <row r="81" spans="1:15" x14ac:dyDescent="0.2">
      <c r="A81" s="1017"/>
      <c r="B81" s="1017"/>
      <c r="C81" s="1017"/>
      <c r="D81" s="1017"/>
      <c r="E81" s="1017"/>
      <c r="F81" s="1017"/>
      <c r="G81" s="1017"/>
      <c r="H81" s="1017"/>
      <c r="I81" s="1017"/>
      <c r="J81" s="1017"/>
      <c r="K81" s="1017"/>
      <c r="L81" s="1017"/>
      <c r="M81" s="1017"/>
      <c r="N81" s="1017"/>
      <c r="O81" s="1017"/>
    </row>
    <row r="82" spans="1:15" x14ac:dyDescent="0.2">
      <c r="A82" s="932"/>
      <c r="B82" s="932"/>
      <c r="C82" s="932"/>
      <c r="D82" s="932"/>
      <c r="E82" s="932"/>
      <c r="F82" s="932"/>
    </row>
    <row r="83" spans="1:15" ht="78" customHeight="1" x14ac:dyDescent="0.2">
      <c r="A83" s="1015" t="s">
        <v>675</v>
      </c>
      <c r="B83" s="1015"/>
      <c r="C83" s="1015"/>
      <c r="D83" s="1015"/>
      <c r="E83" s="1015"/>
      <c r="F83" s="1015"/>
      <c r="G83" s="1015"/>
      <c r="H83" s="1015"/>
      <c r="I83" s="1015"/>
      <c r="J83" s="1015"/>
      <c r="K83" s="1015"/>
      <c r="L83" s="1015"/>
      <c r="M83" s="1015"/>
      <c r="N83" s="1015"/>
      <c r="O83" s="1015"/>
    </row>
    <row r="84" spans="1:15" x14ac:dyDescent="0.2">
      <c r="A84" s="932"/>
      <c r="B84" s="932"/>
      <c r="C84" s="932"/>
      <c r="D84" s="932"/>
      <c r="E84" s="932"/>
      <c r="F84" s="932"/>
    </row>
    <row r="85" spans="1:15" ht="144.75" customHeight="1" x14ac:dyDescent="0.2">
      <c r="A85" s="1016" t="s">
        <v>676</v>
      </c>
      <c r="B85" s="1016"/>
      <c r="C85" s="1016"/>
      <c r="D85" s="1016"/>
      <c r="E85" s="1016"/>
      <c r="F85" s="1016"/>
      <c r="G85" s="1016"/>
      <c r="H85" s="1016"/>
      <c r="I85" s="1016"/>
      <c r="J85" s="1016"/>
      <c r="K85" s="1016"/>
      <c r="L85" s="1016"/>
      <c r="M85" s="1016"/>
      <c r="N85" s="1016"/>
      <c r="O85" s="1016"/>
    </row>
  </sheetData>
  <mergeCells count="7">
    <mergeCell ref="A83:O83"/>
    <mergeCell ref="A85:O85"/>
    <mergeCell ref="A69:F69"/>
    <mergeCell ref="A65:O67"/>
    <mergeCell ref="A71:O72"/>
    <mergeCell ref="A74:O76"/>
    <mergeCell ref="A78:O81"/>
  </mergeCells>
  <pageMargins left="0.59055118110236227" right="0.59055118110236227" top="0.78740157480314965" bottom="0.78740157480314965" header="0.39370078740157483" footer="0.39370078740157483"/>
  <pageSetup paperSize="9" scale="56" firstPageNumber="7" fitToHeight="2" orientation="landscape" useFirstPageNumber="1" r:id="rId1"/>
  <headerFooter alignWithMargins="0">
    <oddHeader>&amp;R&amp;12Les finances des communes en 2024</oddHeader>
    <oddFooter>&amp;L&amp;12Direction Générale des Collectivités Locales / DESL&amp;C&amp;12&amp;P&amp;R&amp;12Mise en ligne : janvier 2026</oddFooter>
    <evenFooter>&amp;LDirection Générale des Collectivités Locales / DESL&amp;C8&amp;RMise en ligne : mars 2021</evenFooter>
    <firstHeader>&amp;RLes finances des communes en 2019</firstHeader>
    <firstFooter>&amp;LDirection Générale des Collectivités Locales / DESL&amp;C&amp;P&amp;RMise en ligne : mars 2021</firstFooter>
  </headerFooter>
  <rowBreaks count="1" manualBreakCount="1">
    <brk id="65" max="1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U76"/>
  <sheetViews>
    <sheetView view="pageBreakPreview" zoomScale="60" zoomScaleNormal="100" zoomScalePageLayoutView="85" workbookViewId="0">
      <selection activeCell="A71" sqref="A71"/>
    </sheetView>
  </sheetViews>
  <sheetFormatPr baseColWidth="10" defaultRowHeight="12.75" x14ac:dyDescent="0.2"/>
  <cols>
    <col min="1" max="1" width="47.7109375" customWidth="1"/>
    <col min="2" max="14" width="13.7109375" customWidth="1"/>
    <col min="15" max="15" width="13.28515625" customWidth="1"/>
  </cols>
  <sheetData>
    <row r="1" spans="1:15" ht="20.25" customHeight="1" x14ac:dyDescent="0.25">
      <c r="A1" s="10" t="s">
        <v>879</v>
      </c>
    </row>
    <row r="2" spans="1:15" ht="7.5" customHeight="1" x14ac:dyDescent="0.2"/>
    <row r="3" spans="1:15" ht="7.5" customHeight="1" x14ac:dyDescent="0.2">
      <c r="A3" s="1"/>
      <c r="B3" s="1"/>
      <c r="C3" s="1"/>
      <c r="D3" s="1"/>
      <c r="E3" s="1"/>
      <c r="F3" s="1"/>
      <c r="G3" s="1"/>
      <c r="H3" s="1"/>
      <c r="I3" s="1"/>
      <c r="J3" s="1"/>
      <c r="K3" s="1"/>
      <c r="L3" s="1"/>
      <c r="M3" s="1"/>
      <c r="N3" s="1"/>
      <c r="O3" s="2"/>
    </row>
    <row r="4" spans="1:15" x14ac:dyDescent="0.2">
      <c r="A4" s="3"/>
      <c r="B4" s="11" t="s">
        <v>35</v>
      </c>
      <c r="C4" s="11" t="s">
        <v>121</v>
      </c>
      <c r="D4" s="11" t="s">
        <v>123</v>
      </c>
      <c r="E4" s="11" t="s">
        <v>36</v>
      </c>
      <c r="F4" s="11" t="s">
        <v>37</v>
      </c>
      <c r="G4" s="11" t="s">
        <v>38</v>
      </c>
      <c r="H4" s="11" t="s">
        <v>39</v>
      </c>
      <c r="I4" s="11" t="s">
        <v>125</v>
      </c>
      <c r="J4" s="11" t="s">
        <v>126</v>
      </c>
      <c r="K4" s="11" t="s">
        <v>127</v>
      </c>
      <c r="L4" s="209">
        <v>100000</v>
      </c>
      <c r="M4" s="201" t="s">
        <v>227</v>
      </c>
      <c r="N4" s="201" t="s">
        <v>227</v>
      </c>
      <c r="O4" s="204" t="s">
        <v>77</v>
      </c>
    </row>
    <row r="5" spans="1:15" x14ac:dyDescent="0.2">
      <c r="A5" s="208" t="s">
        <v>147</v>
      </c>
      <c r="B5" s="11" t="s">
        <v>120</v>
      </c>
      <c r="C5" s="11" t="s">
        <v>40</v>
      </c>
      <c r="D5" s="11" t="s">
        <v>40</v>
      </c>
      <c r="E5" s="11" t="s">
        <v>40</v>
      </c>
      <c r="F5" s="11" t="s">
        <v>40</v>
      </c>
      <c r="G5" s="11" t="s">
        <v>40</v>
      </c>
      <c r="H5" s="11" t="s">
        <v>40</v>
      </c>
      <c r="I5" s="11" t="s">
        <v>40</v>
      </c>
      <c r="J5" s="11" t="s">
        <v>40</v>
      </c>
      <c r="K5" s="11" t="s">
        <v>40</v>
      </c>
      <c r="L5" s="11" t="s">
        <v>43</v>
      </c>
      <c r="M5" s="683" t="s">
        <v>143</v>
      </c>
      <c r="N5" s="201" t="s">
        <v>83</v>
      </c>
      <c r="O5" s="204" t="s">
        <v>137</v>
      </c>
    </row>
    <row r="6" spans="1:15" x14ac:dyDescent="0.2">
      <c r="A6" s="3"/>
      <c r="B6" s="11" t="s">
        <v>43</v>
      </c>
      <c r="C6" s="11" t="s">
        <v>122</v>
      </c>
      <c r="D6" s="11" t="s">
        <v>124</v>
      </c>
      <c r="E6" s="11" t="s">
        <v>44</v>
      </c>
      <c r="F6" s="11" t="s">
        <v>45</v>
      </c>
      <c r="G6" s="11" t="s">
        <v>46</v>
      </c>
      <c r="H6" s="11" t="s">
        <v>42</v>
      </c>
      <c r="I6" s="11" t="s">
        <v>128</v>
      </c>
      <c r="J6" s="11" t="s">
        <v>129</v>
      </c>
      <c r="K6" s="11" t="s">
        <v>130</v>
      </c>
      <c r="L6" s="11" t="s">
        <v>131</v>
      </c>
      <c r="M6" s="201" t="s">
        <v>138</v>
      </c>
      <c r="N6" s="201" t="s">
        <v>136</v>
      </c>
      <c r="O6" s="204" t="s">
        <v>116</v>
      </c>
    </row>
    <row r="7" spans="1:15" ht="14.25" x14ac:dyDescent="0.2">
      <c r="A7" s="225" t="s">
        <v>276</v>
      </c>
    </row>
    <row r="8" spans="1:15" x14ac:dyDescent="0.2">
      <c r="A8" s="59" t="s">
        <v>152</v>
      </c>
      <c r="O8" s="68"/>
    </row>
    <row r="9" spans="1:15" ht="12.75" customHeight="1" x14ac:dyDescent="0.2">
      <c r="A9" s="246" t="s">
        <v>153</v>
      </c>
      <c r="B9" s="359">
        <v>3285</v>
      </c>
      <c r="C9" s="359">
        <v>5361</v>
      </c>
      <c r="D9" s="359">
        <v>9405</v>
      </c>
      <c r="E9" s="359">
        <v>10245</v>
      </c>
      <c r="F9" s="359">
        <v>1565</v>
      </c>
      <c r="G9" s="359">
        <v>560</v>
      </c>
      <c r="H9" s="359">
        <v>302</v>
      </c>
      <c r="I9" s="366">
        <v>16</v>
      </c>
      <c r="J9" s="366">
        <v>4</v>
      </c>
      <c r="K9" s="366" t="s">
        <v>102</v>
      </c>
      <c r="L9" s="366" t="s">
        <v>102</v>
      </c>
      <c r="M9" s="367">
        <v>30723</v>
      </c>
      <c r="N9" s="367">
        <v>20</v>
      </c>
      <c r="O9" s="368">
        <v>30743</v>
      </c>
    </row>
    <row r="10" spans="1:15" x14ac:dyDescent="0.2">
      <c r="A10" s="88" t="s">
        <v>156</v>
      </c>
      <c r="B10" s="360" t="s">
        <v>102</v>
      </c>
      <c r="C10" s="360">
        <v>2</v>
      </c>
      <c r="D10" s="360">
        <v>61</v>
      </c>
      <c r="E10" s="360">
        <v>1008</v>
      </c>
      <c r="F10" s="360">
        <v>733</v>
      </c>
      <c r="G10" s="360">
        <v>436</v>
      </c>
      <c r="H10" s="360">
        <v>925</v>
      </c>
      <c r="I10" s="369">
        <v>537</v>
      </c>
      <c r="J10" s="369">
        <v>357</v>
      </c>
      <c r="K10" s="369">
        <v>91</v>
      </c>
      <c r="L10" s="369">
        <v>42</v>
      </c>
      <c r="M10" s="313">
        <v>3165</v>
      </c>
      <c r="N10" s="313">
        <v>1027</v>
      </c>
      <c r="O10" s="312">
        <v>4192</v>
      </c>
    </row>
    <row r="11" spans="1:15" x14ac:dyDescent="0.2">
      <c r="A11" s="695" t="s">
        <v>217</v>
      </c>
      <c r="B11" s="696">
        <f>SUM(B9:B10)</f>
        <v>3285</v>
      </c>
      <c r="C11" s="696">
        <f t="shared" ref="C11:O11" si="0">SUM(C9:C10)</f>
        <v>5363</v>
      </c>
      <c r="D11" s="696">
        <f t="shared" si="0"/>
        <v>9466</v>
      </c>
      <c r="E11" s="696">
        <f t="shared" si="0"/>
        <v>11253</v>
      </c>
      <c r="F11" s="696">
        <f t="shared" si="0"/>
        <v>2298</v>
      </c>
      <c r="G11" s="696">
        <f t="shared" si="0"/>
        <v>996</v>
      </c>
      <c r="H11" s="696">
        <f t="shared" si="0"/>
        <v>1227</v>
      </c>
      <c r="I11" s="696">
        <f t="shared" si="0"/>
        <v>553</v>
      </c>
      <c r="J11" s="696">
        <f t="shared" si="0"/>
        <v>361</v>
      </c>
      <c r="K11" s="696">
        <f t="shared" si="0"/>
        <v>91</v>
      </c>
      <c r="L11" s="696">
        <f t="shared" si="0"/>
        <v>42</v>
      </c>
      <c r="M11" s="697">
        <f t="shared" si="0"/>
        <v>33888</v>
      </c>
      <c r="N11" s="697">
        <f t="shared" si="0"/>
        <v>1047</v>
      </c>
      <c r="O11" s="698">
        <f t="shared" si="0"/>
        <v>34935</v>
      </c>
    </row>
    <row r="12" spans="1:15" x14ac:dyDescent="0.2">
      <c r="A12" s="68" t="s">
        <v>704</v>
      </c>
      <c r="B12" s="361"/>
      <c r="C12" s="361"/>
      <c r="D12" s="361"/>
      <c r="E12" s="361"/>
      <c r="F12" s="361"/>
      <c r="G12" s="361"/>
      <c r="H12" s="361"/>
      <c r="I12" s="361"/>
      <c r="J12" s="361"/>
      <c r="K12" s="361"/>
      <c r="L12" s="361"/>
      <c r="M12" s="316"/>
      <c r="N12" s="316"/>
      <c r="O12" s="317"/>
    </row>
    <row r="13" spans="1:15" x14ac:dyDescent="0.2">
      <c r="A13" s="200" t="s">
        <v>703</v>
      </c>
      <c r="B13" s="362" t="s">
        <v>102</v>
      </c>
      <c r="C13" s="362" t="s">
        <v>102</v>
      </c>
      <c r="D13" s="362" t="s">
        <v>102</v>
      </c>
      <c r="E13" s="362">
        <v>10</v>
      </c>
      <c r="F13" s="362">
        <v>32</v>
      </c>
      <c r="G13" s="362">
        <v>45</v>
      </c>
      <c r="H13" s="362">
        <v>166</v>
      </c>
      <c r="I13" s="318">
        <v>191</v>
      </c>
      <c r="J13" s="318">
        <v>215</v>
      </c>
      <c r="K13" s="318">
        <v>73</v>
      </c>
      <c r="L13" s="318">
        <v>41</v>
      </c>
      <c r="M13" s="311">
        <v>253</v>
      </c>
      <c r="N13" s="967">
        <v>520</v>
      </c>
      <c r="O13" s="311">
        <v>773</v>
      </c>
    </row>
    <row r="14" spans="1:15" x14ac:dyDescent="0.2">
      <c r="A14" s="68" t="s">
        <v>697</v>
      </c>
      <c r="B14" s="361" t="s">
        <v>102</v>
      </c>
      <c r="C14" s="361" t="s">
        <v>102</v>
      </c>
      <c r="D14" s="361" t="s">
        <v>102</v>
      </c>
      <c r="E14" s="361">
        <v>8</v>
      </c>
      <c r="F14" s="361">
        <v>20</v>
      </c>
      <c r="G14" s="361">
        <v>23</v>
      </c>
      <c r="H14" s="361">
        <v>135</v>
      </c>
      <c r="I14" s="361">
        <v>225</v>
      </c>
      <c r="J14" s="319">
        <v>115</v>
      </c>
      <c r="K14" s="319">
        <v>18</v>
      </c>
      <c r="L14" s="319">
        <v>1</v>
      </c>
      <c r="M14" s="316">
        <v>186</v>
      </c>
      <c r="N14" s="316">
        <v>359</v>
      </c>
      <c r="O14" s="317">
        <v>545</v>
      </c>
    </row>
    <row r="15" spans="1:15" x14ac:dyDescent="0.2">
      <c r="A15" s="210" t="s">
        <v>698</v>
      </c>
      <c r="B15" s="321" t="s">
        <v>102</v>
      </c>
      <c r="C15" s="363">
        <v>2</v>
      </c>
      <c r="D15" s="363">
        <v>26</v>
      </c>
      <c r="E15" s="363">
        <v>263</v>
      </c>
      <c r="F15" s="363">
        <v>157</v>
      </c>
      <c r="G15" s="363">
        <v>108</v>
      </c>
      <c r="H15" s="363">
        <v>273</v>
      </c>
      <c r="I15" s="363">
        <v>63</v>
      </c>
      <c r="J15" s="363">
        <v>9</v>
      </c>
      <c r="K15" s="321" t="s">
        <v>102</v>
      </c>
      <c r="L15" s="318" t="s">
        <v>102</v>
      </c>
      <c r="M15" s="322">
        <v>829</v>
      </c>
      <c r="N15" s="322">
        <v>72</v>
      </c>
      <c r="O15" s="323">
        <v>901</v>
      </c>
    </row>
    <row r="16" spans="1:15" ht="12.75" customHeight="1" x14ac:dyDescent="0.2">
      <c r="A16" s="68" t="s">
        <v>699</v>
      </c>
      <c r="B16" s="364" t="s">
        <v>102</v>
      </c>
      <c r="C16" s="347" t="s">
        <v>102</v>
      </c>
      <c r="D16" s="347">
        <v>35</v>
      </c>
      <c r="E16" s="347">
        <v>727</v>
      </c>
      <c r="F16" s="347">
        <v>524</v>
      </c>
      <c r="G16" s="347">
        <v>260</v>
      </c>
      <c r="H16" s="347">
        <v>351</v>
      </c>
      <c r="I16" s="347">
        <v>58</v>
      </c>
      <c r="J16" s="347">
        <v>18</v>
      </c>
      <c r="K16" s="364" t="s">
        <v>102</v>
      </c>
      <c r="L16" s="364" t="s">
        <v>102</v>
      </c>
      <c r="M16" s="346">
        <v>1897</v>
      </c>
      <c r="N16" s="346">
        <v>76</v>
      </c>
      <c r="O16" s="346">
        <v>1973</v>
      </c>
    </row>
    <row r="17" spans="1:21" x14ac:dyDescent="0.2">
      <c r="A17" s="200" t="s">
        <v>700</v>
      </c>
      <c r="B17" s="318">
        <v>2</v>
      </c>
      <c r="C17" s="318">
        <v>11</v>
      </c>
      <c r="D17" s="362">
        <v>154</v>
      </c>
      <c r="E17" s="362">
        <v>3035</v>
      </c>
      <c r="F17" s="362">
        <v>1161</v>
      </c>
      <c r="G17" s="362">
        <v>468</v>
      </c>
      <c r="H17" s="362">
        <v>256</v>
      </c>
      <c r="I17" s="362">
        <v>13</v>
      </c>
      <c r="J17" s="362">
        <v>4</v>
      </c>
      <c r="K17" s="362" t="s">
        <v>102</v>
      </c>
      <c r="L17" s="318" t="s">
        <v>102</v>
      </c>
      <c r="M17" s="311">
        <v>5087</v>
      </c>
      <c r="N17" s="311">
        <v>17</v>
      </c>
      <c r="O17" s="310">
        <v>5104</v>
      </c>
    </row>
    <row r="18" spans="1:21" x14ac:dyDescent="0.2">
      <c r="A18" s="68" t="s">
        <v>701</v>
      </c>
      <c r="B18" s="319">
        <v>1093</v>
      </c>
      <c r="C18" s="319">
        <v>3243</v>
      </c>
      <c r="D18" s="361">
        <v>6949</v>
      </c>
      <c r="E18" s="361">
        <v>6577</v>
      </c>
      <c r="F18" s="361">
        <v>382</v>
      </c>
      <c r="G18" s="361">
        <v>90</v>
      </c>
      <c r="H18" s="361">
        <v>43</v>
      </c>
      <c r="I18" s="361">
        <v>3</v>
      </c>
      <c r="J18" s="361" t="s">
        <v>102</v>
      </c>
      <c r="K18" s="361" t="s">
        <v>102</v>
      </c>
      <c r="L18" s="361" t="s">
        <v>102</v>
      </c>
      <c r="M18" s="316">
        <v>18377</v>
      </c>
      <c r="N18" s="316">
        <v>3</v>
      </c>
      <c r="O18" s="317">
        <v>18380</v>
      </c>
    </row>
    <row r="19" spans="1:21" x14ac:dyDescent="0.2">
      <c r="A19" s="212" t="s">
        <v>702</v>
      </c>
      <c r="B19" s="318">
        <v>2190</v>
      </c>
      <c r="C19" s="370">
        <v>2107</v>
      </c>
      <c r="D19" s="370">
        <v>2302</v>
      </c>
      <c r="E19" s="370">
        <v>632</v>
      </c>
      <c r="F19" s="370">
        <v>22</v>
      </c>
      <c r="G19" s="370">
        <v>2</v>
      </c>
      <c r="H19" s="370">
        <v>3</v>
      </c>
      <c r="I19" s="370" t="s">
        <v>102</v>
      </c>
      <c r="J19" s="370" t="s">
        <v>102</v>
      </c>
      <c r="K19" s="370" t="s">
        <v>102</v>
      </c>
      <c r="L19" s="371" t="s">
        <v>102</v>
      </c>
      <c r="M19" s="372">
        <v>7258</v>
      </c>
      <c r="N19" s="372" t="s">
        <v>102</v>
      </c>
      <c r="O19" s="373">
        <v>7258</v>
      </c>
    </row>
    <row r="20" spans="1:21" x14ac:dyDescent="0.2">
      <c r="A20" s="953" t="s">
        <v>441</v>
      </c>
      <c r="B20" s="954">
        <f>SUM(B13:B19)</f>
        <v>3285</v>
      </c>
      <c r="C20" s="954">
        <f t="shared" ref="C20" si="1">SUM(C13:C19)</f>
        <v>5363</v>
      </c>
      <c r="D20" s="954">
        <f t="shared" ref="D20" si="2">SUM(D13:D19)</f>
        <v>9466</v>
      </c>
      <c r="E20" s="954">
        <f t="shared" ref="E20" si="3">SUM(E13:E19)</f>
        <v>11252</v>
      </c>
      <c r="F20" s="954">
        <f t="shared" ref="F20" si="4">SUM(F13:F19)</f>
        <v>2298</v>
      </c>
      <c r="G20" s="954">
        <f t="shared" ref="G20" si="5">SUM(G13:G19)</f>
        <v>996</v>
      </c>
      <c r="H20" s="954">
        <f t="shared" ref="H20" si="6">SUM(H13:H19)</f>
        <v>1227</v>
      </c>
      <c r="I20" s="954">
        <f t="shared" ref="I20" si="7">SUM(I13:I19)</f>
        <v>553</v>
      </c>
      <c r="J20" s="954">
        <f t="shared" ref="J20" si="8">SUM(J13:J19)</f>
        <v>361</v>
      </c>
      <c r="K20" s="954">
        <f t="shared" ref="K20" si="9">SUM(K13:K19)</f>
        <v>91</v>
      </c>
      <c r="L20" s="954">
        <f t="shared" ref="L20" si="10">SUM(L13:L19)</f>
        <v>42</v>
      </c>
      <c r="M20" s="955">
        <f t="shared" ref="M20" si="11">SUM(M13:M19)</f>
        <v>33887</v>
      </c>
      <c r="N20" s="955">
        <f t="shared" ref="N20" si="12">SUM(N13:N19)</f>
        <v>1047</v>
      </c>
      <c r="O20" s="956">
        <f t="shared" ref="O20" si="13">SUM(O13:O19)</f>
        <v>34934</v>
      </c>
    </row>
    <row r="21" spans="1:21" x14ac:dyDescent="0.2">
      <c r="A21" s="957" t="s">
        <v>281</v>
      </c>
      <c r="B21" s="699"/>
      <c r="C21" s="699"/>
      <c r="D21" s="699"/>
      <c r="E21" s="699"/>
      <c r="F21" s="699"/>
      <c r="G21" s="699"/>
      <c r="H21" s="699"/>
      <c r="I21" s="700"/>
      <c r="J21" s="759"/>
      <c r="K21" s="759"/>
      <c r="L21" s="759"/>
      <c r="M21" s="701"/>
      <c r="N21" s="701"/>
      <c r="O21" s="702"/>
    </row>
    <row r="22" spans="1:21" x14ac:dyDescent="0.2">
      <c r="A22" s="214" t="s">
        <v>153</v>
      </c>
      <c r="B22" s="757">
        <f>B9/B$11</f>
        <v>1</v>
      </c>
      <c r="C22" s="757">
        <f t="shared" ref="C22:O22" si="14">C9/C$11</f>
        <v>0.9996270743986575</v>
      </c>
      <c r="D22" s="333">
        <f t="shared" si="14"/>
        <v>0.99355588421719843</v>
      </c>
      <c r="E22" s="333">
        <f t="shared" si="14"/>
        <v>0.91042388696347643</v>
      </c>
      <c r="F22" s="333">
        <f t="shared" si="14"/>
        <v>0.68102697998259354</v>
      </c>
      <c r="G22" s="333">
        <f t="shared" si="14"/>
        <v>0.56224899598393574</v>
      </c>
      <c r="H22" s="333">
        <f t="shared" si="14"/>
        <v>0.24612876935615322</v>
      </c>
      <c r="I22" s="375">
        <f t="shared" si="14"/>
        <v>2.8933092224231464E-2</v>
      </c>
      <c r="J22" s="375">
        <f t="shared" si="14"/>
        <v>1.1080332409972299E-2</v>
      </c>
      <c r="K22" s="375" t="s">
        <v>102</v>
      </c>
      <c r="L22" s="375" t="s">
        <v>102</v>
      </c>
      <c r="M22" s="334">
        <f t="shared" si="14"/>
        <v>0.90660410764872523</v>
      </c>
      <c r="N22" s="334">
        <f t="shared" si="14"/>
        <v>1.9102196752626553E-2</v>
      </c>
      <c r="O22" s="335">
        <f t="shared" si="14"/>
        <v>0.88000572491770435</v>
      </c>
    </row>
    <row r="23" spans="1:21" s="192" customFormat="1" x14ac:dyDescent="0.2">
      <c r="A23" s="542" t="s">
        <v>156</v>
      </c>
      <c r="B23" s="759" t="s">
        <v>102</v>
      </c>
      <c r="C23" s="759" t="s">
        <v>102</v>
      </c>
      <c r="D23" s="759">
        <f t="shared" ref="D23:O23" si="15">D10/D$11</f>
        <v>6.4441157828016059E-3</v>
      </c>
      <c r="E23" s="759">
        <f t="shared" si="15"/>
        <v>8.9576113036523589E-2</v>
      </c>
      <c r="F23" s="759">
        <f t="shared" si="15"/>
        <v>0.31897302001740646</v>
      </c>
      <c r="G23" s="759">
        <f t="shared" si="15"/>
        <v>0.43775100401606426</v>
      </c>
      <c r="H23" s="759">
        <f t="shared" si="15"/>
        <v>0.75387123064384676</v>
      </c>
      <c r="I23" s="759">
        <f t="shared" si="15"/>
        <v>0.97106690777576854</v>
      </c>
      <c r="J23" s="759">
        <f t="shared" si="15"/>
        <v>0.9889196675900277</v>
      </c>
      <c r="K23" s="759">
        <f t="shared" si="15"/>
        <v>1</v>
      </c>
      <c r="L23" s="759">
        <f t="shared" si="15"/>
        <v>1</v>
      </c>
      <c r="M23" s="701">
        <f t="shared" si="15"/>
        <v>9.3395892351274781E-2</v>
      </c>
      <c r="N23" s="701">
        <f t="shared" si="15"/>
        <v>0.98089780324737341</v>
      </c>
      <c r="O23" s="702">
        <f t="shared" si="15"/>
        <v>0.1199942750822957</v>
      </c>
      <c r="P23"/>
      <c r="Q23"/>
      <c r="R23"/>
      <c r="S23"/>
      <c r="T23"/>
      <c r="U23"/>
    </row>
    <row r="24" spans="1:21" x14ac:dyDescent="0.2">
      <c r="A24" s="8" t="s">
        <v>441</v>
      </c>
      <c r="B24" s="958">
        <f t="shared" ref="B24:O24" si="16">B11/B$11</f>
        <v>1</v>
      </c>
      <c r="C24" s="958">
        <f t="shared" si="16"/>
        <v>1</v>
      </c>
      <c r="D24" s="958">
        <f t="shared" si="16"/>
        <v>1</v>
      </c>
      <c r="E24" s="958">
        <f t="shared" si="16"/>
        <v>1</v>
      </c>
      <c r="F24" s="958">
        <f t="shared" si="16"/>
        <v>1</v>
      </c>
      <c r="G24" s="958">
        <f t="shared" si="16"/>
        <v>1</v>
      </c>
      <c r="H24" s="958">
        <f t="shared" si="16"/>
        <v>1</v>
      </c>
      <c r="I24" s="958">
        <f t="shared" si="16"/>
        <v>1</v>
      </c>
      <c r="J24" s="958">
        <f t="shared" si="16"/>
        <v>1</v>
      </c>
      <c r="K24" s="958">
        <f t="shared" si="16"/>
        <v>1</v>
      </c>
      <c r="L24" s="958">
        <f t="shared" si="16"/>
        <v>1</v>
      </c>
      <c r="M24" s="803">
        <f t="shared" si="16"/>
        <v>1</v>
      </c>
      <c r="N24" s="803">
        <f t="shared" si="16"/>
        <v>1</v>
      </c>
      <c r="O24" s="959">
        <f t="shared" si="16"/>
        <v>1</v>
      </c>
    </row>
    <row r="25" spans="1:21" x14ac:dyDescent="0.2">
      <c r="A25" s="948" t="s">
        <v>705</v>
      </c>
      <c r="B25" s="330"/>
      <c r="C25" s="330"/>
      <c r="D25" s="330"/>
      <c r="E25" s="330"/>
      <c r="F25" s="330"/>
      <c r="G25" s="330"/>
      <c r="H25" s="330"/>
      <c r="I25" s="330"/>
      <c r="J25" s="330"/>
      <c r="K25" s="330"/>
      <c r="L25" s="330"/>
      <c r="M25" s="336"/>
      <c r="N25" s="336"/>
      <c r="O25" s="337"/>
    </row>
    <row r="26" spans="1:21" x14ac:dyDescent="0.2">
      <c r="A26" s="770" t="s">
        <v>703</v>
      </c>
      <c r="B26" s="375" t="s">
        <v>102</v>
      </c>
      <c r="C26" s="343" t="s">
        <v>102</v>
      </c>
      <c r="D26" s="343" t="s">
        <v>102</v>
      </c>
      <c r="E26" s="343">
        <f t="shared" ref="E26:O26" si="17">E13/E$20</f>
        <v>8.8873089228581588E-4</v>
      </c>
      <c r="F26" s="343">
        <f t="shared" si="17"/>
        <v>1.392515230635335E-2</v>
      </c>
      <c r="G26" s="343">
        <f t="shared" si="17"/>
        <v>4.5180722891566265E-2</v>
      </c>
      <c r="H26" s="343">
        <f t="shared" si="17"/>
        <v>0.13528932355338225</v>
      </c>
      <c r="I26" s="343">
        <f t="shared" si="17"/>
        <v>0.34538878842676313</v>
      </c>
      <c r="J26" s="343">
        <f t="shared" si="17"/>
        <v>0.59556786703601106</v>
      </c>
      <c r="K26" s="343">
        <f t="shared" si="17"/>
        <v>0.80219780219780223</v>
      </c>
      <c r="L26" s="343">
        <f t="shared" si="17"/>
        <v>0.97619047619047616</v>
      </c>
      <c r="M26" s="351">
        <f t="shared" si="17"/>
        <v>7.4659899076341962E-3</v>
      </c>
      <c r="N26" s="351">
        <f t="shared" si="17"/>
        <v>0.49665711556829034</v>
      </c>
      <c r="O26" s="352">
        <f t="shared" si="17"/>
        <v>2.2127440316024503E-2</v>
      </c>
    </row>
    <row r="27" spans="1:21" x14ac:dyDescent="0.2">
      <c r="A27" s="947" t="s">
        <v>697</v>
      </c>
      <c r="B27" s="756" t="s">
        <v>102</v>
      </c>
      <c r="C27" s="330" t="s">
        <v>102</v>
      </c>
      <c r="D27" s="330" t="s">
        <v>102</v>
      </c>
      <c r="E27" s="330">
        <f t="shared" ref="E27:O27" si="18">E14/E$20</f>
        <v>7.1098471382865266E-4</v>
      </c>
      <c r="F27" s="330">
        <f t="shared" si="18"/>
        <v>8.7032201914708437E-3</v>
      </c>
      <c r="G27" s="330">
        <f t="shared" si="18"/>
        <v>2.3092369477911646E-2</v>
      </c>
      <c r="H27" s="330">
        <f t="shared" si="18"/>
        <v>0.1100244498777506</v>
      </c>
      <c r="I27" s="330">
        <f t="shared" si="18"/>
        <v>0.40687160940325495</v>
      </c>
      <c r="J27" s="330">
        <f t="shared" si="18"/>
        <v>0.31855955678670361</v>
      </c>
      <c r="K27" s="330">
        <f t="shared" si="18"/>
        <v>0.19780219780219779</v>
      </c>
      <c r="L27" s="330">
        <f t="shared" si="18"/>
        <v>2.3809523809523808E-2</v>
      </c>
      <c r="M27" s="336">
        <f t="shared" si="18"/>
        <v>5.4888305249800812E-3</v>
      </c>
      <c r="N27" s="336">
        <f t="shared" si="18"/>
        <v>0.34288443170964661</v>
      </c>
      <c r="O27" s="337">
        <f t="shared" si="18"/>
        <v>1.5600847312074197E-2</v>
      </c>
    </row>
    <row r="28" spans="1:21" x14ac:dyDescent="0.2">
      <c r="A28" s="770" t="s">
        <v>698</v>
      </c>
      <c r="B28" s="343" t="s">
        <v>102</v>
      </c>
      <c r="C28" s="343">
        <f t="shared" ref="B28:O30" si="19">C15/C$20</f>
        <v>3.7292560134253216E-4</v>
      </c>
      <c r="D28" s="343">
        <f t="shared" ref="D28:O28" si="20">D15/D$20</f>
        <v>2.746672300866258E-3</v>
      </c>
      <c r="E28" s="343">
        <f t="shared" si="20"/>
        <v>2.3373622467116956E-2</v>
      </c>
      <c r="F28" s="343">
        <f t="shared" si="20"/>
        <v>6.8320278503046131E-2</v>
      </c>
      <c r="G28" s="343">
        <f t="shared" si="20"/>
        <v>0.10843373493975904</v>
      </c>
      <c r="H28" s="343">
        <f t="shared" si="20"/>
        <v>0.22249388753056235</v>
      </c>
      <c r="I28" s="343">
        <f t="shared" si="20"/>
        <v>0.11392405063291139</v>
      </c>
      <c r="J28" s="343">
        <f t="shared" si="20"/>
        <v>2.4930747922437674E-2</v>
      </c>
      <c r="K28" s="343" t="s">
        <v>102</v>
      </c>
      <c r="L28" s="343" t="s">
        <v>102</v>
      </c>
      <c r="M28" s="351">
        <f t="shared" si="20"/>
        <v>2.4463658630153155E-2</v>
      </c>
      <c r="N28" s="351">
        <f t="shared" si="20"/>
        <v>6.8767908309455589E-2</v>
      </c>
      <c r="O28" s="352">
        <f t="shared" si="20"/>
        <v>2.5791492528768535E-2</v>
      </c>
    </row>
    <row r="29" spans="1:21" x14ac:dyDescent="0.2">
      <c r="A29" s="948" t="s">
        <v>699</v>
      </c>
      <c r="B29" s="330" t="s">
        <v>102</v>
      </c>
      <c r="C29" s="330" t="s">
        <v>102</v>
      </c>
      <c r="D29" s="330">
        <f t="shared" ref="D29:O29" si="21">D16/D$20</f>
        <v>3.6974434819353474E-3</v>
      </c>
      <c r="E29" s="330">
        <f t="shared" si="21"/>
        <v>6.4610735869178815E-2</v>
      </c>
      <c r="F29" s="330">
        <f t="shared" si="21"/>
        <v>0.22802436901653611</v>
      </c>
      <c r="G29" s="330">
        <f t="shared" si="21"/>
        <v>0.26104417670682734</v>
      </c>
      <c r="H29" s="330">
        <f t="shared" si="21"/>
        <v>0.28606356968215157</v>
      </c>
      <c r="I29" s="330">
        <f t="shared" si="21"/>
        <v>0.10488245931283906</v>
      </c>
      <c r="J29" s="330">
        <f t="shared" si="21"/>
        <v>4.9861495844875349E-2</v>
      </c>
      <c r="K29" s="330" t="s">
        <v>102</v>
      </c>
      <c r="L29" s="330" t="s">
        <v>102</v>
      </c>
      <c r="M29" s="336">
        <f t="shared" si="21"/>
        <v>5.5980169386490392E-2</v>
      </c>
      <c r="N29" s="336">
        <f t="shared" si="21"/>
        <v>7.2588347659980901E-2</v>
      </c>
      <c r="O29" s="337">
        <f t="shared" si="21"/>
        <v>5.6477929810499802E-2</v>
      </c>
    </row>
    <row r="30" spans="1:21" x14ac:dyDescent="0.2">
      <c r="A30" s="770" t="s">
        <v>700</v>
      </c>
      <c r="B30" s="343">
        <f t="shared" si="19"/>
        <v>6.0882800608828011E-4</v>
      </c>
      <c r="C30" s="343">
        <f t="shared" si="19"/>
        <v>2.0510908073839268E-3</v>
      </c>
      <c r="D30" s="343">
        <f t="shared" si="19"/>
        <v>1.6268751320515529E-2</v>
      </c>
      <c r="E30" s="343">
        <f t="shared" si="19"/>
        <v>0.26972982580874511</v>
      </c>
      <c r="F30" s="343">
        <f t="shared" si="19"/>
        <v>0.50522193211488253</v>
      </c>
      <c r="G30" s="343">
        <f t="shared" si="19"/>
        <v>0.46987951807228917</v>
      </c>
      <c r="H30" s="343">
        <f t="shared" si="19"/>
        <v>0.20863895680521596</v>
      </c>
      <c r="I30" s="343">
        <f t="shared" si="19"/>
        <v>2.3508137432188065E-2</v>
      </c>
      <c r="J30" s="343">
        <f t="shared" si="19"/>
        <v>1.1080332409972299E-2</v>
      </c>
      <c r="K30" s="343" t="s">
        <v>102</v>
      </c>
      <c r="L30" s="343" t="s">
        <v>102</v>
      </c>
      <c r="M30" s="351">
        <f t="shared" si="19"/>
        <v>0.15011656387405201</v>
      </c>
      <c r="N30" s="351">
        <f t="shared" si="19"/>
        <v>1.6236867239732569E-2</v>
      </c>
      <c r="O30" s="352">
        <f t="shared" si="19"/>
        <v>0.14610408198316827</v>
      </c>
    </row>
    <row r="31" spans="1:21" x14ac:dyDescent="0.2">
      <c r="A31" s="949" t="s">
        <v>701</v>
      </c>
      <c r="B31" s="950">
        <f t="shared" ref="B31:O31" si="22">B18/B$20</f>
        <v>0.33272450532724507</v>
      </c>
      <c r="C31" s="950">
        <f t="shared" si="22"/>
        <v>0.60469886257691585</v>
      </c>
      <c r="D31" s="950">
        <f t="shared" si="22"/>
        <v>0.73410099302767795</v>
      </c>
      <c r="E31" s="950">
        <f t="shared" si="22"/>
        <v>0.58451830785638104</v>
      </c>
      <c r="F31" s="950">
        <f t="shared" si="22"/>
        <v>0.16623150565709313</v>
      </c>
      <c r="G31" s="950">
        <f t="shared" si="22"/>
        <v>9.036144578313253E-2</v>
      </c>
      <c r="H31" s="950">
        <f t="shared" si="22"/>
        <v>3.5044824775876122E-2</v>
      </c>
      <c r="I31" s="950">
        <f t="shared" si="22"/>
        <v>5.4249547920433997E-3</v>
      </c>
      <c r="J31" s="950" t="s">
        <v>102</v>
      </c>
      <c r="K31" s="950" t="s">
        <v>102</v>
      </c>
      <c r="L31" s="950" t="s">
        <v>102</v>
      </c>
      <c r="M31" s="951">
        <f t="shared" si="22"/>
        <v>0.5423023578363384</v>
      </c>
      <c r="N31" s="951">
        <f t="shared" si="22"/>
        <v>2.8653295128939827E-3</v>
      </c>
      <c r="O31" s="952">
        <f t="shared" si="22"/>
        <v>0.52613499742371328</v>
      </c>
    </row>
    <row r="32" spans="1:21" s="68" customFormat="1" x14ac:dyDescent="0.2">
      <c r="A32" s="208" t="s">
        <v>702</v>
      </c>
      <c r="B32" s="960">
        <f t="shared" ref="B32:O32" si="23">B19/B$20</f>
        <v>0.66666666666666663</v>
      </c>
      <c r="C32" s="960">
        <f t="shared" si="23"/>
        <v>0.39287712101435762</v>
      </c>
      <c r="D32" s="960">
        <f t="shared" si="23"/>
        <v>0.24318613986900486</v>
      </c>
      <c r="E32" s="960">
        <f t="shared" si="23"/>
        <v>5.6167792392463563E-2</v>
      </c>
      <c r="F32" s="960">
        <f t="shared" si="23"/>
        <v>9.5735422106179285E-3</v>
      </c>
      <c r="G32" s="960">
        <f t="shared" si="23"/>
        <v>2.008032128514056E-3</v>
      </c>
      <c r="H32" s="960">
        <f t="shared" si="23"/>
        <v>2.4449877750611247E-3</v>
      </c>
      <c r="I32" s="960" t="s">
        <v>102</v>
      </c>
      <c r="J32" s="960" t="s">
        <v>102</v>
      </c>
      <c r="K32" s="960" t="s">
        <v>102</v>
      </c>
      <c r="L32" s="960" t="s">
        <v>102</v>
      </c>
      <c r="M32" s="961">
        <f t="shared" si="23"/>
        <v>0.21418242984035177</v>
      </c>
      <c r="N32" s="961" t="s">
        <v>102</v>
      </c>
      <c r="O32" s="962">
        <f t="shared" si="23"/>
        <v>0.20776321062575143</v>
      </c>
    </row>
    <row r="33" spans="1:16" x14ac:dyDescent="0.2">
      <c r="A33" s="963" t="s">
        <v>441</v>
      </c>
      <c r="B33" s="964">
        <f t="shared" ref="B33:O33" si="24">B20/B$20</f>
        <v>1</v>
      </c>
      <c r="C33" s="964">
        <f t="shared" si="24"/>
        <v>1</v>
      </c>
      <c r="D33" s="964">
        <f t="shared" si="24"/>
        <v>1</v>
      </c>
      <c r="E33" s="964">
        <f t="shared" si="24"/>
        <v>1</v>
      </c>
      <c r="F33" s="964">
        <f t="shared" si="24"/>
        <v>1</v>
      </c>
      <c r="G33" s="964">
        <f t="shared" si="24"/>
        <v>1</v>
      </c>
      <c r="H33" s="964">
        <f t="shared" si="24"/>
        <v>1</v>
      </c>
      <c r="I33" s="964">
        <f t="shared" si="24"/>
        <v>1</v>
      </c>
      <c r="J33" s="964">
        <f t="shared" si="24"/>
        <v>1</v>
      </c>
      <c r="K33" s="964">
        <f t="shared" si="24"/>
        <v>1</v>
      </c>
      <c r="L33" s="964">
        <f t="shared" si="24"/>
        <v>1</v>
      </c>
      <c r="M33" s="965">
        <f t="shared" si="24"/>
        <v>1</v>
      </c>
      <c r="N33" s="965">
        <f t="shared" si="24"/>
        <v>1</v>
      </c>
      <c r="O33" s="966">
        <f t="shared" si="24"/>
        <v>1</v>
      </c>
    </row>
    <row r="34" spans="1:16" s="16" customFormat="1" x14ac:dyDescent="0.2">
      <c r="A34" s="193" t="s">
        <v>277</v>
      </c>
      <c r="B34"/>
      <c r="C34"/>
      <c r="D34"/>
      <c r="E34"/>
      <c r="F34"/>
      <c r="G34"/>
      <c r="H34"/>
      <c r="I34"/>
      <c r="J34"/>
      <c r="K34"/>
      <c r="L34"/>
      <c r="M34"/>
      <c r="N34"/>
      <c r="O34"/>
    </row>
    <row r="35" spans="1:16" x14ac:dyDescent="0.2">
      <c r="A35" s="9" t="s">
        <v>1004</v>
      </c>
      <c r="P35" s="59"/>
    </row>
    <row r="36" spans="1:16" ht="12.75" customHeight="1" x14ac:dyDescent="0.2">
      <c r="A36" s="193" t="s">
        <v>881</v>
      </c>
      <c r="B36" s="224"/>
      <c r="C36" s="224"/>
      <c r="D36" s="224"/>
      <c r="E36" s="16"/>
      <c r="F36" s="16"/>
      <c r="G36" s="185"/>
      <c r="H36" s="16"/>
      <c r="I36" s="16"/>
      <c r="J36" s="185"/>
      <c r="K36" s="16"/>
      <c r="L36" s="16"/>
      <c r="M36" s="16"/>
      <c r="N36" s="16"/>
      <c r="O36" s="16"/>
    </row>
    <row r="38" spans="1:16" ht="17.25" customHeight="1" x14ac:dyDescent="0.25">
      <c r="A38" s="10" t="s">
        <v>880</v>
      </c>
    </row>
    <row r="39" spans="1:16" ht="7.5" customHeight="1" x14ac:dyDescent="0.2"/>
    <row r="40" spans="1:16" x14ac:dyDescent="0.2">
      <c r="A40" s="1"/>
      <c r="B40" s="1"/>
      <c r="C40" s="1"/>
      <c r="D40" s="1"/>
      <c r="E40" s="1"/>
      <c r="F40" s="1"/>
      <c r="G40" s="1"/>
      <c r="H40" s="1"/>
      <c r="I40" s="1"/>
      <c r="J40" s="1"/>
      <c r="K40" s="1"/>
      <c r="L40" s="1"/>
      <c r="M40" s="1"/>
      <c r="N40" s="1"/>
      <c r="O40" s="2"/>
    </row>
    <row r="41" spans="1:16" x14ac:dyDescent="0.2">
      <c r="A41" s="3"/>
      <c r="B41" s="11" t="s">
        <v>35</v>
      </c>
      <c r="C41" s="11" t="s">
        <v>121</v>
      </c>
      <c r="D41" s="11" t="s">
        <v>123</v>
      </c>
      <c r="E41" s="11" t="s">
        <v>36</v>
      </c>
      <c r="F41" s="11" t="s">
        <v>37</v>
      </c>
      <c r="G41" s="11" t="s">
        <v>38</v>
      </c>
      <c r="H41" s="11" t="s">
        <v>39</v>
      </c>
      <c r="I41" s="11" t="s">
        <v>125</v>
      </c>
      <c r="J41" s="11" t="s">
        <v>126</v>
      </c>
      <c r="K41" s="11" t="s">
        <v>127</v>
      </c>
      <c r="L41" s="209">
        <v>100000</v>
      </c>
      <c r="M41" s="201" t="s">
        <v>228</v>
      </c>
      <c r="N41" s="201" t="s">
        <v>228</v>
      </c>
      <c r="O41" s="204" t="s">
        <v>77</v>
      </c>
    </row>
    <row r="42" spans="1:16" x14ac:dyDescent="0.2">
      <c r="A42" s="208" t="s">
        <v>147</v>
      </c>
      <c r="B42" s="11" t="s">
        <v>120</v>
      </c>
      <c r="C42" s="11" t="s">
        <v>40</v>
      </c>
      <c r="D42" s="11" t="s">
        <v>40</v>
      </c>
      <c r="E42" s="11" t="s">
        <v>40</v>
      </c>
      <c r="F42" s="11" t="s">
        <v>40</v>
      </c>
      <c r="G42" s="11" t="s">
        <v>40</v>
      </c>
      <c r="H42" s="11" t="s">
        <v>40</v>
      </c>
      <c r="I42" s="11" t="s">
        <v>40</v>
      </c>
      <c r="J42" s="11" t="s">
        <v>40</v>
      </c>
      <c r="K42" s="11" t="s">
        <v>40</v>
      </c>
      <c r="L42" s="11" t="s">
        <v>43</v>
      </c>
      <c r="M42" s="201" t="s">
        <v>230</v>
      </c>
      <c r="N42" s="201" t="s">
        <v>138</v>
      </c>
      <c r="O42" s="204" t="s">
        <v>137</v>
      </c>
    </row>
    <row r="43" spans="1:16" x14ac:dyDescent="0.2">
      <c r="A43" s="3"/>
      <c r="B43" s="11" t="s">
        <v>43</v>
      </c>
      <c r="C43" s="11" t="s">
        <v>122</v>
      </c>
      <c r="D43" s="11" t="s">
        <v>124</v>
      </c>
      <c r="E43" s="11" t="s">
        <v>44</v>
      </c>
      <c r="F43" s="11" t="s">
        <v>45</v>
      </c>
      <c r="G43" s="11" t="s">
        <v>46</v>
      </c>
      <c r="H43" s="11" t="s">
        <v>42</v>
      </c>
      <c r="I43" s="11" t="s">
        <v>128</v>
      </c>
      <c r="J43" s="11" t="s">
        <v>129</v>
      </c>
      <c r="K43" s="11" t="s">
        <v>130</v>
      </c>
      <c r="L43" s="11" t="s">
        <v>131</v>
      </c>
      <c r="M43" s="201" t="s">
        <v>138</v>
      </c>
      <c r="N43" s="201" t="s">
        <v>131</v>
      </c>
      <c r="O43" s="204" t="s">
        <v>41</v>
      </c>
    </row>
    <row r="44" spans="1:16" x14ac:dyDescent="0.2">
      <c r="A44" s="37" t="s">
        <v>282</v>
      </c>
      <c r="E44" s="14"/>
      <c r="F44" s="14"/>
    </row>
    <row r="45" spans="1:16" x14ac:dyDescent="0.2">
      <c r="A45" s="59" t="s">
        <v>157</v>
      </c>
      <c r="O45" s="68"/>
    </row>
    <row r="46" spans="1:16" ht="12.75" customHeight="1" x14ac:dyDescent="0.2">
      <c r="A46" s="246" t="s">
        <v>153</v>
      </c>
      <c r="B46" s="359">
        <v>213108</v>
      </c>
      <c r="C46" s="359">
        <v>790566</v>
      </c>
      <c r="D46" s="359">
        <v>3056843</v>
      </c>
      <c r="E46" s="359">
        <v>9876783</v>
      </c>
      <c r="F46" s="359">
        <v>4049756</v>
      </c>
      <c r="G46" s="359">
        <v>2313708</v>
      </c>
      <c r="H46" s="359">
        <v>1898664</v>
      </c>
      <c r="I46" s="366">
        <v>232425</v>
      </c>
      <c r="J46" s="366">
        <v>93620</v>
      </c>
      <c r="K46" s="366" t="s">
        <v>102</v>
      </c>
      <c r="L46" s="366" t="s">
        <v>102</v>
      </c>
      <c r="M46" s="367">
        <v>22199428</v>
      </c>
      <c r="N46" s="367">
        <v>326045</v>
      </c>
      <c r="O46" s="368">
        <v>22525473</v>
      </c>
    </row>
    <row r="47" spans="1:16" x14ac:dyDescent="0.2">
      <c r="A47" s="88" t="s">
        <v>156</v>
      </c>
      <c r="B47" s="360" t="s">
        <v>102</v>
      </c>
      <c r="C47" s="360">
        <v>389</v>
      </c>
      <c r="D47" s="360">
        <v>25360</v>
      </c>
      <c r="E47" s="360">
        <v>1230445</v>
      </c>
      <c r="F47" s="360">
        <v>1972083</v>
      </c>
      <c r="G47" s="360">
        <v>1833287</v>
      </c>
      <c r="H47" s="360">
        <v>6630769</v>
      </c>
      <c r="I47" s="369">
        <v>7313275</v>
      </c>
      <c r="J47" s="369">
        <v>10865081</v>
      </c>
      <c r="K47" s="369">
        <v>6134727</v>
      </c>
      <c r="L47" s="369">
        <v>10352571</v>
      </c>
      <c r="M47" s="313">
        <v>11692333</v>
      </c>
      <c r="N47" s="313">
        <v>34665654</v>
      </c>
      <c r="O47" s="312">
        <v>46357987</v>
      </c>
    </row>
    <row r="48" spans="1:16" x14ac:dyDescent="0.2">
      <c r="A48" s="695" t="s">
        <v>217</v>
      </c>
      <c r="B48" s="696">
        <f>SUM(B46:B47)</f>
        <v>213108</v>
      </c>
      <c r="C48" s="696">
        <f t="shared" ref="C48:O48" si="25">SUM(C46:C47)</f>
        <v>790955</v>
      </c>
      <c r="D48" s="696">
        <f t="shared" si="25"/>
        <v>3082203</v>
      </c>
      <c r="E48" s="696">
        <f t="shared" si="25"/>
        <v>11107228</v>
      </c>
      <c r="F48" s="696">
        <f t="shared" si="25"/>
        <v>6021839</v>
      </c>
      <c r="G48" s="696">
        <f t="shared" si="25"/>
        <v>4146995</v>
      </c>
      <c r="H48" s="696">
        <f t="shared" si="25"/>
        <v>8529433</v>
      </c>
      <c r="I48" s="696">
        <f t="shared" si="25"/>
        <v>7545700</v>
      </c>
      <c r="J48" s="696">
        <f t="shared" si="25"/>
        <v>10958701</v>
      </c>
      <c r="K48" s="696">
        <f t="shared" si="25"/>
        <v>6134727</v>
      </c>
      <c r="L48" s="696">
        <f t="shared" si="25"/>
        <v>10352571</v>
      </c>
      <c r="M48" s="697">
        <f t="shared" si="25"/>
        <v>33891761</v>
      </c>
      <c r="N48" s="697">
        <f t="shared" si="25"/>
        <v>34991699</v>
      </c>
      <c r="O48" s="698">
        <f t="shared" si="25"/>
        <v>68883460</v>
      </c>
    </row>
    <row r="49" spans="1:21" x14ac:dyDescent="0.2">
      <c r="A49" s="68" t="s">
        <v>704</v>
      </c>
      <c r="B49" s="361"/>
      <c r="C49" s="361"/>
      <c r="D49" s="361"/>
      <c r="E49" s="361"/>
      <c r="F49" s="361"/>
      <c r="G49" s="361"/>
      <c r="H49" s="361"/>
      <c r="I49" s="361"/>
      <c r="J49" s="361"/>
      <c r="K49" s="361"/>
      <c r="L49" s="361"/>
      <c r="M49" s="316"/>
      <c r="N49" s="316"/>
      <c r="O49" s="317"/>
    </row>
    <row r="50" spans="1:21" x14ac:dyDescent="0.2">
      <c r="A50" s="200" t="s">
        <v>703</v>
      </c>
      <c r="B50" s="362" t="s">
        <v>102</v>
      </c>
      <c r="C50" s="362" t="s">
        <v>102</v>
      </c>
      <c r="D50" s="362" t="s">
        <v>102</v>
      </c>
      <c r="E50" s="362">
        <v>13613</v>
      </c>
      <c r="F50" s="362">
        <v>92589</v>
      </c>
      <c r="G50" s="362">
        <v>195193</v>
      </c>
      <c r="H50" s="362">
        <v>1227121</v>
      </c>
      <c r="I50" s="318">
        <v>2648013</v>
      </c>
      <c r="J50" s="318">
        <v>6571474</v>
      </c>
      <c r="K50" s="318">
        <v>5039061</v>
      </c>
      <c r="L50" s="318">
        <v>10246017</v>
      </c>
      <c r="M50" s="311">
        <v>1528516</v>
      </c>
      <c r="N50" s="967">
        <v>24504565</v>
      </c>
      <c r="O50" s="311">
        <v>26033081</v>
      </c>
    </row>
    <row r="51" spans="1:21" x14ac:dyDescent="0.2">
      <c r="A51" s="68" t="s">
        <v>697</v>
      </c>
      <c r="B51" s="361" t="s">
        <v>102</v>
      </c>
      <c r="C51" s="361" t="s">
        <v>102</v>
      </c>
      <c r="D51" s="361" t="s">
        <v>102</v>
      </c>
      <c r="E51" s="361">
        <v>13653</v>
      </c>
      <c r="F51" s="361">
        <v>58672</v>
      </c>
      <c r="G51" s="361">
        <v>97508</v>
      </c>
      <c r="H51" s="361">
        <v>1055910</v>
      </c>
      <c r="I51" s="361">
        <v>3114502</v>
      </c>
      <c r="J51" s="319">
        <v>3565593</v>
      </c>
      <c r="K51" s="319">
        <v>1095666</v>
      </c>
      <c r="L51" s="319">
        <v>106554</v>
      </c>
      <c r="M51" s="316">
        <v>1225743</v>
      </c>
      <c r="N51" s="316">
        <v>7882315</v>
      </c>
      <c r="O51" s="317">
        <v>9108058</v>
      </c>
    </row>
    <row r="52" spans="1:21" x14ac:dyDescent="0.2">
      <c r="A52" s="210" t="s">
        <v>698</v>
      </c>
      <c r="B52" s="321" t="s">
        <v>102</v>
      </c>
      <c r="C52" s="363">
        <v>389</v>
      </c>
      <c r="D52" s="363">
        <v>10182</v>
      </c>
      <c r="E52" s="363">
        <v>313335</v>
      </c>
      <c r="F52" s="363">
        <v>415563</v>
      </c>
      <c r="G52" s="363">
        <v>453659</v>
      </c>
      <c r="H52" s="363">
        <v>1951980</v>
      </c>
      <c r="I52" s="363">
        <v>816445</v>
      </c>
      <c r="J52" s="363">
        <v>232547</v>
      </c>
      <c r="K52" s="321" t="s">
        <v>102</v>
      </c>
      <c r="L52" s="318" t="s">
        <v>102</v>
      </c>
      <c r="M52" s="322">
        <v>3145108</v>
      </c>
      <c r="N52" s="322">
        <v>1048992</v>
      </c>
      <c r="O52" s="323">
        <v>4194100</v>
      </c>
    </row>
    <row r="53" spans="1:21" ht="12.75" customHeight="1" x14ac:dyDescent="0.2">
      <c r="A53" s="68" t="s">
        <v>699</v>
      </c>
      <c r="B53" s="364" t="s">
        <v>102</v>
      </c>
      <c r="C53" s="347" t="s">
        <v>102</v>
      </c>
      <c r="D53" s="347">
        <v>15178</v>
      </c>
      <c r="E53" s="347">
        <v>889844</v>
      </c>
      <c r="F53" s="347">
        <v>1405259</v>
      </c>
      <c r="G53" s="347">
        <v>1086927</v>
      </c>
      <c r="H53" s="347">
        <v>2395758</v>
      </c>
      <c r="I53" s="347">
        <v>734315</v>
      </c>
      <c r="J53" s="347">
        <v>495467</v>
      </c>
      <c r="K53" s="364" t="s">
        <v>102</v>
      </c>
      <c r="L53" s="364" t="s">
        <v>102</v>
      </c>
      <c r="M53" s="346">
        <v>5792966</v>
      </c>
      <c r="N53" s="346">
        <v>1229782</v>
      </c>
      <c r="O53" s="346">
        <v>7022748</v>
      </c>
    </row>
    <row r="54" spans="1:21" x14ac:dyDescent="0.2">
      <c r="A54" s="200" t="s">
        <v>700</v>
      </c>
      <c r="B54" s="318">
        <v>195</v>
      </c>
      <c r="C54" s="318">
        <v>1886</v>
      </c>
      <c r="D54" s="362">
        <v>60210</v>
      </c>
      <c r="E54" s="362">
        <v>3703662</v>
      </c>
      <c r="F54" s="362">
        <v>3022195</v>
      </c>
      <c r="G54" s="362">
        <v>1935424</v>
      </c>
      <c r="H54" s="362">
        <v>1576525</v>
      </c>
      <c r="I54" s="362">
        <v>197024</v>
      </c>
      <c r="J54" s="362">
        <v>93620</v>
      </c>
      <c r="K54" s="362" t="s">
        <v>102</v>
      </c>
      <c r="L54" s="318" t="s">
        <v>102</v>
      </c>
      <c r="M54" s="311">
        <v>10300097</v>
      </c>
      <c r="N54" s="311">
        <v>290644</v>
      </c>
      <c r="O54" s="310">
        <v>10590741</v>
      </c>
    </row>
    <row r="55" spans="1:21" x14ac:dyDescent="0.2">
      <c r="A55" s="68" t="s">
        <v>701</v>
      </c>
      <c r="B55" s="319">
        <v>84535</v>
      </c>
      <c r="C55" s="319">
        <v>480713</v>
      </c>
      <c r="D55" s="361">
        <v>2296601</v>
      </c>
      <c r="E55" s="361">
        <v>5701417</v>
      </c>
      <c r="F55" s="361">
        <v>974413</v>
      </c>
      <c r="G55" s="361">
        <v>369615</v>
      </c>
      <c r="H55" s="361">
        <v>304453</v>
      </c>
      <c r="I55" s="361">
        <v>35401</v>
      </c>
      <c r="J55" s="361" t="s">
        <v>102</v>
      </c>
      <c r="K55" s="361" t="s">
        <v>102</v>
      </c>
      <c r="L55" s="361" t="s">
        <v>102</v>
      </c>
      <c r="M55" s="316">
        <v>10211747</v>
      </c>
      <c r="N55" s="316">
        <v>35401</v>
      </c>
      <c r="O55" s="317">
        <v>10247148</v>
      </c>
    </row>
    <row r="56" spans="1:21" x14ac:dyDescent="0.2">
      <c r="A56" s="212" t="s">
        <v>702</v>
      </c>
      <c r="B56" s="318">
        <v>128378</v>
      </c>
      <c r="C56" s="370">
        <v>307967</v>
      </c>
      <c r="D56" s="370">
        <v>700032</v>
      </c>
      <c r="E56" s="370">
        <v>470077</v>
      </c>
      <c r="F56" s="370">
        <v>53148</v>
      </c>
      <c r="G56" s="370">
        <v>8669</v>
      </c>
      <c r="H56" s="370">
        <v>17686</v>
      </c>
      <c r="I56" s="370" t="s">
        <v>102</v>
      </c>
      <c r="J56" s="370" t="s">
        <v>102</v>
      </c>
      <c r="K56" s="370" t="s">
        <v>102</v>
      </c>
      <c r="L56" s="371" t="s">
        <v>102</v>
      </c>
      <c r="M56" s="372">
        <v>1685957</v>
      </c>
      <c r="N56" s="372" t="s">
        <v>102</v>
      </c>
      <c r="O56" s="373">
        <v>1685957</v>
      </c>
    </row>
    <row r="57" spans="1:21" x14ac:dyDescent="0.2">
      <c r="A57" s="953" t="s">
        <v>441</v>
      </c>
      <c r="B57" s="954">
        <f>SUM(B50:B56)</f>
        <v>213108</v>
      </c>
      <c r="C57" s="954">
        <f t="shared" ref="C57" si="26">SUM(C50:C56)</f>
        <v>790955</v>
      </c>
      <c r="D57" s="954">
        <f t="shared" ref="D57" si="27">SUM(D50:D56)</f>
        <v>3082203</v>
      </c>
      <c r="E57" s="954">
        <f t="shared" ref="E57" si="28">SUM(E50:E56)</f>
        <v>11105601</v>
      </c>
      <c r="F57" s="954">
        <f t="shared" ref="F57" si="29">SUM(F50:F56)</f>
        <v>6021839</v>
      </c>
      <c r="G57" s="954">
        <f t="shared" ref="G57" si="30">SUM(G50:G56)</f>
        <v>4146995</v>
      </c>
      <c r="H57" s="954">
        <f t="shared" ref="H57" si="31">SUM(H50:H56)</f>
        <v>8529433</v>
      </c>
      <c r="I57" s="954">
        <f t="shared" ref="I57" si="32">SUM(I50:I56)</f>
        <v>7545700</v>
      </c>
      <c r="J57" s="954">
        <f t="shared" ref="J57" si="33">SUM(J50:J56)</f>
        <v>10958701</v>
      </c>
      <c r="K57" s="954">
        <f t="shared" ref="K57" si="34">SUM(K50:K56)</f>
        <v>6134727</v>
      </c>
      <c r="L57" s="954">
        <f t="shared" ref="L57" si="35">SUM(L50:L56)</f>
        <v>10352571</v>
      </c>
      <c r="M57" s="955">
        <f t="shared" ref="M57" si="36">SUM(M50:M56)</f>
        <v>33890134</v>
      </c>
      <c r="N57" s="955">
        <f t="shared" ref="N57" si="37">SUM(N50:N56)</f>
        <v>34991699</v>
      </c>
      <c r="O57" s="956">
        <f t="shared" ref="O57" si="38">SUM(O50:O56)</f>
        <v>68881833</v>
      </c>
    </row>
    <row r="58" spans="1:21" x14ac:dyDescent="0.2">
      <c r="A58" s="957" t="s">
        <v>158</v>
      </c>
      <c r="B58" s="699"/>
      <c r="C58" s="699"/>
      <c r="D58" s="699"/>
      <c r="E58" s="699"/>
      <c r="F58" s="699"/>
      <c r="G58" s="699"/>
      <c r="H58" s="699"/>
      <c r="I58" s="700"/>
      <c r="J58" s="759"/>
      <c r="K58" s="759"/>
      <c r="L58" s="759"/>
      <c r="M58" s="701"/>
      <c r="N58" s="701"/>
      <c r="O58" s="702"/>
    </row>
    <row r="59" spans="1:21" x14ac:dyDescent="0.2">
      <c r="A59" s="214" t="s">
        <v>153</v>
      </c>
      <c r="B59" s="757">
        <f>B46/B$48</f>
        <v>1</v>
      </c>
      <c r="C59" s="757">
        <f t="shared" ref="C59:O59" si="39">C46/C$48</f>
        <v>0.99950818946716313</v>
      </c>
      <c r="D59" s="333">
        <f t="shared" si="39"/>
        <v>0.99177211883837635</v>
      </c>
      <c r="E59" s="333">
        <f t="shared" si="39"/>
        <v>0.88922123503722084</v>
      </c>
      <c r="F59" s="333">
        <f t="shared" si="39"/>
        <v>0.67251150354567768</v>
      </c>
      <c r="G59" s="333">
        <f t="shared" si="39"/>
        <v>0.55792399074510579</v>
      </c>
      <c r="H59" s="333">
        <f t="shared" si="39"/>
        <v>0.22260143200608998</v>
      </c>
      <c r="I59" s="375">
        <f t="shared" si="39"/>
        <v>3.0802311250115962E-2</v>
      </c>
      <c r="J59" s="375">
        <f t="shared" si="39"/>
        <v>8.5429833335173583E-3</v>
      </c>
      <c r="K59" s="375" t="s">
        <v>102</v>
      </c>
      <c r="L59" s="375" t="s">
        <v>102</v>
      </c>
      <c r="M59" s="334">
        <f t="shared" si="39"/>
        <v>0.65500957592613729</v>
      </c>
      <c r="N59" s="334">
        <f t="shared" si="39"/>
        <v>9.3177813400829729E-3</v>
      </c>
      <c r="O59" s="335">
        <f t="shared" si="39"/>
        <v>0.32700844295568193</v>
      </c>
    </row>
    <row r="60" spans="1:21" s="192" customFormat="1" x14ac:dyDescent="0.2">
      <c r="A60" s="542" t="s">
        <v>156</v>
      </c>
      <c r="B60" s="759" t="s">
        <v>102</v>
      </c>
      <c r="C60" s="759" t="s">
        <v>102</v>
      </c>
      <c r="D60" s="759">
        <f t="shared" ref="D60:O60" si="40">D47/D$48</f>
        <v>8.2278811616236826E-3</v>
      </c>
      <c r="E60" s="759">
        <f t="shared" si="40"/>
        <v>0.11077876496277919</v>
      </c>
      <c r="F60" s="759">
        <f t="shared" si="40"/>
        <v>0.32748849645432232</v>
      </c>
      <c r="G60" s="759">
        <f t="shared" si="40"/>
        <v>0.44207600925489421</v>
      </c>
      <c r="H60" s="759">
        <f t="shared" si="40"/>
        <v>0.77739856799391005</v>
      </c>
      <c r="I60" s="759">
        <f t="shared" si="40"/>
        <v>0.96919768874988399</v>
      </c>
      <c r="J60" s="759">
        <f t="shared" si="40"/>
        <v>0.99145701666648267</v>
      </c>
      <c r="K60" s="759">
        <f t="shared" si="40"/>
        <v>1</v>
      </c>
      <c r="L60" s="759">
        <f t="shared" si="40"/>
        <v>1</v>
      </c>
      <c r="M60" s="701">
        <f t="shared" si="40"/>
        <v>0.34499042407386266</v>
      </c>
      <c r="N60" s="701">
        <f t="shared" si="40"/>
        <v>0.99068221865991701</v>
      </c>
      <c r="O60" s="702">
        <f t="shared" si="40"/>
        <v>0.67299155704431801</v>
      </c>
      <c r="P60"/>
      <c r="Q60"/>
      <c r="R60"/>
      <c r="S60"/>
      <c r="T60"/>
      <c r="U60"/>
    </row>
    <row r="61" spans="1:21" x14ac:dyDescent="0.2">
      <c r="A61" s="8" t="s">
        <v>441</v>
      </c>
      <c r="B61" s="958">
        <f t="shared" ref="B61:O61" si="41">B48/B$48</f>
        <v>1</v>
      </c>
      <c r="C61" s="958">
        <f t="shared" si="41"/>
        <v>1</v>
      </c>
      <c r="D61" s="958">
        <f t="shared" si="41"/>
        <v>1</v>
      </c>
      <c r="E61" s="958">
        <f t="shared" si="41"/>
        <v>1</v>
      </c>
      <c r="F61" s="958">
        <f t="shared" si="41"/>
        <v>1</v>
      </c>
      <c r="G61" s="958">
        <f t="shared" si="41"/>
        <v>1</v>
      </c>
      <c r="H61" s="958">
        <f t="shared" si="41"/>
        <v>1</v>
      </c>
      <c r="I61" s="958">
        <f t="shared" si="41"/>
        <v>1</v>
      </c>
      <c r="J61" s="958">
        <f t="shared" si="41"/>
        <v>1</v>
      </c>
      <c r="K61" s="958">
        <f t="shared" si="41"/>
        <v>1</v>
      </c>
      <c r="L61" s="958">
        <f t="shared" si="41"/>
        <v>1</v>
      </c>
      <c r="M61" s="803">
        <f t="shared" si="41"/>
        <v>1</v>
      </c>
      <c r="N61" s="803">
        <f t="shared" si="41"/>
        <v>1</v>
      </c>
      <c r="O61" s="959">
        <f t="shared" si="41"/>
        <v>1</v>
      </c>
    </row>
    <row r="62" spans="1:21" x14ac:dyDescent="0.2">
      <c r="A62" s="948" t="s">
        <v>705</v>
      </c>
      <c r="B62" s="330"/>
      <c r="C62" s="330"/>
      <c r="D62" s="330"/>
      <c r="E62" s="330"/>
      <c r="F62" s="330"/>
      <c r="G62" s="330"/>
      <c r="H62" s="330"/>
      <c r="I62" s="330"/>
      <c r="J62" s="330"/>
      <c r="K62" s="330"/>
      <c r="L62" s="330"/>
      <c r="M62" s="336"/>
      <c r="N62" s="336"/>
      <c r="O62" s="337"/>
    </row>
    <row r="63" spans="1:21" x14ac:dyDescent="0.2">
      <c r="A63" s="770" t="s">
        <v>703</v>
      </c>
      <c r="B63" s="343" t="s">
        <v>102</v>
      </c>
      <c r="C63" s="343" t="s">
        <v>102</v>
      </c>
      <c r="D63" s="343" t="s">
        <v>102</v>
      </c>
      <c r="E63" s="343">
        <f t="shared" ref="E63:O63" si="42">E50/E$57</f>
        <v>1.2257778755062423E-3</v>
      </c>
      <c r="F63" s="343">
        <f t="shared" si="42"/>
        <v>1.5375535612958102E-2</v>
      </c>
      <c r="G63" s="343">
        <f t="shared" si="42"/>
        <v>4.7068539991005534E-2</v>
      </c>
      <c r="H63" s="343">
        <f t="shared" si="42"/>
        <v>0.14386900043648856</v>
      </c>
      <c r="I63" s="343">
        <f t="shared" si="42"/>
        <v>0.35093006613037891</v>
      </c>
      <c r="J63" s="343">
        <f t="shared" si="42"/>
        <v>0.59965811641361511</v>
      </c>
      <c r="K63" s="343">
        <f t="shared" si="42"/>
        <v>0.82139938745440511</v>
      </c>
      <c r="L63" s="343">
        <f t="shared" si="42"/>
        <v>0.98970748425680921</v>
      </c>
      <c r="M63" s="351">
        <f t="shared" si="42"/>
        <v>4.5102093724385985E-2</v>
      </c>
      <c r="N63" s="351">
        <f t="shared" si="42"/>
        <v>0.70029651889723898</v>
      </c>
      <c r="O63" s="352">
        <f t="shared" si="42"/>
        <v>0.37793827292604132</v>
      </c>
    </row>
    <row r="64" spans="1:21" x14ac:dyDescent="0.2">
      <c r="A64" s="947" t="s">
        <v>697</v>
      </c>
      <c r="B64" s="756" t="s">
        <v>102</v>
      </c>
      <c r="C64" s="756" t="s">
        <v>102</v>
      </c>
      <c r="D64" s="330" t="s">
        <v>102</v>
      </c>
      <c r="E64" s="330">
        <f t="shared" ref="E64:O64" si="43">E51/E$57</f>
        <v>1.2293796616680177E-3</v>
      </c>
      <c r="F64" s="330">
        <f t="shared" si="43"/>
        <v>9.7432030314991824E-3</v>
      </c>
      <c r="G64" s="330">
        <f t="shared" si="43"/>
        <v>2.3512929241535134E-2</v>
      </c>
      <c r="H64" s="330">
        <f t="shared" si="43"/>
        <v>0.12379603661814331</v>
      </c>
      <c r="I64" s="330">
        <f t="shared" si="43"/>
        <v>0.41275189843221965</v>
      </c>
      <c r="J64" s="330">
        <f t="shared" si="43"/>
        <v>0.32536639150935864</v>
      </c>
      <c r="K64" s="330">
        <f t="shared" si="43"/>
        <v>0.17860061254559495</v>
      </c>
      <c r="L64" s="330">
        <f t="shared" si="43"/>
        <v>1.0292515743190749E-2</v>
      </c>
      <c r="M64" s="336">
        <f t="shared" si="43"/>
        <v>3.6168136720852152E-2</v>
      </c>
      <c r="N64" s="336">
        <f t="shared" si="43"/>
        <v>0.22526242581133313</v>
      </c>
      <c r="O64" s="337">
        <f t="shared" si="43"/>
        <v>0.13222728843467332</v>
      </c>
    </row>
    <row r="65" spans="1:15" x14ac:dyDescent="0.2">
      <c r="A65" s="770" t="s">
        <v>698</v>
      </c>
      <c r="B65" s="343" t="s">
        <v>102</v>
      </c>
      <c r="C65" s="343">
        <f t="shared" ref="B65:O67" si="44">C52/C$57</f>
        <v>4.918105328368871E-4</v>
      </c>
      <c r="D65" s="343">
        <f t="shared" ref="D65:O65" si="45">D52/D$57</f>
        <v>3.3034813086613699E-3</v>
      </c>
      <c r="E65" s="343">
        <f t="shared" si="45"/>
        <v>2.8214141674998049E-2</v>
      </c>
      <c r="F65" s="343">
        <f t="shared" si="45"/>
        <v>6.900931758554156E-2</v>
      </c>
      <c r="G65" s="343">
        <f t="shared" si="45"/>
        <v>0.10939463394578484</v>
      </c>
      <c r="H65" s="343">
        <f t="shared" si="45"/>
        <v>0.22885225782299948</v>
      </c>
      <c r="I65" s="343">
        <f t="shared" si="45"/>
        <v>0.10820003445671045</v>
      </c>
      <c r="J65" s="343">
        <f t="shared" si="45"/>
        <v>2.1220307041865637E-2</v>
      </c>
      <c r="K65" s="343" t="s">
        <v>102</v>
      </c>
      <c r="L65" s="343" t="s">
        <v>102</v>
      </c>
      <c r="M65" s="351">
        <f t="shared" si="45"/>
        <v>9.2803055898215095E-2</v>
      </c>
      <c r="N65" s="351">
        <f t="shared" si="45"/>
        <v>2.9978309998608527E-2</v>
      </c>
      <c r="O65" s="352">
        <f t="shared" si="45"/>
        <v>6.0888333212619355E-2</v>
      </c>
    </row>
    <row r="66" spans="1:15" x14ac:dyDescent="0.2">
      <c r="A66" s="948" t="s">
        <v>699</v>
      </c>
      <c r="B66" s="330" t="s">
        <v>102</v>
      </c>
      <c r="C66" s="330" t="s">
        <v>102</v>
      </c>
      <c r="D66" s="330">
        <f t="shared" ref="D66:O66" si="46">D53/D$57</f>
        <v>4.9243998529623131E-3</v>
      </c>
      <c r="E66" s="330">
        <f t="shared" si="46"/>
        <v>8.0125695133473646E-2</v>
      </c>
      <c r="F66" s="330">
        <f t="shared" si="46"/>
        <v>0.23336044022432351</v>
      </c>
      <c r="G66" s="330">
        <f t="shared" si="46"/>
        <v>0.26209990607656869</v>
      </c>
      <c r="H66" s="330">
        <f t="shared" si="46"/>
        <v>0.28088127311627864</v>
      </c>
      <c r="I66" s="330">
        <f t="shared" si="46"/>
        <v>9.7315689730575028E-2</v>
      </c>
      <c r="J66" s="330">
        <f t="shared" si="46"/>
        <v>4.5212201701643286E-2</v>
      </c>
      <c r="K66" s="330" t="s">
        <v>102</v>
      </c>
      <c r="L66" s="330" t="s">
        <v>102</v>
      </c>
      <c r="M66" s="336">
        <f t="shared" si="46"/>
        <v>0.1709337000555973</v>
      </c>
      <c r="N66" s="336">
        <f t="shared" si="46"/>
        <v>3.5144963952736336E-2</v>
      </c>
      <c r="O66" s="337">
        <f t="shared" si="46"/>
        <v>0.10195355864005536</v>
      </c>
    </row>
    <row r="67" spans="1:15" x14ac:dyDescent="0.2">
      <c r="A67" s="770" t="s">
        <v>700</v>
      </c>
      <c r="B67" s="343">
        <f t="shared" si="44"/>
        <v>9.1502899938059577E-4</v>
      </c>
      <c r="C67" s="343">
        <f t="shared" si="44"/>
        <v>2.3844592928801258E-3</v>
      </c>
      <c r="D67" s="343">
        <f t="shared" si="44"/>
        <v>1.9534728893586827E-2</v>
      </c>
      <c r="E67" s="343">
        <f t="shared" si="44"/>
        <v>0.33349496348734303</v>
      </c>
      <c r="F67" s="343">
        <f t="shared" si="44"/>
        <v>0.50187243464994669</v>
      </c>
      <c r="G67" s="343">
        <f t="shared" si="44"/>
        <v>0.46670516844124482</v>
      </c>
      <c r="H67" s="343">
        <f t="shared" si="44"/>
        <v>0.18483350534554877</v>
      </c>
      <c r="I67" s="343">
        <f t="shared" si="44"/>
        <v>2.6110765071497673E-2</v>
      </c>
      <c r="J67" s="343">
        <f t="shared" si="44"/>
        <v>8.5429833335173583E-3</v>
      </c>
      <c r="K67" s="343" t="s">
        <v>102</v>
      </c>
      <c r="L67" s="343" t="s">
        <v>102</v>
      </c>
      <c r="M67" s="351">
        <f t="shared" si="44"/>
        <v>0.30392612197992491</v>
      </c>
      <c r="N67" s="351">
        <f t="shared" si="44"/>
        <v>8.3060842515820677E-3</v>
      </c>
      <c r="O67" s="352">
        <f t="shared" si="44"/>
        <v>0.15375231085967181</v>
      </c>
    </row>
    <row r="68" spans="1:15" x14ac:dyDescent="0.2">
      <c r="A68" s="949" t="s">
        <v>701</v>
      </c>
      <c r="B68" s="950">
        <f t="shared" ref="B68:O68" si="47">B55/B$57</f>
        <v>0.39667680237250597</v>
      </c>
      <c r="C68" s="950">
        <f t="shared" si="47"/>
        <v>0.60776276779336369</v>
      </c>
      <c r="D68" s="950">
        <f t="shared" si="47"/>
        <v>0.74511672333068268</v>
      </c>
      <c r="E68" s="950">
        <f t="shared" si="47"/>
        <v>0.51338212132778771</v>
      </c>
      <c r="F68" s="950">
        <f t="shared" si="47"/>
        <v>0.161813193610789</v>
      </c>
      <c r="G68" s="950">
        <f t="shared" si="47"/>
        <v>8.9128392968884695E-2</v>
      </c>
      <c r="H68" s="950">
        <f t="shared" si="47"/>
        <v>3.5694400788422863E-2</v>
      </c>
      <c r="I68" s="950">
        <f t="shared" si="47"/>
        <v>4.6915461786182855E-3</v>
      </c>
      <c r="J68" s="950" t="s">
        <v>102</v>
      </c>
      <c r="K68" s="950" t="s">
        <v>102</v>
      </c>
      <c r="L68" s="950" t="s">
        <v>102</v>
      </c>
      <c r="M68" s="951">
        <f t="shared" si="47"/>
        <v>0.3013191685816291</v>
      </c>
      <c r="N68" s="951">
        <f t="shared" si="47"/>
        <v>1.0116970885009041E-3</v>
      </c>
      <c r="O68" s="952">
        <f t="shared" si="47"/>
        <v>0.14876415962972414</v>
      </c>
    </row>
    <row r="69" spans="1:15" s="68" customFormat="1" x14ac:dyDescent="0.2">
      <c r="A69" s="208" t="s">
        <v>702</v>
      </c>
      <c r="B69" s="960">
        <f t="shared" ref="B69:O69" si="48">B56/B$57</f>
        <v>0.60240816862811342</v>
      </c>
      <c r="C69" s="960">
        <f t="shared" si="48"/>
        <v>0.38936096238091927</v>
      </c>
      <c r="D69" s="960">
        <f t="shared" si="48"/>
        <v>0.22712066661410685</v>
      </c>
      <c r="E69" s="960">
        <f t="shared" si="48"/>
        <v>4.2327920839223376E-2</v>
      </c>
      <c r="F69" s="960">
        <f t="shared" si="48"/>
        <v>8.8258752849420252E-3</v>
      </c>
      <c r="G69" s="960">
        <f t="shared" si="48"/>
        <v>2.0904293349762902E-3</v>
      </c>
      <c r="H69" s="960">
        <f t="shared" si="48"/>
        <v>2.073525872118346E-3</v>
      </c>
      <c r="I69" s="960" t="s">
        <v>102</v>
      </c>
      <c r="J69" s="960" t="s">
        <v>102</v>
      </c>
      <c r="K69" s="960" t="s">
        <v>102</v>
      </c>
      <c r="L69" s="960" t="s">
        <v>102</v>
      </c>
      <c r="M69" s="961">
        <f t="shared" si="48"/>
        <v>4.9747723039395481E-2</v>
      </c>
      <c r="N69" s="961" t="s">
        <v>102</v>
      </c>
      <c r="O69" s="962">
        <f t="shared" si="48"/>
        <v>2.4476076297214679E-2</v>
      </c>
    </row>
    <row r="70" spans="1:15" x14ac:dyDescent="0.2">
      <c r="A70" s="963" t="s">
        <v>441</v>
      </c>
      <c r="B70" s="964">
        <f t="shared" ref="B70:O70" si="49">B57/B$57</f>
        <v>1</v>
      </c>
      <c r="C70" s="964">
        <f t="shared" si="49"/>
        <v>1</v>
      </c>
      <c r="D70" s="964">
        <f t="shared" si="49"/>
        <v>1</v>
      </c>
      <c r="E70" s="964">
        <f t="shared" si="49"/>
        <v>1</v>
      </c>
      <c r="F70" s="964">
        <f t="shared" si="49"/>
        <v>1</v>
      </c>
      <c r="G70" s="964">
        <f t="shared" si="49"/>
        <v>1</v>
      </c>
      <c r="H70" s="964">
        <f t="shared" si="49"/>
        <v>1</v>
      </c>
      <c r="I70" s="964">
        <f t="shared" si="49"/>
        <v>1</v>
      </c>
      <c r="J70" s="964">
        <f t="shared" si="49"/>
        <v>1</v>
      </c>
      <c r="K70" s="964">
        <f t="shared" si="49"/>
        <v>1</v>
      </c>
      <c r="L70" s="964">
        <f t="shared" si="49"/>
        <v>1</v>
      </c>
      <c r="M70" s="965">
        <f t="shared" si="49"/>
        <v>1</v>
      </c>
      <c r="N70" s="965">
        <f t="shared" si="49"/>
        <v>1</v>
      </c>
      <c r="O70" s="966">
        <f t="shared" si="49"/>
        <v>1</v>
      </c>
    </row>
    <row r="71" spans="1:15" s="3" customFormat="1" x14ac:dyDescent="0.2">
      <c r="A71" s="991" t="s">
        <v>1005</v>
      </c>
    </row>
    <row r="72" spans="1:15" x14ac:dyDescent="0.2">
      <c r="A72" s="193" t="s">
        <v>882</v>
      </c>
      <c r="B72" s="224"/>
      <c r="C72" s="224"/>
      <c r="D72" s="224"/>
      <c r="E72" s="16"/>
      <c r="F72" s="16"/>
      <c r="G72" s="185"/>
      <c r="H72" s="16"/>
      <c r="I72" s="16"/>
      <c r="J72" s="185"/>
      <c r="K72" s="16"/>
      <c r="L72" s="16"/>
      <c r="M72" s="16"/>
      <c r="N72" s="16"/>
      <c r="O72" s="16"/>
    </row>
    <row r="73" spans="1:15" ht="12.75" customHeight="1" x14ac:dyDescent="0.2">
      <c r="A73" s="1018"/>
      <c r="B73" s="1019"/>
      <c r="C73" s="1019"/>
      <c r="D73" s="1019"/>
      <c r="E73" s="1019"/>
      <c r="F73" s="1019"/>
    </row>
    <row r="74" spans="1:15" ht="116.25" customHeight="1" x14ac:dyDescent="0.2">
      <c r="A74" s="1015" t="s">
        <v>962</v>
      </c>
      <c r="B74" s="1015"/>
      <c r="C74" s="1015"/>
      <c r="D74" s="1015"/>
      <c r="E74" s="1015"/>
      <c r="F74" s="1015"/>
      <c r="G74" s="1015"/>
      <c r="H74" s="1015"/>
      <c r="I74" s="1015"/>
      <c r="J74" s="1015"/>
      <c r="K74" s="1015"/>
      <c r="L74" s="1015"/>
      <c r="M74" s="1015"/>
      <c r="N74" s="1015"/>
      <c r="O74" s="1015"/>
    </row>
    <row r="75" spans="1:15" ht="12.75" customHeight="1" x14ac:dyDescent="0.2">
      <c r="A75" s="946"/>
      <c r="B75" s="946"/>
      <c r="C75" s="946"/>
      <c r="D75" s="946"/>
      <c r="E75" s="946"/>
      <c r="F75" s="946"/>
      <c r="G75" s="303"/>
    </row>
    <row r="76" spans="1:15" ht="150.75" customHeight="1" x14ac:dyDescent="0.2">
      <c r="A76" s="1015" t="s">
        <v>670</v>
      </c>
      <c r="B76" s="1015"/>
      <c r="C76" s="1015"/>
      <c r="D76" s="1015"/>
      <c r="E76" s="1015"/>
      <c r="F76" s="1015"/>
      <c r="G76" s="1015"/>
      <c r="H76" s="1015"/>
      <c r="I76" s="1015"/>
      <c r="J76" s="1015"/>
      <c r="K76" s="1015"/>
      <c r="L76" s="1015"/>
      <c r="M76" s="1015"/>
      <c r="N76" s="1015"/>
      <c r="O76" s="1015"/>
    </row>
  </sheetData>
  <mergeCells count="3">
    <mergeCell ref="A76:O76"/>
    <mergeCell ref="A74:O74"/>
    <mergeCell ref="A73:F73"/>
  </mergeCells>
  <pageMargins left="0.59055118110236227" right="0.59055118110236227" top="0.59055118110236227" bottom="0.59055118110236227" header="0.39370078740157483" footer="0.19685039370078741"/>
  <pageSetup paperSize="9" scale="55" firstPageNumber="9" fitToHeight="2" orientation="landscape" useFirstPageNumber="1" r:id="rId1"/>
  <headerFooter alignWithMargins="0">
    <oddHeader xml:space="preserve">&amp;R&amp;12Les finances des communes en 2024
</oddHeader>
    <oddFooter>&amp;L&amp;12Direction Générale des Collectivités Locales / DESL&amp;C&amp;12&amp;P&amp;R&amp;12Mise en ligne : janvier 2026</oddFooter>
    <evenFooter>&amp;LDirection Générale des Collectivités Locales / DESL&amp;C10&amp;RMise en ligne : mars 2021</evenFooter>
    <firstHeader>&amp;RLes finances des communes en 2019</firstHeader>
  </headerFooter>
  <rowBreaks count="1" manualBreakCount="1">
    <brk id="72" max="14" man="1"/>
  </rowBreaks>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XFA123"/>
  <sheetViews>
    <sheetView view="pageBreakPreview" zoomScale="85" zoomScaleNormal="85" zoomScaleSheetLayoutView="85" zoomScalePageLayoutView="70" workbookViewId="0"/>
  </sheetViews>
  <sheetFormatPr baseColWidth="10" defaultRowHeight="12.75" customHeight="1" x14ac:dyDescent="0.2"/>
  <cols>
    <col min="1" max="1" width="77.42578125" customWidth="1"/>
    <col min="2" max="12" width="12.7109375" customWidth="1"/>
    <col min="13" max="14" width="16.5703125" customWidth="1"/>
    <col min="15" max="15" width="12.7109375" customWidth="1"/>
  </cols>
  <sheetData>
    <row r="1" spans="1:15" ht="19.5" customHeight="1" x14ac:dyDescent="0.25">
      <c r="A1" s="10" t="s">
        <v>884</v>
      </c>
    </row>
    <row r="2" spans="1:15" ht="12.75" customHeight="1" thickBot="1" x14ac:dyDescent="0.25">
      <c r="O2" s="25" t="s">
        <v>80</v>
      </c>
    </row>
    <row r="3" spans="1:15" ht="14.25" customHeight="1" x14ac:dyDescent="0.25">
      <c r="A3" s="19" t="s">
        <v>885</v>
      </c>
      <c r="B3" s="458" t="s">
        <v>35</v>
      </c>
      <c r="C3" s="458" t="s">
        <v>121</v>
      </c>
      <c r="D3" s="458" t="s">
        <v>123</v>
      </c>
      <c r="E3" s="458" t="s">
        <v>36</v>
      </c>
      <c r="F3" s="458" t="s">
        <v>37</v>
      </c>
      <c r="G3" s="458" t="s">
        <v>38</v>
      </c>
      <c r="H3" s="458" t="s">
        <v>39</v>
      </c>
      <c r="I3" s="458" t="s">
        <v>125</v>
      </c>
      <c r="J3" s="458" t="s">
        <v>126</v>
      </c>
      <c r="K3" s="458" t="s">
        <v>127</v>
      </c>
      <c r="L3" s="459">
        <v>100000</v>
      </c>
      <c r="M3" s="460" t="s">
        <v>228</v>
      </c>
      <c r="N3" s="460" t="s">
        <v>228</v>
      </c>
      <c r="O3" s="460" t="s">
        <v>77</v>
      </c>
    </row>
    <row r="4" spans="1:15" ht="14.25" customHeight="1" x14ac:dyDescent="0.25">
      <c r="A4" s="18" t="s">
        <v>198</v>
      </c>
      <c r="B4" s="461" t="s">
        <v>120</v>
      </c>
      <c r="C4" s="461" t="s">
        <v>40</v>
      </c>
      <c r="D4" s="461" t="s">
        <v>40</v>
      </c>
      <c r="E4" s="461" t="s">
        <v>40</v>
      </c>
      <c r="F4" s="461" t="s">
        <v>40</v>
      </c>
      <c r="G4" s="461" t="s">
        <v>40</v>
      </c>
      <c r="H4" s="461" t="s">
        <v>40</v>
      </c>
      <c r="I4" s="461" t="s">
        <v>40</v>
      </c>
      <c r="J4" s="461" t="s">
        <v>40</v>
      </c>
      <c r="K4" s="461" t="s">
        <v>40</v>
      </c>
      <c r="L4" s="461" t="s">
        <v>43</v>
      </c>
      <c r="M4" s="462" t="s">
        <v>230</v>
      </c>
      <c r="N4" s="462" t="s">
        <v>138</v>
      </c>
      <c r="O4" s="462" t="s">
        <v>137</v>
      </c>
    </row>
    <row r="5" spans="1:15" ht="14.25" customHeight="1" thickBot="1" x14ac:dyDescent="0.3">
      <c r="A5" s="220" t="s">
        <v>81</v>
      </c>
      <c r="B5" s="463" t="s">
        <v>43</v>
      </c>
      <c r="C5" s="463" t="s">
        <v>122</v>
      </c>
      <c r="D5" s="463" t="s">
        <v>124</v>
      </c>
      <c r="E5" s="463" t="s">
        <v>44</v>
      </c>
      <c r="F5" s="463" t="s">
        <v>45</v>
      </c>
      <c r="G5" s="463" t="s">
        <v>46</v>
      </c>
      <c r="H5" s="463" t="s">
        <v>42</v>
      </c>
      <c r="I5" s="463" t="s">
        <v>128</v>
      </c>
      <c r="J5" s="463" t="s">
        <v>129</v>
      </c>
      <c r="K5" s="463" t="s">
        <v>130</v>
      </c>
      <c r="L5" s="463" t="s">
        <v>131</v>
      </c>
      <c r="M5" s="464" t="s">
        <v>138</v>
      </c>
      <c r="N5" s="464" t="s">
        <v>131</v>
      </c>
      <c r="O5" s="464" t="s">
        <v>41</v>
      </c>
    </row>
    <row r="6" spans="1:15" ht="12.75" customHeight="1" x14ac:dyDescent="0.2">
      <c r="B6" s="465"/>
      <c r="C6" s="465"/>
      <c r="D6" s="465"/>
      <c r="E6" s="465"/>
      <c r="F6" s="465"/>
      <c r="G6" s="465"/>
      <c r="H6" s="465"/>
      <c r="I6" s="465"/>
      <c r="J6" s="465"/>
      <c r="K6" s="465"/>
      <c r="L6" s="465"/>
      <c r="M6" s="465"/>
      <c r="N6" s="465"/>
      <c r="O6" s="465"/>
    </row>
    <row r="7" spans="1:15" ht="14.1" customHeight="1" x14ac:dyDescent="0.25">
      <c r="A7" s="474" t="s">
        <v>160</v>
      </c>
      <c r="B7" s="466">
        <v>236.14414658000001</v>
      </c>
      <c r="C7" s="466">
        <v>657.05892854000001</v>
      </c>
      <c r="D7" s="466">
        <v>2230.9702939399999</v>
      </c>
      <c r="E7" s="466">
        <v>8411.4371826499992</v>
      </c>
      <c r="F7" s="466">
        <v>5268.2177902800004</v>
      </c>
      <c r="G7" s="466">
        <v>4143.8453686000003</v>
      </c>
      <c r="H7" s="466">
        <v>9454.03546413</v>
      </c>
      <c r="I7" s="466">
        <v>9446.0115938599993</v>
      </c>
      <c r="J7" s="466">
        <v>15316.956096759999</v>
      </c>
      <c r="K7" s="466">
        <v>9242.6117802099998</v>
      </c>
      <c r="L7" s="466">
        <v>18394.633354819998</v>
      </c>
      <c r="M7" s="479">
        <v>30401.709174719999</v>
      </c>
      <c r="N7" s="479">
        <v>52400.21282565</v>
      </c>
      <c r="O7" s="479">
        <v>82801.922000370003</v>
      </c>
    </row>
    <row r="8" spans="1:15" ht="14.1" customHeight="1" x14ac:dyDescent="0.2">
      <c r="A8" s="465" t="s">
        <v>161</v>
      </c>
      <c r="B8" s="467">
        <v>95.217148620000003</v>
      </c>
      <c r="C8" s="467">
        <v>253.84986008000001</v>
      </c>
      <c r="D8" s="467">
        <v>809.33058499000003</v>
      </c>
      <c r="E8" s="467">
        <v>2912.2829411600001</v>
      </c>
      <c r="F8" s="467">
        <v>1750.38409133</v>
      </c>
      <c r="G8" s="467">
        <v>1290.4512750199999</v>
      </c>
      <c r="H8" s="467">
        <v>2710.2779990399999</v>
      </c>
      <c r="I8" s="467">
        <v>2465.7321325600001</v>
      </c>
      <c r="J8" s="467">
        <v>3800.8260418899999</v>
      </c>
      <c r="K8" s="467">
        <v>2098.2897454399999</v>
      </c>
      <c r="L8" s="467">
        <v>3394.4907797599999</v>
      </c>
      <c r="M8" s="480">
        <v>9821.7939002399999</v>
      </c>
      <c r="N8" s="480">
        <v>11759.338699649999</v>
      </c>
      <c r="O8" s="480">
        <v>21581.132599889999</v>
      </c>
    </row>
    <row r="9" spans="1:15" ht="14.1" customHeight="1" x14ac:dyDescent="0.2">
      <c r="A9" s="465" t="s">
        <v>162</v>
      </c>
      <c r="B9" s="467">
        <v>53.95473088</v>
      </c>
      <c r="C9" s="467">
        <v>183.70054013000001</v>
      </c>
      <c r="D9" s="467">
        <v>777.62825344999999</v>
      </c>
      <c r="E9" s="467">
        <v>3725.88567397</v>
      </c>
      <c r="F9" s="467">
        <v>2664.1261604299998</v>
      </c>
      <c r="G9" s="467">
        <v>2224.92848357</v>
      </c>
      <c r="H9" s="467">
        <v>5375.3304243499997</v>
      </c>
      <c r="I9" s="467">
        <v>5610.6607290800002</v>
      </c>
      <c r="J9" s="467">
        <v>9307.8861650199997</v>
      </c>
      <c r="K9" s="467">
        <v>5582.0480776900004</v>
      </c>
      <c r="L9" s="467">
        <v>9156.2486616000006</v>
      </c>
      <c r="M9" s="480">
        <v>15005.55426678</v>
      </c>
      <c r="N9" s="480">
        <v>29656.843633389999</v>
      </c>
      <c r="O9" s="480">
        <v>44662.397900169999</v>
      </c>
    </row>
    <row r="10" spans="1:15" ht="14.1" customHeight="1" x14ac:dyDescent="0.2">
      <c r="A10" s="465" t="s">
        <v>163</v>
      </c>
      <c r="B10" s="467">
        <v>3.4415663900000002</v>
      </c>
      <c r="C10" s="467">
        <v>10.96783503</v>
      </c>
      <c r="D10" s="467">
        <v>38.639138150000001</v>
      </c>
      <c r="E10" s="467">
        <v>161.93275495</v>
      </c>
      <c r="F10" s="467">
        <v>102.66173831</v>
      </c>
      <c r="G10" s="467">
        <v>75.225389010000001</v>
      </c>
      <c r="H10" s="467">
        <v>171.04714429000001</v>
      </c>
      <c r="I10" s="467">
        <v>163.33077431000001</v>
      </c>
      <c r="J10" s="467">
        <v>301.32370430999998</v>
      </c>
      <c r="K10" s="467">
        <v>240.00431556000001</v>
      </c>
      <c r="L10" s="467">
        <v>447.12192377999997</v>
      </c>
      <c r="M10" s="480">
        <v>563.91556613</v>
      </c>
      <c r="N10" s="480">
        <v>1151.7807179599999</v>
      </c>
      <c r="O10" s="480">
        <v>1715.6962840900001</v>
      </c>
    </row>
    <row r="11" spans="1:15" ht="14.1" customHeight="1" x14ac:dyDescent="0.2">
      <c r="A11" s="465" t="s">
        <v>164</v>
      </c>
      <c r="B11" s="467">
        <v>29.52835009</v>
      </c>
      <c r="C11" s="467">
        <v>91.194200420000001</v>
      </c>
      <c r="D11" s="467">
        <v>342.09849896999998</v>
      </c>
      <c r="E11" s="467">
        <v>901.31633450000004</v>
      </c>
      <c r="F11" s="467">
        <v>466.33266825999999</v>
      </c>
      <c r="G11" s="467">
        <v>365.32943499999999</v>
      </c>
      <c r="H11" s="467">
        <v>874.18557848</v>
      </c>
      <c r="I11" s="467">
        <v>942.09891345999995</v>
      </c>
      <c r="J11" s="467">
        <v>1538.2988962100001</v>
      </c>
      <c r="K11" s="467">
        <v>1074.46659869</v>
      </c>
      <c r="L11" s="467">
        <v>4963.1688522599998</v>
      </c>
      <c r="M11" s="480">
        <v>3069.98506572</v>
      </c>
      <c r="N11" s="480">
        <v>8518.0332606200009</v>
      </c>
      <c r="O11" s="480">
        <v>11588.018326339999</v>
      </c>
    </row>
    <row r="12" spans="1:15" ht="14.1" customHeight="1" x14ac:dyDescent="0.2">
      <c r="A12" s="465" t="s">
        <v>165</v>
      </c>
      <c r="B12" s="467">
        <v>54.0023506</v>
      </c>
      <c r="C12" s="467">
        <v>117.34649288</v>
      </c>
      <c r="D12" s="467">
        <v>263.27381838000002</v>
      </c>
      <c r="E12" s="467">
        <v>710.01947806999999</v>
      </c>
      <c r="F12" s="467">
        <v>284.71313194999999</v>
      </c>
      <c r="G12" s="467">
        <v>187.910786</v>
      </c>
      <c r="H12" s="467">
        <v>323.19431796999999</v>
      </c>
      <c r="I12" s="467">
        <v>264.18904444999998</v>
      </c>
      <c r="J12" s="467">
        <v>368.62128933000002</v>
      </c>
      <c r="K12" s="467">
        <v>247.80304283000001</v>
      </c>
      <c r="L12" s="467">
        <v>433.60313742</v>
      </c>
      <c r="M12" s="480">
        <v>1940.46037585</v>
      </c>
      <c r="N12" s="480">
        <v>1314.2165140300001</v>
      </c>
      <c r="O12" s="480">
        <v>3254.6768898800001</v>
      </c>
    </row>
    <row r="13" spans="1:15" ht="14.1" customHeight="1" x14ac:dyDescent="0.25">
      <c r="A13" s="474" t="s">
        <v>166</v>
      </c>
      <c r="B13" s="466">
        <v>327.33663983000002</v>
      </c>
      <c r="C13" s="466">
        <v>879.40834146999998</v>
      </c>
      <c r="D13" s="466">
        <v>2876.94518143</v>
      </c>
      <c r="E13" s="466">
        <v>10524.909885720001</v>
      </c>
      <c r="F13" s="466">
        <v>6502.9650283399997</v>
      </c>
      <c r="G13" s="466">
        <v>5057.2184244700002</v>
      </c>
      <c r="H13" s="466">
        <v>11267.436100729999</v>
      </c>
      <c r="I13" s="466">
        <v>10972.136024089999</v>
      </c>
      <c r="J13" s="466">
        <v>17591.778907560001</v>
      </c>
      <c r="K13" s="466">
        <v>10685.608881120001</v>
      </c>
      <c r="L13" s="466">
        <v>20325.46605648</v>
      </c>
      <c r="M13" s="479">
        <v>37436.21960199</v>
      </c>
      <c r="N13" s="479">
        <v>59574.989869249999</v>
      </c>
      <c r="O13" s="479">
        <v>97011.209471241003</v>
      </c>
    </row>
    <row r="14" spans="1:15" ht="14.1" customHeight="1" x14ac:dyDescent="0.2">
      <c r="A14" s="465" t="s">
        <v>79</v>
      </c>
      <c r="B14" s="467">
        <v>139.84496830000001</v>
      </c>
      <c r="C14" s="467">
        <v>406.35497714000002</v>
      </c>
      <c r="D14" s="467">
        <v>1463.9780870100001</v>
      </c>
      <c r="E14" s="467">
        <v>6048.5737457799996</v>
      </c>
      <c r="F14" s="467">
        <v>4077.9159230400001</v>
      </c>
      <c r="G14" s="467">
        <v>3287.0284808699998</v>
      </c>
      <c r="H14" s="467">
        <v>7537.5226884100002</v>
      </c>
      <c r="I14" s="467">
        <v>7453.0177185100001</v>
      </c>
      <c r="J14" s="467">
        <v>12106.77766324</v>
      </c>
      <c r="K14" s="467">
        <v>7342.6629130800002</v>
      </c>
      <c r="L14" s="467">
        <v>14740.480604189999</v>
      </c>
      <c r="M14" s="480">
        <v>22961.218870550001</v>
      </c>
      <c r="N14" s="480">
        <v>41642.938899020002</v>
      </c>
      <c r="O14" s="480">
        <v>64604.157769570003</v>
      </c>
    </row>
    <row r="15" spans="1:15" ht="14.1" customHeight="1" x14ac:dyDescent="0.2">
      <c r="A15" s="465" t="s">
        <v>167</v>
      </c>
      <c r="B15" s="467">
        <v>96.505899240000005</v>
      </c>
      <c r="C15" s="467">
        <v>312.26567382000002</v>
      </c>
      <c r="D15" s="467">
        <v>1210.94767523</v>
      </c>
      <c r="E15" s="467">
        <v>5351.1736945000002</v>
      </c>
      <c r="F15" s="467">
        <v>3676.62506429</v>
      </c>
      <c r="G15" s="467">
        <v>2922.2428944600001</v>
      </c>
      <c r="H15" s="467">
        <v>6653.7596736300002</v>
      </c>
      <c r="I15" s="467">
        <v>6566.5900223099998</v>
      </c>
      <c r="J15" s="467">
        <v>10998.450879780001</v>
      </c>
      <c r="K15" s="467">
        <v>6532.6311811100004</v>
      </c>
      <c r="L15" s="467">
        <v>10477.738242400001</v>
      </c>
      <c r="M15" s="480">
        <v>20223.520575170001</v>
      </c>
      <c r="N15" s="480">
        <v>34575.410325600002</v>
      </c>
      <c r="O15" s="480">
        <v>54798.930900769999</v>
      </c>
    </row>
    <row r="16" spans="1:15" ht="14.1" customHeight="1" x14ac:dyDescent="0.2">
      <c r="A16" s="465" t="s">
        <v>199</v>
      </c>
      <c r="B16" s="467">
        <v>15.66747415</v>
      </c>
      <c r="C16" s="467">
        <v>38.275644659999998</v>
      </c>
      <c r="D16" s="467">
        <v>142.92086137000001</v>
      </c>
      <c r="E16" s="467">
        <v>865.34718268999995</v>
      </c>
      <c r="F16" s="467">
        <v>690.43938169</v>
      </c>
      <c r="G16" s="467">
        <v>582.49506134000001</v>
      </c>
      <c r="H16" s="467">
        <v>1410.79596685</v>
      </c>
      <c r="I16" s="467">
        <v>1456.8664357299999</v>
      </c>
      <c r="J16" s="467">
        <v>2230.59120502</v>
      </c>
      <c r="K16" s="467">
        <v>1474.5024760900001</v>
      </c>
      <c r="L16" s="467">
        <v>2032.1081713399999</v>
      </c>
      <c r="M16" s="480">
        <v>3745.94157275</v>
      </c>
      <c r="N16" s="480">
        <v>7194.0682881800003</v>
      </c>
      <c r="O16" s="480">
        <v>10940.00986093</v>
      </c>
    </row>
    <row r="17" spans="1:15" ht="14.1" customHeight="1" x14ac:dyDescent="0.2">
      <c r="A17" s="465" t="s">
        <v>168</v>
      </c>
      <c r="B17" s="467">
        <v>43.33906906</v>
      </c>
      <c r="C17" s="467">
        <v>94.089303319999999</v>
      </c>
      <c r="D17" s="467">
        <v>253.03041178000001</v>
      </c>
      <c r="E17" s="467">
        <v>697.40005127999996</v>
      </c>
      <c r="F17" s="467">
        <v>401.29085874999998</v>
      </c>
      <c r="G17" s="467">
        <v>364.78558641000001</v>
      </c>
      <c r="H17" s="467">
        <v>883.76301478000005</v>
      </c>
      <c r="I17" s="467">
        <v>886.42769620000001</v>
      </c>
      <c r="J17" s="467">
        <v>1108.3267834599999</v>
      </c>
      <c r="K17" s="467">
        <v>810.03173197000001</v>
      </c>
      <c r="L17" s="467">
        <v>4262.7423617900004</v>
      </c>
      <c r="M17" s="480">
        <v>2737.6982953800002</v>
      </c>
      <c r="N17" s="480">
        <v>7067.5285734199997</v>
      </c>
      <c r="O17" s="480">
        <v>9805.2268688000004</v>
      </c>
    </row>
    <row r="18" spans="1:15" ht="14.1" customHeight="1" x14ac:dyDescent="0.2">
      <c r="A18" s="465" t="s">
        <v>169</v>
      </c>
      <c r="B18" s="467">
        <v>109.89019091</v>
      </c>
      <c r="C18" s="467">
        <v>267.36098879999997</v>
      </c>
      <c r="D18" s="467">
        <v>795.64879466000002</v>
      </c>
      <c r="E18" s="467">
        <v>2507.73920219</v>
      </c>
      <c r="F18" s="467">
        <v>1309.7665127</v>
      </c>
      <c r="G18" s="467">
        <v>923.54249340000001</v>
      </c>
      <c r="H18" s="467">
        <v>1918.4624465700001</v>
      </c>
      <c r="I18" s="467">
        <v>1810.54852695</v>
      </c>
      <c r="J18" s="467">
        <v>2743.5580731999999</v>
      </c>
      <c r="K18" s="467">
        <v>1676.98762618</v>
      </c>
      <c r="L18" s="467">
        <v>2168.5447428299999</v>
      </c>
      <c r="M18" s="480">
        <v>7832.4106292300003</v>
      </c>
      <c r="N18" s="480">
        <v>8399.6389691599998</v>
      </c>
      <c r="O18" s="480">
        <v>16232.04959839</v>
      </c>
    </row>
    <row r="19" spans="1:15" ht="14.1" customHeight="1" x14ac:dyDescent="0.2">
      <c r="A19" s="465" t="s">
        <v>170</v>
      </c>
      <c r="B19" s="467">
        <v>58.597460679999998</v>
      </c>
      <c r="C19" s="467">
        <v>169.89671686</v>
      </c>
      <c r="D19" s="467">
        <v>535.54833172999997</v>
      </c>
      <c r="E19" s="467">
        <v>1810.59446809</v>
      </c>
      <c r="F19" s="467">
        <v>972.81633250000004</v>
      </c>
      <c r="G19" s="467">
        <v>677.95693960000006</v>
      </c>
      <c r="H19" s="467">
        <v>1391.7091289499999</v>
      </c>
      <c r="I19" s="467">
        <v>1370.5671853399999</v>
      </c>
      <c r="J19" s="467">
        <v>2243.4857123000002</v>
      </c>
      <c r="K19" s="467">
        <v>1401.9091899099999</v>
      </c>
      <c r="L19" s="467">
        <v>1817.3950975099999</v>
      </c>
      <c r="M19" s="480">
        <v>5617.1193784099996</v>
      </c>
      <c r="N19" s="480">
        <v>6833.3571850600001</v>
      </c>
      <c r="O19" s="480">
        <v>12450.47656347</v>
      </c>
    </row>
    <row r="20" spans="1:15" ht="14.1" customHeight="1" x14ac:dyDescent="0.2">
      <c r="A20" s="465" t="s">
        <v>171</v>
      </c>
      <c r="B20" s="467">
        <v>23.175857220000001</v>
      </c>
      <c r="C20" s="467">
        <v>40.23930034</v>
      </c>
      <c r="D20" s="467">
        <v>62.608875419999997</v>
      </c>
      <c r="E20" s="467">
        <v>63.614798829999998</v>
      </c>
      <c r="F20" s="467">
        <v>19.63259292</v>
      </c>
      <c r="G20" s="467">
        <v>12.414627769999999</v>
      </c>
      <c r="H20" s="467">
        <v>23.080294129999999</v>
      </c>
      <c r="I20" s="467">
        <v>18.40831773</v>
      </c>
      <c r="J20" s="467">
        <v>43.302741240000003</v>
      </c>
      <c r="K20" s="467">
        <v>39.388463829999999</v>
      </c>
      <c r="L20" s="467">
        <v>85.833382130000004</v>
      </c>
      <c r="M20" s="480">
        <v>244.76634662999999</v>
      </c>
      <c r="N20" s="480">
        <v>186.93290493000001</v>
      </c>
      <c r="O20" s="480">
        <v>431.69925155999999</v>
      </c>
    </row>
    <row r="21" spans="1:15" ht="14.1" customHeight="1" x14ac:dyDescent="0.2">
      <c r="A21" s="687" t="s">
        <v>607</v>
      </c>
      <c r="B21" s="467">
        <v>28.116873009999999</v>
      </c>
      <c r="C21" s="467">
        <v>57.224971600000003</v>
      </c>
      <c r="D21" s="467">
        <v>197.49158750999999</v>
      </c>
      <c r="E21" s="467">
        <v>633.52993527000001</v>
      </c>
      <c r="F21" s="467">
        <v>317.31758728</v>
      </c>
      <c r="G21" s="467">
        <v>233.17092603</v>
      </c>
      <c r="H21" s="467">
        <v>503.67302348999999</v>
      </c>
      <c r="I21" s="467">
        <v>421.57302387999999</v>
      </c>
      <c r="J21" s="467">
        <v>456.76961965999999</v>
      </c>
      <c r="K21" s="467">
        <v>235.68997243999999</v>
      </c>
      <c r="L21" s="467">
        <v>265.31626318999997</v>
      </c>
      <c r="M21" s="480">
        <v>1970.5249041899999</v>
      </c>
      <c r="N21" s="480">
        <v>1379.3488791699999</v>
      </c>
      <c r="O21" s="480">
        <v>3349.8737833599998</v>
      </c>
    </row>
    <row r="22" spans="1:15" ht="14.1" customHeight="1" x14ac:dyDescent="0.2">
      <c r="A22" s="465" t="s">
        <v>172</v>
      </c>
      <c r="B22" s="467">
        <v>6.8346186400000004</v>
      </c>
      <c r="C22" s="467">
        <v>18.617596020000001</v>
      </c>
      <c r="D22" s="467">
        <v>64.270657049999997</v>
      </c>
      <c r="E22" s="467">
        <v>297.71818264000001</v>
      </c>
      <c r="F22" s="467">
        <v>231.86770566000001</v>
      </c>
      <c r="G22" s="467">
        <v>201.23933362</v>
      </c>
      <c r="H22" s="467">
        <v>533.87656986000002</v>
      </c>
      <c r="I22" s="467">
        <v>547.71327319</v>
      </c>
      <c r="J22" s="467">
        <v>916.84127158000001</v>
      </c>
      <c r="K22" s="467">
        <v>514.90025337999998</v>
      </c>
      <c r="L22" s="467">
        <v>811.76888142999996</v>
      </c>
      <c r="M22" s="480">
        <v>1354.4246634900001</v>
      </c>
      <c r="N22" s="480">
        <v>2791.22367958</v>
      </c>
      <c r="O22" s="480">
        <v>4145.64834307</v>
      </c>
    </row>
    <row r="23" spans="1:15" ht="14.1" customHeight="1" x14ac:dyDescent="0.2">
      <c r="A23" s="465" t="s">
        <v>173</v>
      </c>
      <c r="B23" s="467">
        <v>32.207080470000001</v>
      </c>
      <c r="C23" s="467">
        <v>81.102571359999999</v>
      </c>
      <c r="D23" s="467">
        <v>240.87628334999999</v>
      </c>
      <c r="E23" s="467">
        <v>866.11006197999995</v>
      </c>
      <c r="F23" s="467">
        <v>505.80062498000001</v>
      </c>
      <c r="G23" s="467">
        <v>413.89218935999997</v>
      </c>
      <c r="H23" s="467">
        <v>853.55461121999997</v>
      </c>
      <c r="I23" s="467">
        <v>814.64795507999997</v>
      </c>
      <c r="J23" s="467">
        <v>1371.6911750199999</v>
      </c>
      <c r="K23" s="467">
        <v>819.25983887999996</v>
      </c>
      <c r="L23" s="467">
        <v>1689.65498013</v>
      </c>
      <c r="M23" s="480">
        <v>2993.5434227199999</v>
      </c>
      <c r="N23" s="480">
        <v>4695.2539491099997</v>
      </c>
      <c r="O23" s="480">
        <v>7688.79737183</v>
      </c>
    </row>
    <row r="24" spans="1:15" ht="14.1" customHeight="1" x14ac:dyDescent="0.2">
      <c r="A24" s="475" t="s">
        <v>174</v>
      </c>
      <c r="B24" s="468">
        <v>38.559781510000001</v>
      </c>
      <c r="C24" s="468">
        <v>105.97220815</v>
      </c>
      <c r="D24" s="468">
        <v>312.17135936</v>
      </c>
      <c r="E24" s="468">
        <v>804.76869312999997</v>
      </c>
      <c r="F24" s="468">
        <v>377.61426196000002</v>
      </c>
      <c r="G24" s="468">
        <v>231.51592722000001</v>
      </c>
      <c r="H24" s="468">
        <v>424.01978466999998</v>
      </c>
      <c r="I24" s="468">
        <v>346.20855036</v>
      </c>
      <c r="J24" s="468">
        <v>452.91072451999997</v>
      </c>
      <c r="K24" s="468">
        <v>331.79824960000002</v>
      </c>
      <c r="L24" s="468">
        <v>915.01684790000002</v>
      </c>
      <c r="M24" s="481">
        <v>2294.6220159999998</v>
      </c>
      <c r="N24" s="481">
        <v>2045.93437238</v>
      </c>
      <c r="O24" s="481">
        <v>4340.5563883799996</v>
      </c>
    </row>
    <row r="25" spans="1:15" ht="14.1" customHeight="1" x14ac:dyDescent="0.25">
      <c r="A25" s="474" t="s">
        <v>175</v>
      </c>
      <c r="B25" s="466">
        <v>91.192493249999998</v>
      </c>
      <c r="C25" s="466">
        <v>222.34941293</v>
      </c>
      <c r="D25" s="466">
        <v>645.97488749000001</v>
      </c>
      <c r="E25" s="466">
        <v>2113.4727030700001</v>
      </c>
      <c r="F25" s="466">
        <v>1234.74723806</v>
      </c>
      <c r="G25" s="466">
        <v>913.37305587000003</v>
      </c>
      <c r="H25" s="466">
        <v>1813.4006366000001</v>
      </c>
      <c r="I25" s="466">
        <v>1526.1244302299999</v>
      </c>
      <c r="J25" s="466">
        <v>2274.8228107999998</v>
      </c>
      <c r="K25" s="466">
        <v>1442.99710091</v>
      </c>
      <c r="L25" s="466">
        <v>1930.8327016600001</v>
      </c>
      <c r="M25" s="479">
        <v>7034.51042727</v>
      </c>
      <c r="N25" s="479">
        <v>7174.7770436000001</v>
      </c>
      <c r="O25" s="479">
        <v>14209.28747087</v>
      </c>
    </row>
    <row r="26" spans="1:15" ht="14.1" customHeight="1" x14ac:dyDescent="0.25">
      <c r="A26" s="476" t="s">
        <v>176</v>
      </c>
      <c r="B26" s="469">
        <v>65.186796799999996</v>
      </c>
      <c r="C26" s="469">
        <v>147.12683283000001</v>
      </c>
      <c r="D26" s="469">
        <v>406.02429967</v>
      </c>
      <c r="E26" s="469">
        <v>1269.74682069</v>
      </c>
      <c r="F26" s="469">
        <v>787.14771143999997</v>
      </c>
      <c r="G26" s="469">
        <v>594.86095476000003</v>
      </c>
      <c r="H26" s="469">
        <v>1104.08822968</v>
      </c>
      <c r="I26" s="469">
        <v>888.88379384999996</v>
      </c>
      <c r="J26" s="469">
        <v>1161.1215307299999</v>
      </c>
      <c r="K26" s="469">
        <v>621.29776133999997</v>
      </c>
      <c r="L26" s="469">
        <v>714.74137954000003</v>
      </c>
      <c r="M26" s="482">
        <v>4374.1816458699996</v>
      </c>
      <c r="N26" s="482">
        <v>3386.0444654600001</v>
      </c>
      <c r="O26" s="482">
        <v>7760.2261113300001</v>
      </c>
    </row>
    <row r="27" spans="1:15" ht="14.1" customHeight="1" x14ac:dyDescent="0.25">
      <c r="A27" s="474" t="s">
        <v>177</v>
      </c>
      <c r="B27" s="466">
        <v>157.60712548999999</v>
      </c>
      <c r="C27" s="466">
        <v>410.59818601000001</v>
      </c>
      <c r="D27" s="466">
        <v>1247.5569601100001</v>
      </c>
      <c r="E27" s="466">
        <v>4394.9505749</v>
      </c>
      <c r="F27" s="466">
        <v>2558.4608303300001</v>
      </c>
      <c r="G27" s="466">
        <v>1820.9637142199999</v>
      </c>
      <c r="H27" s="466">
        <v>3729.3296564299999</v>
      </c>
      <c r="I27" s="466">
        <v>3074.1809526900001</v>
      </c>
      <c r="J27" s="466">
        <v>4719.8448811099997</v>
      </c>
      <c r="K27" s="466">
        <v>2916.5260820600001</v>
      </c>
      <c r="L27" s="466">
        <v>4825.1600615400002</v>
      </c>
      <c r="M27" s="479">
        <v>14319.467047489999</v>
      </c>
      <c r="N27" s="479">
        <v>15535.7119774</v>
      </c>
      <c r="O27" s="479">
        <v>29855.17902489</v>
      </c>
    </row>
    <row r="28" spans="1:15" ht="14.1" customHeight="1" x14ac:dyDescent="0.2">
      <c r="A28" s="465" t="s">
        <v>178</v>
      </c>
      <c r="B28" s="467">
        <v>150.54054449</v>
      </c>
      <c r="C28" s="467">
        <v>389.84581578000001</v>
      </c>
      <c r="D28" s="467">
        <v>1172.7043786500001</v>
      </c>
      <c r="E28" s="467">
        <v>4157.2076904799997</v>
      </c>
      <c r="F28" s="467">
        <v>2408.0335076000001</v>
      </c>
      <c r="G28" s="467">
        <v>1711.1818092799999</v>
      </c>
      <c r="H28" s="467">
        <v>3504.2536601900001</v>
      </c>
      <c r="I28" s="467">
        <v>2858.8106110499998</v>
      </c>
      <c r="J28" s="467">
        <v>4313.0855960299996</v>
      </c>
      <c r="K28" s="467">
        <v>2633.3840540599999</v>
      </c>
      <c r="L28" s="467">
        <v>3882.2750030500001</v>
      </c>
      <c r="M28" s="480">
        <v>13493.76740647</v>
      </c>
      <c r="N28" s="480">
        <v>13687.555264189999</v>
      </c>
      <c r="O28" s="480">
        <v>27181.32267066</v>
      </c>
    </row>
    <row r="29" spans="1:15" ht="14.1" customHeight="1" x14ac:dyDescent="0.2">
      <c r="A29" s="465" t="s">
        <v>179</v>
      </c>
      <c r="B29" s="467">
        <v>4.4623331400000001</v>
      </c>
      <c r="C29" s="467">
        <v>14.183498370000001</v>
      </c>
      <c r="D29" s="467">
        <v>43.036708349999998</v>
      </c>
      <c r="E29" s="467">
        <v>132.13154969000001</v>
      </c>
      <c r="F29" s="467">
        <v>79.855986380000004</v>
      </c>
      <c r="G29" s="467">
        <v>64.191578079999999</v>
      </c>
      <c r="H29" s="467">
        <v>139.92954003</v>
      </c>
      <c r="I29" s="467">
        <v>124.81077206000001</v>
      </c>
      <c r="J29" s="467">
        <v>208.82369297</v>
      </c>
      <c r="K29" s="467">
        <v>131.01330442</v>
      </c>
      <c r="L29" s="467">
        <v>747.51887581999995</v>
      </c>
      <c r="M29" s="480">
        <v>477.79119403999999</v>
      </c>
      <c r="N29" s="480">
        <v>1212.1666452699999</v>
      </c>
      <c r="O29" s="480">
        <v>1689.9578393100001</v>
      </c>
    </row>
    <row r="30" spans="1:15" ht="14.1" customHeight="1" x14ac:dyDescent="0.2">
      <c r="A30" s="465" t="s">
        <v>180</v>
      </c>
      <c r="B30" s="467">
        <v>2.6042478600000001</v>
      </c>
      <c r="C30" s="467">
        <v>6.5688718599999998</v>
      </c>
      <c r="D30" s="467">
        <v>31.815873109999998</v>
      </c>
      <c r="E30" s="467">
        <v>105.61133473</v>
      </c>
      <c r="F30" s="467">
        <v>70.571336349999996</v>
      </c>
      <c r="G30" s="467">
        <v>45.590326859999998</v>
      </c>
      <c r="H30" s="467">
        <v>85.146456209999997</v>
      </c>
      <c r="I30" s="467">
        <v>90.559569580000002</v>
      </c>
      <c r="J30" s="467">
        <v>197.93559210999999</v>
      </c>
      <c r="K30" s="467">
        <v>152.12872358000001</v>
      </c>
      <c r="L30" s="467">
        <v>195.36618267</v>
      </c>
      <c r="M30" s="480">
        <v>347.90844698000001</v>
      </c>
      <c r="N30" s="480">
        <v>635.99006794000002</v>
      </c>
      <c r="O30" s="480">
        <v>983.89851492000003</v>
      </c>
    </row>
    <row r="31" spans="1:15" ht="14.1" customHeight="1" x14ac:dyDescent="0.25">
      <c r="A31" s="474" t="s">
        <v>181</v>
      </c>
      <c r="B31" s="466">
        <v>87.228824829999994</v>
      </c>
      <c r="C31" s="466">
        <v>221.838145</v>
      </c>
      <c r="D31" s="466">
        <v>658.78713115999994</v>
      </c>
      <c r="E31" s="466">
        <v>2249.3988606799999</v>
      </c>
      <c r="F31" s="466">
        <v>1299.41820723</v>
      </c>
      <c r="G31" s="466">
        <v>835.48821645999999</v>
      </c>
      <c r="H31" s="466">
        <v>1691.0248287100001</v>
      </c>
      <c r="I31" s="466">
        <v>1377.17913374</v>
      </c>
      <c r="J31" s="466">
        <v>2053.4769311599998</v>
      </c>
      <c r="K31" s="466">
        <v>1369.9844279500001</v>
      </c>
      <c r="L31" s="466">
        <v>1281.39755814</v>
      </c>
      <c r="M31" s="479">
        <v>7043.1842140700001</v>
      </c>
      <c r="N31" s="479">
        <v>6082.0380509899996</v>
      </c>
      <c r="O31" s="479">
        <v>13125.22226506</v>
      </c>
    </row>
    <row r="32" spans="1:15" ht="14.1" customHeight="1" x14ac:dyDescent="0.2">
      <c r="A32" s="465" t="s">
        <v>182</v>
      </c>
      <c r="B32" s="467">
        <v>19.55898191</v>
      </c>
      <c r="C32" s="467">
        <v>47.233842119999998</v>
      </c>
      <c r="D32" s="467">
        <v>138.44628381000001</v>
      </c>
      <c r="E32" s="467">
        <v>494.36173459999998</v>
      </c>
      <c r="F32" s="467">
        <v>282.21058498999997</v>
      </c>
      <c r="G32" s="467">
        <v>203.69525899000001</v>
      </c>
      <c r="H32" s="467">
        <v>411.21268339</v>
      </c>
      <c r="I32" s="467">
        <v>342.83071917000001</v>
      </c>
      <c r="J32" s="467">
        <v>502.17745087999998</v>
      </c>
      <c r="K32" s="467">
        <v>316.53948014000002</v>
      </c>
      <c r="L32" s="467">
        <v>423.78472056999999</v>
      </c>
      <c r="M32" s="480">
        <v>1596.71936981</v>
      </c>
      <c r="N32" s="480">
        <v>1585.33237076</v>
      </c>
      <c r="O32" s="480">
        <v>3182.0517405700002</v>
      </c>
    </row>
    <row r="33" spans="1:15" ht="14.1" customHeight="1" x14ac:dyDescent="0.2">
      <c r="A33" s="465" t="s">
        <v>183</v>
      </c>
      <c r="B33" s="467">
        <v>62.52790667</v>
      </c>
      <c r="C33" s="467">
        <v>155.37447266999999</v>
      </c>
      <c r="D33" s="467">
        <v>444.42773506999998</v>
      </c>
      <c r="E33" s="467">
        <v>1463.7778258799999</v>
      </c>
      <c r="F33" s="467">
        <v>744.07828756000004</v>
      </c>
      <c r="G33" s="467">
        <v>486.54691781000002</v>
      </c>
      <c r="H33" s="467">
        <v>991.38942999000005</v>
      </c>
      <c r="I33" s="467">
        <v>814.93953729999998</v>
      </c>
      <c r="J33" s="467">
        <v>1103.7981800099999</v>
      </c>
      <c r="K33" s="467">
        <v>684.43994826999995</v>
      </c>
      <c r="L33" s="467">
        <v>547.48441184000001</v>
      </c>
      <c r="M33" s="480">
        <v>4348.1225756499998</v>
      </c>
      <c r="N33" s="480">
        <v>3150.6620774200001</v>
      </c>
      <c r="O33" s="480">
        <v>7498.7846530699999</v>
      </c>
    </row>
    <row r="34" spans="1:15" ht="14.1" customHeight="1" x14ac:dyDescent="0.2">
      <c r="A34" s="475" t="s">
        <v>184</v>
      </c>
      <c r="B34" s="468">
        <v>5.1419362499999997</v>
      </c>
      <c r="C34" s="468">
        <v>19.229830209999999</v>
      </c>
      <c r="D34" s="468">
        <v>75.913112280000007</v>
      </c>
      <c r="E34" s="468">
        <v>291.25930019999998</v>
      </c>
      <c r="F34" s="468">
        <v>273.12933468</v>
      </c>
      <c r="G34" s="468">
        <v>145.24603966000001</v>
      </c>
      <c r="H34" s="468">
        <v>288.42271533000002</v>
      </c>
      <c r="I34" s="468">
        <v>219.40887727</v>
      </c>
      <c r="J34" s="468">
        <v>447.50130027</v>
      </c>
      <c r="K34" s="468">
        <v>369.00499953999997</v>
      </c>
      <c r="L34" s="468">
        <v>310.12842573</v>
      </c>
      <c r="M34" s="481">
        <v>1098.34226861</v>
      </c>
      <c r="N34" s="481">
        <v>1346.04360281</v>
      </c>
      <c r="O34" s="481">
        <v>2444.3858714200001</v>
      </c>
    </row>
    <row r="35" spans="1:15" ht="14.1" customHeight="1" x14ac:dyDescent="0.25">
      <c r="A35" s="477" t="s">
        <v>185</v>
      </c>
      <c r="B35" s="466">
        <v>393.75127207000003</v>
      </c>
      <c r="C35" s="466">
        <v>1067.65711455</v>
      </c>
      <c r="D35" s="466">
        <v>3478.52725405</v>
      </c>
      <c r="E35" s="466">
        <v>12806.387757549999</v>
      </c>
      <c r="F35" s="466">
        <v>7826.6786206099996</v>
      </c>
      <c r="G35" s="466">
        <v>5964.8090828200002</v>
      </c>
      <c r="H35" s="466">
        <v>13183.36512056</v>
      </c>
      <c r="I35" s="466">
        <v>12520.192546550001</v>
      </c>
      <c r="J35" s="466">
        <v>20036.80097787</v>
      </c>
      <c r="K35" s="466">
        <v>12159.137862269999</v>
      </c>
      <c r="L35" s="466">
        <v>23219.79341636</v>
      </c>
      <c r="M35" s="479">
        <v>44721.176222210001</v>
      </c>
      <c r="N35" s="479">
        <v>67935.924803050002</v>
      </c>
      <c r="O35" s="479">
        <v>112657.10102526</v>
      </c>
    </row>
    <row r="36" spans="1:15" ht="14.1" customHeight="1" x14ac:dyDescent="0.25">
      <c r="A36" s="477" t="s">
        <v>186</v>
      </c>
      <c r="B36" s="466">
        <v>414.56546465999998</v>
      </c>
      <c r="C36" s="466">
        <v>1101.24648647</v>
      </c>
      <c r="D36" s="466">
        <v>3535.7323125900002</v>
      </c>
      <c r="E36" s="466">
        <v>12774.3087464</v>
      </c>
      <c r="F36" s="466">
        <v>7802.3832355699997</v>
      </c>
      <c r="G36" s="466">
        <v>5892.7066409299996</v>
      </c>
      <c r="H36" s="466">
        <v>12958.46092944</v>
      </c>
      <c r="I36" s="466">
        <v>12349.31515783</v>
      </c>
      <c r="J36" s="466">
        <v>19645.255838720001</v>
      </c>
      <c r="K36" s="466">
        <v>12055.59330907</v>
      </c>
      <c r="L36" s="466">
        <v>21606.863614620001</v>
      </c>
      <c r="M36" s="479">
        <v>44479.403816060003</v>
      </c>
      <c r="N36" s="479">
        <v>65657.027920239998</v>
      </c>
      <c r="O36" s="479">
        <v>110136.4317363</v>
      </c>
    </row>
    <row r="37" spans="1:15" ht="14.1" customHeight="1" x14ac:dyDescent="0.25">
      <c r="A37" s="476" t="s">
        <v>187</v>
      </c>
      <c r="B37" s="469">
        <v>20.814192590000001</v>
      </c>
      <c r="C37" s="469">
        <v>33.589371919999998</v>
      </c>
      <c r="D37" s="469">
        <v>57.205058540000003</v>
      </c>
      <c r="E37" s="469">
        <v>-32.079011149999999</v>
      </c>
      <c r="F37" s="469">
        <v>-24.295385039999999</v>
      </c>
      <c r="G37" s="469">
        <v>-72.102441889999994</v>
      </c>
      <c r="H37" s="469">
        <v>-224.90419112000001</v>
      </c>
      <c r="I37" s="469">
        <v>-170.87738872</v>
      </c>
      <c r="J37" s="469">
        <v>-391.54513915000001</v>
      </c>
      <c r="K37" s="469">
        <v>-103.5445532</v>
      </c>
      <c r="L37" s="469">
        <v>-1612.9298017399999</v>
      </c>
      <c r="M37" s="482">
        <v>-241.77240614999999</v>
      </c>
      <c r="N37" s="482">
        <v>-2278.8968828100001</v>
      </c>
      <c r="O37" s="482">
        <v>-2520.6692889599999</v>
      </c>
    </row>
    <row r="38" spans="1:15" ht="14.1" customHeight="1" x14ac:dyDescent="0.2">
      <c r="A38" s="465" t="s">
        <v>188</v>
      </c>
      <c r="B38" s="467">
        <v>26.005696449999999</v>
      </c>
      <c r="C38" s="467">
        <v>75.222580100000002</v>
      </c>
      <c r="D38" s="467">
        <v>239.95058782000001</v>
      </c>
      <c r="E38" s="467">
        <v>843.72588238000003</v>
      </c>
      <c r="F38" s="467">
        <v>447.59952662000001</v>
      </c>
      <c r="G38" s="467">
        <v>318.51210111</v>
      </c>
      <c r="H38" s="467">
        <v>709.31240691999994</v>
      </c>
      <c r="I38" s="467">
        <v>637.24063637999996</v>
      </c>
      <c r="J38" s="467">
        <v>1113.7012800699999</v>
      </c>
      <c r="K38" s="467">
        <v>821.69933957000001</v>
      </c>
      <c r="L38" s="467">
        <v>1216.0913221200001</v>
      </c>
      <c r="M38" s="480">
        <v>2660.3287814</v>
      </c>
      <c r="N38" s="480">
        <v>3788.73257814</v>
      </c>
      <c r="O38" s="480">
        <v>6449.06135954</v>
      </c>
    </row>
    <row r="39" spans="1:15" ht="14.1" customHeight="1" x14ac:dyDescent="0.2">
      <c r="A39" s="465" t="s">
        <v>189</v>
      </c>
      <c r="B39" s="467">
        <v>20.867131489999998</v>
      </c>
      <c r="C39" s="467">
        <v>58.553334220000004</v>
      </c>
      <c r="D39" s="467">
        <v>181.56745968000001</v>
      </c>
      <c r="E39" s="467">
        <v>677.42744382000001</v>
      </c>
      <c r="F39" s="467">
        <v>393.62797812999997</v>
      </c>
      <c r="G39" s="467">
        <v>310.65289432999998</v>
      </c>
      <c r="H39" s="467">
        <v>629.43143330999999</v>
      </c>
      <c r="I39" s="467">
        <v>621.28411897000001</v>
      </c>
      <c r="J39" s="467">
        <v>1215.11426968</v>
      </c>
      <c r="K39" s="467">
        <v>932.88645661999999</v>
      </c>
      <c r="L39" s="467">
        <v>2279.5901142799999</v>
      </c>
      <c r="M39" s="480">
        <v>2272.1276749799999</v>
      </c>
      <c r="N39" s="480">
        <v>5048.8749595500003</v>
      </c>
      <c r="O39" s="480">
        <v>7321.0026345300003</v>
      </c>
    </row>
    <row r="40" spans="1:15" ht="14.1" customHeight="1" x14ac:dyDescent="0.2">
      <c r="A40" s="475" t="s">
        <v>190</v>
      </c>
      <c r="B40" s="468">
        <v>-5.1385649600000001</v>
      </c>
      <c r="C40" s="468">
        <v>-16.669245879999998</v>
      </c>
      <c r="D40" s="468">
        <v>-58.383128139999997</v>
      </c>
      <c r="E40" s="468">
        <v>-166.29843855999999</v>
      </c>
      <c r="F40" s="468">
        <v>-53.971548490000004</v>
      </c>
      <c r="G40" s="468">
        <v>-7.8592067800000001</v>
      </c>
      <c r="H40" s="468">
        <v>-79.880973609999998</v>
      </c>
      <c r="I40" s="468">
        <v>-15.95651741</v>
      </c>
      <c r="J40" s="468">
        <v>101.41298961</v>
      </c>
      <c r="K40" s="468">
        <v>111.18711705</v>
      </c>
      <c r="L40" s="468">
        <v>1063.49879216</v>
      </c>
      <c r="M40" s="481">
        <v>-388.20110641999997</v>
      </c>
      <c r="N40" s="481">
        <v>1260.1423814100001</v>
      </c>
      <c r="O40" s="481">
        <v>871.94127499000001</v>
      </c>
    </row>
    <row r="41" spans="1:15" ht="14.1" customHeight="1" x14ac:dyDescent="0.25">
      <c r="A41" s="477" t="s">
        <v>191</v>
      </c>
      <c r="B41" s="466">
        <v>419.75696851999999</v>
      </c>
      <c r="C41" s="466">
        <v>1142.8796946499999</v>
      </c>
      <c r="D41" s="466">
        <v>3718.4778418699998</v>
      </c>
      <c r="E41" s="466">
        <v>13650.113639929999</v>
      </c>
      <c r="F41" s="466">
        <v>8274.2781472299994</v>
      </c>
      <c r="G41" s="466">
        <v>6283.3211839300002</v>
      </c>
      <c r="H41" s="466">
        <v>13892.67752748</v>
      </c>
      <c r="I41" s="466">
        <v>13157.433182930001</v>
      </c>
      <c r="J41" s="466">
        <v>21150.502257939999</v>
      </c>
      <c r="K41" s="466">
        <v>12980.83720184</v>
      </c>
      <c r="L41" s="466">
        <v>24435.884738479999</v>
      </c>
      <c r="M41" s="479">
        <v>47381.50500361</v>
      </c>
      <c r="N41" s="479">
        <v>71724.657381190002</v>
      </c>
      <c r="O41" s="479">
        <v>119106.1623848</v>
      </c>
    </row>
    <row r="42" spans="1:15" ht="14.1" customHeight="1" x14ac:dyDescent="0.25">
      <c r="A42" s="477" t="s">
        <v>192</v>
      </c>
      <c r="B42" s="466">
        <v>435.43259614999999</v>
      </c>
      <c r="C42" s="466">
        <v>1159.7998206899999</v>
      </c>
      <c r="D42" s="466">
        <v>3717.2997722700002</v>
      </c>
      <c r="E42" s="466">
        <v>13451.736190219999</v>
      </c>
      <c r="F42" s="466">
        <v>8196.0112136999996</v>
      </c>
      <c r="G42" s="466">
        <v>6203.3595352599996</v>
      </c>
      <c r="H42" s="466">
        <v>13587.892362750001</v>
      </c>
      <c r="I42" s="466">
        <v>12970.5992768</v>
      </c>
      <c r="J42" s="466">
        <v>20860.370108399999</v>
      </c>
      <c r="K42" s="466">
        <v>12988.479765689999</v>
      </c>
      <c r="L42" s="466">
        <v>23886.4537289</v>
      </c>
      <c r="M42" s="479">
        <v>46751.531491039997</v>
      </c>
      <c r="N42" s="479">
        <v>70705.902879789995</v>
      </c>
      <c r="O42" s="479">
        <v>117457.43437083</v>
      </c>
    </row>
    <row r="43" spans="1:15" ht="14.1" customHeight="1" x14ac:dyDescent="0.2">
      <c r="A43" s="475" t="s">
        <v>193</v>
      </c>
      <c r="B43" s="468">
        <v>15.675627629999999</v>
      </c>
      <c r="C43" s="468">
        <v>16.92012604</v>
      </c>
      <c r="D43" s="468">
        <v>-1.1780695999999999</v>
      </c>
      <c r="E43" s="468">
        <v>-198.37744971000001</v>
      </c>
      <c r="F43" s="468">
        <v>-78.266933530000003</v>
      </c>
      <c r="G43" s="468">
        <v>-79.961648670000002</v>
      </c>
      <c r="H43" s="468">
        <v>-304.78516473000002</v>
      </c>
      <c r="I43" s="468">
        <v>-186.83390613</v>
      </c>
      <c r="J43" s="468">
        <v>-290.13214954</v>
      </c>
      <c r="K43" s="468">
        <v>7.6425638500000002</v>
      </c>
      <c r="L43" s="468">
        <v>-549.43100958000002</v>
      </c>
      <c r="M43" s="481">
        <v>-629.97351257000003</v>
      </c>
      <c r="N43" s="481">
        <v>-1018.7545014</v>
      </c>
      <c r="O43" s="481">
        <v>-1648.7280139699999</v>
      </c>
    </row>
    <row r="44" spans="1:15" s="8" customFormat="1" ht="14.1" customHeight="1" x14ac:dyDescent="0.25">
      <c r="A44" s="478" t="s">
        <v>426</v>
      </c>
      <c r="B44" s="469">
        <v>137.78750758000001</v>
      </c>
      <c r="C44" s="469">
        <v>460.62661902000002</v>
      </c>
      <c r="D44" s="469">
        <v>1564.98913881</v>
      </c>
      <c r="E44" s="469">
        <v>6342.5842618099996</v>
      </c>
      <c r="F44" s="469">
        <v>3924.3564941700001</v>
      </c>
      <c r="G44" s="469">
        <v>2989.5653447700001</v>
      </c>
      <c r="H44" s="469">
        <v>6507.3161037399996</v>
      </c>
      <c r="I44" s="469">
        <v>6068.3689092100003</v>
      </c>
      <c r="J44" s="469">
        <v>10808.2373126</v>
      </c>
      <c r="K44" s="469">
        <v>8112.9677022799997</v>
      </c>
      <c r="L44" s="469">
        <v>19615.128224709999</v>
      </c>
      <c r="M44" s="482">
        <v>21927.2254699</v>
      </c>
      <c r="N44" s="482">
        <v>44604.702148800003</v>
      </c>
      <c r="O44" s="482">
        <v>66531.927618700007</v>
      </c>
    </row>
    <row r="45" spans="1:15" ht="14.1" customHeight="1" x14ac:dyDescent="0.2">
      <c r="A45" s="8" t="s">
        <v>194</v>
      </c>
      <c r="B45" s="467"/>
      <c r="C45" s="467"/>
      <c r="D45" s="467"/>
      <c r="E45" s="467"/>
      <c r="F45" s="467"/>
      <c r="G45" s="467"/>
      <c r="H45" s="467"/>
      <c r="I45" s="467"/>
      <c r="J45" s="467"/>
      <c r="K45" s="467"/>
      <c r="L45" s="467"/>
      <c r="M45" s="483"/>
      <c r="N45" s="483"/>
      <c r="O45" s="483"/>
    </row>
    <row r="46" spans="1:15" ht="14.1" customHeight="1" x14ac:dyDescent="0.2">
      <c r="A46" t="s">
        <v>195</v>
      </c>
      <c r="B46" s="471">
        <v>0.27858932400000003</v>
      </c>
      <c r="C46" s="471">
        <v>0.25283978200000001</v>
      </c>
      <c r="D46" s="471">
        <v>0.22453500000000001</v>
      </c>
      <c r="E46" s="471">
        <v>0.20080672699999999</v>
      </c>
      <c r="F46" s="471">
        <v>0.189874501</v>
      </c>
      <c r="G46" s="471">
        <v>0.18060779299999999</v>
      </c>
      <c r="H46" s="471">
        <v>0.16094172800000001</v>
      </c>
      <c r="I46" s="471">
        <v>0.13909091400000001</v>
      </c>
      <c r="J46" s="471">
        <v>0.129311699</v>
      </c>
      <c r="K46" s="471">
        <v>0.13504116799999999</v>
      </c>
      <c r="L46" s="471">
        <v>9.4995740999999995E-2</v>
      </c>
      <c r="M46" s="484">
        <v>0.18790653800000001</v>
      </c>
      <c r="N46" s="484">
        <v>0.120432703</v>
      </c>
      <c r="O46" s="484">
        <v>0.14647057299999999</v>
      </c>
    </row>
    <row r="47" spans="1:15" ht="14.1" customHeight="1" x14ac:dyDescent="0.2">
      <c r="A47" t="s">
        <v>196</v>
      </c>
      <c r="B47" s="471">
        <v>0.19914298899999999</v>
      </c>
      <c r="C47" s="471">
        <v>0.167302067</v>
      </c>
      <c r="D47" s="471">
        <v>0.14113035700000001</v>
      </c>
      <c r="E47" s="471">
        <v>0.12064206099999999</v>
      </c>
      <c r="F47" s="471">
        <v>0.12104443300000001</v>
      </c>
      <c r="G47" s="471">
        <v>0.117626115</v>
      </c>
      <c r="H47" s="471">
        <v>9.7989304999999999E-2</v>
      </c>
      <c r="I47" s="471">
        <v>8.1012829999999994E-2</v>
      </c>
      <c r="J47" s="471">
        <v>6.6003645E-2</v>
      </c>
      <c r="K47" s="471">
        <v>5.8143411999999998E-2</v>
      </c>
      <c r="L47" s="471">
        <v>3.5164820999999999E-2</v>
      </c>
      <c r="M47" s="484">
        <v>0.11684357300000001</v>
      </c>
      <c r="N47" s="484">
        <v>5.6836677000000002E-2</v>
      </c>
      <c r="O47" s="484">
        <v>7.9993087000000004E-2</v>
      </c>
    </row>
    <row r="48" spans="1:15" ht="14.1" customHeight="1" x14ac:dyDescent="0.2">
      <c r="A48" t="s">
        <v>197</v>
      </c>
      <c r="B48" s="471">
        <v>0.42093518099999999</v>
      </c>
      <c r="C48" s="471">
        <v>0.52379150500000005</v>
      </c>
      <c r="D48" s="471">
        <v>0.54397600199999996</v>
      </c>
      <c r="E48" s="471">
        <v>0.602625992</v>
      </c>
      <c r="F48" s="471">
        <v>0.60347187400000002</v>
      </c>
      <c r="G48" s="471">
        <v>0.59114815600000004</v>
      </c>
      <c r="H48" s="471">
        <v>0.57753299400000002</v>
      </c>
      <c r="I48" s="471">
        <v>0.55307087799999999</v>
      </c>
      <c r="J48" s="471">
        <v>0.61439138000000004</v>
      </c>
      <c r="K48" s="471">
        <v>0.75924243499999999</v>
      </c>
      <c r="L48" s="471">
        <v>0.96505183100000003</v>
      </c>
      <c r="M48" s="484">
        <v>0.58572221499999999</v>
      </c>
      <c r="N48" s="484">
        <v>0.74871522800000001</v>
      </c>
      <c r="O48" s="484">
        <v>0.68581690699999998</v>
      </c>
    </row>
    <row r="49" spans="1:16381" ht="14.1" customHeight="1" x14ac:dyDescent="0.2">
      <c r="A49" s="208" t="s">
        <v>617</v>
      </c>
      <c r="B49" s="703">
        <v>1.510952302</v>
      </c>
      <c r="C49" s="703">
        <v>2.0716340689999999</v>
      </c>
      <c r="D49" s="703">
        <v>2.422677985</v>
      </c>
      <c r="E49" s="703">
        <v>3.0010249259999999</v>
      </c>
      <c r="F49" s="703">
        <v>3.178267076</v>
      </c>
      <c r="G49" s="703">
        <v>3.273104375</v>
      </c>
      <c r="H49" s="703">
        <v>3.5884602509999999</v>
      </c>
      <c r="I49" s="703">
        <v>3.9763264309999999</v>
      </c>
      <c r="J49" s="703">
        <v>4.7512435960000001</v>
      </c>
      <c r="K49" s="703">
        <v>5.6223035360000004</v>
      </c>
      <c r="L49" s="703">
        <v>10.158895801</v>
      </c>
      <c r="M49" s="704">
        <v>3.117093321</v>
      </c>
      <c r="N49" s="704">
        <v>6.2168764100000002</v>
      </c>
      <c r="O49" s="704">
        <v>4.6822845800000001</v>
      </c>
    </row>
    <row r="50" spans="1:16381" ht="14.1" customHeight="1" x14ac:dyDescent="0.2">
      <c r="A50" s="208" t="s">
        <v>222</v>
      </c>
      <c r="B50" s="473">
        <v>0.228482186</v>
      </c>
      <c r="C50" s="473">
        <v>0.27958000700000002</v>
      </c>
      <c r="D50" s="473">
        <v>0.34856055899999999</v>
      </c>
      <c r="E50" s="473">
        <v>0.442954705</v>
      </c>
      <c r="F50" s="473">
        <v>0.505697803</v>
      </c>
      <c r="G50" s="473">
        <v>0.53692362699999996</v>
      </c>
      <c r="H50" s="473">
        <v>0.56857523399999998</v>
      </c>
      <c r="I50" s="473">
        <v>0.59397140000000004</v>
      </c>
      <c r="J50" s="473">
        <v>0.607685111</v>
      </c>
      <c r="K50" s="473">
        <v>0.60394704600000004</v>
      </c>
      <c r="L50" s="473">
        <v>0.497767391</v>
      </c>
      <c r="M50" s="486">
        <v>0.49357600899999998</v>
      </c>
      <c r="N50" s="486">
        <v>0.56596800000000003</v>
      </c>
      <c r="O50" s="486">
        <v>0.53938841999999998</v>
      </c>
    </row>
    <row r="51" spans="1:16381" ht="14.1" customHeight="1" x14ac:dyDescent="0.2">
      <c r="A51" s="208" t="s">
        <v>221</v>
      </c>
      <c r="B51" s="473">
        <v>0.80035741800000004</v>
      </c>
      <c r="C51" s="473">
        <v>0.83239487999999995</v>
      </c>
      <c r="D51" s="473">
        <v>0.85831563799999999</v>
      </c>
      <c r="E51" s="473">
        <v>0.87831883300000002</v>
      </c>
      <c r="F51" s="473">
        <v>0.87679475399999995</v>
      </c>
      <c r="G51" s="473">
        <v>0.87913536800000003</v>
      </c>
      <c r="H51" s="473">
        <v>0.898258997</v>
      </c>
      <c r="I51" s="473">
        <v>0.91597123599999997</v>
      </c>
      <c r="J51" s="473">
        <v>0.93185244700000003</v>
      </c>
      <c r="K51" s="473">
        <v>0.94033988099999999</v>
      </c>
      <c r="L51" s="473">
        <v>0.96396023399999997</v>
      </c>
      <c r="M51" s="486">
        <v>0.88086821599999998</v>
      </c>
      <c r="N51" s="486">
        <v>0.94140424599999994</v>
      </c>
      <c r="O51" s="486">
        <v>0.91804364500000002</v>
      </c>
    </row>
    <row r="52" spans="1:16381" ht="15.75" customHeight="1" x14ac:dyDescent="0.2">
      <c r="A52" s="208" t="s">
        <v>451</v>
      </c>
      <c r="B52" s="473">
        <v>0.461930542</v>
      </c>
      <c r="C52" s="473">
        <v>0.44625724700000002</v>
      </c>
      <c r="D52" s="473">
        <v>0.411921131</v>
      </c>
      <c r="E52" s="473">
        <v>0.398686971</v>
      </c>
      <c r="F52" s="473">
        <v>0.37542640100000002</v>
      </c>
      <c r="G52" s="473">
        <v>0.34537299900000001</v>
      </c>
      <c r="H52" s="473">
        <v>0.31807930800000001</v>
      </c>
      <c r="I52" s="473">
        <v>0.26707508400000002</v>
      </c>
      <c r="J52" s="473">
        <v>0.25076790300000001</v>
      </c>
      <c r="K52" s="473">
        <v>0.25324961699999998</v>
      </c>
      <c r="L52" s="473">
        <v>0.194747688</v>
      </c>
      <c r="M52" s="486">
        <v>0.36587075200000002</v>
      </c>
      <c r="N52" s="486">
        <v>0.23510371699999999</v>
      </c>
      <c r="O52" s="486">
        <v>0.28556616800000001</v>
      </c>
    </row>
    <row r="53" spans="1:16381" ht="15.75" customHeight="1" x14ac:dyDescent="0.2">
      <c r="A53" s="235" t="s">
        <v>614</v>
      </c>
      <c r="B53" s="717"/>
      <c r="C53" s="717"/>
      <c r="D53" s="717"/>
      <c r="E53" s="717"/>
      <c r="F53" s="717"/>
      <c r="G53" s="717"/>
      <c r="H53" s="717"/>
      <c r="I53" s="717"/>
      <c r="J53" s="717"/>
      <c r="K53" s="717"/>
      <c r="L53" s="717"/>
      <c r="M53" s="718"/>
      <c r="N53" s="718"/>
      <c r="O53" s="718"/>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7"/>
      <c r="EP53" s="37"/>
      <c r="EQ53" s="37"/>
      <c r="ER53" s="37"/>
      <c r="ES53" s="37"/>
      <c r="ET53" s="37"/>
      <c r="EU53" s="37"/>
      <c r="EV53" s="37"/>
      <c r="EW53" s="37"/>
      <c r="EX53" s="37"/>
      <c r="EY53" s="37"/>
      <c r="EZ53" s="37"/>
      <c r="FA53" s="37"/>
      <c r="FB53" s="37"/>
      <c r="FC53" s="37"/>
      <c r="FD53" s="37"/>
      <c r="FE53" s="37"/>
      <c r="FF53" s="37"/>
      <c r="FG53" s="37"/>
      <c r="FH53" s="37"/>
      <c r="FI53" s="37"/>
      <c r="FJ53" s="37"/>
      <c r="FK53" s="37"/>
      <c r="FL53" s="37"/>
      <c r="FM53" s="37"/>
      <c r="FN53" s="37"/>
      <c r="FO53" s="37"/>
      <c r="FP53" s="37"/>
      <c r="FQ53" s="37"/>
      <c r="FR53" s="37"/>
      <c r="FS53" s="37"/>
      <c r="FT53" s="37"/>
      <c r="FU53" s="37"/>
      <c r="FV53" s="37"/>
      <c r="FW53" s="37"/>
      <c r="FX53" s="37"/>
      <c r="FY53" s="37"/>
      <c r="FZ53" s="37"/>
      <c r="GA53" s="37"/>
      <c r="GB53" s="37"/>
      <c r="GC53" s="37"/>
      <c r="GD53" s="37"/>
      <c r="GE53" s="37"/>
      <c r="GF53" s="37"/>
      <c r="GG53" s="37"/>
      <c r="GH53" s="37"/>
      <c r="GI53" s="37"/>
      <c r="GJ53" s="37"/>
      <c r="GK53" s="37"/>
      <c r="GL53" s="37"/>
      <c r="GM53" s="37"/>
      <c r="GN53" s="37"/>
      <c r="GO53" s="37"/>
      <c r="GP53" s="37"/>
      <c r="GQ53" s="37"/>
      <c r="GR53" s="37"/>
      <c r="GS53" s="37"/>
      <c r="GT53" s="37"/>
      <c r="GU53" s="37"/>
      <c r="GV53" s="37"/>
      <c r="GW53" s="37"/>
      <c r="GX53" s="37"/>
      <c r="GY53" s="37"/>
      <c r="GZ53" s="37"/>
      <c r="HA53" s="37"/>
      <c r="HB53" s="37"/>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c r="ID53" s="37"/>
      <c r="IE53" s="37"/>
      <c r="IF53" s="37"/>
      <c r="IG53" s="37"/>
      <c r="IH53" s="37"/>
      <c r="II53" s="37"/>
      <c r="IJ53" s="37"/>
      <c r="IK53" s="37"/>
      <c r="IL53" s="37"/>
      <c r="IM53" s="37"/>
      <c r="IN53" s="37"/>
      <c r="IO53" s="37"/>
      <c r="IP53" s="37"/>
      <c r="IQ53" s="37"/>
      <c r="IR53" s="37"/>
      <c r="IS53" s="37"/>
      <c r="IT53" s="37"/>
      <c r="IU53" s="37"/>
      <c r="IV53" s="37"/>
      <c r="IW53" s="37"/>
      <c r="IX53" s="37"/>
      <c r="IY53" s="37"/>
      <c r="IZ53" s="37"/>
      <c r="JA53" s="37"/>
      <c r="JB53" s="37"/>
      <c r="JC53" s="37"/>
      <c r="JD53" s="37"/>
      <c r="JE53" s="37"/>
      <c r="JF53" s="37"/>
      <c r="JG53" s="37"/>
      <c r="JH53" s="37"/>
      <c r="JI53" s="37"/>
      <c r="JJ53" s="37"/>
      <c r="JK53" s="37"/>
      <c r="JL53" s="37"/>
      <c r="JM53" s="37"/>
      <c r="JN53" s="37"/>
      <c r="JO53" s="37"/>
      <c r="JP53" s="37"/>
      <c r="JQ53" s="37"/>
      <c r="JR53" s="37"/>
      <c r="JS53" s="37"/>
      <c r="JT53" s="37"/>
      <c r="JU53" s="37"/>
      <c r="JV53" s="37"/>
      <c r="JW53" s="37"/>
      <c r="JX53" s="37"/>
      <c r="JY53" s="37"/>
      <c r="JZ53" s="37"/>
      <c r="KA53" s="37"/>
      <c r="KB53" s="37"/>
      <c r="KC53" s="37"/>
      <c r="KD53" s="37"/>
      <c r="KE53" s="37"/>
      <c r="KF53" s="37"/>
      <c r="KG53" s="37"/>
      <c r="KH53" s="37"/>
      <c r="KI53" s="37"/>
      <c r="KJ53" s="37"/>
      <c r="KK53" s="37"/>
      <c r="KL53" s="37"/>
      <c r="KM53" s="37"/>
      <c r="KN53" s="37"/>
      <c r="KO53" s="37"/>
      <c r="KP53" s="37"/>
      <c r="KQ53" s="37"/>
      <c r="KR53" s="37"/>
      <c r="KS53" s="37"/>
      <c r="KT53" s="37"/>
      <c r="KU53" s="37"/>
      <c r="KV53" s="37"/>
      <c r="KW53" s="37"/>
      <c r="KX53" s="37"/>
      <c r="KY53" s="37"/>
      <c r="KZ53" s="37"/>
      <c r="LA53" s="37"/>
      <c r="LB53" s="37"/>
      <c r="LC53" s="37"/>
      <c r="LD53" s="37"/>
      <c r="LE53" s="37"/>
      <c r="LF53" s="37"/>
      <c r="LG53" s="37"/>
      <c r="LH53" s="37"/>
      <c r="LI53" s="37"/>
      <c r="LJ53" s="37"/>
      <c r="LK53" s="37"/>
      <c r="LL53" s="37"/>
      <c r="LM53" s="37"/>
      <c r="LN53" s="37"/>
      <c r="LO53" s="37"/>
      <c r="LP53" s="37"/>
      <c r="LQ53" s="37"/>
      <c r="LR53" s="37"/>
      <c r="LS53" s="37"/>
      <c r="LT53" s="37"/>
      <c r="LU53" s="37"/>
      <c r="LV53" s="37"/>
      <c r="LW53" s="37"/>
      <c r="LX53" s="37"/>
      <c r="LY53" s="37"/>
      <c r="LZ53" s="37"/>
      <c r="MA53" s="37"/>
      <c r="MB53" s="37"/>
      <c r="MC53" s="37"/>
      <c r="MD53" s="37"/>
      <c r="ME53" s="37"/>
      <c r="MF53" s="37"/>
      <c r="MG53" s="37"/>
      <c r="MH53" s="37"/>
      <c r="MI53" s="37"/>
      <c r="MJ53" s="37"/>
      <c r="MK53" s="37"/>
      <c r="ML53" s="37"/>
      <c r="MM53" s="37"/>
      <c r="MN53" s="37"/>
      <c r="MO53" s="37"/>
      <c r="MP53" s="37"/>
      <c r="MQ53" s="37"/>
      <c r="MR53" s="37"/>
      <c r="MS53" s="37"/>
      <c r="MT53" s="37"/>
      <c r="MU53" s="37"/>
      <c r="MV53" s="37"/>
      <c r="MW53" s="37"/>
      <c r="MX53" s="37"/>
      <c r="MY53" s="37"/>
      <c r="MZ53" s="37"/>
      <c r="NA53" s="37"/>
      <c r="NB53" s="37"/>
      <c r="NC53" s="37"/>
      <c r="ND53" s="37"/>
      <c r="NE53" s="37"/>
      <c r="NF53" s="37"/>
      <c r="NG53" s="37"/>
      <c r="NH53" s="37"/>
      <c r="NI53" s="37"/>
      <c r="NJ53" s="37"/>
      <c r="NK53" s="37"/>
      <c r="NL53" s="37"/>
      <c r="NM53" s="37"/>
      <c r="NN53" s="37"/>
      <c r="NO53" s="37"/>
      <c r="NP53" s="37"/>
      <c r="NQ53" s="37"/>
      <c r="NR53" s="37"/>
      <c r="NS53" s="37"/>
      <c r="NT53" s="37"/>
      <c r="NU53" s="37"/>
      <c r="NV53" s="37"/>
      <c r="NW53" s="37"/>
      <c r="NX53" s="37"/>
      <c r="NY53" s="37"/>
      <c r="NZ53" s="37"/>
      <c r="OA53" s="37"/>
      <c r="OB53" s="37"/>
      <c r="OC53" s="37"/>
      <c r="OD53" s="37"/>
      <c r="OE53" s="37"/>
      <c r="OF53" s="37"/>
      <c r="OG53" s="37"/>
      <c r="OH53" s="37"/>
      <c r="OI53" s="37"/>
      <c r="OJ53" s="37"/>
      <c r="OK53" s="37"/>
      <c r="OL53" s="37"/>
      <c r="OM53" s="37"/>
      <c r="ON53" s="37"/>
      <c r="OO53" s="37"/>
      <c r="OP53" s="37"/>
      <c r="OQ53" s="37"/>
      <c r="OR53" s="37"/>
      <c r="OS53" s="37"/>
      <c r="OT53" s="37"/>
      <c r="OU53" s="37"/>
      <c r="OV53" s="37"/>
      <c r="OW53" s="37"/>
      <c r="OX53" s="37"/>
      <c r="OY53" s="37"/>
      <c r="OZ53" s="37"/>
      <c r="PA53" s="37"/>
      <c r="PB53" s="37"/>
      <c r="PC53" s="37"/>
      <c r="PD53" s="37"/>
      <c r="PE53" s="37"/>
      <c r="PF53" s="37"/>
      <c r="PG53" s="37"/>
      <c r="PH53" s="37"/>
      <c r="PI53" s="37"/>
      <c r="PJ53" s="37"/>
      <c r="PK53" s="37"/>
      <c r="PL53" s="37"/>
      <c r="PM53" s="37"/>
      <c r="PN53" s="37"/>
      <c r="PO53" s="37"/>
      <c r="PP53" s="37"/>
      <c r="PQ53" s="37"/>
      <c r="PR53" s="37"/>
      <c r="PS53" s="37"/>
      <c r="PT53" s="37"/>
      <c r="PU53" s="37"/>
      <c r="PV53" s="37"/>
      <c r="PW53" s="37"/>
      <c r="PX53" s="37"/>
      <c r="PY53" s="37"/>
      <c r="PZ53" s="37"/>
      <c r="QA53" s="37"/>
      <c r="QB53" s="37"/>
      <c r="QC53" s="37"/>
      <c r="QD53" s="37"/>
      <c r="QE53" s="37"/>
      <c r="QF53" s="37"/>
      <c r="QG53" s="37"/>
      <c r="QH53" s="37"/>
      <c r="QI53" s="37"/>
      <c r="QJ53" s="37"/>
      <c r="QK53" s="37"/>
      <c r="QL53" s="37"/>
      <c r="QM53" s="37"/>
      <c r="QN53" s="37"/>
      <c r="QO53" s="37"/>
      <c r="QP53" s="37"/>
      <c r="QQ53" s="37"/>
      <c r="QR53" s="37"/>
      <c r="QS53" s="37"/>
      <c r="QT53" s="37"/>
      <c r="QU53" s="37"/>
      <c r="QV53" s="37"/>
      <c r="QW53" s="37"/>
      <c r="QX53" s="37"/>
      <c r="QY53" s="37"/>
      <c r="QZ53" s="37"/>
      <c r="RA53" s="37"/>
      <c r="RB53" s="37"/>
      <c r="RC53" s="37"/>
      <c r="RD53" s="37"/>
      <c r="RE53" s="37"/>
      <c r="RF53" s="37"/>
      <c r="RG53" s="37"/>
      <c r="RH53" s="37"/>
      <c r="RI53" s="37"/>
      <c r="RJ53" s="37"/>
      <c r="RK53" s="37"/>
      <c r="RL53" s="37"/>
      <c r="RM53" s="37"/>
      <c r="RN53" s="37"/>
      <c r="RO53" s="37"/>
      <c r="RP53" s="37"/>
      <c r="RQ53" s="37"/>
      <c r="RR53" s="37"/>
      <c r="RS53" s="37"/>
      <c r="RT53" s="37"/>
      <c r="RU53" s="37"/>
      <c r="RV53" s="37"/>
      <c r="RW53" s="37"/>
      <c r="RX53" s="37"/>
      <c r="RY53" s="37"/>
      <c r="RZ53" s="37"/>
      <c r="SA53" s="37"/>
      <c r="SB53" s="37"/>
      <c r="SC53" s="37"/>
      <c r="SD53" s="37"/>
      <c r="SE53" s="37"/>
      <c r="SF53" s="37"/>
      <c r="SG53" s="37"/>
      <c r="SH53" s="37"/>
      <c r="SI53" s="37"/>
      <c r="SJ53" s="37"/>
      <c r="SK53" s="37"/>
      <c r="SL53" s="37"/>
      <c r="SM53" s="37"/>
      <c r="SN53" s="37"/>
      <c r="SO53" s="37"/>
      <c r="SP53" s="37"/>
      <c r="SQ53" s="37"/>
      <c r="SR53" s="37"/>
      <c r="SS53" s="37"/>
      <c r="ST53" s="37"/>
      <c r="SU53" s="37"/>
      <c r="SV53" s="37"/>
      <c r="SW53" s="37"/>
      <c r="SX53" s="37"/>
      <c r="SY53" s="37"/>
      <c r="SZ53" s="37"/>
      <c r="TA53" s="37"/>
      <c r="TB53" s="37"/>
      <c r="TC53" s="37"/>
      <c r="TD53" s="37"/>
      <c r="TE53" s="37"/>
      <c r="TF53" s="37"/>
      <c r="TG53" s="37"/>
      <c r="TH53" s="37"/>
      <c r="TI53" s="37"/>
      <c r="TJ53" s="37"/>
      <c r="TK53" s="37"/>
      <c r="TL53" s="37"/>
      <c r="TM53" s="37"/>
      <c r="TN53" s="37"/>
      <c r="TO53" s="37"/>
      <c r="TP53" s="37"/>
      <c r="TQ53" s="37"/>
      <c r="TR53" s="37"/>
      <c r="TS53" s="37"/>
      <c r="TT53" s="37"/>
      <c r="TU53" s="37"/>
      <c r="TV53" s="37"/>
      <c r="TW53" s="37"/>
      <c r="TX53" s="37"/>
      <c r="TY53" s="37"/>
      <c r="TZ53" s="37"/>
      <c r="UA53" s="37"/>
      <c r="UB53" s="37"/>
      <c r="UC53" s="37"/>
      <c r="UD53" s="37"/>
      <c r="UE53" s="37"/>
      <c r="UF53" s="37"/>
      <c r="UG53" s="37"/>
      <c r="UH53" s="37"/>
      <c r="UI53" s="37"/>
      <c r="UJ53" s="37"/>
      <c r="UK53" s="37"/>
      <c r="UL53" s="37"/>
      <c r="UM53" s="37"/>
      <c r="UN53" s="37"/>
      <c r="UO53" s="37"/>
      <c r="UP53" s="37"/>
      <c r="UQ53" s="37"/>
      <c r="UR53" s="37"/>
      <c r="US53" s="37"/>
      <c r="UT53" s="37"/>
      <c r="UU53" s="37"/>
      <c r="UV53" s="37"/>
      <c r="UW53" s="37"/>
      <c r="UX53" s="37"/>
      <c r="UY53" s="37"/>
      <c r="UZ53" s="37"/>
      <c r="VA53" s="37"/>
      <c r="VB53" s="37"/>
      <c r="VC53" s="37"/>
      <c r="VD53" s="37"/>
      <c r="VE53" s="37"/>
      <c r="VF53" s="37"/>
      <c r="VG53" s="37"/>
      <c r="VH53" s="37"/>
      <c r="VI53" s="37"/>
      <c r="VJ53" s="37"/>
      <c r="VK53" s="37"/>
      <c r="VL53" s="37"/>
      <c r="VM53" s="37"/>
      <c r="VN53" s="37"/>
      <c r="VO53" s="37"/>
      <c r="VP53" s="37"/>
      <c r="VQ53" s="37"/>
      <c r="VR53" s="37"/>
      <c r="VS53" s="37"/>
      <c r="VT53" s="37"/>
      <c r="VU53" s="37"/>
      <c r="VV53" s="37"/>
      <c r="VW53" s="37"/>
      <c r="VX53" s="37"/>
      <c r="VY53" s="37"/>
      <c r="VZ53" s="37"/>
      <c r="WA53" s="37"/>
      <c r="WB53" s="37"/>
      <c r="WC53" s="37"/>
      <c r="WD53" s="37"/>
      <c r="WE53" s="37"/>
      <c r="WF53" s="37"/>
      <c r="WG53" s="37"/>
      <c r="WH53" s="37"/>
      <c r="WI53" s="37"/>
      <c r="WJ53" s="37"/>
      <c r="WK53" s="37"/>
      <c r="WL53" s="37"/>
      <c r="WM53" s="37"/>
      <c r="WN53" s="37"/>
      <c r="WO53" s="37"/>
      <c r="WP53" s="37"/>
      <c r="WQ53" s="37"/>
      <c r="WR53" s="37"/>
      <c r="WS53" s="37"/>
      <c r="WT53" s="37"/>
      <c r="WU53" s="37"/>
      <c r="WV53" s="37"/>
      <c r="WW53" s="37"/>
      <c r="WX53" s="37"/>
      <c r="WY53" s="37"/>
      <c r="WZ53" s="37"/>
      <c r="XA53" s="37"/>
      <c r="XB53" s="37"/>
      <c r="XC53" s="37"/>
      <c r="XD53" s="37"/>
      <c r="XE53" s="37"/>
      <c r="XF53" s="37"/>
      <c r="XG53" s="37"/>
      <c r="XH53" s="37"/>
      <c r="XI53" s="37"/>
      <c r="XJ53" s="37"/>
      <c r="XK53" s="37"/>
      <c r="XL53" s="37"/>
      <c r="XM53" s="37"/>
      <c r="XN53" s="37"/>
      <c r="XO53" s="37"/>
      <c r="XP53" s="37"/>
      <c r="XQ53" s="37"/>
      <c r="XR53" s="37"/>
      <c r="XS53" s="37"/>
      <c r="XT53" s="37"/>
      <c r="XU53" s="37"/>
      <c r="XV53" s="37"/>
      <c r="XW53" s="37"/>
      <c r="XX53" s="37"/>
      <c r="XY53" s="37"/>
      <c r="XZ53" s="37"/>
      <c r="YA53" s="37"/>
      <c r="YB53" s="37"/>
      <c r="YC53" s="37"/>
      <c r="YD53" s="37"/>
      <c r="YE53" s="37"/>
      <c r="YF53" s="37"/>
      <c r="YG53" s="37"/>
      <c r="YH53" s="37"/>
      <c r="YI53" s="37"/>
      <c r="YJ53" s="37"/>
      <c r="YK53" s="37"/>
      <c r="YL53" s="37"/>
      <c r="YM53" s="37"/>
      <c r="YN53" s="37"/>
      <c r="YO53" s="37"/>
      <c r="YP53" s="37"/>
      <c r="YQ53" s="37"/>
      <c r="YR53" s="37"/>
      <c r="YS53" s="37"/>
      <c r="YT53" s="37"/>
      <c r="YU53" s="37"/>
      <c r="YV53" s="37"/>
      <c r="YW53" s="37"/>
      <c r="YX53" s="37"/>
      <c r="YY53" s="37"/>
      <c r="YZ53" s="37"/>
      <c r="ZA53" s="37"/>
      <c r="ZB53" s="37"/>
      <c r="ZC53" s="37"/>
      <c r="ZD53" s="37"/>
      <c r="ZE53" s="37"/>
      <c r="ZF53" s="37"/>
      <c r="ZG53" s="37"/>
      <c r="ZH53" s="37"/>
      <c r="ZI53" s="37"/>
      <c r="ZJ53" s="37"/>
      <c r="ZK53" s="37"/>
      <c r="ZL53" s="37"/>
      <c r="ZM53" s="37"/>
      <c r="ZN53" s="37"/>
      <c r="ZO53" s="37"/>
      <c r="ZP53" s="37"/>
      <c r="ZQ53" s="37"/>
      <c r="ZR53" s="37"/>
      <c r="ZS53" s="37"/>
      <c r="ZT53" s="37"/>
      <c r="ZU53" s="37"/>
      <c r="ZV53" s="37"/>
      <c r="ZW53" s="37"/>
      <c r="ZX53" s="37"/>
      <c r="ZY53" s="37"/>
      <c r="ZZ53" s="37"/>
      <c r="AAA53" s="37"/>
      <c r="AAB53" s="37"/>
      <c r="AAC53" s="37"/>
      <c r="AAD53" s="37"/>
      <c r="AAE53" s="37"/>
      <c r="AAF53" s="37"/>
      <c r="AAG53" s="37"/>
      <c r="AAH53" s="37"/>
      <c r="AAI53" s="37"/>
      <c r="AAJ53" s="37"/>
      <c r="AAK53" s="37"/>
      <c r="AAL53" s="37"/>
      <c r="AAM53" s="37"/>
      <c r="AAN53" s="37"/>
      <c r="AAO53" s="37"/>
      <c r="AAP53" s="37"/>
      <c r="AAQ53" s="37"/>
      <c r="AAR53" s="37"/>
      <c r="AAS53" s="37"/>
      <c r="AAT53" s="37"/>
      <c r="AAU53" s="37"/>
      <c r="AAV53" s="37"/>
      <c r="AAW53" s="37"/>
      <c r="AAX53" s="37"/>
      <c r="AAY53" s="37"/>
      <c r="AAZ53" s="37"/>
      <c r="ABA53" s="37"/>
      <c r="ABB53" s="37"/>
      <c r="ABC53" s="37"/>
      <c r="ABD53" s="37"/>
      <c r="ABE53" s="37"/>
      <c r="ABF53" s="37"/>
      <c r="ABG53" s="37"/>
      <c r="ABH53" s="37"/>
      <c r="ABI53" s="37"/>
      <c r="ABJ53" s="37"/>
      <c r="ABK53" s="37"/>
      <c r="ABL53" s="37"/>
      <c r="ABM53" s="37"/>
      <c r="ABN53" s="37"/>
      <c r="ABO53" s="37"/>
      <c r="ABP53" s="37"/>
      <c r="ABQ53" s="37"/>
      <c r="ABR53" s="37"/>
      <c r="ABS53" s="37"/>
      <c r="ABT53" s="37"/>
      <c r="ABU53" s="37"/>
      <c r="ABV53" s="37"/>
      <c r="ABW53" s="37"/>
      <c r="ABX53" s="37"/>
      <c r="ABY53" s="37"/>
      <c r="ABZ53" s="37"/>
      <c r="ACA53" s="37"/>
      <c r="ACB53" s="37"/>
      <c r="ACC53" s="37"/>
      <c r="ACD53" s="37"/>
      <c r="ACE53" s="37"/>
      <c r="ACF53" s="37"/>
      <c r="ACG53" s="37"/>
      <c r="ACH53" s="37"/>
      <c r="ACI53" s="37"/>
      <c r="ACJ53" s="37"/>
      <c r="ACK53" s="37"/>
      <c r="ACL53" s="37"/>
      <c r="ACM53" s="37"/>
      <c r="ACN53" s="37"/>
      <c r="ACO53" s="37"/>
      <c r="ACP53" s="37"/>
      <c r="ACQ53" s="37"/>
      <c r="ACR53" s="37"/>
      <c r="ACS53" s="37"/>
      <c r="ACT53" s="37"/>
      <c r="ACU53" s="37"/>
      <c r="ACV53" s="37"/>
      <c r="ACW53" s="37"/>
      <c r="ACX53" s="37"/>
      <c r="ACY53" s="37"/>
      <c r="ACZ53" s="37"/>
      <c r="ADA53" s="37"/>
      <c r="ADB53" s="37"/>
      <c r="ADC53" s="37"/>
      <c r="ADD53" s="37"/>
      <c r="ADE53" s="37"/>
      <c r="ADF53" s="37"/>
      <c r="ADG53" s="37"/>
      <c r="ADH53" s="37"/>
      <c r="ADI53" s="37"/>
      <c r="ADJ53" s="37"/>
      <c r="ADK53" s="37"/>
      <c r="ADL53" s="37"/>
      <c r="ADM53" s="37"/>
      <c r="ADN53" s="37"/>
      <c r="ADO53" s="37"/>
      <c r="ADP53" s="37"/>
      <c r="ADQ53" s="37"/>
      <c r="ADR53" s="37"/>
      <c r="ADS53" s="37"/>
      <c r="ADT53" s="37"/>
      <c r="ADU53" s="37"/>
      <c r="ADV53" s="37"/>
      <c r="ADW53" s="37"/>
      <c r="ADX53" s="37"/>
      <c r="ADY53" s="37"/>
      <c r="ADZ53" s="37"/>
      <c r="AEA53" s="37"/>
      <c r="AEB53" s="37"/>
      <c r="AEC53" s="37"/>
      <c r="AED53" s="37"/>
      <c r="AEE53" s="37"/>
      <c r="AEF53" s="37"/>
      <c r="AEG53" s="37"/>
      <c r="AEH53" s="37"/>
      <c r="AEI53" s="37"/>
      <c r="AEJ53" s="37"/>
      <c r="AEK53" s="37"/>
      <c r="AEL53" s="37"/>
      <c r="AEM53" s="37"/>
      <c r="AEN53" s="37"/>
      <c r="AEO53" s="37"/>
      <c r="AEP53" s="37"/>
      <c r="AEQ53" s="37"/>
      <c r="AER53" s="37"/>
      <c r="AES53" s="37"/>
      <c r="AET53" s="37"/>
      <c r="AEU53" s="37"/>
      <c r="AEV53" s="37"/>
      <c r="AEW53" s="37"/>
      <c r="AEX53" s="37"/>
      <c r="AEY53" s="37"/>
      <c r="AEZ53" s="37"/>
      <c r="AFA53" s="37"/>
      <c r="AFB53" s="37"/>
      <c r="AFC53" s="37"/>
      <c r="AFD53" s="37"/>
      <c r="AFE53" s="37"/>
      <c r="AFF53" s="37"/>
      <c r="AFG53" s="37"/>
      <c r="AFH53" s="37"/>
      <c r="AFI53" s="37"/>
      <c r="AFJ53" s="37"/>
      <c r="AFK53" s="37"/>
      <c r="AFL53" s="37"/>
      <c r="AFM53" s="37"/>
      <c r="AFN53" s="37"/>
      <c r="AFO53" s="37"/>
      <c r="AFP53" s="37"/>
      <c r="AFQ53" s="37"/>
      <c r="AFR53" s="37"/>
      <c r="AFS53" s="37"/>
      <c r="AFT53" s="37"/>
      <c r="AFU53" s="37"/>
      <c r="AFV53" s="37"/>
      <c r="AFW53" s="37"/>
      <c r="AFX53" s="37"/>
      <c r="AFY53" s="37"/>
      <c r="AFZ53" s="37"/>
      <c r="AGA53" s="37"/>
      <c r="AGB53" s="37"/>
      <c r="AGC53" s="37"/>
      <c r="AGD53" s="37"/>
      <c r="AGE53" s="37"/>
      <c r="AGF53" s="37"/>
      <c r="AGG53" s="37"/>
      <c r="AGH53" s="37"/>
      <c r="AGI53" s="37"/>
      <c r="AGJ53" s="37"/>
      <c r="AGK53" s="37"/>
      <c r="AGL53" s="37"/>
      <c r="AGM53" s="37"/>
      <c r="AGN53" s="37"/>
      <c r="AGO53" s="37"/>
      <c r="AGP53" s="37"/>
      <c r="AGQ53" s="37"/>
      <c r="AGR53" s="37"/>
      <c r="AGS53" s="37"/>
      <c r="AGT53" s="37"/>
      <c r="AGU53" s="37"/>
      <c r="AGV53" s="37"/>
      <c r="AGW53" s="37"/>
      <c r="AGX53" s="37"/>
      <c r="AGY53" s="37"/>
      <c r="AGZ53" s="37"/>
      <c r="AHA53" s="37"/>
      <c r="AHB53" s="37"/>
      <c r="AHC53" s="37"/>
      <c r="AHD53" s="37"/>
      <c r="AHE53" s="37"/>
      <c r="AHF53" s="37"/>
      <c r="AHG53" s="37"/>
      <c r="AHH53" s="37"/>
      <c r="AHI53" s="37"/>
      <c r="AHJ53" s="37"/>
      <c r="AHK53" s="37"/>
      <c r="AHL53" s="37"/>
      <c r="AHM53" s="37"/>
      <c r="AHN53" s="37"/>
      <c r="AHO53" s="37"/>
      <c r="AHP53" s="37"/>
      <c r="AHQ53" s="37"/>
      <c r="AHR53" s="37"/>
      <c r="AHS53" s="37"/>
      <c r="AHT53" s="37"/>
      <c r="AHU53" s="37"/>
      <c r="AHV53" s="37"/>
      <c r="AHW53" s="37"/>
      <c r="AHX53" s="37"/>
      <c r="AHY53" s="37"/>
      <c r="AHZ53" s="37"/>
      <c r="AIA53" s="37"/>
      <c r="AIB53" s="37"/>
      <c r="AIC53" s="37"/>
      <c r="AID53" s="37"/>
      <c r="AIE53" s="37"/>
      <c r="AIF53" s="37"/>
      <c r="AIG53" s="37"/>
      <c r="AIH53" s="37"/>
      <c r="AII53" s="37"/>
      <c r="AIJ53" s="37"/>
      <c r="AIK53" s="37"/>
      <c r="AIL53" s="37"/>
      <c r="AIM53" s="37"/>
      <c r="AIN53" s="37"/>
      <c r="AIO53" s="37"/>
      <c r="AIP53" s="37"/>
      <c r="AIQ53" s="37"/>
      <c r="AIR53" s="37"/>
      <c r="AIS53" s="37"/>
      <c r="AIT53" s="37"/>
      <c r="AIU53" s="37"/>
      <c r="AIV53" s="37"/>
      <c r="AIW53" s="37"/>
      <c r="AIX53" s="37"/>
      <c r="AIY53" s="37"/>
      <c r="AIZ53" s="37"/>
      <c r="AJA53" s="37"/>
      <c r="AJB53" s="37"/>
      <c r="AJC53" s="37"/>
      <c r="AJD53" s="37"/>
      <c r="AJE53" s="37"/>
      <c r="AJF53" s="37"/>
      <c r="AJG53" s="37"/>
      <c r="AJH53" s="37"/>
      <c r="AJI53" s="37"/>
      <c r="AJJ53" s="37"/>
      <c r="AJK53" s="37"/>
      <c r="AJL53" s="37"/>
      <c r="AJM53" s="37"/>
      <c r="AJN53" s="37"/>
      <c r="AJO53" s="37"/>
      <c r="AJP53" s="37"/>
      <c r="AJQ53" s="37"/>
      <c r="AJR53" s="37"/>
      <c r="AJS53" s="37"/>
      <c r="AJT53" s="37"/>
      <c r="AJU53" s="37"/>
      <c r="AJV53" s="37"/>
      <c r="AJW53" s="37"/>
      <c r="AJX53" s="37"/>
      <c r="AJY53" s="37"/>
      <c r="AJZ53" s="37"/>
      <c r="AKA53" s="37"/>
      <c r="AKB53" s="37"/>
      <c r="AKC53" s="37"/>
      <c r="AKD53" s="37"/>
      <c r="AKE53" s="37"/>
      <c r="AKF53" s="37"/>
      <c r="AKG53" s="37"/>
      <c r="AKH53" s="37"/>
      <c r="AKI53" s="37"/>
      <c r="AKJ53" s="37"/>
      <c r="AKK53" s="37"/>
      <c r="AKL53" s="37"/>
      <c r="AKM53" s="37"/>
      <c r="AKN53" s="37"/>
      <c r="AKO53" s="37"/>
      <c r="AKP53" s="37"/>
      <c r="AKQ53" s="37"/>
      <c r="AKR53" s="37"/>
      <c r="AKS53" s="37"/>
      <c r="AKT53" s="37"/>
      <c r="AKU53" s="37"/>
      <c r="AKV53" s="37"/>
      <c r="AKW53" s="37"/>
      <c r="AKX53" s="37"/>
      <c r="AKY53" s="37"/>
      <c r="AKZ53" s="37"/>
      <c r="ALA53" s="37"/>
      <c r="ALB53" s="37"/>
      <c r="ALC53" s="37"/>
      <c r="ALD53" s="37"/>
      <c r="ALE53" s="37"/>
      <c r="ALF53" s="37"/>
      <c r="ALG53" s="37"/>
      <c r="ALH53" s="37"/>
      <c r="ALI53" s="37"/>
      <c r="ALJ53" s="37"/>
      <c r="ALK53" s="37"/>
      <c r="ALL53" s="37"/>
      <c r="ALM53" s="37"/>
      <c r="ALN53" s="37"/>
      <c r="ALO53" s="37"/>
      <c r="ALP53" s="37"/>
      <c r="ALQ53" s="37"/>
      <c r="ALR53" s="37"/>
      <c r="ALS53" s="37"/>
      <c r="ALT53" s="37"/>
      <c r="ALU53" s="37"/>
      <c r="ALV53" s="37"/>
      <c r="ALW53" s="37"/>
      <c r="ALX53" s="37"/>
      <c r="ALY53" s="37"/>
      <c r="ALZ53" s="37"/>
      <c r="AMA53" s="37"/>
      <c r="AMB53" s="37"/>
      <c r="AMC53" s="37"/>
      <c r="AMD53" s="37"/>
      <c r="AME53" s="37"/>
      <c r="AMF53" s="37"/>
      <c r="AMG53" s="37"/>
      <c r="AMH53" s="37"/>
      <c r="AMI53" s="37"/>
      <c r="AMJ53" s="37"/>
      <c r="AMK53" s="37"/>
      <c r="AML53" s="37"/>
      <c r="AMM53" s="37"/>
      <c r="AMN53" s="37"/>
      <c r="AMO53" s="37"/>
      <c r="AMP53" s="37"/>
      <c r="AMQ53" s="37"/>
      <c r="AMR53" s="37"/>
      <c r="AMS53" s="37"/>
      <c r="AMT53" s="37"/>
      <c r="AMU53" s="37"/>
      <c r="AMV53" s="37"/>
      <c r="AMW53" s="37"/>
      <c r="AMX53" s="37"/>
      <c r="AMY53" s="37"/>
      <c r="AMZ53" s="37"/>
      <c r="ANA53" s="37"/>
      <c r="ANB53" s="37"/>
      <c r="ANC53" s="37"/>
      <c r="AND53" s="37"/>
      <c r="ANE53" s="37"/>
      <c r="ANF53" s="37"/>
      <c r="ANG53" s="37"/>
      <c r="ANH53" s="37"/>
      <c r="ANI53" s="37"/>
      <c r="ANJ53" s="37"/>
      <c r="ANK53" s="37"/>
      <c r="ANL53" s="37"/>
      <c r="ANM53" s="37"/>
      <c r="ANN53" s="37"/>
      <c r="ANO53" s="37"/>
      <c r="ANP53" s="37"/>
      <c r="ANQ53" s="37"/>
      <c r="ANR53" s="37"/>
      <c r="ANS53" s="37"/>
      <c r="ANT53" s="37"/>
      <c r="ANU53" s="37"/>
      <c r="ANV53" s="37"/>
      <c r="ANW53" s="37"/>
      <c r="ANX53" s="37"/>
      <c r="ANY53" s="37"/>
      <c r="ANZ53" s="37"/>
      <c r="AOA53" s="37"/>
      <c r="AOB53" s="37"/>
      <c r="AOC53" s="37"/>
      <c r="AOD53" s="37"/>
      <c r="AOE53" s="37"/>
      <c r="AOF53" s="37"/>
      <c r="AOG53" s="37"/>
      <c r="AOH53" s="37"/>
      <c r="AOI53" s="37"/>
      <c r="AOJ53" s="37"/>
      <c r="AOK53" s="37"/>
      <c r="AOL53" s="37"/>
      <c r="AOM53" s="37"/>
      <c r="AON53" s="37"/>
      <c r="AOO53" s="37"/>
      <c r="AOP53" s="37"/>
      <c r="AOQ53" s="37"/>
      <c r="AOR53" s="37"/>
      <c r="AOS53" s="37"/>
      <c r="AOT53" s="37"/>
      <c r="AOU53" s="37"/>
      <c r="AOV53" s="37"/>
      <c r="AOW53" s="37"/>
      <c r="AOX53" s="37"/>
      <c r="AOY53" s="37"/>
      <c r="AOZ53" s="37"/>
      <c r="APA53" s="37"/>
      <c r="APB53" s="37"/>
      <c r="APC53" s="37"/>
      <c r="APD53" s="37"/>
      <c r="APE53" s="37"/>
      <c r="APF53" s="37"/>
      <c r="APG53" s="37"/>
      <c r="APH53" s="37"/>
      <c r="API53" s="37"/>
      <c r="APJ53" s="37"/>
      <c r="APK53" s="37"/>
      <c r="APL53" s="37"/>
      <c r="APM53" s="37"/>
      <c r="APN53" s="37"/>
      <c r="APO53" s="37"/>
      <c r="APP53" s="37"/>
      <c r="APQ53" s="37"/>
      <c r="APR53" s="37"/>
      <c r="APS53" s="37"/>
      <c r="APT53" s="37"/>
      <c r="APU53" s="37"/>
      <c r="APV53" s="37"/>
      <c r="APW53" s="37"/>
      <c r="APX53" s="37"/>
      <c r="APY53" s="37"/>
      <c r="APZ53" s="37"/>
      <c r="AQA53" s="37"/>
      <c r="AQB53" s="37"/>
      <c r="AQC53" s="37"/>
      <c r="AQD53" s="37"/>
      <c r="AQE53" s="37"/>
      <c r="AQF53" s="37"/>
      <c r="AQG53" s="37"/>
      <c r="AQH53" s="37"/>
      <c r="AQI53" s="37"/>
      <c r="AQJ53" s="37"/>
      <c r="AQK53" s="37"/>
      <c r="AQL53" s="37"/>
      <c r="AQM53" s="37"/>
      <c r="AQN53" s="37"/>
      <c r="AQO53" s="37"/>
      <c r="AQP53" s="37"/>
      <c r="AQQ53" s="37"/>
      <c r="AQR53" s="37"/>
      <c r="AQS53" s="37"/>
      <c r="AQT53" s="37"/>
      <c r="AQU53" s="37"/>
      <c r="AQV53" s="37"/>
      <c r="AQW53" s="37"/>
      <c r="AQX53" s="37"/>
      <c r="AQY53" s="37"/>
      <c r="AQZ53" s="37"/>
      <c r="ARA53" s="37"/>
      <c r="ARB53" s="37"/>
      <c r="ARC53" s="37"/>
      <c r="ARD53" s="37"/>
      <c r="ARE53" s="37"/>
      <c r="ARF53" s="37"/>
      <c r="ARG53" s="37"/>
      <c r="ARH53" s="37"/>
      <c r="ARI53" s="37"/>
      <c r="ARJ53" s="37"/>
      <c r="ARK53" s="37"/>
      <c r="ARL53" s="37"/>
      <c r="ARM53" s="37"/>
      <c r="ARN53" s="37"/>
      <c r="ARO53" s="37"/>
      <c r="ARP53" s="37"/>
      <c r="ARQ53" s="37"/>
      <c r="ARR53" s="37"/>
      <c r="ARS53" s="37"/>
      <c r="ART53" s="37"/>
      <c r="ARU53" s="37"/>
      <c r="ARV53" s="37"/>
      <c r="ARW53" s="37"/>
      <c r="ARX53" s="37"/>
      <c r="ARY53" s="37"/>
      <c r="ARZ53" s="37"/>
      <c r="ASA53" s="37"/>
      <c r="ASB53" s="37"/>
      <c r="ASC53" s="37"/>
      <c r="ASD53" s="37"/>
      <c r="ASE53" s="37"/>
      <c r="ASF53" s="37"/>
      <c r="ASG53" s="37"/>
      <c r="ASH53" s="37"/>
      <c r="ASI53" s="37"/>
      <c r="ASJ53" s="37"/>
      <c r="ASK53" s="37"/>
      <c r="ASL53" s="37"/>
      <c r="ASM53" s="37"/>
      <c r="ASN53" s="37"/>
      <c r="ASO53" s="37"/>
      <c r="ASP53" s="37"/>
      <c r="ASQ53" s="37"/>
      <c r="ASR53" s="37"/>
      <c r="ASS53" s="37"/>
      <c r="AST53" s="37"/>
      <c r="ASU53" s="37"/>
      <c r="ASV53" s="37"/>
      <c r="ASW53" s="37"/>
      <c r="ASX53" s="37"/>
      <c r="ASY53" s="37"/>
      <c r="ASZ53" s="37"/>
      <c r="ATA53" s="37"/>
      <c r="ATB53" s="37"/>
      <c r="ATC53" s="37"/>
      <c r="ATD53" s="37"/>
      <c r="ATE53" s="37"/>
      <c r="ATF53" s="37"/>
      <c r="ATG53" s="37"/>
      <c r="ATH53" s="37"/>
      <c r="ATI53" s="37"/>
      <c r="ATJ53" s="37"/>
      <c r="ATK53" s="37"/>
      <c r="ATL53" s="37"/>
      <c r="ATM53" s="37"/>
      <c r="ATN53" s="37"/>
      <c r="ATO53" s="37"/>
      <c r="ATP53" s="37"/>
      <c r="ATQ53" s="37"/>
      <c r="ATR53" s="37"/>
      <c r="ATS53" s="37"/>
      <c r="ATT53" s="37"/>
      <c r="ATU53" s="37"/>
      <c r="ATV53" s="37"/>
      <c r="ATW53" s="37"/>
      <c r="ATX53" s="37"/>
      <c r="ATY53" s="37"/>
      <c r="ATZ53" s="37"/>
      <c r="AUA53" s="37"/>
      <c r="AUB53" s="37"/>
      <c r="AUC53" s="37"/>
      <c r="AUD53" s="37"/>
      <c r="AUE53" s="37"/>
      <c r="AUF53" s="37"/>
      <c r="AUG53" s="37"/>
      <c r="AUH53" s="37"/>
      <c r="AUI53" s="37"/>
      <c r="AUJ53" s="37"/>
      <c r="AUK53" s="37"/>
      <c r="AUL53" s="37"/>
      <c r="AUM53" s="37"/>
      <c r="AUN53" s="37"/>
      <c r="AUO53" s="37"/>
      <c r="AUP53" s="37"/>
      <c r="AUQ53" s="37"/>
      <c r="AUR53" s="37"/>
      <c r="AUS53" s="37"/>
      <c r="AUT53" s="37"/>
      <c r="AUU53" s="37"/>
      <c r="AUV53" s="37"/>
      <c r="AUW53" s="37"/>
      <c r="AUX53" s="37"/>
      <c r="AUY53" s="37"/>
      <c r="AUZ53" s="37"/>
      <c r="AVA53" s="37"/>
      <c r="AVB53" s="37"/>
      <c r="AVC53" s="37"/>
      <c r="AVD53" s="37"/>
      <c r="AVE53" s="37"/>
      <c r="AVF53" s="37"/>
      <c r="AVG53" s="37"/>
      <c r="AVH53" s="37"/>
      <c r="AVI53" s="37"/>
      <c r="AVJ53" s="37"/>
      <c r="AVK53" s="37"/>
      <c r="AVL53" s="37"/>
      <c r="AVM53" s="37"/>
      <c r="AVN53" s="37"/>
      <c r="AVO53" s="37"/>
      <c r="AVP53" s="37"/>
      <c r="AVQ53" s="37"/>
      <c r="AVR53" s="37"/>
      <c r="AVS53" s="37"/>
      <c r="AVT53" s="37"/>
      <c r="AVU53" s="37"/>
      <c r="AVV53" s="37"/>
      <c r="AVW53" s="37"/>
      <c r="AVX53" s="37"/>
      <c r="AVY53" s="37"/>
      <c r="AVZ53" s="37"/>
      <c r="AWA53" s="37"/>
      <c r="AWB53" s="37"/>
      <c r="AWC53" s="37"/>
      <c r="AWD53" s="37"/>
      <c r="AWE53" s="37"/>
      <c r="AWF53" s="37"/>
      <c r="AWG53" s="37"/>
      <c r="AWH53" s="37"/>
      <c r="AWI53" s="37"/>
      <c r="AWJ53" s="37"/>
      <c r="AWK53" s="37"/>
      <c r="AWL53" s="37"/>
      <c r="AWM53" s="37"/>
      <c r="AWN53" s="37"/>
      <c r="AWO53" s="37"/>
      <c r="AWP53" s="37"/>
      <c r="AWQ53" s="37"/>
      <c r="AWR53" s="37"/>
      <c r="AWS53" s="37"/>
      <c r="AWT53" s="37"/>
      <c r="AWU53" s="37"/>
      <c r="AWV53" s="37"/>
      <c r="AWW53" s="37"/>
      <c r="AWX53" s="37"/>
      <c r="AWY53" s="37"/>
      <c r="AWZ53" s="37"/>
      <c r="AXA53" s="37"/>
      <c r="AXB53" s="37"/>
      <c r="AXC53" s="37"/>
      <c r="AXD53" s="37"/>
      <c r="AXE53" s="37"/>
      <c r="AXF53" s="37"/>
      <c r="AXG53" s="37"/>
      <c r="AXH53" s="37"/>
      <c r="AXI53" s="37"/>
      <c r="AXJ53" s="37"/>
      <c r="AXK53" s="37"/>
      <c r="AXL53" s="37"/>
      <c r="AXM53" s="37"/>
      <c r="AXN53" s="37"/>
      <c r="AXO53" s="37"/>
      <c r="AXP53" s="37"/>
      <c r="AXQ53" s="37"/>
      <c r="AXR53" s="37"/>
      <c r="AXS53" s="37"/>
      <c r="AXT53" s="37"/>
      <c r="AXU53" s="37"/>
      <c r="AXV53" s="37"/>
      <c r="AXW53" s="37"/>
      <c r="AXX53" s="37"/>
      <c r="AXY53" s="37"/>
      <c r="AXZ53" s="37"/>
      <c r="AYA53" s="37"/>
      <c r="AYB53" s="37"/>
      <c r="AYC53" s="37"/>
      <c r="AYD53" s="37"/>
      <c r="AYE53" s="37"/>
      <c r="AYF53" s="37"/>
      <c r="AYG53" s="37"/>
      <c r="AYH53" s="37"/>
      <c r="AYI53" s="37"/>
      <c r="AYJ53" s="37"/>
      <c r="AYK53" s="37"/>
      <c r="AYL53" s="37"/>
      <c r="AYM53" s="37"/>
      <c r="AYN53" s="37"/>
      <c r="AYO53" s="37"/>
      <c r="AYP53" s="37"/>
      <c r="AYQ53" s="37"/>
      <c r="AYR53" s="37"/>
      <c r="AYS53" s="37"/>
      <c r="AYT53" s="37"/>
      <c r="AYU53" s="37"/>
      <c r="AYV53" s="37"/>
      <c r="AYW53" s="37"/>
      <c r="AYX53" s="37"/>
      <c r="AYY53" s="37"/>
      <c r="AYZ53" s="37"/>
      <c r="AZA53" s="37"/>
      <c r="AZB53" s="37"/>
      <c r="AZC53" s="37"/>
      <c r="AZD53" s="37"/>
      <c r="AZE53" s="37"/>
      <c r="AZF53" s="37"/>
      <c r="AZG53" s="37"/>
      <c r="AZH53" s="37"/>
      <c r="AZI53" s="37"/>
      <c r="AZJ53" s="37"/>
      <c r="AZK53" s="37"/>
      <c r="AZL53" s="37"/>
      <c r="AZM53" s="37"/>
      <c r="AZN53" s="37"/>
      <c r="AZO53" s="37"/>
      <c r="AZP53" s="37"/>
      <c r="AZQ53" s="37"/>
      <c r="AZR53" s="37"/>
      <c r="AZS53" s="37"/>
      <c r="AZT53" s="37"/>
      <c r="AZU53" s="37"/>
      <c r="AZV53" s="37"/>
      <c r="AZW53" s="37"/>
      <c r="AZX53" s="37"/>
      <c r="AZY53" s="37"/>
      <c r="AZZ53" s="37"/>
      <c r="BAA53" s="37"/>
      <c r="BAB53" s="37"/>
      <c r="BAC53" s="37"/>
      <c r="BAD53" s="37"/>
      <c r="BAE53" s="37"/>
      <c r="BAF53" s="37"/>
      <c r="BAG53" s="37"/>
      <c r="BAH53" s="37"/>
      <c r="BAI53" s="37"/>
      <c r="BAJ53" s="37"/>
      <c r="BAK53" s="37"/>
      <c r="BAL53" s="37"/>
      <c r="BAM53" s="37"/>
      <c r="BAN53" s="37"/>
      <c r="BAO53" s="37"/>
      <c r="BAP53" s="37"/>
      <c r="BAQ53" s="37"/>
      <c r="BAR53" s="37"/>
      <c r="BAS53" s="37"/>
      <c r="BAT53" s="37"/>
      <c r="BAU53" s="37"/>
      <c r="BAV53" s="37"/>
      <c r="BAW53" s="37"/>
      <c r="BAX53" s="37"/>
      <c r="BAY53" s="37"/>
      <c r="BAZ53" s="37"/>
      <c r="BBA53" s="37"/>
      <c r="BBB53" s="37"/>
      <c r="BBC53" s="37"/>
      <c r="BBD53" s="37"/>
      <c r="BBE53" s="37"/>
      <c r="BBF53" s="37"/>
      <c r="BBG53" s="37"/>
      <c r="BBH53" s="37"/>
      <c r="BBI53" s="37"/>
      <c r="BBJ53" s="37"/>
      <c r="BBK53" s="37"/>
      <c r="BBL53" s="37"/>
      <c r="BBM53" s="37"/>
      <c r="BBN53" s="37"/>
      <c r="BBO53" s="37"/>
      <c r="BBP53" s="37"/>
      <c r="BBQ53" s="37"/>
      <c r="BBR53" s="37"/>
      <c r="BBS53" s="37"/>
      <c r="BBT53" s="37"/>
      <c r="BBU53" s="37"/>
      <c r="BBV53" s="37"/>
      <c r="BBW53" s="37"/>
      <c r="BBX53" s="37"/>
      <c r="BBY53" s="37"/>
      <c r="BBZ53" s="37"/>
      <c r="BCA53" s="37"/>
      <c r="BCB53" s="37"/>
      <c r="BCC53" s="37"/>
      <c r="BCD53" s="37"/>
      <c r="BCE53" s="37"/>
      <c r="BCF53" s="37"/>
      <c r="BCG53" s="37"/>
      <c r="BCH53" s="37"/>
      <c r="BCI53" s="37"/>
      <c r="BCJ53" s="37"/>
      <c r="BCK53" s="37"/>
      <c r="BCL53" s="37"/>
      <c r="BCM53" s="37"/>
      <c r="BCN53" s="37"/>
      <c r="BCO53" s="37"/>
      <c r="BCP53" s="37"/>
      <c r="BCQ53" s="37"/>
      <c r="BCR53" s="37"/>
      <c r="BCS53" s="37"/>
      <c r="BCT53" s="37"/>
      <c r="BCU53" s="37"/>
      <c r="BCV53" s="37"/>
      <c r="BCW53" s="37"/>
      <c r="BCX53" s="37"/>
      <c r="BCY53" s="37"/>
      <c r="BCZ53" s="37"/>
      <c r="BDA53" s="37"/>
      <c r="BDB53" s="37"/>
      <c r="BDC53" s="37"/>
      <c r="BDD53" s="37"/>
      <c r="BDE53" s="37"/>
      <c r="BDF53" s="37"/>
      <c r="BDG53" s="37"/>
      <c r="BDH53" s="37"/>
      <c r="BDI53" s="37"/>
      <c r="BDJ53" s="37"/>
      <c r="BDK53" s="37"/>
      <c r="BDL53" s="37"/>
      <c r="BDM53" s="37"/>
      <c r="BDN53" s="37"/>
      <c r="BDO53" s="37"/>
      <c r="BDP53" s="37"/>
      <c r="BDQ53" s="37"/>
      <c r="BDR53" s="37"/>
      <c r="BDS53" s="37"/>
      <c r="BDT53" s="37"/>
      <c r="BDU53" s="37"/>
      <c r="BDV53" s="37"/>
      <c r="BDW53" s="37"/>
      <c r="BDX53" s="37"/>
      <c r="BDY53" s="37"/>
      <c r="BDZ53" s="37"/>
      <c r="BEA53" s="37"/>
      <c r="BEB53" s="37"/>
      <c r="BEC53" s="37"/>
      <c r="BED53" s="37"/>
      <c r="BEE53" s="37"/>
      <c r="BEF53" s="37"/>
      <c r="BEG53" s="37"/>
      <c r="BEH53" s="37"/>
      <c r="BEI53" s="37"/>
      <c r="BEJ53" s="37"/>
      <c r="BEK53" s="37"/>
      <c r="BEL53" s="37"/>
      <c r="BEM53" s="37"/>
      <c r="BEN53" s="37"/>
      <c r="BEO53" s="37"/>
      <c r="BEP53" s="37"/>
      <c r="BEQ53" s="37"/>
      <c r="BER53" s="37"/>
      <c r="BES53" s="37"/>
      <c r="BET53" s="37"/>
      <c r="BEU53" s="37"/>
      <c r="BEV53" s="37"/>
      <c r="BEW53" s="37"/>
      <c r="BEX53" s="37"/>
      <c r="BEY53" s="37"/>
      <c r="BEZ53" s="37"/>
      <c r="BFA53" s="37"/>
      <c r="BFB53" s="37"/>
      <c r="BFC53" s="37"/>
      <c r="BFD53" s="37"/>
      <c r="BFE53" s="37"/>
      <c r="BFF53" s="37"/>
      <c r="BFG53" s="37"/>
      <c r="BFH53" s="37"/>
      <c r="BFI53" s="37"/>
      <c r="BFJ53" s="37"/>
      <c r="BFK53" s="37"/>
      <c r="BFL53" s="37"/>
      <c r="BFM53" s="37"/>
      <c r="BFN53" s="37"/>
      <c r="BFO53" s="37"/>
      <c r="BFP53" s="37"/>
      <c r="BFQ53" s="37"/>
      <c r="BFR53" s="37"/>
      <c r="BFS53" s="37"/>
      <c r="BFT53" s="37"/>
      <c r="BFU53" s="37"/>
      <c r="BFV53" s="37"/>
      <c r="BFW53" s="37"/>
      <c r="BFX53" s="37"/>
      <c r="BFY53" s="37"/>
      <c r="BFZ53" s="37"/>
      <c r="BGA53" s="37"/>
      <c r="BGB53" s="37"/>
      <c r="BGC53" s="37"/>
      <c r="BGD53" s="37"/>
      <c r="BGE53" s="37"/>
      <c r="BGF53" s="37"/>
      <c r="BGG53" s="37"/>
      <c r="BGH53" s="37"/>
      <c r="BGI53" s="37"/>
      <c r="BGJ53" s="37"/>
      <c r="BGK53" s="37"/>
      <c r="BGL53" s="37"/>
      <c r="BGM53" s="37"/>
      <c r="BGN53" s="37"/>
      <c r="BGO53" s="37"/>
      <c r="BGP53" s="37"/>
      <c r="BGQ53" s="37"/>
      <c r="BGR53" s="37"/>
      <c r="BGS53" s="37"/>
      <c r="BGT53" s="37"/>
      <c r="BGU53" s="37"/>
      <c r="BGV53" s="37"/>
      <c r="BGW53" s="37"/>
      <c r="BGX53" s="37"/>
      <c r="BGY53" s="37"/>
      <c r="BGZ53" s="37"/>
      <c r="BHA53" s="37"/>
      <c r="BHB53" s="37"/>
      <c r="BHC53" s="37"/>
      <c r="BHD53" s="37"/>
      <c r="BHE53" s="37"/>
      <c r="BHF53" s="37"/>
      <c r="BHG53" s="37"/>
      <c r="BHH53" s="37"/>
      <c r="BHI53" s="37"/>
      <c r="BHJ53" s="37"/>
      <c r="BHK53" s="37"/>
      <c r="BHL53" s="37"/>
      <c r="BHM53" s="37"/>
      <c r="BHN53" s="37"/>
      <c r="BHO53" s="37"/>
      <c r="BHP53" s="37"/>
      <c r="BHQ53" s="37"/>
      <c r="BHR53" s="37"/>
      <c r="BHS53" s="37"/>
      <c r="BHT53" s="37"/>
      <c r="BHU53" s="37"/>
      <c r="BHV53" s="37"/>
      <c r="BHW53" s="37"/>
      <c r="BHX53" s="37"/>
      <c r="BHY53" s="37"/>
      <c r="BHZ53" s="37"/>
      <c r="BIA53" s="37"/>
      <c r="BIB53" s="37"/>
      <c r="BIC53" s="37"/>
      <c r="BID53" s="37"/>
      <c r="BIE53" s="37"/>
      <c r="BIF53" s="37"/>
      <c r="BIG53" s="37"/>
      <c r="BIH53" s="37"/>
      <c r="BII53" s="37"/>
      <c r="BIJ53" s="37"/>
      <c r="BIK53" s="37"/>
      <c r="BIL53" s="37"/>
      <c r="BIM53" s="37"/>
      <c r="BIN53" s="37"/>
      <c r="BIO53" s="37"/>
      <c r="BIP53" s="37"/>
      <c r="BIQ53" s="37"/>
      <c r="BIR53" s="37"/>
      <c r="BIS53" s="37"/>
      <c r="BIT53" s="37"/>
      <c r="BIU53" s="37"/>
      <c r="BIV53" s="37"/>
      <c r="BIW53" s="37"/>
      <c r="BIX53" s="37"/>
      <c r="BIY53" s="37"/>
      <c r="BIZ53" s="37"/>
      <c r="BJA53" s="37"/>
      <c r="BJB53" s="37"/>
      <c r="BJC53" s="37"/>
      <c r="BJD53" s="37"/>
      <c r="BJE53" s="37"/>
      <c r="BJF53" s="37"/>
      <c r="BJG53" s="37"/>
      <c r="BJH53" s="37"/>
      <c r="BJI53" s="37"/>
      <c r="BJJ53" s="37"/>
      <c r="BJK53" s="37"/>
      <c r="BJL53" s="37"/>
      <c r="BJM53" s="37"/>
      <c r="BJN53" s="37"/>
      <c r="BJO53" s="37"/>
      <c r="BJP53" s="37"/>
      <c r="BJQ53" s="37"/>
      <c r="BJR53" s="37"/>
      <c r="BJS53" s="37"/>
      <c r="BJT53" s="37"/>
      <c r="BJU53" s="37"/>
      <c r="BJV53" s="37"/>
      <c r="BJW53" s="37"/>
      <c r="BJX53" s="37"/>
      <c r="BJY53" s="37"/>
      <c r="BJZ53" s="37"/>
      <c r="BKA53" s="37"/>
      <c r="BKB53" s="37"/>
      <c r="BKC53" s="37"/>
      <c r="BKD53" s="37"/>
      <c r="BKE53" s="37"/>
      <c r="BKF53" s="37"/>
      <c r="BKG53" s="37"/>
      <c r="BKH53" s="37"/>
      <c r="BKI53" s="37"/>
      <c r="BKJ53" s="37"/>
      <c r="BKK53" s="37"/>
      <c r="BKL53" s="37"/>
      <c r="BKM53" s="37"/>
      <c r="BKN53" s="37"/>
      <c r="BKO53" s="37"/>
      <c r="BKP53" s="37"/>
      <c r="BKQ53" s="37"/>
      <c r="BKR53" s="37"/>
      <c r="BKS53" s="37"/>
      <c r="BKT53" s="37"/>
      <c r="BKU53" s="37"/>
      <c r="BKV53" s="37"/>
      <c r="BKW53" s="37"/>
      <c r="BKX53" s="37"/>
      <c r="BKY53" s="37"/>
      <c r="BKZ53" s="37"/>
      <c r="BLA53" s="37"/>
      <c r="BLB53" s="37"/>
      <c r="BLC53" s="37"/>
      <c r="BLD53" s="37"/>
      <c r="BLE53" s="37"/>
      <c r="BLF53" s="37"/>
      <c r="BLG53" s="37"/>
      <c r="BLH53" s="37"/>
      <c r="BLI53" s="37"/>
      <c r="BLJ53" s="37"/>
      <c r="BLK53" s="37"/>
      <c r="BLL53" s="37"/>
      <c r="BLM53" s="37"/>
      <c r="BLN53" s="37"/>
      <c r="BLO53" s="37"/>
      <c r="BLP53" s="37"/>
      <c r="BLQ53" s="37"/>
      <c r="BLR53" s="37"/>
      <c r="BLS53" s="37"/>
      <c r="BLT53" s="37"/>
      <c r="BLU53" s="37"/>
      <c r="BLV53" s="37"/>
      <c r="BLW53" s="37"/>
      <c r="BLX53" s="37"/>
      <c r="BLY53" s="37"/>
      <c r="BLZ53" s="37"/>
      <c r="BMA53" s="37"/>
      <c r="BMB53" s="37"/>
      <c r="BMC53" s="37"/>
      <c r="BMD53" s="37"/>
      <c r="BME53" s="37"/>
      <c r="BMF53" s="37"/>
      <c r="BMG53" s="37"/>
      <c r="BMH53" s="37"/>
      <c r="BMI53" s="37"/>
      <c r="BMJ53" s="37"/>
      <c r="BMK53" s="37"/>
      <c r="BML53" s="37"/>
      <c r="BMM53" s="37"/>
      <c r="BMN53" s="37"/>
      <c r="BMO53" s="37"/>
      <c r="BMP53" s="37"/>
      <c r="BMQ53" s="37"/>
      <c r="BMR53" s="37"/>
      <c r="BMS53" s="37"/>
      <c r="BMT53" s="37"/>
      <c r="BMU53" s="37"/>
      <c r="BMV53" s="37"/>
      <c r="BMW53" s="37"/>
      <c r="BMX53" s="37"/>
      <c r="BMY53" s="37"/>
      <c r="BMZ53" s="37"/>
      <c r="BNA53" s="37"/>
      <c r="BNB53" s="37"/>
      <c r="BNC53" s="37"/>
      <c r="BND53" s="37"/>
      <c r="BNE53" s="37"/>
      <c r="BNF53" s="37"/>
      <c r="BNG53" s="37"/>
      <c r="BNH53" s="37"/>
      <c r="BNI53" s="37"/>
      <c r="BNJ53" s="37"/>
      <c r="BNK53" s="37"/>
      <c r="BNL53" s="37"/>
      <c r="BNM53" s="37"/>
      <c r="BNN53" s="37"/>
      <c r="BNO53" s="37"/>
      <c r="BNP53" s="37"/>
      <c r="BNQ53" s="37"/>
      <c r="BNR53" s="37"/>
      <c r="BNS53" s="37"/>
      <c r="BNT53" s="37"/>
      <c r="BNU53" s="37"/>
      <c r="BNV53" s="37"/>
      <c r="BNW53" s="37"/>
      <c r="BNX53" s="37"/>
      <c r="BNY53" s="37"/>
      <c r="BNZ53" s="37"/>
      <c r="BOA53" s="37"/>
      <c r="BOB53" s="37"/>
      <c r="BOC53" s="37"/>
      <c r="BOD53" s="37"/>
      <c r="BOE53" s="37"/>
      <c r="BOF53" s="37"/>
      <c r="BOG53" s="37"/>
      <c r="BOH53" s="37"/>
      <c r="BOI53" s="37"/>
      <c r="BOJ53" s="37"/>
      <c r="BOK53" s="37"/>
      <c r="BOL53" s="37"/>
      <c r="BOM53" s="37"/>
      <c r="BON53" s="37"/>
      <c r="BOO53" s="37"/>
      <c r="BOP53" s="37"/>
      <c r="BOQ53" s="37"/>
      <c r="BOR53" s="37"/>
      <c r="BOS53" s="37"/>
      <c r="BOT53" s="37"/>
      <c r="BOU53" s="37"/>
      <c r="BOV53" s="37"/>
      <c r="BOW53" s="37"/>
      <c r="BOX53" s="37"/>
      <c r="BOY53" s="37"/>
      <c r="BOZ53" s="37"/>
      <c r="BPA53" s="37"/>
      <c r="BPB53" s="37"/>
      <c r="BPC53" s="37"/>
      <c r="BPD53" s="37"/>
      <c r="BPE53" s="37"/>
      <c r="BPF53" s="37"/>
      <c r="BPG53" s="37"/>
      <c r="BPH53" s="37"/>
      <c r="BPI53" s="37"/>
      <c r="BPJ53" s="37"/>
      <c r="BPK53" s="37"/>
      <c r="BPL53" s="37"/>
      <c r="BPM53" s="37"/>
      <c r="BPN53" s="37"/>
      <c r="BPO53" s="37"/>
      <c r="BPP53" s="37"/>
      <c r="BPQ53" s="37"/>
      <c r="BPR53" s="37"/>
      <c r="BPS53" s="37"/>
      <c r="BPT53" s="37"/>
      <c r="BPU53" s="37"/>
      <c r="BPV53" s="37"/>
      <c r="BPW53" s="37"/>
      <c r="BPX53" s="37"/>
      <c r="BPY53" s="37"/>
      <c r="BPZ53" s="37"/>
      <c r="BQA53" s="37"/>
      <c r="BQB53" s="37"/>
      <c r="BQC53" s="37"/>
      <c r="BQD53" s="37"/>
      <c r="BQE53" s="37"/>
      <c r="BQF53" s="37"/>
      <c r="BQG53" s="37"/>
      <c r="BQH53" s="37"/>
      <c r="BQI53" s="37"/>
      <c r="BQJ53" s="37"/>
      <c r="BQK53" s="37"/>
      <c r="BQL53" s="37"/>
      <c r="BQM53" s="37"/>
      <c r="BQN53" s="37"/>
      <c r="BQO53" s="37"/>
      <c r="BQP53" s="37"/>
      <c r="BQQ53" s="37"/>
      <c r="BQR53" s="37"/>
      <c r="BQS53" s="37"/>
      <c r="BQT53" s="37"/>
      <c r="BQU53" s="37"/>
      <c r="BQV53" s="37"/>
      <c r="BQW53" s="37"/>
      <c r="BQX53" s="37"/>
      <c r="BQY53" s="37"/>
      <c r="BQZ53" s="37"/>
      <c r="BRA53" s="37"/>
      <c r="BRB53" s="37"/>
      <c r="BRC53" s="37"/>
      <c r="BRD53" s="37"/>
      <c r="BRE53" s="37"/>
      <c r="BRF53" s="37"/>
      <c r="BRG53" s="37"/>
      <c r="BRH53" s="37"/>
      <c r="BRI53" s="37"/>
      <c r="BRJ53" s="37"/>
      <c r="BRK53" s="37"/>
      <c r="BRL53" s="37"/>
      <c r="BRM53" s="37"/>
      <c r="BRN53" s="37"/>
      <c r="BRO53" s="37"/>
      <c r="BRP53" s="37"/>
      <c r="BRQ53" s="37"/>
      <c r="BRR53" s="37"/>
      <c r="BRS53" s="37"/>
      <c r="BRT53" s="37"/>
      <c r="BRU53" s="37"/>
      <c r="BRV53" s="37"/>
      <c r="BRW53" s="37"/>
      <c r="BRX53" s="37"/>
      <c r="BRY53" s="37"/>
      <c r="BRZ53" s="37"/>
      <c r="BSA53" s="37"/>
      <c r="BSB53" s="37"/>
      <c r="BSC53" s="37"/>
      <c r="BSD53" s="37"/>
      <c r="BSE53" s="37"/>
      <c r="BSF53" s="37"/>
      <c r="BSG53" s="37"/>
      <c r="BSH53" s="37"/>
      <c r="BSI53" s="37"/>
      <c r="BSJ53" s="37"/>
      <c r="BSK53" s="37"/>
      <c r="BSL53" s="37"/>
      <c r="BSM53" s="37"/>
      <c r="BSN53" s="37"/>
      <c r="BSO53" s="37"/>
      <c r="BSP53" s="37"/>
      <c r="BSQ53" s="37"/>
      <c r="BSR53" s="37"/>
      <c r="BSS53" s="37"/>
      <c r="BST53" s="37"/>
      <c r="BSU53" s="37"/>
      <c r="BSV53" s="37"/>
      <c r="BSW53" s="37"/>
      <c r="BSX53" s="37"/>
      <c r="BSY53" s="37"/>
      <c r="BSZ53" s="37"/>
      <c r="BTA53" s="37"/>
      <c r="BTB53" s="37"/>
      <c r="BTC53" s="37"/>
      <c r="BTD53" s="37"/>
      <c r="BTE53" s="37"/>
      <c r="BTF53" s="37"/>
      <c r="BTG53" s="37"/>
      <c r="BTH53" s="37"/>
      <c r="BTI53" s="37"/>
      <c r="BTJ53" s="37"/>
      <c r="BTK53" s="37"/>
      <c r="BTL53" s="37"/>
      <c r="BTM53" s="37"/>
      <c r="BTN53" s="37"/>
      <c r="BTO53" s="37"/>
      <c r="BTP53" s="37"/>
      <c r="BTQ53" s="37"/>
      <c r="BTR53" s="37"/>
      <c r="BTS53" s="37"/>
      <c r="BTT53" s="37"/>
      <c r="BTU53" s="37"/>
      <c r="BTV53" s="37"/>
      <c r="BTW53" s="37"/>
      <c r="BTX53" s="37"/>
      <c r="BTY53" s="37"/>
      <c r="BTZ53" s="37"/>
      <c r="BUA53" s="37"/>
      <c r="BUB53" s="37"/>
      <c r="BUC53" s="37"/>
      <c r="BUD53" s="37"/>
      <c r="BUE53" s="37"/>
      <c r="BUF53" s="37"/>
      <c r="BUG53" s="37"/>
      <c r="BUH53" s="37"/>
      <c r="BUI53" s="37"/>
      <c r="BUJ53" s="37"/>
      <c r="BUK53" s="37"/>
      <c r="BUL53" s="37"/>
      <c r="BUM53" s="37"/>
      <c r="BUN53" s="37"/>
      <c r="BUO53" s="37"/>
      <c r="BUP53" s="37"/>
      <c r="BUQ53" s="37"/>
      <c r="BUR53" s="37"/>
      <c r="BUS53" s="37"/>
      <c r="BUT53" s="37"/>
      <c r="BUU53" s="37"/>
      <c r="BUV53" s="37"/>
      <c r="BUW53" s="37"/>
      <c r="BUX53" s="37"/>
      <c r="BUY53" s="37"/>
      <c r="BUZ53" s="37"/>
      <c r="BVA53" s="37"/>
      <c r="BVB53" s="37"/>
      <c r="BVC53" s="37"/>
      <c r="BVD53" s="37"/>
      <c r="BVE53" s="37"/>
      <c r="BVF53" s="37"/>
      <c r="BVG53" s="37"/>
      <c r="BVH53" s="37"/>
      <c r="BVI53" s="37"/>
      <c r="BVJ53" s="37"/>
      <c r="BVK53" s="37"/>
      <c r="BVL53" s="37"/>
      <c r="BVM53" s="37"/>
      <c r="BVN53" s="37"/>
      <c r="BVO53" s="37"/>
      <c r="BVP53" s="37"/>
      <c r="BVQ53" s="37"/>
      <c r="BVR53" s="37"/>
      <c r="BVS53" s="37"/>
      <c r="BVT53" s="37"/>
      <c r="BVU53" s="37"/>
      <c r="BVV53" s="37"/>
      <c r="BVW53" s="37"/>
      <c r="BVX53" s="37"/>
      <c r="BVY53" s="37"/>
      <c r="BVZ53" s="37"/>
      <c r="BWA53" s="37"/>
      <c r="BWB53" s="37"/>
      <c r="BWC53" s="37"/>
      <c r="BWD53" s="37"/>
      <c r="BWE53" s="37"/>
      <c r="BWF53" s="37"/>
      <c r="BWG53" s="37"/>
      <c r="BWH53" s="37"/>
      <c r="BWI53" s="37"/>
      <c r="BWJ53" s="37"/>
      <c r="BWK53" s="37"/>
      <c r="BWL53" s="37"/>
      <c r="BWM53" s="37"/>
      <c r="BWN53" s="37"/>
      <c r="BWO53" s="37"/>
      <c r="BWP53" s="37"/>
      <c r="BWQ53" s="37"/>
      <c r="BWR53" s="37"/>
      <c r="BWS53" s="37"/>
      <c r="BWT53" s="37"/>
      <c r="BWU53" s="37"/>
      <c r="BWV53" s="37"/>
      <c r="BWW53" s="37"/>
      <c r="BWX53" s="37"/>
      <c r="BWY53" s="37"/>
      <c r="BWZ53" s="37"/>
      <c r="BXA53" s="37"/>
      <c r="BXB53" s="37"/>
      <c r="BXC53" s="37"/>
      <c r="BXD53" s="37"/>
      <c r="BXE53" s="37"/>
      <c r="BXF53" s="37"/>
      <c r="BXG53" s="37"/>
      <c r="BXH53" s="37"/>
      <c r="BXI53" s="37"/>
      <c r="BXJ53" s="37"/>
      <c r="BXK53" s="37"/>
      <c r="BXL53" s="37"/>
      <c r="BXM53" s="37"/>
      <c r="BXN53" s="37"/>
      <c r="BXO53" s="37"/>
      <c r="BXP53" s="37"/>
      <c r="BXQ53" s="37"/>
      <c r="BXR53" s="37"/>
      <c r="BXS53" s="37"/>
      <c r="BXT53" s="37"/>
      <c r="BXU53" s="37"/>
      <c r="BXV53" s="37"/>
      <c r="BXW53" s="37"/>
      <c r="BXX53" s="37"/>
      <c r="BXY53" s="37"/>
      <c r="BXZ53" s="37"/>
      <c r="BYA53" s="37"/>
      <c r="BYB53" s="37"/>
      <c r="BYC53" s="37"/>
      <c r="BYD53" s="37"/>
      <c r="BYE53" s="37"/>
      <c r="BYF53" s="37"/>
      <c r="BYG53" s="37"/>
      <c r="BYH53" s="37"/>
      <c r="BYI53" s="37"/>
      <c r="BYJ53" s="37"/>
      <c r="BYK53" s="37"/>
      <c r="BYL53" s="37"/>
      <c r="BYM53" s="37"/>
      <c r="BYN53" s="37"/>
      <c r="BYO53" s="37"/>
      <c r="BYP53" s="37"/>
      <c r="BYQ53" s="37"/>
      <c r="BYR53" s="37"/>
      <c r="BYS53" s="37"/>
      <c r="BYT53" s="37"/>
      <c r="BYU53" s="37"/>
      <c r="BYV53" s="37"/>
      <c r="BYW53" s="37"/>
      <c r="BYX53" s="37"/>
      <c r="BYY53" s="37"/>
      <c r="BYZ53" s="37"/>
      <c r="BZA53" s="37"/>
      <c r="BZB53" s="37"/>
      <c r="BZC53" s="37"/>
      <c r="BZD53" s="37"/>
      <c r="BZE53" s="37"/>
      <c r="BZF53" s="37"/>
      <c r="BZG53" s="37"/>
      <c r="BZH53" s="37"/>
      <c r="BZI53" s="37"/>
      <c r="BZJ53" s="37"/>
      <c r="BZK53" s="37"/>
      <c r="BZL53" s="37"/>
      <c r="BZM53" s="37"/>
      <c r="BZN53" s="37"/>
      <c r="BZO53" s="37"/>
      <c r="BZP53" s="37"/>
      <c r="BZQ53" s="37"/>
      <c r="BZR53" s="37"/>
      <c r="BZS53" s="37"/>
      <c r="BZT53" s="37"/>
      <c r="BZU53" s="37"/>
      <c r="BZV53" s="37"/>
      <c r="BZW53" s="37"/>
      <c r="BZX53" s="37"/>
      <c r="BZY53" s="37"/>
      <c r="BZZ53" s="37"/>
      <c r="CAA53" s="37"/>
      <c r="CAB53" s="37"/>
      <c r="CAC53" s="37"/>
      <c r="CAD53" s="37"/>
      <c r="CAE53" s="37"/>
      <c r="CAF53" s="37"/>
      <c r="CAG53" s="37"/>
      <c r="CAH53" s="37"/>
      <c r="CAI53" s="37"/>
      <c r="CAJ53" s="37"/>
      <c r="CAK53" s="37"/>
      <c r="CAL53" s="37"/>
      <c r="CAM53" s="37"/>
      <c r="CAN53" s="37"/>
      <c r="CAO53" s="37"/>
      <c r="CAP53" s="37"/>
      <c r="CAQ53" s="37"/>
      <c r="CAR53" s="37"/>
      <c r="CAS53" s="37"/>
      <c r="CAT53" s="37"/>
      <c r="CAU53" s="37"/>
      <c r="CAV53" s="37"/>
      <c r="CAW53" s="37"/>
      <c r="CAX53" s="37"/>
      <c r="CAY53" s="37"/>
      <c r="CAZ53" s="37"/>
      <c r="CBA53" s="37"/>
      <c r="CBB53" s="37"/>
      <c r="CBC53" s="37"/>
      <c r="CBD53" s="37"/>
      <c r="CBE53" s="37"/>
      <c r="CBF53" s="37"/>
      <c r="CBG53" s="37"/>
      <c r="CBH53" s="37"/>
      <c r="CBI53" s="37"/>
      <c r="CBJ53" s="37"/>
      <c r="CBK53" s="37"/>
      <c r="CBL53" s="37"/>
      <c r="CBM53" s="37"/>
      <c r="CBN53" s="37"/>
      <c r="CBO53" s="37"/>
      <c r="CBP53" s="37"/>
      <c r="CBQ53" s="37"/>
      <c r="CBR53" s="37"/>
      <c r="CBS53" s="37"/>
      <c r="CBT53" s="37"/>
      <c r="CBU53" s="37"/>
      <c r="CBV53" s="37"/>
      <c r="CBW53" s="37"/>
      <c r="CBX53" s="37"/>
      <c r="CBY53" s="37"/>
      <c r="CBZ53" s="37"/>
      <c r="CCA53" s="37"/>
      <c r="CCB53" s="37"/>
      <c r="CCC53" s="37"/>
      <c r="CCD53" s="37"/>
      <c r="CCE53" s="37"/>
      <c r="CCF53" s="37"/>
      <c r="CCG53" s="37"/>
      <c r="CCH53" s="37"/>
      <c r="CCI53" s="37"/>
      <c r="CCJ53" s="37"/>
      <c r="CCK53" s="37"/>
      <c r="CCL53" s="37"/>
      <c r="CCM53" s="37"/>
      <c r="CCN53" s="37"/>
      <c r="CCO53" s="37"/>
      <c r="CCP53" s="37"/>
      <c r="CCQ53" s="37"/>
      <c r="CCR53" s="37"/>
      <c r="CCS53" s="37"/>
      <c r="CCT53" s="37"/>
      <c r="CCU53" s="37"/>
      <c r="CCV53" s="37"/>
      <c r="CCW53" s="37"/>
      <c r="CCX53" s="37"/>
      <c r="CCY53" s="37"/>
      <c r="CCZ53" s="37"/>
      <c r="CDA53" s="37"/>
      <c r="CDB53" s="37"/>
      <c r="CDC53" s="37"/>
      <c r="CDD53" s="37"/>
      <c r="CDE53" s="37"/>
      <c r="CDF53" s="37"/>
      <c r="CDG53" s="37"/>
      <c r="CDH53" s="37"/>
      <c r="CDI53" s="37"/>
      <c r="CDJ53" s="37"/>
      <c r="CDK53" s="37"/>
      <c r="CDL53" s="37"/>
      <c r="CDM53" s="37"/>
      <c r="CDN53" s="37"/>
      <c r="CDO53" s="37"/>
      <c r="CDP53" s="37"/>
      <c r="CDQ53" s="37"/>
      <c r="CDR53" s="37"/>
      <c r="CDS53" s="37"/>
      <c r="CDT53" s="37"/>
      <c r="CDU53" s="37"/>
      <c r="CDV53" s="37"/>
      <c r="CDW53" s="37"/>
      <c r="CDX53" s="37"/>
      <c r="CDY53" s="37"/>
      <c r="CDZ53" s="37"/>
      <c r="CEA53" s="37"/>
      <c r="CEB53" s="37"/>
      <c r="CEC53" s="37"/>
      <c r="CED53" s="37"/>
      <c r="CEE53" s="37"/>
      <c r="CEF53" s="37"/>
      <c r="CEG53" s="37"/>
      <c r="CEH53" s="37"/>
      <c r="CEI53" s="37"/>
      <c r="CEJ53" s="37"/>
      <c r="CEK53" s="37"/>
      <c r="CEL53" s="37"/>
      <c r="CEM53" s="37"/>
      <c r="CEN53" s="37"/>
      <c r="CEO53" s="37"/>
      <c r="CEP53" s="37"/>
      <c r="CEQ53" s="37"/>
      <c r="CER53" s="37"/>
      <c r="CES53" s="37"/>
      <c r="CET53" s="37"/>
      <c r="CEU53" s="37"/>
      <c r="CEV53" s="37"/>
      <c r="CEW53" s="37"/>
      <c r="CEX53" s="37"/>
      <c r="CEY53" s="37"/>
      <c r="CEZ53" s="37"/>
      <c r="CFA53" s="37"/>
      <c r="CFB53" s="37"/>
      <c r="CFC53" s="37"/>
      <c r="CFD53" s="37"/>
      <c r="CFE53" s="37"/>
      <c r="CFF53" s="37"/>
      <c r="CFG53" s="37"/>
      <c r="CFH53" s="37"/>
      <c r="CFI53" s="37"/>
      <c r="CFJ53" s="37"/>
      <c r="CFK53" s="37"/>
      <c r="CFL53" s="37"/>
      <c r="CFM53" s="37"/>
      <c r="CFN53" s="37"/>
      <c r="CFO53" s="37"/>
      <c r="CFP53" s="37"/>
      <c r="CFQ53" s="37"/>
      <c r="CFR53" s="37"/>
      <c r="CFS53" s="37"/>
      <c r="CFT53" s="37"/>
      <c r="CFU53" s="37"/>
      <c r="CFV53" s="37"/>
      <c r="CFW53" s="37"/>
      <c r="CFX53" s="37"/>
      <c r="CFY53" s="37"/>
      <c r="CFZ53" s="37"/>
      <c r="CGA53" s="37"/>
      <c r="CGB53" s="37"/>
      <c r="CGC53" s="37"/>
      <c r="CGD53" s="37"/>
      <c r="CGE53" s="37"/>
      <c r="CGF53" s="37"/>
      <c r="CGG53" s="37"/>
      <c r="CGH53" s="37"/>
      <c r="CGI53" s="37"/>
      <c r="CGJ53" s="37"/>
      <c r="CGK53" s="37"/>
      <c r="CGL53" s="37"/>
      <c r="CGM53" s="37"/>
      <c r="CGN53" s="37"/>
      <c r="CGO53" s="37"/>
      <c r="CGP53" s="37"/>
      <c r="CGQ53" s="37"/>
      <c r="CGR53" s="37"/>
      <c r="CGS53" s="37"/>
      <c r="CGT53" s="37"/>
      <c r="CGU53" s="37"/>
      <c r="CGV53" s="37"/>
      <c r="CGW53" s="37"/>
      <c r="CGX53" s="37"/>
      <c r="CGY53" s="37"/>
      <c r="CGZ53" s="37"/>
      <c r="CHA53" s="37"/>
      <c r="CHB53" s="37"/>
      <c r="CHC53" s="37"/>
      <c r="CHD53" s="37"/>
      <c r="CHE53" s="37"/>
      <c r="CHF53" s="37"/>
      <c r="CHG53" s="37"/>
      <c r="CHH53" s="37"/>
      <c r="CHI53" s="37"/>
      <c r="CHJ53" s="37"/>
      <c r="CHK53" s="37"/>
      <c r="CHL53" s="37"/>
      <c r="CHM53" s="37"/>
      <c r="CHN53" s="37"/>
      <c r="CHO53" s="37"/>
      <c r="CHP53" s="37"/>
      <c r="CHQ53" s="37"/>
      <c r="CHR53" s="37"/>
      <c r="CHS53" s="37"/>
      <c r="CHT53" s="37"/>
      <c r="CHU53" s="37"/>
      <c r="CHV53" s="37"/>
      <c r="CHW53" s="37"/>
      <c r="CHX53" s="37"/>
      <c r="CHY53" s="37"/>
      <c r="CHZ53" s="37"/>
      <c r="CIA53" s="37"/>
      <c r="CIB53" s="37"/>
      <c r="CIC53" s="37"/>
      <c r="CID53" s="37"/>
      <c r="CIE53" s="37"/>
      <c r="CIF53" s="37"/>
      <c r="CIG53" s="37"/>
      <c r="CIH53" s="37"/>
      <c r="CII53" s="37"/>
      <c r="CIJ53" s="37"/>
      <c r="CIK53" s="37"/>
      <c r="CIL53" s="37"/>
      <c r="CIM53" s="37"/>
      <c r="CIN53" s="37"/>
      <c r="CIO53" s="37"/>
      <c r="CIP53" s="37"/>
      <c r="CIQ53" s="37"/>
      <c r="CIR53" s="37"/>
      <c r="CIS53" s="37"/>
      <c r="CIT53" s="37"/>
      <c r="CIU53" s="37"/>
      <c r="CIV53" s="37"/>
      <c r="CIW53" s="37"/>
      <c r="CIX53" s="37"/>
      <c r="CIY53" s="37"/>
      <c r="CIZ53" s="37"/>
      <c r="CJA53" s="37"/>
      <c r="CJB53" s="37"/>
      <c r="CJC53" s="37"/>
      <c r="CJD53" s="37"/>
      <c r="CJE53" s="37"/>
      <c r="CJF53" s="37"/>
      <c r="CJG53" s="37"/>
      <c r="CJH53" s="37"/>
      <c r="CJI53" s="37"/>
      <c r="CJJ53" s="37"/>
      <c r="CJK53" s="37"/>
      <c r="CJL53" s="37"/>
      <c r="CJM53" s="37"/>
      <c r="CJN53" s="37"/>
      <c r="CJO53" s="37"/>
      <c r="CJP53" s="37"/>
      <c r="CJQ53" s="37"/>
      <c r="CJR53" s="37"/>
      <c r="CJS53" s="37"/>
      <c r="CJT53" s="37"/>
      <c r="CJU53" s="37"/>
      <c r="CJV53" s="37"/>
      <c r="CJW53" s="37"/>
      <c r="CJX53" s="37"/>
      <c r="CJY53" s="37"/>
      <c r="CJZ53" s="37"/>
      <c r="CKA53" s="37"/>
      <c r="CKB53" s="37"/>
      <c r="CKC53" s="37"/>
      <c r="CKD53" s="37"/>
      <c r="CKE53" s="37"/>
      <c r="CKF53" s="37"/>
      <c r="CKG53" s="37"/>
      <c r="CKH53" s="37"/>
      <c r="CKI53" s="37"/>
      <c r="CKJ53" s="37"/>
      <c r="CKK53" s="37"/>
      <c r="CKL53" s="37"/>
      <c r="CKM53" s="37"/>
      <c r="CKN53" s="37"/>
      <c r="CKO53" s="37"/>
      <c r="CKP53" s="37"/>
      <c r="CKQ53" s="37"/>
      <c r="CKR53" s="37"/>
      <c r="CKS53" s="37"/>
      <c r="CKT53" s="37"/>
      <c r="CKU53" s="37"/>
      <c r="CKV53" s="37"/>
      <c r="CKW53" s="37"/>
      <c r="CKX53" s="37"/>
      <c r="CKY53" s="37"/>
      <c r="CKZ53" s="37"/>
      <c r="CLA53" s="37"/>
      <c r="CLB53" s="37"/>
      <c r="CLC53" s="37"/>
      <c r="CLD53" s="37"/>
      <c r="CLE53" s="37"/>
      <c r="CLF53" s="37"/>
      <c r="CLG53" s="37"/>
      <c r="CLH53" s="37"/>
      <c r="CLI53" s="37"/>
      <c r="CLJ53" s="37"/>
      <c r="CLK53" s="37"/>
      <c r="CLL53" s="37"/>
      <c r="CLM53" s="37"/>
      <c r="CLN53" s="37"/>
      <c r="CLO53" s="37"/>
      <c r="CLP53" s="37"/>
      <c r="CLQ53" s="37"/>
      <c r="CLR53" s="37"/>
      <c r="CLS53" s="37"/>
      <c r="CLT53" s="37"/>
      <c r="CLU53" s="37"/>
      <c r="CLV53" s="37"/>
      <c r="CLW53" s="37"/>
      <c r="CLX53" s="37"/>
      <c r="CLY53" s="37"/>
      <c r="CLZ53" s="37"/>
      <c r="CMA53" s="37"/>
      <c r="CMB53" s="37"/>
      <c r="CMC53" s="37"/>
      <c r="CMD53" s="37"/>
      <c r="CME53" s="37"/>
      <c r="CMF53" s="37"/>
      <c r="CMG53" s="37"/>
      <c r="CMH53" s="37"/>
      <c r="CMI53" s="37"/>
      <c r="CMJ53" s="37"/>
      <c r="CMK53" s="37"/>
      <c r="CML53" s="37"/>
      <c r="CMM53" s="37"/>
      <c r="CMN53" s="37"/>
      <c r="CMO53" s="37"/>
      <c r="CMP53" s="37"/>
      <c r="CMQ53" s="37"/>
      <c r="CMR53" s="37"/>
      <c r="CMS53" s="37"/>
      <c r="CMT53" s="37"/>
      <c r="CMU53" s="37"/>
      <c r="CMV53" s="37"/>
      <c r="CMW53" s="37"/>
      <c r="CMX53" s="37"/>
      <c r="CMY53" s="37"/>
      <c r="CMZ53" s="37"/>
      <c r="CNA53" s="37"/>
      <c r="CNB53" s="37"/>
      <c r="CNC53" s="37"/>
      <c r="CND53" s="37"/>
      <c r="CNE53" s="37"/>
      <c r="CNF53" s="37"/>
      <c r="CNG53" s="37"/>
      <c r="CNH53" s="37"/>
      <c r="CNI53" s="37"/>
      <c r="CNJ53" s="37"/>
      <c r="CNK53" s="37"/>
      <c r="CNL53" s="37"/>
      <c r="CNM53" s="37"/>
      <c r="CNN53" s="37"/>
      <c r="CNO53" s="37"/>
      <c r="CNP53" s="37"/>
      <c r="CNQ53" s="37"/>
      <c r="CNR53" s="37"/>
      <c r="CNS53" s="37"/>
      <c r="CNT53" s="37"/>
      <c r="CNU53" s="37"/>
      <c r="CNV53" s="37"/>
      <c r="CNW53" s="37"/>
      <c r="CNX53" s="37"/>
      <c r="CNY53" s="37"/>
      <c r="CNZ53" s="37"/>
      <c r="COA53" s="37"/>
      <c r="COB53" s="37"/>
      <c r="COC53" s="37"/>
      <c r="COD53" s="37"/>
      <c r="COE53" s="37"/>
      <c r="COF53" s="37"/>
      <c r="COG53" s="37"/>
      <c r="COH53" s="37"/>
      <c r="COI53" s="37"/>
      <c r="COJ53" s="37"/>
      <c r="COK53" s="37"/>
      <c r="COL53" s="37"/>
      <c r="COM53" s="37"/>
      <c r="CON53" s="37"/>
      <c r="COO53" s="37"/>
      <c r="COP53" s="37"/>
      <c r="COQ53" s="37"/>
      <c r="COR53" s="37"/>
      <c r="COS53" s="37"/>
      <c r="COT53" s="37"/>
      <c r="COU53" s="37"/>
      <c r="COV53" s="37"/>
      <c r="COW53" s="37"/>
      <c r="COX53" s="37"/>
      <c r="COY53" s="37"/>
      <c r="COZ53" s="37"/>
      <c r="CPA53" s="37"/>
      <c r="CPB53" s="37"/>
      <c r="CPC53" s="37"/>
      <c r="CPD53" s="37"/>
      <c r="CPE53" s="37"/>
      <c r="CPF53" s="37"/>
      <c r="CPG53" s="37"/>
      <c r="CPH53" s="37"/>
      <c r="CPI53" s="37"/>
      <c r="CPJ53" s="37"/>
      <c r="CPK53" s="37"/>
      <c r="CPL53" s="37"/>
      <c r="CPM53" s="37"/>
      <c r="CPN53" s="37"/>
      <c r="CPO53" s="37"/>
      <c r="CPP53" s="37"/>
      <c r="CPQ53" s="37"/>
      <c r="CPR53" s="37"/>
      <c r="CPS53" s="37"/>
      <c r="CPT53" s="37"/>
      <c r="CPU53" s="37"/>
      <c r="CPV53" s="37"/>
      <c r="CPW53" s="37"/>
      <c r="CPX53" s="37"/>
      <c r="CPY53" s="37"/>
      <c r="CPZ53" s="37"/>
      <c r="CQA53" s="37"/>
      <c r="CQB53" s="37"/>
      <c r="CQC53" s="37"/>
      <c r="CQD53" s="37"/>
      <c r="CQE53" s="37"/>
      <c r="CQF53" s="37"/>
      <c r="CQG53" s="37"/>
      <c r="CQH53" s="37"/>
      <c r="CQI53" s="37"/>
      <c r="CQJ53" s="37"/>
      <c r="CQK53" s="37"/>
      <c r="CQL53" s="37"/>
      <c r="CQM53" s="37"/>
      <c r="CQN53" s="37"/>
      <c r="CQO53" s="37"/>
      <c r="CQP53" s="37"/>
      <c r="CQQ53" s="37"/>
      <c r="CQR53" s="37"/>
      <c r="CQS53" s="37"/>
      <c r="CQT53" s="37"/>
      <c r="CQU53" s="37"/>
      <c r="CQV53" s="37"/>
      <c r="CQW53" s="37"/>
      <c r="CQX53" s="37"/>
      <c r="CQY53" s="37"/>
      <c r="CQZ53" s="37"/>
      <c r="CRA53" s="37"/>
      <c r="CRB53" s="37"/>
      <c r="CRC53" s="37"/>
      <c r="CRD53" s="37"/>
      <c r="CRE53" s="37"/>
      <c r="CRF53" s="37"/>
      <c r="CRG53" s="37"/>
      <c r="CRH53" s="37"/>
      <c r="CRI53" s="37"/>
      <c r="CRJ53" s="37"/>
      <c r="CRK53" s="37"/>
      <c r="CRL53" s="37"/>
      <c r="CRM53" s="37"/>
      <c r="CRN53" s="37"/>
      <c r="CRO53" s="37"/>
      <c r="CRP53" s="37"/>
      <c r="CRQ53" s="37"/>
      <c r="CRR53" s="37"/>
      <c r="CRS53" s="37"/>
      <c r="CRT53" s="37"/>
      <c r="CRU53" s="37"/>
      <c r="CRV53" s="37"/>
      <c r="CRW53" s="37"/>
      <c r="CRX53" s="37"/>
      <c r="CRY53" s="37"/>
      <c r="CRZ53" s="37"/>
      <c r="CSA53" s="37"/>
      <c r="CSB53" s="37"/>
      <c r="CSC53" s="37"/>
      <c r="CSD53" s="37"/>
      <c r="CSE53" s="37"/>
      <c r="CSF53" s="37"/>
      <c r="CSG53" s="37"/>
      <c r="CSH53" s="37"/>
      <c r="CSI53" s="37"/>
      <c r="CSJ53" s="37"/>
      <c r="CSK53" s="37"/>
      <c r="CSL53" s="37"/>
      <c r="CSM53" s="37"/>
      <c r="CSN53" s="37"/>
      <c r="CSO53" s="37"/>
      <c r="CSP53" s="37"/>
      <c r="CSQ53" s="37"/>
      <c r="CSR53" s="37"/>
      <c r="CSS53" s="37"/>
      <c r="CST53" s="37"/>
      <c r="CSU53" s="37"/>
      <c r="CSV53" s="37"/>
      <c r="CSW53" s="37"/>
      <c r="CSX53" s="37"/>
      <c r="CSY53" s="37"/>
      <c r="CSZ53" s="37"/>
      <c r="CTA53" s="37"/>
      <c r="CTB53" s="37"/>
      <c r="CTC53" s="37"/>
      <c r="CTD53" s="37"/>
      <c r="CTE53" s="37"/>
      <c r="CTF53" s="37"/>
      <c r="CTG53" s="37"/>
      <c r="CTH53" s="37"/>
      <c r="CTI53" s="37"/>
      <c r="CTJ53" s="37"/>
      <c r="CTK53" s="37"/>
      <c r="CTL53" s="37"/>
      <c r="CTM53" s="37"/>
      <c r="CTN53" s="37"/>
      <c r="CTO53" s="37"/>
      <c r="CTP53" s="37"/>
      <c r="CTQ53" s="37"/>
      <c r="CTR53" s="37"/>
      <c r="CTS53" s="37"/>
      <c r="CTT53" s="37"/>
      <c r="CTU53" s="37"/>
      <c r="CTV53" s="37"/>
      <c r="CTW53" s="37"/>
      <c r="CTX53" s="37"/>
      <c r="CTY53" s="37"/>
      <c r="CTZ53" s="37"/>
      <c r="CUA53" s="37"/>
      <c r="CUB53" s="37"/>
      <c r="CUC53" s="37"/>
      <c r="CUD53" s="37"/>
      <c r="CUE53" s="37"/>
      <c r="CUF53" s="37"/>
      <c r="CUG53" s="37"/>
      <c r="CUH53" s="37"/>
      <c r="CUI53" s="37"/>
      <c r="CUJ53" s="37"/>
      <c r="CUK53" s="37"/>
      <c r="CUL53" s="37"/>
      <c r="CUM53" s="37"/>
      <c r="CUN53" s="37"/>
      <c r="CUO53" s="37"/>
      <c r="CUP53" s="37"/>
      <c r="CUQ53" s="37"/>
      <c r="CUR53" s="37"/>
      <c r="CUS53" s="37"/>
      <c r="CUT53" s="37"/>
      <c r="CUU53" s="37"/>
      <c r="CUV53" s="37"/>
      <c r="CUW53" s="37"/>
      <c r="CUX53" s="37"/>
      <c r="CUY53" s="37"/>
      <c r="CUZ53" s="37"/>
      <c r="CVA53" s="37"/>
      <c r="CVB53" s="37"/>
      <c r="CVC53" s="37"/>
      <c r="CVD53" s="37"/>
      <c r="CVE53" s="37"/>
      <c r="CVF53" s="37"/>
      <c r="CVG53" s="37"/>
      <c r="CVH53" s="37"/>
      <c r="CVI53" s="37"/>
      <c r="CVJ53" s="37"/>
      <c r="CVK53" s="37"/>
      <c r="CVL53" s="37"/>
      <c r="CVM53" s="37"/>
      <c r="CVN53" s="37"/>
      <c r="CVO53" s="37"/>
      <c r="CVP53" s="37"/>
      <c r="CVQ53" s="37"/>
      <c r="CVR53" s="37"/>
      <c r="CVS53" s="37"/>
      <c r="CVT53" s="37"/>
      <c r="CVU53" s="37"/>
      <c r="CVV53" s="37"/>
      <c r="CVW53" s="37"/>
      <c r="CVX53" s="37"/>
      <c r="CVY53" s="37"/>
      <c r="CVZ53" s="37"/>
      <c r="CWA53" s="37"/>
      <c r="CWB53" s="37"/>
      <c r="CWC53" s="37"/>
      <c r="CWD53" s="37"/>
      <c r="CWE53" s="37"/>
      <c r="CWF53" s="37"/>
      <c r="CWG53" s="37"/>
      <c r="CWH53" s="37"/>
      <c r="CWI53" s="37"/>
      <c r="CWJ53" s="37"/>
      <c r="CWK53" s="37"/>
      <c r="CWL53" s="37"/>
      <c r="CWM53" s="37"/>
      <c r="CWN53" s="37"/>
      <c r="CWO53" s="37"/>
      <c r="CWP53" s="37"/>
      <c r="CWQ53" s="37"/>
      <c r="CWR53" s="37"/>
      <c r="CWS53" s="37"/>
      <c r="CWT53" s="37"/>
      <c r="CWU53" s="37"/>
      <c r="CWV53" s="37"/>
      <c r="CWW53" s="37"/>
      <c r="CWX53" s="37"/>
      <c r="CWY53" s="37"/>
      <c r="CWZ53" s="37"/>
      <c r="CXA53" s="37"/>
      <c r="CXB53" s="37"/>
      <c r="CXC53" s="37"/>
      <c r="CXD53" s="37"/>
      <c r="CXE53" s="37"/>
      <c r="CXF53" s="37"/>
      <c r="CXG53" s="37"/>
      <c r="CXH53" s="37"/>
      <c r="CXI53" s="37"/>
      <c r="CXJ53" s="37"/>
      <c r="CXK53" s="37"/>
      <c r="CXL53" s="37"/>
      <c r="CXM53" s="37"/>
      <c r="CXN53" s="37"/>
      <c r="CXO53" s="37"/>
      <c r="CXP53" s="37"/>
      <c r="CXQ53" s="37"/>
      <c r="CXR53" s="37"/>
      <c r="CXS53" s="37"/>
      <c r="CXT53" s="37"/>
      <c r="CXU53" s="37"/>
      <c r="CXV53" s="37"/>
      <c r="CXW53" s="37"/>
      <c r="CXX53" s="37"/>
      <c r="CXY53" s="37"/>
      <c r="CXZ53" s="37"/>
      <c r="CYA53" s="37"/>
      <c r="CYB53" s="37"/>
      <c r="CYC53" s="37"/>
      <c r="CYD53" s="37"/>
      <c r="CYE53" s="37"/>
      <c r="CYF53" s="37"/>
      <c r="CYG53" s="37"/>
      <c r="CYH53" s="37"/>
      <c r="CYI53" s="37"/>
      <c r="CYJ53" s="37"/>
      <c r="CYK53" s="37"/>
      <c r="CYL53" s="37"/>
      <c r="CYM53" s="37"/>
      <c r="CYN53" s="37"/>
      <c r="CYO53" s="37"/>
      <c r="CYP53" s="37"/>
      <c r="CYQ53" s="37"/>
      <c r="CYR53" s="37"/>
      <c r="CYS53" s="37"/>
      <c r="CYT53" s="37"/>
      <c r="CYU53" s="37"/>
      <c r="CYV53" s="37"/>
      <c r="CYW53" s="37"/>
      <c r="CYX53" s="37"/>
      <c r="CYY53" s="37"/>
      <c r="CYZ53" s="37"/>
      <c r="CZA53" s="37"/>
      <c r="CZB53" s="37"/>
      <c r="CZC53" s="37"/>
      <c r="CZD53" s="37"/>
      <c r="CZE53" s="37"/>
      <c r="CZF53" s="37"/>
      <c r="CZG53" s="37"/>
      <c r="CZH53" s="37"/>
      <c r="CZI53" s="37"/>
      <c r="CZJ53" s="37"/>
      <c r="CZK53" s="37"/>
      <c r="CZL53" s="37"/>
      <c r="CZM53" s="37"/>
      <c r="CZN53" s="37"/>
      <c r="CZO53" s="37"/>
      <c r="CZP53" s="37"/>
      <c r="CZQ53" s="37"/>
      <c r="CZR53" s="37"/>
      <c r="CZS53" s="37"/>
      <c r="CZT53" s="37"/>
      <c r="CZU53" s="37"/>
      <c r="CZV53" s="37"/>
      <c r="CZW53" s="37"/>
      <c r="CZX53" s="37"/>
      <c r="CZY53" s="37"/>
      <c r="CZZ53" s="37"/>
      <c r="DAA53" s="37"/>
      <c r="DAB53" s="37"/>
      <c r="DAC53" s="37"/>
      <c r="DAD53" s="37"/>
      <c r="DAE53" s="37"/>
      <c r="DAF53" s="37"/>
      <c r="DAG53" s="37"/>
      <c r="DAH53" s="37"/>
      <c r="DAI53" s="37"/>
      <c r="DAJ53" s="37"/>
      <c r="DAK53" s="37"/>
      <c r="DAL53" s="37"/>
      <c r="DAM53" s="37"/>
      <c r="DAN53" s="37"/>
      <c r="DAO53" s="37"/>
      <c r="DAP53" s="37"/>
      <c r="DAQ53" s="37"/>
      <c r="DAR53" s="37"/>
      <c r="DAS53" s="37"/>
      <c r="DAT53" s="37"/>
      <c r="DAU53" s="37"/>
      <c r="DAV53" s="37"/>
      <c r="DAW53" s="37"/>
      <c r="DAX53" s="37"/>
      <c r="DAY53" s="37"/>
      <c r="DAZ53" s="37"/>
      <c r="DBA53" s="37"/>
      <c r="DBB53" s="37"/>
      <c r="DBC53" s="37"/>
      <c r="DBD53" s="37"/>
      <c r="DBE53" s="37"/>
      <c r="DBF53" s="37"/>
      <c r="DBG53" s="37"/>
      <c r="DBH53" s="37"/>
      <c r="DBI53" s="37"/>
      <c r="DBJ53" s="37"/>
      <c r="DBK53" s="37"/>
      <c r="DBL53" s="37"/>
      <c r="DBM53" s="37"/>
      <c r="DBN53" s="37"/>
      <c r="DBO53" s="37"/>
      <c r="DBP53" s="37"/>
      <c r="DBQ53" s="37"/>
      <c r="DBR53" s="37"/>
      <c r="DBS53" s="37"/>
      <c r="DBT53" s="37"/>
      <c r="DBU53" s="37"/>
      <c r="DBV53" s="37"/>
      <c r="DBW53" s="37"/>
      <c r="DBX53" s="37"/>
      <c r="DBY53" s="37"/>
      <c r="DBZ53" s="37"/>
      <c r="DCA53" s="37"/>
      <c r="DCB53" s="37"/>
      <c r="DCC53" s="37"/>
      <c r="DCD53" s="37"/>
      <c r="DCE53" s="37"/>
      <c r="DCF53" s="37"/>
      <c r="DCG53" s="37"/>
      <c r="DCH53" s="37"/>
      <c r="DCI53" s="37"/>
      <c r="DCJ53" s="37"/>
      <c r="DCK53" s="37"/>
      <c r="DCL53" s="37"/>
      <c r="DCM53" s="37"/>
      <c r="DCN53" s="37"/>
      <c r="DCO53" s="37"/>
      <c r="DCP53" s="37"/>
      <c r="DCQ53" s="37"/>
      <c r="DCR53" s="37"/>
      <c r="DCS53" s="37"/>
      <c r="DCT53" s="37"/>
      <c r="DCU53" s="37"/>
      <c r="DCV53" s="37"/>
      <c r="DCW53" s="37"/>
      <c r="DCX53" s="37"/>
      <c r="DCY53" s="37"/>
      <c r="DCZ53" s="37"/>
      <c r="DDA53" s="37"/>
      <c r="DDB53" s="37"/>
      <c r="DDC53" s="37"/>
      <c r="DDD53" s="37"/>
      <c r="DDE53" s="37"/>
      <c r="DDF53" s="37"/>
      <c r="DDG53" s="37"/>
      <c r="DDH53" s="37"/>
      <c r="DDI53" s="37"/>
      <c r="DDJ53" s="37"/>
      <c r="DDK53" s="37"/>
      <c r="DDL53" s="37"/>
      <c r="DDM53" s="37"/>
      <c r="DDN53" s="37"/>
      <c r="DDO53" s="37"/>
      <c r="DDP53" s="37"/>
      <c r="DDQ53" s="37"/>
      <c r="DDR53" s="37"/>
      <c r="DDS53" s="37"/>
      <c r="DDT53" s="37"/>
      <c r="DDU53" s="37"/>
      <c r="DDV53" s="37"/>
      <c r="DDW53" s="37"/>
      <c r="DDX53" s="37"/>
      <c r="DDY53" s="37"/>
      <c r="DDZ53" s="37"/>
      <c r="DEA53" s="37"/>
      <c r="DEB53" s="37"/>
      <c r="DEC53" s="37"/>
      <c r="DED53" s="37"/>
      <c r="DEE53" s="37"/>
      <c r="DEF53" s="37"/>
      <c r="DEG53" s="37"/>
      <c r="DEH53" s="37"/>
      <c r="DEI53" s="37"/>
      <c r="DEJ53" s="37"/>
      <c r="DEK53" s="37"/>
      <c r="DEL53" s="37"/>
      <c r="DEM53" s="37"/>
      <c r="DEN53" s="37"/>
      <c r="DEO53" s="37"/>
      <c r="DEP53" s="37"/>
      <c r="DEQ53" s="37"/>
      <c r="DER53" s="37"/>
      <c r="DES53" s="37"/>
      <c r="DET53" s="37"/>
      <c r="DEU53" s="37"/>
      <c r="DEV53" s="37"/>
      <c r="DEW53" s="37"/>
      <c r="DEX53" s="37"/>
      <c r="DEY53" s="37"/>
      <c r="DEZ53" s="37"/>
      <c r="DFA53" s="37"/>
      <c r="DFB53" s="37"/>
      <c r="DFC53" s="37"/>
      <c r="DFD53" s="37"/>
      <c r="DFE53" s="37"/>
      <c r="DFF53" s="37"/>
      <c r="DFG53" s="37"/>
      <c r="DFH53" s="37"/>
      <c r="DFI53" s="37"/>
      <c r="DFJ53" s="37"/>
      <c r="DFK53" s="37"/>
      <c r="DFL53" s="37"/>
      <c r="DFM53" s="37"/>
      <c r="DFN53" s="37"/>
      <c r="DFO53" s="37"/>
      <c r="DFP53" s="37"/>
      <c r="DFQ53" s="37"/>
      <c r="DFR53" s="37"/>
      <c r="DFS53" s="37"/>
      <c r="DFT53" s="37"/>
      <c r="DFU53" s="37"/>
      <c r="DFV53" s="37"/>
      <c r="DFW53" s="37"/>
      <c r="DFX53" s="37"/>
      <c r="DFY53" s="37"/>
      <c r="DFZ53" s="37"/>
      <c r="DGA53" s="37"/>
      <c r="DGB53" s="37"/>
      <c r="DGC53" s="37"/>
      <c r="DGD53" s="37"/>
      <c r="DGE53" s="37"/>
      <c r="DGF53" s="37"/>
      <c r="DGG53" s="37"/>
      <c r="DGH53" s="37"/>
      <c r="DGI53" s="37"/>
      <c r="DGJ53" s="37"/>
      <c r="DGK53" s="37"/>
      <c r="DGL53" s="37"/>
      <c r="DGM53" s="37"/>
      <c r="DGN53" s="37"/>
      <c r="DGO53" s="37"/>
      <c r="DGP53" s="37"/>
      <c r="DGQ53" s="37"/>
      <c r="DGR53" s="37"/>
      <c r="DGS53" s="37"/>
      <c r="DGT53" s="37"/>
      <c r="DGU53" s="37"/>
      <c r="DGV53" s="37"/>
      <c r="DGW53" s="37"/>
      <c r="DGX53" s="37"/>
      <c r="DGY53" s="37"/>
      <c r="DGZ53" s="37"/>
      <c r="DHA53" s="37"/>
      <c r="DHB53" s="37"/>
      <c r="DHC53" s="37"/>
      <c r="DHD53" s="37"/>
      <c r="DHE53" s="37"/>
      <c r="DHF53" s="37"/>
      <c r="DHG53" s="37"/>
      <c r="DHH53" s="37"/>
      <c r="DHI53" s="37"/>
      <c r="DHJ53" s="37"/>
      <c r="DHK53" s="37"/>
      <c r="DHL53" s="37"/>
      <c r="DHM53" s="37"/>
      <c r="DHN53" s="37"/>
      <c r="DHO53" s="37"/>
      <c r="DHP53" s="37"/>
      <c r="DHQ53" s="37"/>
      <c r="DHR53" s="37"/>
      <c r="DHS53" s="37"/>
      <c r="DHT53" s="37"/>
      <c r="DHU53" s="37"/>
      <c r="DHV53" s="37"/>
      <c r="DHW53" s="37"/>
      <c r="DHX53" s="37"/>
      <c r="DHY53" s="37"/>
      <c r="DHZ53" s="37"/>
      <c r="DIA53" s="37"/>
      <c r="DIB53" s="37"/>
      <c r="DIC53" s="37"/>
      <c r="DID53" s="37"/>
      <c r="DIE53" s="37"/>
      <c r="DIF53" s="37"/>
      <c r="DIG53" s="37"/>
      <c r="DIH53" s="37"/>
      <c r="DII53" s="37"/>
      <c r="DIJ53" s="37"/>
      <c r="DIK53" s="37"/>
      <c r="DIL53" s="37"/>
      <c r="DIM53" s="37"/>
      <c r="DIN53" s="37"/>
      <c r="DIO53" s="37"/>
      <c r="DIP53" s="37"/>
      <c r="DIQ53" s="37"/>
      <c r="DIR53" s="37"/>
      <c r="DIS53" s="37"/>
      <c r="DIT53" s="37"/>
      <c r="DIU53" s="37"/>
      <c r="DIV53" s="37"/>
      <c r="DIW53" s="37"/>
      <c r="DIX53" s="37"/>
      <c r="DIY53" s="37"/>
      <c r="DIZ53" s="37"/>
      <c r="DJA53" s="37"/>
      <c r="DJB53" s="37"/>
      <c r="DJC53" s="37"/>
      <c r="DJD53" s="37"/>
      <c r="DJE53" s="37"/>
      <c r="DJF53" s="37"/>
      <c r="DJG53" s="37"/>
      <c r="DJH53" s="37"/>
      <c r="DJI53" s="37"/>
      <c r="DJJ53" s="37"/>
      <c r="DJK53" s="37"/>
      <c r="DJL53" s="37"/>
      <c r="DJM53" s="37"/>
      <c r="DJN53" s="37"/>
      <c r="DJO53" s="37"/>
      <c r="DJP53" s="37"/>
      <c r="DJQ53" s="37"/>
      <c r="DJR53" s="37"/>
      <c r="DJS53" s="37"/>
      <c r="DJT53" s="37"/>
      <c r="DJU53" s="37"/>
      <c r="DJV53" s="37"/>
      <c r="DJW53" s="37"/>
      <c r="DJX53" s="37"/>
      <c r="DJY53" s="37"/>
      <c r="DJZ53" s="37"/>
      <c r="DKA53" s="37"/>
      <c r="DKB53" s="37"/>
      <c r="DKC53" s="37"/>
      <c r="DKD53" s="37"/>
      <c r="DKE53" s="37"/>
      <c r="DKF53" s="37"/>
      <c r="DKG53" s="37"/>
      <c r="DKH53" s="37"/>
      <c r="DKI53" s="37"/>
      <c r="DKJ53" s="37"/>
      <c r="DKK53" s="37"/>
      <c r="DKL53" s="37"/>
      <c r="DKM53" s="37"/>
      <c r="DKN53" s="37"/>
      <c r="DKO53" s="37"/>
      <c r="DKP53" s="37"/>
      <c r="DKQ53" s="37"/>
      <c r="DKR53" s="37"/>
      <c r="DKS53" s="37"/>
      <c r="DKT53" s="37"/>
      <c r="DKU53" s="37"/>
      <c r="DKV53" s="37"/>
      <c r="DKW53" s="37"/>
      <c r="DKX53" s="37"/>
      <c r="DKY53" s="37"/>
      <c r="DKZ53" s="37"/>
      <c r="DLA53" s="37"/>
      <c r="DLB53" s="37"/>
      <c r="DLC53" s="37"/>
      <c r="DLD53" s="37"/>
      <c r="DLE53" s="37"/>
      <c r="DLF53" s="37"/>
      <c r="DLG53" s="37"/>
      <c r="DLH53" s="37"/>
      <c r="DLI53" s="37"/>
      <c r="DLJ53" s="37"/>
      <c r="DLK53" s="37"/>
      <c r="DLL53" s="37"/>
      <c r="DLM53" s="37"/>
      <c r="DLN53" s="37"/>
      <c r="DLO53" s="37"/>
      <c r="DLP53" s="37"/>
      <c r="DLQ53" s="37"/>
      <c r="DLR53" s="37"/>
      <c r="DLS53" s="37"/>
      <c r="DLT53" s="37"/>
      <c r="DLU53" s="37"/>
      <c r="DLV53" s="37"/>
      <c r="DLW53" s="37"/>
      <c r="DLX53" s="37"/>
      <c r="DLY53" s="37"/>
      <c r="DLZ53" s="37"/>
      <c r="DMA53" s="37"/>
      <c r="DMB53" s="37"/>
      <c r="DMC53" s="37"/>
      <c r="DMD53" s="37"/>
      <c r="DME53" s="37"/>
      <c r="DMF53" s="37"/>
      <c r="DMG53" s="37"/>
      <c r="DMH53" s="37"/>
      <c r="DMI53" s="37"/>
      <c r="DMJ53" s="37"/>
      <c r="DMK53" s="37"/>
      <c r="DML53" s="37"/>
      <c r="DMM53" s="37"/>
      <c r="DMN53" s="37"/>
      <c r="DMO53" s="37"/>
      <c r="DMP53" s="37"/>
      <c r="DMQ53" s="37"/>
      <c r="DMR53" s="37"/>
      <c r="DMS53" s="37"/>
      <c r="DMT53" s="37"/>
      <c r="DMU53" s="37"/>
      <c r="DMV53" s="37"/>
      <c r="DMW53" s="37"/>
      <c r="DMX53" s="37"/>
      <c r="DMY53" s="37"/>
      <c r="DMZ53" s="37"/>
      <c r="DNA53" s="37"/>
      <c r="DNB53" s="37"/>
      <c r="DNC53" s="37"/>
      <c r="DND53" s="37"/>
      <c r="DNE53" s="37"/>
      <c r="DNF53" s="37"/>
      <c r="DNG53" s="37"/>
      <c r="DNH53" s="37"/>
      <c r="DNI53" s="37"/>
      <c r="DNJ53" s="37"/>
      <c r="DNK53" s="37"/>
      <c r="DNL53" s="37"/>
      <c r="DNM53" s="37"/>
      <c r="DNN53" s="37"/>
      <c r="DNO53" s="37"/>
      <c r="DNP53" s="37"/>
      <c r="DNQ53" s="37"/>
      <c r="DNR53" s="37"/>
      <c r="DNS53" s="37"/>
      <c r="DNT53" s="37"/>
      <c r="DNU53" s="37"/>
      <c r="DNV53" s="37"/>
      <c r="DNW53" s="37"/>
      <c r="DNX53" s="37"/>
      <c r="DNY53" s="37"/>
      <c r="DNZ53" s="37"/>
      <c r="DOA53" s="37"/>
      <c r="DOB53" s="37"/>
      <c r="DOC53" s="37"/>
      <c r="DOD53" s="37"/>
      <c r="DOE53" s="37"/>
      <c r="DOF53" s="37"/>
      <c r="DOG53" s="37"/>
      <c r="DOH53" s="37"/>
      <c r="DOI53" s="37"/>
      <c r="DOJ53" s="37"/>
      <c r="DOK53" s="37"/>
      <c r="DOL53" s="37"/>
      <c r="DOM53" s="37"/>
      <c r="DON53" s="37"/>
      <c r="DOO53" s="37"/>
      <c r="DOP53" s="37"/>
      <c r="DOQ53" s="37"/>
      <c r="DOR53" s="37"/>
      <c r="DOS53" s="37"/>
      <c r="DOT53" s="37"/>
      <c r="DOU53" s="37"/>
      <c r="DOV53" s="37"/>
      <c r="DOW53" s="37"/>
      <c r="DOX53" s="37"/>
      <c r="DOY53" s="37"/>
      <c r="DOZ53" s="37"/>
      <c r="DPA53" s="37"/>
      <c r="DPB53" s="37"/>
      <c r="DPC53" s="37"/>
      <c r="DPD53" s="37"/>
      <c r="DPE53" s="37"/>
      <c r="DPF53" s="37"/>
      <c r="DPG53" s="37"/>
      <c r="DPH53" s="37"/>
      <c r="DPI53" s="37"/>
      <c r="DPJ53" s="37"/>
      <c r="DPK53" s="37"/>
      <c r="DPL53" s="37"/>
      <c r="DPM53" s="37"/>
      <c r="DPN53" s="37"/>
      <c r="DPO53" s="37"/>
      <c r="DPP53" s="37"/>
      <c r="DPQ53" s="37"/>
      <c r="DPR53" s="37"/>
      <c r="DPS53" s="37"/>
      <c r="DPT53" s="37"/>
      <c r="DPU53" s="37"/>
      <c r="DPV53" s="37"/>
      <c r="DPW53" s="37"/>
      <c r="DPX53" s="37"/>
      <c r="DPY53" s="37"/>
      <c r="DPZ53" s="37"/>
      <c r="DQA53" s="37"/>
      <c r="DQB53" s="37"/>
      <c r="DQC53" s="37"/>
      <c r="DQD53" s="37"/>
      <c r="DQE53" s="37"/>
      <c r="DQF53" s="37"/>
      <c r="DQG53" s="37"/>
      <c r="DQH53" s="37"/>
      <c r="DQI53" s="37"/>
      <c r="DQJ53" s="37"/>
      <c r="DQK53" s="37"/>
      <c r="DQL53" s="37"/>
      <c r="DQM53" s="37"/>
      <c r="DQN53" s="37"/>
      <c r="DQO53" s="37"/>
      <c r="DQP53" s="37"/>
      <c r="DQQ53" s="37"/>
      <c r="DQR53" s="37"/>
      <c r="DQS53" s="37"/>
      <c r="DQT53" s="37"/>
      <c r="DQU53" s="37"/>
      <c r="DQV53" s="37"/>
      <c r="DQW53" s="37"/>
      <c r="DQX53" s="37"/>
      <c r="DQY53" s="37"/>
      <c r="DQZ53" s="37"/>
      <c r="DRA53" s="37"/>
      <c r="DRB53" s="37"/>
      <c r="DRC53" s="37"/>
      <c r="DRD53" s="37"/>
      <c r="DRE53" s="37"/>
      <c r="DRF53" s="37"/>
      <c r="DRG53" s="37"/>
      <c r="DRH53" s="37"/>
      <c r="DRI53" s="37"/>
      <c r="DRJ53" s="37"/>
      <c r="DRK53" s="37"/>
      <c r="DRL53" s="37"/>
      <c r="DRM53" s="37"/>
      <c r="DRN53" s="37"/>
      <c r="DRO53" s="37"/>
      <c r="DRP53" s="37"/>
      <c r="DRQ53" s="37"/>
      <c r="DRR53" s="37"/>
      <c r="DRS53" s="37"/>
      <c r="DRT53" s="37"/>
      <c r="DRU53" s="37"/>
      <c r="DRV53" s="37"/>
      <c r="DRW53" s="37"/>
      <c r="DRX53" s="37"/>
      <c r="DRY53" s="37"/>
      <c r="DRZ53" s="37"/>
      <c r="DSA53" s="37"/>
      <c r="DSB53" s="37"/>
      <c r="DSC53" s="37"/>
      <c r="DSD53" s="37"/>
      <c r="DSE53" s="37"/>
      <c r="DSF53" s="37"/>
      <c r="DSG53" s="37"/>
      <c r="DSH53" s="37"/>
      <c r="DSI53" s="37"/>
      <c r="DSJ53" s="37"/>
      <c r="DSK53" s="37"/>
      <c r="DSL53" s="37"/>
      <c r="DSM53" s="37"/>
      <c r="DSN53" s="37"/>
      <c r="DSO53" s="37"/>
      <c r="DSP53" s="37"/>
      <c r="DSQ53" s="37"/>
      <c r="DSR53" s="37"/>
      <c r="DSS53" s="37"/>
      <c r="DST53" s="37"/>
      <c r="DSU53" s="37"/>
      <c r="DSV53" s="37"/>
      <c r="DSW53" s="37"/>
      <c r="DSX53" s="37"/>
      <c r="DSY53" s="37"/>
      <c r="DSZ53" s="37"/>
      <c r="DTA53" s="37"/>
      <c r="DTB53" s="37"/>
      <c r="DTC53" s="37"/>
      <c r="DTD53" s="37"/>
      <c r="DTE53" s="37"/>
      <c r="DTF53" s="37"/>
      <c r="DTG53" s="37"/>
      <c r="DTH53" s="37"/>
      <c r="DTI53" s="37"/>
      <c r="DTJ53" s="37"/>
      <c r="DTK53" s="37"/>
      <c r="DTL53" s="37"/>
      <c r="DTM53" s="37"/>
      <c r="DTN53" s="37"/>
      <c r="DTO53" s="37"/>
      <c r="DTP53" s="37"/>
      <c r="DTQ53" s="37"/>
      <c r="DTR53" s="37"/>
      <c r="DTS53" s="37"/>
      <c r="DTT53" s="37"/>
      <c r="DTU53" s="37"/>
      <c r="DTV53" s="37"/>
      <c r="DTW53" s="37"/>
      <c r="DTX53" s="37"/>
      <c r="DTY53" s="37"/>
      <c r="DTZ53" s="37"/>
      <c r="DUA53" s="37"/>
      <c r="DUB53" s="37"/>
      <c r="DUC53" s="37"/>
      <c r="DUD53" s="37"/>
      <c r="DUE53" s="37"/>
      <c r="DUF53" s="37"/>
      <c r="DUG53" s="37"/>
      <c r="DUH53" s="37"/>
      <c r="DUI53" s="37"/>
      <c r="DUJ53" s="37"/>
      <c r="DUK53" s="37"/>
      <c r="DUL53" s="37"/>
      <c r="DUM53" s="37"/>
      <c r="DUN53" s="37"/>
      <c r="DUO53" s="37"/>
      <c r="DUP53" s="37"/>
      <c r="DUQ53" s="37"/>
      <c r="DUR53" s="37"/>
      <c r="DUS53" s="37"/>
      <c r="DUT53" s="37"/>
      <c r="DUU53" s="37"/>
      <c r="DUV53" s="37"/>
      <c r="DUW53" s="37"/>
      <c r="DUX53" s="37"/>
      <c r="DUY53" s="37"/>
      <c r="DUZ53" s="37"/>
      <c r="DVA53" s="37"/>
      <c r="DVB53" s="37"/>
      <c r="DVC53" s="37"/>
      <c r="DVD53" s="37"/>
      <c r="DVE53" s="37"/>
      <c r="DVF53" s="37"/>
      <c r="DVG53" s="37"/>
      <c r="DVH53" s="37"/>
      <c r="DVI53" s="37"/>
      <c r="DVJ53" s="37"/>
      <c r="DVK53" s="37"/>
      <c r="DVL53" s="37"/>
      <c r="DVM53" s="37"/>
      <c r="DVN53" s="37"/>
      <c r="DVO53" s="37"/>
      <c r="DVP53" s="37"/>
      <c r="DVQ53" s="37"/>
      <c r="DVR53" s="37"/>
      <c r="DVS53" s="37"/>
      <c r="DVT53" s="37"/>
      <c r="DVU53" s="37"/>
      <c r="DVV53" s="37"/>
      <c r="DVW53" s="37"/>
      <c r="DVX53" s="37"/>
      <c r="DVY53" s="37"/>
      <c r="DVZ53" s="37"/>
      <c r="DWA53" s="37"/>
      <c r="DWB53" s="37"/>
      <c r="DWC53" s="37"/>
      <c r="DWD53" s="37"/>
      <c r="DWE53" s="37"/>
      <c r="DWF53" s="37"/>
      <c r="DWG53" s="37"/>
      <c r="DWH53" s="37"/>
      <c r="DWI53" s="37"/>
      <c r="DWJ53" s="37"/>
      <c r="DWK53" s="37"/>
      <c r="DWL53" s="37"/>
      <c r="DWM53" s="37"/>
      <c r="DWN53" s="37"/>
      <c r="DWO53" s="37"/>
      <c r="DWP53" s="37"/>
      <c r="DWQ53" s="37"/>
      <c r="DWR53" s="37"/>
      <c r="DWS53" s="37"/>
      <c r="DWT53" s="37"/>
      <c r="DWU53" s="37"/>
      <c r="DWV53" s="37"/>
      <c r="DWW53" s="37"/>
      <c r="DWX53" s="37"/>
      <c r="DWY53" s="37"/>
      <c r="DWZ53" s="37"/>
      <c r="DXA53" s="37"/>
      <c r="DXB53" s="37"/>
      <c r="DXC53" s="37"/>
      <c r="DXD53" s="37"/>
      <c r="DXE53" s="37"/>
      <c r="DXF53" s="37"/>
      <c r="DXG53" s="37"/>
      <c r="DXH53" s="37"/>
      <c r="DXI53" s="37"/>
      <c r="DXJ53" s="37"/>
      <c r="DXK53" s="37"/>
      <c r="DXL53" s="37"/>
      <c r="DXM53" s="37"/>
      <c r="DXN53" s="37"/>
      <c r="DXO53" s="37"/>
      <c r="DXP53" s="37"/>
      <c r="DXQ53" s="37"/>
      <c r="DXR53" s="37"/>
      <c r="DXS53" s="37"/>
      <c r="DXT53" s="37"/>
      <c r="DXU53" s="37"/>
      <c r="DXV53" s="37"/>
      <c r="DXW53" s="37"/>
      <c r="DXX53" s="37"/>
      <c r="DXY53" s="37"/>
      <c r="DXZ53" s="37"/>
      <c r="DYA53" s="37"/>
      <c r="DYB53" s="37"/>
      <c r="DYC53" s="37"/>
      <c r="DYD53" s="37"/>
      <c r="DYE53" s="37"/>
      <c r="DYF53" s="37"/>
      <c r="DYG53" s="37"/>
      <c r="DYH53" s="37"/>
      <c r="DYI53" s="37"/>
      <c r="DYJ53" s="37"/>
      <c r="DYK53" s="37"/>
      <c r="DYL53" s="37"/>
      <c r="DYM53" s="37"/>
      <c r="DYN53" s="37"/>
      <c r="DYO53" s="37"/>
      <c r="DYP53" s="37"/>
      <c r="DYQ53" s="37"/>
      <c r="DYR53" s="37"/>
      <c r="DYS53" s="37"/>
      <c r="DYT53" s="37"/>
      <c r="DYU53" s="37"/>
      <c r="DYV53" s="37"/>
      <c r="DYW53" s="37"/>
      <c r="DYX53" s="37"/>
      <c r="DYY53" s="37"/>
      <c r="DYZ53" s="37"/>
      <c r="DZA53" s="37"/>
      <c r="DZB53" s="37"/>
      <c r="DZC53" s="37"/>
      <c r="DZD53" s="37"/>
      <c r="DZE53" s="37"/>
      <c r="DZF53" s="37"/>
      <c r="DZG53" s="37"/>
      <c r="DZH53" s="37"/>
      <c r="DZI53" s="37"/>
      <c r="DZJ53" s="37"/>
      <c r="DZK53" s="37"/>
      <c r="DZL53" s="37"/>
      <c r="DZM53" s="37"/>
      <c r="DZN53" s="37"/>
      <c r="DZO53" s="37"/>
      <c r="DZP53" s="37"/>
      <c r="DZQ53" s="37"/>
      <c r="DZR53" s="37"/>
      <c r="DZS53" s="37"/>
      <c r="DZT53" s="37"/>
      <c r="DZU53" s="37"/>
      <c r="DZV53" s="37"/>
      <c r="DZW53" s="37"/>
      <c r="DZX53" s="37"/>
      <c r="DZY53" s="37"/>
      <c r="DZZ53" s="37"/>
      <c r="EAA53" s="37"/>
      <c r="EAB53" s="37"/>
      <c r="EAC53" s="37"/>
      <c r="EAD53" s="37"/>
      <c r="EAE53" s="37"/>
      <c r="EAF53" s="37"/>
      <c r="EAG53" s="37"/>
      <c r="EAH53" s="37"/>
      <c r="EAI53" s="37"/>
      <c r="EAJ53" s="37"/>
      <c r="EAK53" s="37"/>
      <c r="EAL53" s="37"/>
      <c r="EAM53" s="37"/>
      <c r="EAN53" s="37"/>
      <c r="EAO53" s="37"/>
      <c r="EAP53" s="37"/>
      <c r="EAQ53" s="37"/>
      <c r="EAR53" s="37"/>
      <c r="EAS53" s="37"/>
      <c r="EAT53" s="37"/>
      <c r="EAU53" s="37"/>
      <c r="EAV53" s="37"/>
      <c r="EAW53" s="37"/>
      <c r="EAX53" s="37"/>
      <c r="EAY53" s="37"/>
      <c r="EAZ53" s="37"/>
      <c r="EBA53" s="37"/>
      <c r="EBB53" s="37"/>
      <c r="EBC53" s="37"/>
      <c r="EBD53" s="37"/>
      <c r="EBE53" s="37"/>
      <c r="EBF53" s="37"/>
      <c r="EBG53" s="37"/>
      <c r="EBH53" s="37"/>
      <c r="EBI53" s="37"/>
      <c r="EBJ53" s="37"/>
      <c r="EBK53" s="37"/>
      <c r="EBL53" s="37"/>
      <c r="EBM53" s="37"/>
      <c r="EBN53" s="37"/>
      <c r="EBO53" s="37"/>
      <c r="EBP53" s="37"/>
      <c r="EBQ53" s="37"/>
      <c r="EBR53" s="37"/>
      <c r="EBS53" s="37"/>
      <c r="EBT53" s="37"/>
      <c r="EBU53" s="37"/>
      <c r="EBV53" s="37"/>
      <c r="EBW53" s="37"/>
      <c r="EBX53" s="37"/>
      <c r="EBY53" s="37"/>
      <c r="EBZ53" s="37"/>
      <c r="ECA53" s="37"/>
      <c r="ECB53" s="37"/>
      <c r="ECC53" s="37"/>
      <c r="ECD53" s="37"/>
      <c r="ECE53" s="37"/>
      <c r="ECF53" s="37"/>
      <c r="ECG53" s="37"/>
      <c r="ECH53" s="37"/>
      <c r="ECI53" s="37"/>
      <c r="ECJ53" s="37"/>
      <c r="ECK53" s="37"/>
      <c r="ECL53" s="37"/>
      <c r="ECM53" s="37"/>
      <c r="ECN53" s="37"/>
      <c r="ECO53" s="37"/>
      <c r="ECP53" s="37"/>
      <c r="ECQ53" s="37"/>
      <c r="ECR53" s="37"/>
      <c r="ECS53" s="37"/>
      <c r="ECT53" s="37"/>
      <c r="ECU53" s="37"/>
      <c r="ECV53" s="37"/>
      <c r="ECW53" s="37"/>
      <c r="ECX53" s="37"/>
      <c r="ECY53" s="37"/>
      <c r="ECZ53" s="37"/>
      <c r="EDA53" s="37"/>
      <c r="EDB53" s="37"/>
      <c r="EDC53" s="37"/>
      <c r="EDD53" s="37"/>
      <c r="EDE53" s="37"/>
      <c r="EDF53" s="37"/>
      <c r="EDG53" s="37"/>
      <c r="EDH53" s="37"/>
      <c r="EDI53" s="37"/>
      <c r="EDJ53" s="37"/>
      <c r="EDK53" s="37"/>
      <c r="EDL53" s="37"/>
      <c r="EDM53" s="37"/>
      <c r="EDN53" s="37"/>
      <c r="EDO53" s="37"/>
      <c r="EDP53" s="37"/>
      <c r="EDQ53" s="37"/>
      <c r="EDR53" s="37"/>
      <c r="EDS53" s="37"/>
      <c r="EDT53" s="37"/>
      <c r="EDU53" s="37"/>
      <c r="EDV53" s="37"/>
      <c r="EDW53" s="37"/>
      <c r="EDX53" s="37"/>
      <c r="EDY53" s="37"/>
      <c r="EDZ53" s="37"/>
      <c r="EEA53" s="37"/>
      <c r="EEB53" s="37"/>
      <c r="EEC53" s="37"/>
      <c r="EED53" s="37"/>
      <c r="EEE53" s="37"/>
      <c r="EEF53" s="37"/>
      <c r="EEG53" s="37"/>
      <c r="EEH53" s="37"/>
      <c r="EEI53" s="37"/>
      <c r="EEJ53" s="37"/>
      <c r="EEK53" s="37"/>
      <c r="EEL53" s="37"/>
      <c r="EEM53" s="37"/>
      <c r="EEN53" s="37"/>
      <c r="EEO53" s="37"/>
      <c r="EEP53" s="37"/>
      <c r="EEQ53" s="37"/>
      <c r="EER53" s="37"/>
      <c r="EES53" s="37"/>
      <c r="EET53" s="37"/>
      <c r="EEU53" s="37"/>
      <c r="EEV53" s="37"/>
      <c r="EEW53" s="37"/>
      <c r="EEX53" s="37"/>
      <c r="EEY53" s="37"/>
      <c r="EEZ53" s="37"/>
      <c r="EFA53" s="37"/>
      <c r="EFB53" s="37"/>
      <c r="EFC53" s="37"/>
      <c r="EFD53" s="37"/>
      <c r="EFE53" s="37"/>
      <c r="EFF53" s="37"/>
      <c r="EFG53" s="37"/>
      <c r="EFH53" s="37"/>
      <c r="EFI53" s="37"/>
      <c r="EFJ53" s="37"/>
      <c r="EFK53" s="37"/>
      <c r="EFL53" s="37"/>
      <c r="EFM53" s="37"/>
      <c r="EFN53" s="37"/>
      <c r="EFO53" s="37"/>
      <c r="EFP53" s="37"/>
      <c r="EFQ53" s="37"/>
      <c r="EFR53" s="37"/>
      <c r="EFS53" s="37"/>
      <c r="EFT53" s="37"/>
      <c r="EFU53" s="37"/>
      <c r="EFV53" s="37"/>
      <c r="EFW53" s="37"/>
      <c r="EFX53" s="37"/>
      <c r="EFY53" s="37"/>
      <c r="EFZ53" s="37"/>
      <c r="EGA53" s="37"/>
      <c r="EGB53" s="37"/>
      <c r="EGC53" s="37"/>
      <c r="EGD53" s="37"/>
      <c r="EGE53" s="37"/>
      <c r="EGF53" s="37"/>
      <c r="EGG53" s="37"/>
      <c r="EGH53" s="37"/>
      <c r="EGI53" s="37"/>
      <c r="EGJ53" s="37"/>
      <c r="EGK53" s="37"/>
      <c r="EGL53" s="37"/>
      <c r="EGM53" s="37"/>
      <c r="EGN53" s="37"/>
      <c r="EGO53" s="37"/>
      <c r="EGP53" s="37"/>
      <c r="EGQ53" s="37"/>
      <c r="EGR53" s="37"/>
      <c r="EGS53" s="37"/>
      <c r="EGT53" s="37"/>
      <c r="EGU53" s="37"/>
      <c r="EGV53" s="37"/>
      <c r="EGW53" s="37"/>
      <c r="EGX53" s="37"/>
      <c r="EGY53" s="37"/>
      <c r="EGZ53" s="37"/>
      <c r="EHA53" s="37"/>
      <c r="EHB53" s="37"/>
      <c r="EHC53" s="37"/>
      <c r="EHD53" s="37"/>
      <c r="EHE53" s="37"/>
      <c r="EHF53" s="37"/>
      <c r="EHG53" s="37"/>
      <c r="EHH53" s="37"/>
      <c r="EHI53" s="37"/>
      <c r="EHJ53" s="37"/>
      <c r="EHK53" s="37"/>
      <c r="EHL53" s="37"/>
      <c r="EHM53" s="37"/>
      <c r="EHN53" s="37"/>
      <c r="EHO53" s="37"/>
      <c r="EHP53" s="37"/>
      <c r="EHQ53" s="37"/>
      <c r="EHR53" s="37"/>
      <c r="EHS53" s="37"/>
      <c r="EHT53" s="37"/>
      <c r="EHU53" s="37"/>
      <c r="EHV53" s="37"/>
      <c r="EHW53" s="37"/>
      <c r="EHX53" s="37"/>
      <c r="EHY53" s="37"/>
      <c r="EHZ53" s="37"/>
      <c r="EIA53" s="37"/>
      <c r="EIB53" s="37"/>
      <c r="EIC53" s="37"/>
      <c r="EID53" s="37"/>
      <c r="EIE53" s="37"/>
      <c r="EIF53" s="37"/>
      <c r="EIG53" s="37"/>
      <c r="EIH53" s="37"/>
      <c r="EII53" s="37"/>
      <c r="EIJ53" s="37"/>
      <c r="EIK53" s="37"/>
      <c r="EIL53" s="37"/>
      <c r="EIM53" s="37"/>
      <c r="EIN53" s="37"/>
      <c r="EIO53" s="37"/>
      <c r="EIP53" s="37"/>
      <c r="EIQ53" s="37"/>
      <c r="EIR53" s="37"/>
      <c r="EIS53" s="37"/>
      <c r="EIT53" s="37"/>
      <c r="EIU53" s="37"/>
      <c r="EIV53" s="37"/>
      <c r="EIW53" s="37"/>
      <c r="EIX53" s="37"/>
      <c r="EIY53" s="37"/>
      <c r="EIZ53" s="37"/>
      <c r="EJA53" s="37"/>
      <c r="EJB53" s="37"/>
      <c r="EJC53" s="37"/>
      <c r="EJD53" s="37"/>
      <c r="EJE53" s="37"/>
      <c r="EJF53" s="37"/>
      <c r="EJG53" s="37"/>
      <c r="EJH53" s="37"/>
      <c r="EJI53" s="37"/>
      <c r="EJJ53" s="37"/>
      <c r="EJK53" s="37"/>
      <c r="EJL53" s="37"/>
      <c r="EJM53" s="37"/>
      <c r="EJN53" s="37"/>
      <c r="EJO53" s="37"/>
      <c r="EJP53" s="37"/>
      <c r="EJQ53" s="37"/>
      <c r="EJR53" s="37"/>
      <c r="EJS53" s="37"/>
      <c r="EJT53" s="37"/>
      <c r="EJU53" s="37"/>
      <c r="EJV53" s="37"/>
      <c r="EJW53" s="37"/>
      <c r="EJX53" s="37"/>
      <c r="EJY53" s="37"/>
      <c r="EJZ53" s="37"/>
      <c r="EKA53" s="37"/>
      <c r="EKB53" s="37"/>
      <c r="EKC53" s="37"/>
      <c r="EKD53" s="37"/>
      <c r="EKE53" s="37"/>
      <c r="EKF53" s="37"/>
      <c r="EKG53" s="37"/>
      <c r="EKH53" s="37"/>
      <c r="EKI53" s="37"/>
      <c r="EKJ53" s="37"/>
      <c r="EKK53" s="37"/>
      <c r="EKL53" s="37"/>
      <c r="EKM53" s="37"/>
      <c r="EKN53" s="37"/>
      <c r="EKO53" s="37"/>
      <c r="EKP53" s="37"/>
      <c r="EKQ53" s="37"/>
      <c r="EKR53" s="37"/>
      <c r="EKS53" s="37"/>
      <c r="EKT53" s="37"/>
      <c r="EKU53" s="37"/>
      <c r="EKV53" s="37"/>
      <c r="EKW53" s="37"/>
      <c r="EKX53" s="37"/>
      <c r="EKY53" s="37"/>
      <c r="EKZ53" s="37"/>
      <c r="ELA53" s="37"/>
      <c r="ELB53" s="37"/>
      <c r="ELC53" s="37"/>
      <c r="ELD53" s="37"/>
      <c r="ELE53" s="37"/>
      <c r="ELF53" s="37"/>
      <c r="ELG53" s="37"/>
      <c r="ELH53" s="37"/>
      <c r="ELI53" s="37"/>
      <c r="ELJ53" s="37"/>
      <c r="ELK53" s="37"/>
      <c r="ELL53" s="37"/>
      <c r="ELM53" s="37"/>
      <c r="ELN53" s="37"/>
      <c r="ELO53" s="37"/>
      <c r="ELP53" s="37"/>
      <c r="ELQ53" s="37"/>
      <c r="ELR53" s="37"/>
      <c r="ELS53" s="37"/>
      <c r="ELT53" s="37"/>
      <c r="ELU53" s="37"/>
      <c r="ELV53" s="37"/>
      <c r="ELW53" s="37"/>
      <c r="ELX53" s="37"/>
      <c r="ELY53" s="37"/>
      <c r="ELZ53" s="37"/>
      <c r="EMA53" s="37"/>
      <c r="EMB53" s="37"/>
      <c r="EMC53" s="37"/>
      <c r="EMD53" s="37"/>
      <c r="EME53" s="37"/>
      <c r="EMF53" s="37"/>
      <c r="EMG53" s="37"/>
      <c r="EMH53" s="37"/>
      <c r="EMI53" s="37"/>
      <c r="EMJ53" s="37"/>
      <c r="EMK53" s="37"/>
      <c r="EML53" s="37"/>
      <c r="EMM53" s="37"/>
      <c r="EMN53" s="37"/>
      <c r="EMO53" s="37"/>
      <c r="EMP53" s="37"/>
      <c r="EMQ53" s="37"/>
      <c r="EMR53" s="37"/>
      <c r="EMS53" s="37"/>
      <c r="EMT53" s="37"/>
      <c r="EMU53" s="37"/>
      <c r="EMV53" s="37"/>
      <c r="EMW53" s="37"/>
      <c r="EMX53" s="37"/>
      <c r="EMY53" s="37"/>
      <c r="EMZ53" s="37"/>
      <c r="ENA53" s="37"/>
      <c r="ENB53" s="37"/>
      <c r="ENC53" s="37"/>
      <c r="END53" s="37"/>
      <c r="ENE53" s="37"/>
      <c r="ENF53" s="37"/>
      <c r="ENG53" s="37"/>
      <c r="ENH53" s="37"/>
      <c r="ENI53" s="37"/>
      <c r="ENJ53" s="37"/>
      <c r="ENK53" s="37"/>
      <c r="ENL53" s="37"/>
      <c r="ENM53" s="37"/>
      <c r="ENN53" s="37"/>
      <c r="ENO53" s="37"/>
      <c r="ENP53" s="37"/>
      <c r="ENQ53" s="37"/>
      <c r="ENR53" s="37"/>
      <c r="ENS53" s="37"/>
      <c r="ENT53" s="37"/>
      <c r="ENU53" s="37"/>
      <c r="ENV53" s="37"/>
      <c r="ENW53" s="37"/>
      <c r="ENX53" s="37"/>
      <c r="ENY53" s="37"/>
      <c r="ENZ53" s="37"/>
      <c r="EOA53" s="37"/>
      <c r="EOB53" s="37"/>
      <c r="EOC53" s="37"/>
      <c r="EOD53" s="37"/>
      <c r="EOE53" s="37"/>
      <c r="EOF53" s="37"/>
      <c r="EOG53" s="37"/>
      <c r="EOH53" s="37"/>
      <c r="EOI53" s="37"/>
      <c r="EOJ53" s="37"/>
      <c r="EOK53" s="37"/>
      <c r="EOL53" s="37"/>
      <c r="EOM53" s="37"/>
      <c r="EON53" s="37"/>
      <c r="EOO53" s="37"/>
      <c r="EOP53" s="37"/>
      <c r="EOQ53" s="37"/>
      <c r="EOR53" s="37"/>
      <c r="EOS53" s="37"/>
      <c r="EOT53" s="37"/>
      <c r="EOU53" s="37"/>
      <c r="EOV53" s="37"/>
      <c r="EOW53" s="37"/>
      <c r="EOX53" s="37"/>
      <c r="EOY53" s="37"/>
      <c r="EOZ53" s="37"/>
      <c r="EPA53" s="37"/>
      <c r="EPB53" s="37"/>
      <c r="EPC53" s="37"/>
      <c r="EPD53" s="37"/>
      <c r="EPE53" s="37"/>
      <c r="EPF53" s="37"/>
      <c r="EPG53" s="37"/>
      <c r="EPH53" s="37"/>
      <c r="EPI53" s="37"/>
      <c r="EPJ53" s="37"/>
      <c r="EPK53" s="37"/>
      <c r="EPL53" s="37"/>
      <c r="EPM53" s="37"/>
      <c r="EPN53" s="37"/>
      <c r="EPO53" s="37"/>
      <c r="EPP53" s="37"/>
      <c r="EPQ53" s="37"/>
      <c r="EPR53" s="37"/>
      <c r="EPS53" s="37"/>
      <c r="EPT53" s="37"/>
      <c r="EPU53" s="37"/>
      <c r="EPV53" s="37"/>
      <c r="EPW53" s="37"/>
      <c r="EPX53" s="37"/>
      <c r="EPY53" s="37"/>
      <c r="EPZ53" s="37"/>
      <c r="EQA53" s="37"/>
      <c r="EQB53" s="37"/>
      <c r="EQC53" s="37"/>
      <c r="EQD53" s="37"/>
      <c r="EQE53" s="37"/>
      <c r="EQF53" s="37"/>
      <c r="EQG53" s="37"/>
      <c r="EQH53" s="37"/>
      <c r="EQI53" s="37"/>
      <c r="EQJ53" s="37"/>
      <c r="EQK53" s="37"/>
      <c r="EQL53" s="37"/>
      <c r="EQM53" s="37"/>
      <c r="EQN53" s="37"/>
      <c r="EQO53" s="37"/>
      <c r="EQP53" s="37"/>
      <c r="EQQ53" s="37"/>
      <c r="EQR53" s="37"/>
      <c r="EQS53" s="37"/>
      <c r="EQT53" s="37"/>
      <c r="EQU53" s="37"/>
      <c r="EQV53" s="37"/>
      <c r="EQW53" s="37"/>
      <c r="EQX53" s="37"/>
      <c r="EQY53" s="37"/>
      <c r="EQZ53" s="37"/>
      <c r="ERA53" s="37"/>
      <c r="ERB53" s="37"/>
      <c r="ERC53" s="37"/>
      <c r="ERD53" s="37"/>
      <c r="ERE53" s="37"/>
      <c r="ERF53" s="37"/>
      <c r="ERG53" s="37"/>
      <c r="ERH53" s="37"/>
      <c r="ERI53" s="37"/>
      <c r="ERJ53" s="37"/>
      <c r="ERK53" s="37"/>
      <c r="ERL53" s="37"/>
      <c r="ERM53" s="37"/>
      <c r="ERN53" s="37"/>
      <c r="ERO53" s="37"/>
      <c r="ERP53" s="37"/>
      <c r="ERQ53" s="37"/>
      <c r="ERR53" s="37"/>
      <c r="ERS53" s="37"/>
      <c r="ERT53" s="37"/>
      <c r="ERU53" s="37"/>
      <c r="ERV53" s="37"/>
      <c r="ERW53" s="37"/>
      <c r="ERX53" s="37"/>
      <c r="ERY53" s="37"/>
      <c r="ERZ53" s="37"/>
      <c r="ESA53" s="37"/>
      <c r="ESB53" s="37"/>
      <c r="ESC53" s="37"/>
      <c r="ESD53" s="37"/>
      <c r="ESE53" s="37"/>
      <c r="ESF53" s="37"/>
      <c r="ESG53" s="37"/>
      <c r="ESH53" s="37"/>
      <c r="ESI53" s="37"/>
      <c r="ESJ53" s="37"/>
      <c r="ESK53" s="37"/>
      <c r="ESL53" s="37"/>
      <c r="ESM53" s="37"/>
      <c r="ESN53" s="37"/>
      <c r="ESO53" s="37"/>
      <c r="ESP53" s="37"/>
      <c r="ESQ53" s="37"/>
      <c r="ESR53" s="37"/>
      <c r="ESS53" s="37"/>
      <c r="EST53" s="37"/>
      <c r="ESU53" s="37"/>
      <c r="ESV53" s="37"/>
      <c r="ESW53" s="37"/>
      <c r="ESX53" s="37"/>
      <c r="ESY53" s="37"/>
      <c r="ESZ53" s="37"/>
      <c r="ETA53" s="37"/>
      <c r="ETB53" s="37"/>
      <c r="ETC53" s="37"/>
      <c r="ETD53" s="37"/>
      <c r="ETE53" s="37"/>
      <c r="ETF53" s="37"/>
      <c r="ETG53" s="37"/>
      <c r="ETH53" s="37"/>
      <c r="ETI53" s="37"/>
      <c r="ETJ53" s="37"/>
      <c r="ETK53" s="37"/>
      <c r="ETL53" s="37"/>
      <c r="ETM53" s="37"/>
      <c r="ETN53" s="37"/>
      <c r="ETO53" s="37"/>
      <c r="ETP53" s="37"/>
      <c r="ETQ53" s="37"/>
      <c r="ETR53" s="37"/>
      <c r="ETS53" s="37"/>
      <c r="ETT53" s="37"/>
      <c r="ETU53" s="37"/>
      <c r="ETV53" s="37"/>
      <c r="ETW53" s="37"/>
      <c r="ETX53" s="37"/>
      <c r="ETY53" s="37"/>
      <c r="ETZ53" s="37"/>
      <c r="EUA53" s="37"/>
      <c r="EUB53" s="37"/>
      <c r="EUC53" s="37"/>
      <c r="EUD53" s="37"/>
      <c r="EUE53" s="37"/>
      <c r="EUF53" s="37"/>
      <c r="EUG53" s="37"/>
      <c r="EUH53" s="37"/>
      <c r="EUI53" s="37"/>
      <c r="EUJ53" s="37"/>
      <c r="EUK53" s="37"/>
      <c r="EUL53" s="37"/>
      <c r="EUM53" s="37"/>
      <c r="EUN53" s="37"/>
      <c r="EUO53" s="37"/>
      <c r="EUP53" s="37"/>
      <c r="EUQ53" s="37"/>
      <c r="EUR53" s="37"/>
      <c r="EUS53" s="37"/>
      <c r="EUT53" s="37"/>
      <c r="EUU53" s="37"/>
      <c r="EUV53" s="37"/>
      <c r="EUW53" s="37"/>
      <c r="EUX53" s="37"/>
      <c r="EUY53" s="37"/>
      <c r="EUZ53" s="37"/>
      <c r="EVA53" s="37"/>
      <c r="EVB53" s="37"/>
      <c r="EVC53" s="37"/>
      <c r="EVD53" s="37"/>
      <c r="EVE53" s="37"/>
      <c r="EVF53" s="37"/>
      <c r="EVG53" s="37"/>
      <c r="EVH53" s="37"/>
      <c r="EVI53" s="37"/>
      <c r="EVJ53" s="37"/>
      <c r="EVK53" s="37"/>
      <c r="EVL53" s="37"/>
      <c r="EVM53" s="37"/>
      <c r="EVN53" s="37"/>
      <c r="EVO53" s="37"/>
      <c r="EVP53" s="37"/>
      <c r="EVQ53" s="37"/>
      <c r="EVR53" s="37"/>
      <c r="EVS53" s="37"/>
      <c r="EVT53" s="37"/>
      <c r="EVU53" s="37"/>
      <c r="EVV53" s="37"/>
      <c r="EVW53" s="37"/>
      <c r="EVX53" s="37"/>
      <c r="EVY53" s="37"/>
      <c r="EVZ53" s="37"/>
      <c r="EWA53" s="37"/>
      <c r="EWB53" s="37"/>
      <c r="EWC53" s="37"/>
      <c r="EWD53" s="37"/>
      <c r="EWE53" s="37"/>
      <c r="EWF53" s="37"/>
      <c r="EWG53" s="37"/>
      <c r="EWH53" s="37"/>
      <c r="EWI53" s="37"/>
      <c r="EWJ53" s="37"/>
      <c r="EWK53" s="37"/>
      <c r="EWL53" s="37"/>
      <c r="EWM53" s="37"/>
      <c r="EWN53" s="37"/>
      <c r="EWO53" s="37"/>
      <c r="EWP53" s="37"/>
      <c r="EWQ53" s="37"/>
      <c r="EWR53" s="37"/>
      <c r="EWS53" s="37"/>
      <c r="EWT53" s="37"/>
      <c r="EWU53" s="37"/>
      <c r="EWV53" s="37"/>
      <c r="EWW53" s="37"/>
      <c r="EWX53" s="37"/>
      <c r="EWY53" s="37"/>
      <c r="EWZ53" s="37"/>
      <c r="EXA53" s="37"/>
      <c r="EXB53" s="37"/>
      <c r="EXC53" s="37"/>
      <c r="EXD53" s="37"/>
      <c r="EXE53" s="37"/>
      <c r="EXF53" s="37"/>
      <c r="EXG53" s="37"/>
      <c r="EXH53" s="37"/>
      <c r="EXI53" s="37"/>
      <c r="EXJ53" s="37"/>
      <c r="EXK53" s="37"/>
      <c r="EXL53" s="37"/>
      <c r="EXM53" s="37"/>
      <c r="EXN53" s="37"/>
      <c r="EXO53" s="37"/>
      <c r="EXP53" s="37"/>
      <c r="EXQ53" s="37"/>
      <c r="EXR53" s="37"/>
      <c r="EXS53" s="37"/>
      <c r="EXT53" s="37"/>
      <c r="EXU53" s="37"/>
      <c r="EXV53" s="37"/>
      <c r="EXW53" s="37"/>
      <c r="EXX53" s="37"/>
      <c r="EXY53" s="37"/>
      <c r="EXZ53" s="37"/>
      <c r="EYA53" s="37"/>
      <c r="EYB53" s="37"/>
      <c r="EYC53" s="37"/>
      <c r="EYD53" s="37"/>
      <c r="EYE53" s="37"/>
      <c r="EYF53" s="37"/>
      <c r="EYG53" s="37"/>
      <c r="EYH53" s="37"/>
      <c r="EYI53" s="37"/>
      <c r="EYJ53" s="37"/>
      <c r="EYK53" s="37"/>
      <c r="EYL53" s="37"/>
      <c r="EYM53" s="37"/>
      <c r="EYN53" s="37"/>
      <c r="EYO53" s="37"/>
      <c r="EYP53" s="37"/>
      <c r="EYQ53" s="37"/>
      <c r="EYR53" s="37"/>
      <c r="EYS53" s="37"/>
      <c r="EYT53" s="37"/>
      <c r="EYU53" s="37"/>
      <c r="EYV53" s="37"/>
      <c r="EYW53" s="37"/>
      <c r="EYX53" s="37"/>
      <c r="EYY53" s="37"/>
      <c r="EYZ53" s="37"/>
      <c r="EZA53" s="37"/>
      <c r="EZB53" s="37"/>
      <c r="EZC53" s="37"/>
      <c r="EZD53" s="37"/>
      <c r="EZE53" s="37"/>
      <c r="EZF53" s="37"/>
      <c r="EZG53" s="37"/>
      <c r="EZH53" s="37"/>
      <c r="EZI53" s="37"/>
      <c r="EZJ53" s="37"/>
      <c r="EZK53" s="37"/>
      <c r="EZL53" s="37"/>
      <c r="EZM53" s="37"/>
      <c r="EZN53" s="37"/>
      <c r="EZO53" s="37"/>
      <c r="EZP53" s="37"/>
      <c r="EZQ53" s="37"/>
      <c r="EZR53" s="37"/>
      <c r="EZS53" s="37"/>
      <c r="EZT53" s="37"/>
      <c r="EZU53" s="37"/>
      <c r="EZV53" s="37"/>
      <c r="EZW53" s="37"/>
      <c r="EZX53" s="37"/>
      <c r="EZY53" s="37"/>
      <c r="EZZ53" s="37"/>
      <c r="FAA53" s="37"/>
      <c r="FAB53" s="37"/>
      <c r="FAC53" s="37"/>
      <c r="FAD53" s="37"/>
      <c r="FAE53" s="37"/>
      <c r="FAF53" s="37"/>
      <c r="FAG53" s="37"/>
      <c r="FAH53" s="37"/>
      <c r="FAI53" s="37"/>
      <c r="FAJ53" s="37"/>
      <c r="FAK53" s="37"/>
      <c r="FAL53" s="37"/>
      <c r="FAM53" s="37"/>
      <c r="FAN53" s="37"/>
      <c r="FAO53" s="37"/>
      <c r="FAP53" s="37"/>
      <c r="FAQ53" s="37"/>
      <c r="FAR53" s="37"/>
      <c r="FAS53" s="37"/>
      <c r="FAT53" s="37"/>
      <c r="FAU53" s="37"/>
      <c r="FAV53" s="37"/>
      <c r="FAW53" s="37"/>
      <c r="FAX53" s="37"/>
      <c r="FAY53" s="37"/>
      <c r="FAZ53" s="37"/>
      <c r="FBA53" s="37"/>
      <c r="FBB53" s="37"/>
      <c r="FBC53" s="37"/>
      <c r="FBD53" s="37"/>
      <c r="FBE53" s="37"/>
      <c r="FBF53" s="37"/>
      <c r="FBG53" s="37"/>
      <c r="FBH53" s="37"/>
      <c r="FBI53" s="37"/>
      <c r="FBJ53" s="37"/>
      <c r="FBK53" s="37"/>
      <c r="FBL53" s="37"/>
      <c r="FBM53" s="37"/>
      <c r="FBN53" s="37"/>
      <c r="FBO53" s="37"/>
      <c r="FBP53" s="37"/>
      <c r="FBQ53" s="37"/>
      <c r="FBR53" s="37"/>
      <c r="FBS53" s="37"/>
      <c r="FBT53" s="37"/>
      <c r="FBU53" s="37"/>
      <c r="FBV53" s="37"/>
      <c r="FBW53" s="37"/>
      <c r="FBX53" s="37"/>
      <c r="FBY53" s="37"/>
      <c r="FBZ53" s="37"/>
      <c r="FCA53" s="37"/>
      <c r="FCB53" s="37"/>
      <c r="FCC53" s="37"/>
      <c r="FCD53" s="37"/>
      <c r="FCE53" s="37"/>
      <c r="FCF53" s="37"/>
      <c r="FCG53" s="37"/>
      <c r="FCH53" s="37"/>
      <c r="FCI53" s="37"/>
      <c r="FCJ53" s="37"/>
      <c r="FCK53" s="37"/>
      <c r="FCL53" s="37"/>
      <c r="FCM53" s="37"/>
      <c r="FCN53" s="37"/>
      <c r="FCO53" s="37"/>
      <c r="FCP53" s="37"/>
      <c r="FCQ53" s="37"/>
      <c r="FCR53" s="37"/>
      <c r="FCS53" s="37"/>
      <c r="FCT53" s="37"/>
      <c r="FCU53" s="37"/>
      <c r="FCV53" s="37"/>
      <c r="FCW53" s="37"/>
      <c r="FCX53" s="37"/>
      <c r="FCY53" s="37"/>
      <c r="FCZ53" s="37"/>
      <c r="FDA53" s="37"/>
      <c r="FDB53" s="37"/>
      <c r="FDC53" s="37"/>
      <c r="FDD53" s="37"/>
      <c r="FDE53" s="37"/>
      <c r="FDF53" s="37"/>
      <c r="FDG53" s="37"/>
      <c r="FDH53" s="37"/>
      <c r="FDI53" s="37"/>
      <c r="FDJ53" s="37"/>
      <c r="FDK53" s="37"/>
      <c r="FDL53" s="37"/>
      <c r="FDM53" s="37"/>
      <c r="FDN53" s="37"/>
      <c r="FDO53" s="37"/>
      <c r="FDP53" s="37"/>
      <c r="FDQ53" s="37"/>
      <c r="FDR53" s="37"/>
      <c r="FDS53" s="37"/>
      <c r="FDT53" s="37"/>
      <c r="FDU53" s="37"/>
      <c r="FDV53" s="37"/>
      <c r="FDW53" s="37"/>
      <c r="FDX53" s="37"/>
      <c r="FDY53" s="37"/>
      <c r="FDZ53" s="37"/>
      <c r="FEA53" s="37"/>
      <c r="FEB53" s="37"/>
      <c r="FEC53" s="37"/>
      <c r="FED53" s="37"/>
      <c r="FEE53" s="37"/>
      <c r="FEF53" s="37"/>
      <c r="FEG53" s="37"/>
      <c r="FEH53" s="37"/>
      <c r="FEI53" s="37"/>
      <c r="FEJ53" s="37"/>
      <c r="FEK53" s="37"/>
      <c r="FEL53" s="37"/>
      <c r="FEM53" s="37"/>
      <c r="FEN53" s="37"/>
      <c r="FEO53" s="37"/>
      <c r="FEP53" s="37"/>
      <c r="FEQ53" s="37"/>
      <c r="FER53" s="37"/>
      <c r="FES53" s="37"/>
      <c r="FET53" s="37"/>
      <c r="FEU53" s="37"/>
      <c r="FEV53" s="37"/>
      <c r="FEW53" s="37"/>
      <c r="FEX53" s="37"/>
      <c r="FEY53" s="37"/>
      <c r="FEZ53" s="37"/>
      <c r="FFA53" s="37"/>
      <c r="FFB53" s="37"/>
      <c r="FFC53" s="37"/>
      <c r="FFD53" s="37"/>
      <c r="FFE53" s="37"/>
      <c r="FFF53" s="37"/>
      <c r="FFG53" s="37"/>
      <c r="FFH53" s="37"/>
      <c r="FFI53" s="37"/>
      <c r="FFJ53" s="37"/>
      <c r="FFK53" s="37"/>
      <c r="FFL53" s="37"/>
      <c r="FFM53" s="37"/>
      <c r="FFN53" s="37"/>
      <c r="FFO53" s="37"/>
      <c r="FFP53" s="37"/>
      <c r="FFQ53" s="37"/>
      <c r="FFR53" s="37"/>
      <c r="FFS53" s="37"/>
      <c r="FFT53" s="37"/>
      <c r="FFU53" s="37"/>
      <c r="FFV53" s="37"/>
      <c r="FFW53" s="37"/>
      <c r="FFX53" s="37"/>
      <c r="FFY53" s="37"/>
      <c r="FFZ53" s="37"/>
      <c r="FGA53" s="37"/>
      <c r="FGB53" s="37"/>
      <c r="FGC53" s="37"/>
      <c r="FGD53" s="37"/>
      <c r="FGE53" s="37"/>
      <c r="FGF53" s="37"/>
      <c r="FGG53" s="37"/>
      <c r="FGH53" s="37"/>
      <c r="FGI53" s="37"/>
      <c r="FGJ53" s="37"/>
      <c r="FGK53" s="37"/>
      <c r="FGL53" s="37"/>
      <c r="FGM53" s="37"/>
      <c r="FGN53" s="37"/>
      <c r="FGO53" s="37"/>
      <c r="FGP53" s="37"/>
      <c r="FGQ53" s="37"/>
      <c r="FGR53" s="37"/>
      <c r="FGS53" s="37"/>
      <c r="FGT53" s="37"/>
      <c r="FGU53" s="37"/>
      <c r="FGV53" s="37"/>
      <c r="FGW53" s="37"/>
      <c r="FGX53" s="37"/>
      <c r="FGY53" s="37"/>
      <c r="FGZ53" s="37"/>
      <c r="FHA53" s="37"/>
      <c r="FHB53" s="37"/>
      <c r="FHC53" s="37"/>
      <c r="FHD53" s="37"/>
      <c r="FHE53" s="37"/>
      <c r="FHF53" s="37"/>
      <c r="FHG53" s="37"/>
      <c r="FHH53" s="37"/>
      <c r="FHI53" s="37"/>
      <c r="FHJ53" s="37"/>
      <c r="FHK53" s="37"/>
      <c r="FHL53" s="37"/>
      <c r="FHM53" s="37"/>
      <c r="FHN53" s="37"/>
      <c r="FHO53" s="37"/>
      <c r="FHP53" s="37"/>
      <c r="FHQ53" s="37"/>
      <c r="FHR53" s="37"/>
      <c r="FHS53" s="37"/>
      <c r="FHT53" s="37"/>
      <c r="FHU53" s="37"/>
      <c r="FHV53" s="37"/>
      <c r="FHW53" s="37"/>
      <c r="FHX53" s="37"/>
      <c r="FHY53" s="37"/>
      <c r="FHZ53" s="37"/>
      <c r="FIA53" s="37"/>
      <c r="FIB53" s="37"/>
      <c r="FIC53" s="37"/>
      <c r="FID53" s="37"/>
      <c r="FIE53" s="37"/>
      <c r="FIF53" s="37"/>
      <c r="FIG53" s="37"/>
      <c r="FIH53" s="37"/>
      <c r="FII53" s="37"/>
      <c r="FIJ53" s="37"/>
      <c r="FIK53" s="37"/>
      <c r="FIL53" s="37"/>
      <c r="FIM53" s="37"/>
      <c r="FIN53" s="37"/>
      <c r="FIO53" s="37"/>
      <c r="FIP53" s="37"/>
      <c r="FIQ53" s="37"/>
      <c r="FIR53" s="37"/>
      <c r="FIS53" s="37"/>
      <c r="FIT53" s="37"/>
      <c r="FIU53" s="37"/>
      <c r="FIV53" s="37"/>
      <c r="FIW53" s="37"/>
      <c r="FIX53" s="37"/>
      <c r="FIY53" s="37"/>
      <c r="FIZ53" s="37"/>
      <c r="FJA53" s="37"/>
      <c r="FJB53" s="37"/>
      <c r="FJC53" s="37"/>
      <c r="FJD53" s="37"/>
      <c r="FJE53" s="37"/>
      <c r="FJF53" s="37"/>
      <c r="FJG53" s="37"/>
      <c r="FJH53" s="37"/>
      <c r="FJI53" s="37"/>
      <c r="FJJ53" s="37"/>
      <c r="FJK53" s="37"/>
      <c r="FJL53" s="37"/>
      <c r="FJM53" s="37"/>
      <c r="FJN53" s="37"/>
      <c r="FJO53" s="37"/>
      <c r="FJP53" s="37"/>
      <c r="FJQ53" s="37"/>
      <c r="FJR53" s="37"/>
      <c r="FJS53" s="37"/>
      <c r="FJT53" s="37"/>
      <c r="FJU53" s="37"/>
      <c r="FJV53" s="37"/>
      <c r="FJW53" s="37"/>
      <c r="FJX53" s="37"/>
      <c r="FJY53" s="37"/>
      <c r="FJZ53" s="37"/>
      <c r="FKA53" s="37"/>
      <c r="FKB53" s="37"/>
      <c r="FKC53" s="37"/>
      <c r="FKD53" s="37"/>
      <c r="FKE53" s="37"/>
      <c r="FKF53" s="37"/>
      <c r="FKG53" s="37"/>
      <c r="FKH53" s="37"/>
      <c r="FKI53" s="37"/>
      <c r="FKJ53" s="37"/>
      <c r="FKK53" s="37"/>
      <c r="FKL53" s="37"/>
      <c r="FKM53" s="37"/>
      <c r="FKN53" s="37"/>
      <c r="FKO53" s="37"/>
      <c r="FKP53" s="37"/>
      <c r="FKQ53" s="37"/>
      <c r="FKR53" s="37"/>
      <c r="FKS53" s="37"/>
      <c r="FKT53" s="37"/>
      <c r="FKU53" s="37"/>
      <c r="FKV53" s="37"/>
      <c r="FKW53" s="37"/>
      <c r="FKX53" s="37"/>
      <c r="FKY53" s="37"/>
      <c r="FKZ53" s="37"/>
      <c r="FLA53" s="37"/>
      <c r="FLB53" s="37"/>
      <c r="FLC53" s="37"/>
      <c r="FLD53" s="37"/>
      <c r="FLE53" s="37"/>
      <c r="FLF53" s="37"/>
      <c r="FLG53" s="37"/>
      <c r="FLH53" s="37"/>
      <c r="FLI53" s="37"/>
      <c r="FLJ53" s="37"/>
      <c r="FLK53" s="37"/>
      <c r="FLL53" s="37"/>
      <c r="FLM53" s="37"/>
      <c r="FLN53" s="37"/>
      <c r="FLO53" s="37"/>
      <c r="FLP53" s="37"/>
      <c r="FLQ53" s="37"/>
      <c r="FLR53" s="37"/>
      <c r="FLS53" s="37"/>
      <c r="FLT53" s="37"/>
      <c r="FLU53" s="37"/>
      <c r="FLV53" s="37"/>
      <c r="FLW53" s="37"/>
      <c r="FLX53" s="37"/>
      <c r="FLY53" s="37"/>
      <c r="FLZ53" s="37"/>
      <c r="FMA53" s="37"/>
      <c r="FMB53" s="37"/>
      <c r="FMC53" s="37"/>
      <c r="FMD53" s="37"/>
      <c r="FME53" s="37"/>
      <c r="FMF53" s="37"/>
      <c r="FMG53" s="37"/>
      <c r="FMH53" s="37"/>
      <c r="FMI53" s="37"/>
      <c r="FMJ53" s="37"/>
      <c r="FMK53" s="37"/>
      <c r="FML53" s="37"/>
      <c r="FMM53" s="37"/>
      <c r="FMN53" s="37"/>
      <c r="FMO53" s="37"/>
      <c r="FMP53" s="37"/>
      <c r="FMQ53" s="37"/>
      <c r="FMR53" s="37"/>
      <c r="FMS53" s="37"/>
      <c r="FMT53" s="37"/>
      <c r="FMU53" s="37"/>
      <c r="FMV53" s="37"/>
      <c r="FMW53" s="37"/>
      <c r="FMX53" s="37"/>
      <c r="FMY53" s="37"/>
      <c r="FMZ53" s="37"/>
      <c r="FNA53" s="37"/>
      <c r="FNB53" s="37"/>
      <c r="FNC53" s="37"/>
      <c r="FND53" s="37"/>
      <c r="FNE53" s="37"/>
      <c r="FNF53" s="37"/>
      <c r="FNG53" s="37"/>
      <c r="FNH53" s="37"/>
      <c r="FNI53" s="37"/>
      <c r="FNJ53" s="37"/>
      <c r="FNK53" s="37"/>
      <c r="FNL53" s="37"/>
      <c r="FNM53" s="37"/>
      <c r="FNN53" s="37"/>
      <c r="FNO53" s="37"/>
      <c r="FNP53" s="37"/>
      <c r="FNQ53" s="37"/>
      <c r="FNR53" s="37"/>
      <c r="FNS53" s="37"/>
      <c r="FNT53" s="37"/>
      <c r="FNU53" s="37"/>
      <c r="FNV53" s="37"/>
      <c r="FNW53" s="37"/>
      <c r="FNX53" s="37"/>
      <c r="FNY53" s="37"/>
      <c r="FNZ53" s="37"/>
      <c r="FOA53" s="37"/>
      <c r="FOB53" s="37"/>
      <c r="FOC53" s="37"/>
      <c r="FOD53" s="37"/>
      <c r="FOE53" s="37"/>
      <c r="FOF53" s="37"/>
      <c r="FOG53" s="37"/>
      <c r="FOH53" s="37"/>
      <c r="FOI53" s="37"/>
      <c r="FOJ53" s="37"/>
      <c r="FOK53" s="37"/>
      <c r="FOL53" s="37"/>
      <c r="FOM53" s="37"/>
      <c r="FON53" s="37"/>
      <c r="FOO53" s="37"/>
      <c r="FOP53" s="37"/>
      <c r="FOQ53" s="37"/>
      <c r="FOR53" s="37"/>
      <c r="FOS53" s="37"/>
      <c r="FOT53" s="37"/>
      <c r="FOU53" s="37"/>
      <c r="FOV53" s="37"/>
      <c r="FOW53" s="37"/>
      <c r="FOX53" s="37"/>
      <c r="FOY53" s="37"/>
      <c r="FOZ53" s="37"/>
      <c r="FPA53" s="37"/>
      <c r="FPB53" s="37"/>
      <c r="FPC53" s="37"/>
      <c r="FPD53" s="37"/>
      <c r="FPE53" s="37"/>
      <c r="FPF53" s="37"/>
      <c r="FPG53" s="37"/>
      <c r="FPH53" s="37"/>
      <c r="FPI53" s="37"/>
      <c r="FPJ53" s="37"/>
      <c r="FPK53" s="37"/>
      <c r="FPL53" s="37"/>
      <c r="FPM53" s="37"/>
      <c r="FPN53" s="37"/>
      <c r="FPO53" s="37"/>
      <c r="FPP53" s="37"/>
      <c r="FPQ53" s="37"/>
      <c r="FPR53" s="37"/>
      <c r="FPS53" s="37"/>
      <c r="FPT53" s="37"/>
      <c r="FPU53" s="37"/>
      <c r="FPV53" s="37"/>
      <c r="FPW53" s="37"/>
      <c r="FPX53" s="37"/>
      <c r="FPY53" s="37"/>
      <c r="FPZ53" s="37"/>
      <c r="FQA53" s="37"/>
      <c r="FQB53" s="37"/>
      <c r="FQC53" s="37"/>
      <c r="FQD53" s="37"/>
      <c r="FQE53" s="37"/>
      <c r="FQF53" s="37"/>
      <c r="FQG53" s="37"/>
      <c r="FQH53" s="37"/>
      <c r="FQI53" s="37"/>
      <c r="FQJ53" s="37"/>
      <c r="FQK53" s="37"/>
      <c r="FQL53" s="37"/>
      <c r="FQM53" s="37"/>
      <c r="FQN53" s="37"/>
      <c r="FQO53" s="37"/>
      <c r="FQP53" s="37"/>
      <c r="FQQ53" s="37"/>
      <c r="FQR53" s="37"/>
      <c r="FQS53" s="37"/>
      <c r="FQT53" s="37"/>
      <c r="FQU53" s="37"/>
      <c r="FQV53" s="37"/>
      <c r="FQW53" s="37"/>
      <c r="FQX53" s="37"/>
      <c r="FQY53" s="37"/>
      <c r="FQZ53" s="37"/>
      <c r="FRA53" s="37"/>
      <c r="FRB53" s="37"/>
      <c r="FRC53" s="37"/>
      <c r="FRD53" s="37"/>
      <c r="FRE53" s="37"/>
      <c r="FRF53" s="37"/>
      <c r="FRG53" s="37"/>
      <c r="FRH53" s="37"/>
      <c r="FRI53" s="37"/>
      <c r="FRJ53" s="37"/>
      <c r="FRK53" s="37"/>
      <c r="FRL53" s="37"/>
      <c r="FRM53" s="37"/>
      <c r="FRN53" s="37"/>
      <c r="FRO53" s="37"/>
      <c r="FRP53" s="37"/>
      <c r="FRQ53" s="37"/>
      <c r="FRR53" s="37"/>
      <c r="FRS53" s="37"/>
      <c r="FRT53" s="37"/>
      <c r="FRU53" s="37"/>
      <c r="FRV53" s="37"/>
      <c r="FRW53" s="37"/>
      <c r="FRX53" s="37"/>
      <c r="FRY53" s="37"/>
      <c r="FRZ53" s="37"/>
      <c r="FSA53" s="37"/>
      <c r="FSB53" s="37"/>
      <c r="FSC53" s="37"/>
      <c r="FSD53" s="37"/>
      <c r="FSE53" s="37"/>
      <c r="FSF53" s="37"/>
      <c r="FSG53" s="37"/>
      <c r="FSH53" s="37"/>
      <c r="FSI53" s="37"/>
      <c r="FSJ53" s="37"/>
      <c r="FSK53" s="37"/>
      <c r="FSL53" s="37"/>
      <c r="FSM53" s="37"/>
      <c r="FSN53" s="37"/>
      <c r="FSO53" s="37"/>
      <c r="FSP53" s="37"/>
      <c r="FSQ53" s="37"/>
      <c r="FSR53" s="37"/>
      <c r="FSS53" s="37"/>
      <c r="FST53" s="37"/>
      <c r="FSU53" s="37"/>
      <c r="FSV53" s="37"/>
      <c r="FSW53" s="37"/>
      <c r="FSX53" s="37"/>
      <c r="FSY53" s="37"/>
      <c r="FSZ53" s="37"/>
      <c r="FTA53" s="37"/>
      <c r="FTB53" s="37"/>
      <c r="FTC53" s="37"/>
      <c r="FTD53" s="37"/>
      <c r="FTE53" s="37"/>
      <c r="FTF53" s="37"/>
      <c r="FTG53" s="37"/>
      <c r="FTH53" s="37"/>
      <c r="FTI53" s="37"/>
      <c r="FTJ53" s="37"/>
      <c r="FTK53" s="37"/>
      <c r="FTL53" s="37"/>
      <c r="FTM53" s="37"/>
      <c r="FTN53" s="37"/>
      <c r="FTO53" s="37"/>
      <c r="FTP53" s="37"/>
      <c r="FTQ53" s="37"/>
      <c r="FTR53" s="37"/>
      <c r="FTS53" s="37"/>
      <c r="FTT53" s="37"/>
      <c r="FTU53" s="37"/>
      <c r="FTV53" s="37"/>
      <c r="FTW53" s="37"/>
      <c r="FTX53" s="37"/>
      <c r="FTY53" s="37"/>
      <c r="FTZ53" s="37"/>
      <c r="FUA53" s="37"/>
      <c r="FUB53" s="37"/>
      <c r="FUC53" s="37"/>
      <c r="FUD53" s="37"/>
      <c r="FUE53" s="37"/>
      <c r="FUF53" s="37"/>
      <c r="FUG53" s="37"/>
      <c r="FUH53" s="37"/>
      <c r="FUI53" s="37"/>
      <c r="FUJ53" s="37"/>
      <c r="FUK53" s="37"/>
      <c r="FUL53" s="37"/>
      <c r="FUM53" s="37"/>
      <c r="FUN53" s="37"/>
      <c r="FUO53" s="37"/>
      <c r="FUP53" s="37"/>
      <c r="FUQ53" s="37"/>
      <c r="FUR53" s="37"/>
      <c r="FUS53" s="37"/>
      <c r="FUT53" s="37"/>
      <c r="FUU53" s="37"/>
      <c r="FUV53" s="37"/>
      <c r="FUW53" s="37"/>
      <c r="FUX53" s="37"/>
      <c r="FUY53" s="37"/>
      <c r="FUZ53" s="37"/>
      <c r="FVA53" s="37"/>
      <c r="FVB53" s="37"/>
      <c r="FVC53" s="37"/>
      <c r="FVD53" s="37"/>
      <c r="FVE53" s="37"/>
      <c r="FVF53" s="37"/>
      <c r="FVG53" s="37"/>
      <c r="FVH53" s="37"/>
      <c r="FVI53" s="37"/>
      <c r="FVJ53" s="37"/>
      <c r="FVK53" s="37"/>
      <c r="FVL53" s="37"/>
      <c r="FVM53" s="37"/>
      <c r="FVN53" s="37"/>
      <c r="FVO53" s="37"/>
      <c r="FVP53" s="37"/>
      <c r="FVQ53" s="37"/>
      <c r="FVR53" s="37"/>
      <c r="FVS53" s="37"/>
      <c r="FVT53" s="37"/>
      <c r="FVU53" s="37"/>
      <c r="FVV53" s="37"/>
      <c r="FVW53" s="37"/>
      <c r="FVX53" s="37"/>
      <c r="FVY53" s="37"/>
      <c r="FVZ53" s="37"/>
      <c r="FWA53" s="37"/>
      <c r="FWB53" s="37"/>
      <c r="FWC53" s="37"/>
      <c r="FWD53" s="37"/>
      <c r="FWE53" s="37"/>
      <c r="FWF53" s="37"/>
      <c r="FWG53" s="37"/>
      <c r="FWH53" s="37"/>
      <c r="FWI53" s="37"/>
      <c r="FWJ53" s="37"/>
      <c r="FWK53" s="37"/>
      <c r="FWL53" s="37"/>
      <c r="FWM53" s="37"/>
      <c r="FWN53" s="37"/>
      <c r="FWO53" s="37"/>
      <c r="FWP53" s="37"/>
      <c r="FWQ53" s="37"/>
      <c r="FWR53" s="37"/>
      <c r="FWS53" s="37"/>
      <c r="FWT53" s="37"/>
      <c r="FWU53" s="37"/>
      <c r="FWV53" s="37"/>
      <c r="FWW53" s="37"/>
      <c r="FWX53" s="37"/>
      <c r="FWY53" s="37"/>
      <c r="FWZ53" s="37"/>
      <c r="FXA53" s="37"/>
      <c r="FXB53" s="37"/>
      <c r="FXC53" s="37"/>
      <c r="FXD53" s="37"/>
      <c r="FXE53" s="37"/>
      <c r="FXF53" s="37"/>
      <c r="FXG53" s="37"/>
      <c r="FXH53" s="37"/>
      <c r="FXI53" s="37"/>
      <c r="FXJ53" s="37"/>
      <c r="FXK53" s="37"/>
      <c r="FXL53" s="37"/>
      <c r="FXM53" s="37"/>
      <c r="FXN53" s="37"/>
      <c r="FXO53" s="37"/>
      <c r="FXP53" s="37"/>
      <c r="FXQ53" s="37"/>
      <c r="FXR53" s="37"/>
      <c r="FXS53" s="37"/>
      <c r="FXT53" s="37"/>
      <c r="FXU53" s="37"/>
      <c r="FXV53" s="37"/>
      <c r="FXW53" s="37"/>
      <c r="FXX53" s="37"/>
      <c r="FXY53" s="37"/>
      <c r="FXZ53" s="37"/>
      <c r="FYA53" s="37"/>
      <c r="FYB53" s="37"/>
      <c r="FYC53" s="37"/>
      <c r="FYD53" s="37"/>
      <c r="FYE53" s="37"/>
      <c r="FYF53" s="37"/>
      <c r="FYG53" s="37"/>
      <c r="FYH53" s="37"/>
      <c r="FYI53" s="37"/>
      <c r="FYJ53" s="37"/>
      <c r="FYK53" s="37"/>
      <c r="FYL53" s="37"/>
      <c r="FYM53" s="37"/>
      <c r="FYN53" s="37"/>
      <c r="FYO53" s="37"/>
      <c r="FYP53" s="37"/>
      <c r="FYQ53" s="37"/>
      <c r="FYR53" s="37"/>
      <c r="FYS53" s="37"/>
      <c r="FYT53" s="37"/>
      <c r="FYU53" s="37"/>
      <c r="FYV53" s="37"/>
      <c r="FYW53" s="37"/>
      <c r="FYX53" s="37"/>
      <c r="FYY53" s="37"/>
      <c r="FYZ53" s="37"/>
      <c r="FZA53" s="37"/>
      <c r="FZB53" s="37"/>
      <c r="FZC53" s="37"/>
      <c r="FZD53" s="37"/>
      <c r="FZE53" s="37"/>
      <c r="FZF53" s="37"/>
      <c r="FZG53" s="37"/>
      <c r="FZH53" s="37"/>
      <c r="FZI53" s="37"/>
      <c r="FZJ53" s="37"/>
      <c r="FZK53" s="37"/>
      <c r="FZL53" s="37"/>
      <c r="FZM53" s="37"/>
      <c r="FZN53" s="37"/>
      <c r="FZO53" s="37"/>
      <c r="FZP53" s="37"/>
      <c r="FZQ53" s="37"/>
      <c r="FZR53" s="37"/>
      <c r="FZS53" s="37"/>
      <c r="FZT53" s="37"/>
      <c r="FZU53" s="37"/>
      <c r="FZV53" s="37"/>
      <c r="FZW53" s="37"/>
      <c r="FZX53" s="37"/>
      <c r="FZY53" s="37"/>
      <c r="FZZ53" s="37"/>
      <c r="GAA53" s="37"/>
      <c r="GAB53" s="37"/>
      <c r="GAC53" s="37"/>
      <c r="GAD53" s="37"/>
      <c r="GAE53" s="37"/>
      <c r="GAF53" s="37"/>
      <c r="GAG53" s="37"/>
      <c r="GAH53" s="37"/>
      <c r="GAI53" s="37"/>
      <c r="GAJ53" s="37"/>
      <c r="GAK53" s="37"/>
      <c r="GAL53" s="37"/>
      <c r="GAM53" s="37"/>
      <c r="GAN53" s="37"/>
      <c r="GAO53" s="37"/>
      <c r="GAP53" s="37"/>
      <c r="GAQ53" s="37"/>
      <c r="GAR53" s="37"/>
      <c r="GAS53" s="37"/>
      <c r="GAT53" s="37"/>
      <c r="GAU53" s="37"/>
      <c r="GAV53" s="37"/>
      <c r="GAW53" s="37"/>
      <c r="GAX53" s="37"/>
      <c r="GAY53" s="37"/>
      <c r="GAZ53" s="37"/>
      <c r="GBA53" s="37"/>
      <c r="GBB53" s="37"/>
      <c r="GBC53" s="37"/>
      <c r="GBD53" s="37"/>
      <c r="GBE53" s="37"/>
      <c r="GBF53" s="37"/>
      <c r="GBG53" s="37"/>
      <c r="GBH53" s="37"/>
      <c r="GBI53" s="37"/>
      <c r="GBJ53" s="37"/>
      <c r="GBK53" s="37"/>
      <c r="GBL53" s="37"/>
      <c r="GBM53" s="37"/>
      <c r="GBN53" s="37"/>
      <c r="GBO53" s="37"/>
      <c r="GBP53" s="37"/>
      <c r="GBQ53" s="37"/>
      <c r="GBR53" s="37"/>
      <c r="GBS53" s="37"/>
      <c r="GBT53" s="37"/>
      <c r="GBU53" s="37"/>
      <c r="GBV53" s="37"/>
      <c r="GBW53" s="37"/>
      <c r="GBX53" s="37"/>
      <c r="GBY53" s="37"/>
      <c r="GBZ53" s="37"/>
      <c r="GCA53" s="37"/>
      <c r="GCB53" s="37"/>
      <c r="GCC53" s="37"/>
      <c r="GCD53" s="37"/>
      <c r="GCE53" s="37"/>
      <c r="GCF53" s="37"/>
      <c r="GCG53" s="37"/>
      <c r="GCH53" s="37"/>
      <c r="GCI53" s="37"/>
      <c r="GCJ53" s="37"/>
      <c r="GCK53" s="37"/>
      <c r="GCL53" s="37"/>
      <c r="GCM53" s="37"/>
      <c r="GCN53" s="37"/>
      <c r="GCO53" s="37"/>
      <c r="GCP53" s="37"/>
      <c r="GCQ53" s="37"/>
      <c r="GCR53" s="37"/>
      <c r="GCS53" s="37"/>
      <c r="GCT53" s="37"/>
      <c r="GCU53" s="37"/>
      <c r="GCV53" s="37"/>
      <c r="GCW53" s="37"/>
      <c r="GCX53" s="37"/>
      <c r="GCY53" s="37"/>
      <c r="GCZ53" s="37"/>
      <c r="GDA53" s="37"/>
      <c r="GDB53" s="37"/>
      <c r="GDC53" s="37"/>
      <c r="GDD53" s="37"/>
      <c r="GDE53" s="37"/>
      <c r="GDF53" s="37"/>
      <c r="GDG53" s="37"/>
      <c r="GDH53" s="37"/>
      <c r="GDI53" s="37"/>
      <c r="GDJ53" s="37"/>
      <c r="GDK53" s="37"/>
      <c r="GDL53" s="37"/>
      <c r="GDM53" s="37"/>
      <c r="GDN53" s="37"/>
      <c r="GDO53" s="37"/>
      <c r="GDP53" s="37"/>
      <c r="GDQ53" s="37"/>
      <c r="GDR53" s="37"/>
      <c r="GDS53" s="37"/>
      <c r="GDT53" s="37"/>
      <c r="GDU53" s="37"/>
      <c r="GDV53" s="37"/>
      <c r="GDW53" s="37"/>
      <c r="GDX53" s="37"/>
      <c r="GDY53" s="37"/>
      <c r="GDZ53" s="37"/>
      <c r="GEA53" s="37"/>
      <c r="GEB53" s="37"/>
      <c r="GEC53" s="37"/>
      <c r="GED53" s="37"/>
      <c r="GEE53" s="37"/>
      <c r="GEF53" s="37"/>
      <c r="GEG53" s="37"/>
      <c r="GEH53" s="37"/>
      <c r="GEI53" s="37"/>
      <c r="GEJ53" s="37"/>
      <c r="GEK53" s="37"/>
      <c r="GEL53" s="37"/>
      <c r="GEM53" s="37"/>
      <c r="GEN53" s="37"/>
      <c r="GEO53" s="37"/>
      <c r="GEP53" s="37"/>
      <c r="GEQ53" s="37"/>
      <c r="GER53" s="37"/>
      <c r="GES53" s="37"/>
      <c r="GET53" s="37"/>
      <c r="GEU53" s="37"/>
      <c r="GEV53" s="37"/>
      <c r="GEW53" s="37"/>
      <c r="GEX53" s="37"/>
      <c r="GEY53" s="37"/>
      <c r="GEZ53" s="37"/>
      <c r="GFA53" s="37"/>
      <c r="GFB53" s="37"/>
      <c r="GFC53" s="37"/>
      <c r="GFD53" s="37"/>
      <c r="GFE53" s="37"/>
      <c r="GFF53" s="37"/>
      <c r="GFG53" s="37"/>
      <c r="GFH53" s="37"/>
      <c r="GFI53" s="37"/>
      <c r="GFJ53" s="37"/>
      <c r="GFK53" s="37"/>
      <c r="GFL53" s="37"/>
      <c r="GFM53" s="37"/>
      <c r="GFN53" s="37"/>
      <c r="GFO53" s="37"/>
      <c r="GFP53" s="37"/>
      <c r="GFQ53" s="37"/>
      <c r="GFR53" s="37"/>
      <c r="GFS53" s="37"/>
      <c r="GFT53" s="37"/>
      <c r="GFU53" s="37"/>
      <c r="GFV53" s="37"/>
      <c r="GFW53" s="37"/>
      <c r="GFX53" s="37"/>
      <c r="GFY53" s="37"/>
      <c r="GFZ53" s="37"/>
      <c r="GGA53" s="37"/>
      <c r="GGB53" s="37"/>
      <c r="GGC53" s="37"/>
      <c r="GGD53" s="37"/>
      <c r="GGE53" s="37"/>
      <c r="GGF53" s="37"/>
      <c r="GGG53" s="37"/>
      <c r="GGH53" s="37"/>
      <c r="GGI53" s="37"/>
      <c r="GGJ53" s="37"/>
      <c r="GGK53" s="37"/>
      <c r="GGL53" s="37"/>
      <c r="GGM53" s="37"/>
      <c r="GGN53" s="37"/>
      <c r="GGO53" s="37"/>
      <c r="GGP53" s="37"/>
      <c r="GGQ53" s="37"/>
      <c r="GGR53" s="37"/>
      <c r="GGS53" s="37"/>
      <c r="GGT53" s="37"/>
      <c r="GGU53" s="37"/>
      <c r="GGV53" s="37"/>
      <c r="GGW53" s="37"/>
      <c r="GGX53" s="37"/>
      <c r="GGY53" s="37"/>
      <c r="GGZ53" s="37"/>
      <c r="GHA53" s="37"/>
      <c r="GHB53" s="37"/>
      <c r="GHC53" s="37"/>
      <c r="GHD53" s="37"/>
      <c r="GHE53" s="37"/>
      <c r="GHF53" s="37"/>
      <c r="GHG53" s="37"/>
      <c r="GHH53" s="37"/>
      <c r="GHI53" s="37"/>
      <c r="GHJ53" s="37"/>
      <c r="GHK53" s="37"/>
      <c r="GHL53" s="37"/>
      <c r="GHM53" s="37"/>
      <c r="GHN53" s="37"/>
      <c r="GHO53" s="37"/>
      <c r="GHP53" s="37"/>
      <c r="GHQ53" s="37"/>
      <c r="GHR53" s="37"/>
      <c r="GHS53" s="37"/>
      <c r="GHT53" s="37"/>
      <c r="GHU53" s="37"/>
      <c r="GHV53" s="37"/>
      <c r="GHW53" s="37"/>
      <c r="GHX53" s="37"/>
      <c r="GHY53" s="37"/>
      <c r="GHZ53" s="37"/>
      <c r="GIA53" s="37"/>
      <c r="GIB53" s="37"/>
      <c r="GIC53" s="37"/>
      <c r="GID53" s="37"/>
      <c r="GIE53" s="37"/>
      <c r="GIF53" s="37"/>
      <c r="GIG53" s="37"/>
      <c r="GIH53" s="37"/>
      <c r="GII53" s="37"/>
      <c r="GIJ53" s="37"/>
      <c r="GIK53" s="37"/>
      <c r="GIL53" s="37"/>
      <c r="GIM53" s="37"/>
      <c r="GIN53" s="37"/>
      <c r="GIO53" s="37"/>
      <c r="GIP53" s="37"/>
      <c r="GIQ53" s="37"/>
      <c r="GIR53" s="37"/>
      <c r="GIS53" s="37"/>
      <c r="GIT53" s="37"/>
      <c r="GIU53" s="37"/>
      <c r="GIV53" s="37"/>
      <c r="GIW53" s="37"/>
      <c r="GIX53" s="37"/>
      <c r="GIY53" s="37"/>
      <c r="GIZ53" s="37"/>
      <c r="GJA53" s="37"/>
      <c r="GJB53" s="37"/>
      <c r="GJC53" s="37"/>
      <c r="GJD53" s="37"/>
      <c r="GJE53" s="37"/>
      <c r="GJF53" s="37"/>
      <c r="GJG53" s="37"/>
      <c r="GJH53" s="37"/>
      <c r="GJI53" s="37"/>
      <c r="GJJ53" s="37"/>
      <c r="GJK53" s="37"/>
      <c r="GJL53" s="37"/>
      <c r="GJM53" s="37"/>
      <c r="GJN53" s="37"/>
      <c r="GJO53" s="37"/>
      <c r="GJP53" s="37"/>
      <c r="GJQ53" s="37"/>
      <c r="GJR53" s="37"/>
      <c r="GJS53" s="37"/>
      <c r="GJT53" s="37"/>
      <c r="GJU53" s="37"/>
      <c r="GJV53" s="37"/>
      <c r="GJW53" s="37"/>
      <c r="GJX53" s="37"/>
      <c r="GJY53" s="37"/>
      <c r="GJZ53" s="37"/>
      <c r="GKA53" s="37"/>
      <c r="GKB53" s="37"/>
      <c r="GKC53" s="37"/>
      <c r="GKD53" s="37"/>
      <c r="GKE53" s="37"/>
      <c r="GKF53" s="37"/>
      <c r="GKG53" s="37"/>
      <c r="GKH53" s="37"/>
      <c r="GKI53" s="37"/>
      <c r="GKJ53" s="37"/>
      <c r="GKK53" s="37"/>
      <c r="GKL53" s="37"/>
      <c r="GKM53" s="37"/>
      <c r="GKN53" s="37"/>
      <c r="GKO53" s="37"/>
      <c r="GKP53" s="37"/>
      <c r="GKQ53" s="37"/>
      <c r="GKR53" s="37"/>
      <c r="GKS53" s="37"/>
      <c r="GKT53" s="37"/>
      <c r="GKU53" s="37"/>
      <c r="GKV53" s="37"/>
      <c r="GKW53" s="37"/>
      <c r="GKX53" s="37"/>
      <c r="GKY53" s="37"/>
      <c r="GKZ53" s="37"/>
      <c r="GLA53" s="37"/>
      <c r="GLB53" s="37"/>
      <c r="GLC53" s="37"/>
      <c r="GLD53" s="37"/>
      <c r="GLE53" s="37"/>
      <c r="GLF53" s="37"/>
      <c r="GLG53" s="37"/>
      <c r="GLH53" s="37"/>
      <c r="GLI53" s="37"/>
      <c r="GLJ53" s="37"/>
      <c r="GLK53" s="37"/>
      <c r="GLL53" s="37"/>
      <c r="GLM53" s="37"/>
      <c r="GLN53" s="37"/>
      <c r="GLO53" s="37"/>
      <c r="GLP53" s="37"/>
      <c r="GLQ53" s="37"/>
      <c r="GLR53" s="37"/>
      <c r="GLS53" s="37"/>
      <c r="GLT53" s="37"/>
      <c r="GLU53" s="37"/>
      <c r="GLV53" s="37"/>
      <c r="GLW53" s="37"/>
      <c r="GLX53" s="37"/>
      <c r="GLY53" s="37"/>
      <c r="GLZ53" s="37"/>
      <c r="GMA53" s="37"/>
      <c r="GMB53" s="37"/>
      <c r="GMC53" s="37"/>
      <c r="GMD53" s="37"/>
      <c r="GME53" s="37"/>
      <c r="GMF53" s="37"/>
      <c r="GMG53" s="37"/>
      <c r="GMH53" s="37"/>
      <c r="GMI53" s="37"/>
      <c r="GMJ53" s="37"/>
      <c r="GMK53" s="37"/>
      <c r="GML53" s="37"/>
      <c r="GMM53" s="37"/>
      <c r="GMN53" s="37"/>
      <c r="GMO53" s="37"/>
      <c r="GMP53" s="37"/>
      <c r="GMQ53" s="37"/>
      <c r="GMR53" s="37"/>
      <c r="GMS53" s="37"/>
      <c r="GMT53" s="37"/>
      <c r="GMU53" s="37"/>
      <c r="GMV53" s="37"/>
      <c r="GMW53" s="37"/>
      <c r="GMX53" s="37"/>
      <c r="GMY53" s="37"/>
      <c r="GMZ53" s="37"/>
      <c r="GNA53" s="37"/>
      <c r="GNB53" s="37"/>
      <c r="GNC53" s="37"/>
      <c r="GND53" s="37"/>
      <c r="GNE53" s="37"/>
      <c r="GNF53" s="37"/>
      <c r="GNG53" s="37"/>
      <c r="GNH53" s="37"/>
      <c r="GNI53" s="37"/>
      <c r="GNJ53" s="37"/>
      <c r="GNK53" s="37"/>
      <c r="GNL53" s="37"/>
      <c r="GNM53" s="37"/>
      <c r="GNN53" s="37"/>
      <c r="GNO53" s="37"/>
      <c r="GNP53" s="37"/>
      <c r="GNQ53" s="37"/>
      <c r="GNR53" s="37"/>
      <c r="GNS53" s="37"/>
      <c r="GNT53" s="37"/>
      <c r="GNU53" s="37"/>
      <c r="GNV53" s="37"/>
      <c r="GNW53" s="37"/>
      <c r="GNX53" s="37"/>
      <c r="GNY53" s="37"/>
      <c r="GNZ53" s="37"/>
      <c r="GOA53" s="37"/>
      <c r="GOB53" s="37"/>
      <c r="GOC53" s="37"/>
      <c r="GOD53" s="37"/>
      <c r="GOE53" s="37"/>
      <c r="GOF53" s="37"/>
      <c r="GOG53" s="37"/>
      <c r="GOH53" s="37"/>
      <c r="GOI53" s="37"/>
      <c r="GOJ53" s="37"/>
      <c r="GOK53" s="37"/>
      <c r="GOL53" s="37"/>
      <c r="GOM53" s="37"/>
      <c r="GON53" s="37"/>
      <c r="GOO53" s="37"/>
      <c r="GOP53" s="37"/>
      <c r="GOQ53" s="37"/>
      <c r="GOR53" s="37"/>
      <c r="GOS53" s="37"/>
      <c r="GOT53" s="37"/>
      <c r="GOU53" s="37"/>
      <c r="GOV53" s="37"/>
      <c r="GOW53" s="37"/>
      <c r="GOX53" s="37"/>
      <c r="GOY53" s="37"/>
      <c r="GOZ53" s="37"/>
      <c r="GPA53" s="37"/>
      <c r="GPB53" s="37"/>
      <c r="GPC53" s="37"/>
      <c r="GPD53" s="37"/>
      <c r="GPE53" s="37"/>
      <c r="GPF53" s="37"/>
      <c r="GPG53" s="37"/>
      <c r="GPH53" s="37"/>
      <c r="GPI53" s="37"/>
      <c r="GPJ53" s="37"/>
      <c r="GPK53" s="37"/>
      <c r="GPL53" s="37"/>
      <c r="GPM53" s="37"/>
      <c r="GPN53" s="37"/>
      <c r="GPO53" s="37"/>
      <c r="GPP53" s="37"/>
      <c r="GPQ53" s="37"/>
      <c r="GPR53" s="37"/>
      <c r="GPS53" s="37"/>
      <c r="GPT53" s="37"/>
      <c r="GPU53" s="37"/>
      <c r="GPV53" s="37"/>
      <c r="GPW53" s="37"/>
      <c r="GPX53" s="37"/>
      <c r="GPY53" s="37"/>
      <c r="GPZ53" s="37"/>
      <c r="GQA53" s="37"/>
      <c r="GQB53" s="37"/>
      <c r="GQC53" s="37"/>
      <c r="GQD53" s="37"/>
      <c r="GQE53" s="37"/>
      <c r="GQF53" s="37"/>
      <c r="GQG53" s="37"/>
      <c r="GQH53" s="37"/>
      <c r="GQI53" s="37"/>
      <c r="GQJ53" s="37"/>
      <c r="GQK53" s="37"/>
      <c r="GQL53" s="37"/>
      <c r="GQM53" s="37"/>
      <c r="GQN53" s="37"/>
      <c r="GQO53" s="37"/>
      <c r="GQP53" s="37"/>
      <c r="GQQ53" s="37"/>
      <c r="GQR53" s="37"/>
      <c r="GQS53" s="37"/>
      <c r="GQT53" s="37"/>
      <c r="GQU53" s="37"/>
      <c r="GQV53" s="37"/>
      <c r="GQW53" s="37"/>
      <c r="GQX53" s="37"/>
      <c r="GQY53" s="37"/>
      <c r="GQZ53" s="37"/>
      <c r="GRA53" s="37"/>
      <c r="GRB53" s="37"/>
      <c r="GRC53" s="37"/>
      <c r="GRD53" s="37"/>
      <c r="GRE53" s="37"/>
      <c r="GRF53" s="37"/>
      <c r="GRG53" s="37"/>
      <c r="GRH53" s="37"/>
      <c r="GRI53" s="37"/>
      <c r="GRJ53" s="37"/>
      <c r="GRK53" s="37"/>
      <c r="GRL53" s="37"/>
      <c r="GRM53" s="37"/>
      <c r="GRN53" s="37"/>
      <c r="GRO53" s="37"/>
      <c r="GRP53" s="37"/>
      <c r="GRQ53" s="37"/>
      <c r="GRR53" s="37"/>
      <c r="GRS53" s="37"/>
      <c r="GRT53" s="37"/>
      <c r="GRU53" s="37"/>
      <c r="GRV53" s="37"/>
      <c r="GRW53" s="37"/>
      <c r="GRX53" s="37"/>
      <c r="GRY53" s="37"/>
      <c r="GRZ53" s="37"/>
      <c r="GSA53" s="37"/>
      <c r="GSB53" s="37"/>
      <c r="GSC53" s="37"/>
      <c r="GSD53" s="37"/>
      <c r="GSE53" s="37"/>
      <c r="GSF53" s="37"/>
      <c r="GSG53" s="37"/>
      <c r="GSH53" s="37"/>
      <c r="GSI53" s="37"/>
      <c r="GSJ53" s="37"/>
      <c r="GSK53" s="37"/>
      <c r="GSL53" s="37"/>
      <c r="GSM53" s="37"/>
      <c r="GSN53" s="37"/>
      <c r="GSO53" s="37"/>
      <c r="GSP53" s="37"/>
      <c r="GSQ53" s="37"/>
      <c r="GSR53" s="37"/>
      <c r="GSS53" s="37"/>
      <c r="GST53" s="37"/>
      <c r="GSU53" s="37"/>
      <c r="GSV53" s="37"/>
      <c r="GSW53" s="37"/>
      <c r="GSX53" s="37"/>
      <c r="GSY53" s="37"/>
      <c r="GSZ53" s="37"/>
      <c r="GTA53" s="37"/>
      <c r="GTB53" s="37"/>
      <c r="GTC53" s="37"/>
      <c r="GTD53" s="37"/>
      <c r="GTE53" s="37"/>
      <c r="GTF53" s="37"/>
      <c r="GTG53" s="37"/>
      <c r="GTH53" s="37"/>
      <c r="GTI53" s="37"/>
      <c r="GTJ53" s="37"/>
      <c r="GTK53" s="37"/>
      <c r="GTL53" s="37"/>
      <c r="GTM53" s="37"/>
      <c r="GTN53" s="37"/>
      <c r="GTO53" s="37"/>
      <c r="GTP53" s="37"/>
      <c r="GTQ53" s="37"/>
      <c r="GTR53" s="37"/>
      <c r="GTS53" s="37"/>
      <c r="GTT53" s="37"/>
      <c r="GTU53" s="37"/>
      <c r="GTV53" s="37"/>
      <c r="GTW53" s="37"/>
      <c r="GTX53" s="37"/>
      <c r="GTY53" s="37"/>
      <c r="GTZ53" s="37"/>
      <c r="GUA53" s="37"/>
      <c r="GUB53" s="37"/>
      <c r="GUC53" s="37"/>
      <c r="GUD53" s="37"/>
      <c r="GUE53" s="37"/>
      <c r="GUF53" s="37"/>
      <c r="GUG53" s="37"/>
      <c r="GUH53" s="37"/>
      <c r="GUI53" s="37"/>
      <c r="GUJ53" s="37"/>
      <c r="GUK53" s="37"/>
      <c r="GUL53" s="37"/>
      <c r="GUM53" s="37"/>
      <c r="GUN53" s="37"/>
      <c r="GUO53" s="37"/>
      <c r="GUP53" s="37"/>
      <c r="GUQ53" s="37"/>
      <c r="GUR53" s="37"/>
      <c r="GUS53" s="37"/>
      <c r="GUT53" s="37"/>
      <c r="GUU53" s="37"/>
      <c r="GUV53" s="37"/>
      <c r="GUW53" s="37"/>
      <c r="GUX53" s="37"/>
      <c r="GUY53" s="37"/>
      <c r="GUZ53" s="37"/>
      <c r="GVA53" s="37"/>
      <c r="GVB53" s="37"/>
      <c r="GVC53" s="37"/>
      <c r="GVD53" s="37"/>
      <c r="GVE53" s="37"/>
      <c r="GVF53" s="37"/>
      <c r="GVG53" s="37"/>
      <c r="GVH53" s="37"/>
      <c r="GVI53" s="37"/>
      <c r="GVJ53" s="37"/>
      <c r="GVK53" s="37"/>
      <c r="GVL53" s="37"/>
      <c r="GVM53" s="37"/>
      <c r="GVN53" s="37"/>
      <c r="GVO53" s="37"/>
      <c r="GVP53" s="37"/>
      <c r="GVQ53" s="37"/>
      <c r="GVR53" s="37"/>
      <c r="GVS53" s="37"/>
      <c r="GVT53" s="37"/>
      <c r="GVU53" s="37"/>
      <c r="GVV53" s="37"/>
      <c r="GVW53" s="37"/>
      <c r="GVX53" s="37"/>
      <c r="GVY53" s="37"/>
      <c r="GVZ53" s="37"/>
      <c r="GWA53" s="37"/>
      <c r="GWB53" s="37"/>
      <c r="GWC53" s="37"/>
      <c r="GWD53" s="37"/>
      <c r="GWE53" s="37"/>
      <c r="GWF53" s="37"/>
      <c r="GWG53" s="37"/>
      <c r="GWH53" s="37"/>
      <c r="GWI53" s="37"/>
      <c r="GWJ53" s="37"/>
      <c r="GWK53" s="37"/>
      <c r="GWL53" s="37"/>
      <c r="GWM53" s="37"/>
      <c r="GWN53" s="37"/>
      <c r="GWO53" s="37"/>
      <c r="GWP53" s="37"/>
      <c r="GWQ53" s="37"/>
      <c r="GWR53" s="37"/>
      <c r="GWS53" s="37"/>
      <c r="GWT53" s="37"/>
      <c r="GWU53" s="37"/>
      <c r="GWV53" s="37"/>
      <c r="GWW53" s="37"/>
      <c r="GWX53" s="37"/>
      <c r="GWY53" s="37"/>
      <c r="GWZ53" s="37"/>
      <c r="GXA53" s="37"/>
      <c r="GXB53" s="37"/>
      <c r="GXC53" s="37"/>
      <c r="GXD53" s="37"/>
      <c r="GXE53" s="37"/>
      <c r="GXF53" s="37"/>
      <c r="GXG53" s="37"/>
      <c r="GXH53" s="37"/>
      <c r="GXI53" s="37"/>
      <c r="GXJ53" s="37"/>
      <c r="GXK53" s="37"/>
      <c r="GXL53" s="37"/>
      <c r="GXM53" s="37"/>
      <c r="GXN53" s="37"/>
      <c r="GXO53" s="37"/>
      <c r="GXP53" s="37"/>
      <c r="GXQ53" s="37"/>
      <c r="GXR53" s="37"/>
      <c r="GXS53" s="37"/>
      <c r="GXT53" s="37"/>
      <c r="GXU53" s="37"/>
      <c r="GXV53" s="37"/>
      <c r="GXW53" s="37"/>
      <c r="GXX53" s="37"/>
      <c r="GXY53" s="37"/>
      <c r="GXZ53" s="37"/>
      <c r="GYA53" s="37"/>
      <c r="GYB53" s="37"/>
      <c r="GYC53" s="37"/>
      <c r="GYD53" s="37"/>
      <c r="GYE53" s="37"/>
      <c r="GYF53" s="37"/>
      <c r="GYG53" s="37"/>
      <c r="GYH53" s="37"/>
      <c r="GYI53" s="37"/>
      <c r="GYJ53" s="37"/>
      <c r="GYK53" s="37"/>
      <c r="GYL53" s="37"/>
      <c r="GYM53" s="37"/>
      <c r="GYN53" s="37"/>
      <c r="GYO53" s="37"/>
      <c r="GYP53" s="37"/>
      <c r="GYQ53" s="37"/>
      <c r="GYR53" s="37"/>
      <c r="GYS53" s="37"/>
      <c r="GYT53" s="37"/>
      <c r="GYU53" s="37"/>
      <c r="GYV53" s="37"/>
      <c r="GYW53" s="37"/>
      <c r="GYX53" s="37"/>
      <c r="GYY53" s="37"/>
      <c r="GYZ53" s="37"/>
      <c r="GZA53" s="37"/>
      <c r="GZB53" s="37"/>
      <c r="GZC53" s="37"/>
      <c r="GZD53" s="37"/>
      <c r="GZE53" s="37"/>
      <c r="GZF53" s="37"/>
      <c r="GZG53" s="37"/>
      <c r="GZH53" s="37"/>
      <c r="GZI53" s="37"/>
      <c r="GZJ53" s="37"/>
      <c r="GZK53" s="37"/>
      <c r="GZL53" s="37"/>
      <c r="GZM53" s="37"/>
      <c r="GZN53" s="37"/>
      <c r="GZO53" s="37"/>
      <c r="GZP53" s="37"/>
      <c r="GZQ53" s="37"/>
      <c r="GZR53" s="37"/>
      <c r="GZS53" s="37"/>
      <c r="GZT53" s="37"/>
      <c r="GZU53" s="37"/>
      <c r="GZV53" s="37"/>
      <c r="GZW53" s="37"/>
      <c r="GZX53" s="37"/>
      <c r="GZY53" s="37"/>
      <c r="GZZ53" s="37"/>
      <c r="HAA53" s="37"/>
      <c r="HAB53" s="37"/>
      <c r="HAC53" s="37"/>
      <c r="HAD53" s="37"/>
      <c r="HAE53" s="37"/>
      <c r="HAF53" s="37"/>
      <c r="HAG53" s="37"/>
      <c r="HAH53" s="37"/>
      <c r="HAI53" s="37"/>
      <c r="HAJ53" s="37"/>
      <c r="HAK53" s="37"/>
      <c r="HAL53" s="37"/>
      <c r="HAM53" s="37"/>
      <c r="HAN53" s="37"/>
      <c r="HAO53" s="37"/>
      <c r="HAP53" s="37"/>
      <c r="HAQ53" s="37"/>
      <c r="HAR53" s="37"/>
      <c r="HAS53" s="37"/>
      <c r="HAT53" s="37"/>
      <c r="HAU53" s="37"/>
      <c r="HAV53" s="37"/>
      <c r="HAW53" s="37"/>
      <c r="HAX53" s="37"/>
      <c r="HAY53" s="37"/>
      <c r="HAZ53" s="37"/>
      <c r="HBA53" s="37"/>
      <c r="HBB53" s="37"/>
      <c r="HBC53" s="37"/>
      <c r="HBD53" s="37"/>
      <c r="HBE53" s="37"/>
      <c r="HBF53" s="37"/>
      <c r="HBG53" s="37"/>
      <c r="HBH53" s="37"/>
      <c r="HBI53" s="37"/>
      <c r="HBJ53" s="37"/>
      <c r="HBK53" s="37"/>
      <c r="HBL53" s="37"/>
      <c r="HBM53" s="37"/>
      <c r="HBN53" s="37"/>
      <c r="HBO53" s="37"/>
      <c r="HBP53" s="37"/>
      <c r="HBQ53" s="37"/>
      <c r="HBR53" s="37"/>
      <c r="HBS53" s="37"/>
      <c r="HBT53" s="37"/>
      <c r="HBU53" s="37"/>
      <c r="HBV53" s="37"/>
      <c r="HBW53" s="37"/>
      <c r="HBX53" s="37"/>
      <c r="HBY53" s="37"/>
      <c r="HBZ53" s="37"/>
      <c r="HCA53" s="37"/>
      <c r="HCB53" s="37"/>
      <c r="HCC53" s="37"/>
      <c r="HCD53" s="37"/>
      <c r="HCE53" s="37"/>
      <c r="HCF53" s="37"/>
      <c r="HCG53" s="37"/>
      <c r="HCH53" s="37"/>
      <c r="HCI53" s="37"/>
      <c r="HCJ53" s="37"/>
      <c r="HCK53" s="37"/>
      <c r="HCL53" s="37"/>
      <c r="HCM53" s="37"/>
      <c r="HCN53" s="37"/>
      <c r="HCO53" s="37"/>
      <c r="HCP53" s="37"/>
      <c r="HCQ53" s="37"/>
      <c r="HCR53" s="37"/>
      <c r="HCS53" s="37"/>
      <c r="HCT53" s="37"/>
      <c r="HCU53" s="37"/>
      <c r="HCV53" s="37"/>
      <c r="HCW53" s="37"/>
      <c r="HCX53" s="37"/>
      <c r="HCY53" s="37"/>
      <c r="HCZ53" s="37"/>
      <c r="HDA53" s="37"/>
      <c r="HDB53" s="37"/>
      <c r="HDC53" s="37"/>
      <c r="HDD53" s="37"/>
      <c r="HDE53" s="37"/>
      <c r="HDF53" s="37"/>
      <c r="HDG53" s="37"/>
      <c r="HDH53" s="37"/>
      <c r="HDI53" s="37"/>
      <c r="HDJ53" s="37"/>
      <c r="HDK53" s="37"/>
      <c r="HDL53" s="37"/>
      <c r="HDM53" s="37"/>
      <c r="HDN53" s="37"/>
      <c r="HDO53" s="37"/>
      <c r="HDP53" s="37"/>
      <c r="HDQ53" s="37"/>
      <c r="HDR53" s="37"/>
      <c r="HDS53" s="37"/>
      <c r="HDT53" s="37"/>
      <c r="HDU53" s="37"/>
      <c r="HDV53" s="37"/>
      <c r="HDW53" s="37"/>
      <c r="HDX53" s="37"/>
      <c r="HDY53" s="37"/>
      <c r="HDZ53" s="37"/>
      <c r="HEA53" s="37"/>
      <c r="HEB53" s="37"/>
      <c r="HEC53" s="37"/>
      <c r="HED53" s="37"/>
      <c r="HEE53" s="37"/>
      <c r="HEF53" s="37"/>
      <c r="HEG53" s="37"/>
      <c r="HEH53" s="37"/>
      <c r="HEI53" s="37"/>
      <c r="HEJ53" s="37"/>
      <c r="HEK53" s="37"/>
      <c r="HEL53" s="37"/>
      <c r="HEM53" s="37"/>
      <c r="HEN53" s="37"/>
      <c r="HEO53" s="37"/>
      <c r="HEP53" s="37"/>
      <c r="HEQ53" s="37"/>
      <c r="HER53" s="37"/>
      <c r="HES53" s="37"/>
      <c r="HET53" s="37"/>
      <c r="HEU53" s="37"/>
      <c r="HEV53" s="37"/>
      <c r="HEW53" s="37"/>
      <c r="HEX53" s="37"/>
      <c r="HEY53" s="37"/>
      <c r="HEZ53" s="37"/>
      <c r="HFA53" s="37"/>
      <c r="HFB53" s="37"/>
      <c r="HFC53" s="37"/>
      <c r="HFD53" s="37"/>
      <c r="HFE53" s="37"/>
      <c r="HFF53" s="37"/>
      <c r="HFG53" s="37"/>
      <c r="HFH53" s="37"/>
      <c r="HFI53" s="37"/>
      <c r="HFJ53" s="37"/>
      <c r="HFK53" s="37"/>
      <c r="HFL53" s="37"/>
      <c r="HFM53" s="37"/>
      <c r="HFN53" s="37"/>
      <c r="HFO53" s="37"/>
      <c r="HFP53" s="37"/>
      <c r="HFQ53" s="37"/>
      <c r="HFR53" s="37"/>
      <c r="HFS53" s="37"/>
      <c r="HFT53" s="37"/>
      <c r="HFU53" s="37"/>
      <c r="HFV53" s="37"/>
      <c r="HFW53" s="37"/>
      <c r="HFX53" s="37"/>
      <c r="HFY53" s="37"/>
      <c r="HFZ53" s="37"/>
      <c r="HGA53" s="37"/>
      <c r="HGB53" s="37"/>
      <c r="HGC53" s="37"/>
      <c r="HGD53" s="37"/>
      <c r="HGE53" s="37"/>
      <c r="HGF53" s="37"/>
      <c r="HGG53" s="37"/>
      <c r="HGH53" s="37"/>
      <c r="HGI53" s="37"/>
      <c r="HGJ53" s="37"/>
      <c r="HGK53" s="37"/>
      <c r="HGL53" s="37"/>
      <c r="HGM53" s="37"/>
      <c r="HGN53" s="37"/>
      <c r="HGO53" s="37"/>
      <c r="HGP53" s="37"/>
      <c r="HGQ53" s="37"/>
      <c r="HGR53" s="37"/>
      <c r="HGS53" s="37"/>
      <c r="HGT53" s="37"/>
      <c r="HGU53" s="37"/>
      <c r="HGV53" s="37"/>
      <c r="HGW53" s="37"/>
      <c r="HGX53" s="37"/>
      <c r="HGY53" s="37"/>
      <c r="HGZ53" s="37"/>
      <c r="HHA53" s="37"/>
      <c r="HHB53" s="37"/>
      <c r="HHC53" s="37"/>
      <c r="HHD53" s="37"/>
      <c r="HHE53" s="37"/>
      <c r="HHF53" s="37"/>
      <c r="HHG53" s="37"/>
      <c r="HHH53" s="37"/>
      <c r="HHI53" s="37"/>
      <c r="HHJ53" s="37"/>
      <c r="HHK53" s="37"/>
      <c r="HHL53" s="37"/>
      <c r="HHM53" s="37"/>
      <c r="HHN53" s="37"/>
      <c r="HHO53" s="37"/>
      <c r="HHP53" s="37"/>
      <c r="HHQ53" s="37"/>
      <c r="HHR53" s="37"/>
      <c r="HHS53" s="37"/>
      <c r="HHT53" s="37"/>
      <c r="HHU53" s="37"/>
      <c r="HHV53" s="37"/>
      <c r="HHW53" s="37"/>
      <c r="HHX53" s="37"/>
      <c r="HHY53" s="37"/>
      <c r="HHZ53" s="37"/>
      <c r="HIA53" s="37"/>
      <c r="HIB53" s="37"/>
      <c r="HIC53" s="37"/>
      <c r="HID53" s="37"/>
      <c r="HIE53" s="37"/>
      <c r="HIF53" s="37"/>
      <c r="HIG53" s="37"/>
      <c r="HIH53" s="37"/>
      <c r="HII53" s="37"/>
      <c r="HIJ53" s="37"/>
      <c r="HIK53" s="37"/>
      <c r="HIL53" s="37"/>
      <c r="HIM53" s="37"/>
      <c r="HIN53" s="37"/>
      <c r="HIO53" s="37"/>
      <c r="HIP53" s="37"/>
      <c r="HIQ53" s="37"/>
      <c r="HIR53" s="37"/>
      <c r="HIS53" s="37"/>
      <c r="HIT53" s="37"/>
      <c r="HIU53" s="37"/>
      <c r="HIV53" s="37"/>
      <c r="HIW53" s="37"/>
      <c r="HIX53" s="37"/>
      <c r="HIY53" s="37"/>
      <c r="HIZ53" s="37"/>
      <c r="HJA53" s="37"/>
      <c r="HJB53" s="37"/>
      <c r="HJC53" s="37"/>
      <c r="HJD53" s="37"/>
      <c r="HJE53" s="37"/>
      <c r="HJF53" s="37"/>
      <c r="HJG53" s="37"/>
      <c r="HJH53" s="37"/>
      <c r="HJI53" s="37"/>
      <c r="HJJ53" s="37"/>
      <c r="HJK53" s="37"/>
      <c r="HJL53" s="37"/>
      <c r="HJM53" s="37"/>
      <c r="HJN53" s="37"/>
      <c r="HJO53" s="37"/>
      <c r="HJP53" s="37"/>
      <c r="HJQ53" s="37"/>
      <c r="HJR53" s="37"/>
      <c r="HJS53" s="37"/>
      <c r="HJT53" s="37"/>
      <c r="HJU53" s="37"/>
      <c r="HJV53" s="37"/>
      <c r="HJW53" s="37"/>
      <c r="HJX53" s="37"/>
      <c r="HJY53" s="37"/>
      <c r="HJZ53" s="37"/>
      <c r="HKA53" s="37"/>
      <c r="HKB53" s="37"/>
      <c r="HKC53" s="37"/>
      <c r="HKD53" s="37"/>
      <c r="HKE53" s="37"/>
      <c r="HKF53" s="37"/>
      <c r="HKG53" s="37"/>
      <c r="HKH53" s="37"/>
      <c r="HKI53" s="37"/>
      <c r="HKJ53" s="37"/>
      <c r="HKK53" s="37"/>
      <c r="HKL53" s="37"/>
      <c r="HKM53" s="37"/>
      <c r="HKN53" s="37"/>
      <c r="HKO53" s="37"/>
      <c r="HKP53" s="37"/>
      <c r="HKQ53" s="37"/>
      <c r="HKR53" s="37"/>
      <c r="HKS53" s="37"/>
      <c r="HKT53" s="37"/>
      <c r="HKU53" s="37"/>
      <c r="HKV53" s="37"/>
      <c r="HKW53" s="37"/>
      <c r="HKX53" s="37"/>
      <c r="HKY53" s="37"/>
      <c r="HKZ53" s="37"/>
      <c r="HLA53" s="37"/>
      <c r="HLB53" s="37"/>
      <c r="HLC53" s="37"/>
      <c r="HLD53" s="37"/>
      <c r="HLE53" s="37"/>
      <c r="HLF53" s="37"/>
      <c r="HLG53" s="37"/>
      <c r="HLH53" s="37"/>
      <c r="HLI53" s="37"/>
      <c r="HLJ53" s="37"/>
      <c r="HLK53" s="37"/>
      <c r="HLL53" s="37"/>
      <c r="HLM53" s="37"/>
      <c r="HLN53" s="37"/>
      <c r="HLO53" s="37"/>
      <c r="HLP53" s="37"/>
      <c r="HLQ53" s="37"/>
      <c r="HLR53" s="37"/>
      <c r="HLS53" s="37"/>
      <c r="HLT53" s="37"/>
      <c r="HLU53" s="37"/>
      <c r="HLV53" s="37"/>
      <c r="HLW53" s="37"/>
      <c r="HLX53" s="37"/>
      <c r="HLY53" s="37"/>
      <c r="HLZ53" s="37"/>
      <c r="HMA53" s="37"/>
      <c r="HMB53" s="37"/>
      <c r="HMC53" s="37"/>
      <c r="HMD53" s="37"/>
      <c r="HME53" s="37"/>
      <c r="HMF53" s="37"/>
      <c r="HMG53" s="37"/>
      <c r="HMH53" s="37"/>
      <c r="HMI53" s="37"/>
      <c r="HMJ53" s="37"/>
      <c r="HMK53" s="37"/>
      <c r="HML53" s="37"/>
      <c r="HMM53" s="37"/>
      <c r="HMN53" s="37"/>
      <c r="HMO53" s="37"/>
      <c r="HMP53" s="37"/>
      <c r="HMQ53" s="37"/>
      <c r="HMR53" s="37"/>
      <c r="HMS53" s="37"/>
      <c r="HMT53" s="37"/>
      <c r="HMU53" s="37"/>
      <c r="HMV53" s="37"/>
      <c r="HMW53" s="37"/>
      <c r="HMX53" s="37"/>
      <c r="HMY53" s="37"/>
      <c r="HMZ53" s="37"/>
      <c r="HNA53" s="37"/>
      <c r="HNB53" s="37"/>
      <c r="HNC53" s="37"/>
      <c r="HND53" s="37"/>
      <c r="HNE53" s="37"/>
      <c r="HNF53" s="37"/>
      <c r="HNG53" s="37"/>
      <c r="HNH53" s="37"/>
      <c r="HNI53" s="37"/>
      <c r="HNJ53" s="37"/>
      <c r="HNK53" s="37"/>
      <c r="HNL53" s="37"/>
      <c r="HNM53" s="37"/>
      <c r="HNN53" s="37"/>
      <c r="HNO53" s="37"/>
      <c r="HNP53" s="37"/>
      <c r="HNQ53" s="37"/>
      <c r="HNR53" s="37"/>
      <c r="HNS53" s="37"/>
      <c r="HNT53" s="37"/>
      <c r="HNU53" s="37"/>
      <c r="HNV53" s="37"/>
      <c r="HNW53" s="37"/>
      <c r="HNX53" s="37"/>
      <c r="HNY53" s="37"/>
      <c r="HNZ53" s="37"/>
      <c r="HOA53" s="37"/>
      <c r="HOB53" s="37"/>
      <c r="HOC53" s="37"/>
      <c r="HOD53" s="37"/>
      <c r="HOE53" s="37"/>
      <c r="HOF53" s="37"/>
      <c r="HOG53" s="37"/>
      <c r="HOH53" s="37"/>
      <c r="HOI53" s="37"/>
      <c r="HOJ53" s="37"/>
      <c r="HOK53" s="37"/>
      <c r="HOL53" s="37"/>
      <c r="HOM53" s="37"/>
      <c r="HON53" s="37"/>
      <c r="HOO53" s="37"/>
      <c r="HOP53" s="37"/>
      <c r="HOQ53" s="37"/>
      <c r="HOR53" s="37"/>
      <c r="HOS53" s="37"/>
      <c r="HOT53" s="37"/>
      <c r="HOU53" s="37"/>
      <c r="HOV53" s="37"/>
      <c r="HOW53" s="37"/>
      <c r="HOX53" s="37"/>
      <c r="HOY53" s="37"/>
      <c r="HOZ53" s="37"/>
      <c r="HPA53" s="37"/>
      <c r="HPB53" s="37"/>
      <c r="HPC53" s="37"/>
      <c r="HPD53" s="37"/>
      <c r="HPE53" s="37"/>
      <c r="HPF53" s="37"/>
      <c r="HPG53" s="37"/>
      <c r="HPH53" s="37"/>
      <c r="HPI53" s="37"/>
      <c r="HPJ53" s="37"/>
      <c r="HPK53" s="37"/>
      <c r="HPL53" s="37"/>
      <c r="HPM53" s="37"/>
      <c r="HPN53" s="37"/>
      <c r="HPO53" s="37"/>
      <c r="HPP53" s="37"/>
      <c r="HPQ53" s="37"/>
      <c r="HPR53" s="37"/>
      <c r="HPS53" s="37"/>
      <c r="HPT53" s="37"/>
      <c r="HPU53" s="37"/>
      <c r="HPV53" s="37"/>
      <c r="HPW53" s="37"/>
      <c r="HPX53" s="37"/>
      <c r="HPY53" s="37"/>
      <c r="HPZ53" s="37"/>
      <c r="HQA53" s="37"/>
      <c r="HQB53" s="37"/>
      <c r="HQC53" s="37"/>
      <c r="HQD53" s="37"/>
      <c r="HQE53" s="37"/>
      <c r="HQF53" s="37"/>
      <c r="HQG53" s="37"/>
      <c r="HQH53" s="37"/>
      <c r="HQI53" s="37"/>
      <c r="HQJ53" s="37"/>
      <c r="HQK53" s="37"/>
      <c r="HQL53" s="37"/>
      <c r="HQM53" s="37"/>
      <c r="HQN53" s="37"/>
      <c r="HQO53" s="37"/>
      <c r="HQP53" s="37"/>
      <c r="HQQ53" s="37"/>
      <c r="HQR53" s="37"/>
      <c r="HQS53" s="37"/>
      <c r="HQT53" s="37"/>
      <c r="HQU53" s="37"/>
      <c r="HQV53" s="37"/>
      <c r="HQW53" s="37"/>
      <c r="HQX53" s="37"/>
      <c r="HQY53" s="37"/>
      <c r="HQZ53" s="37"/>
      <c r="HRA53" s="37"/>
      <c r="HRB53" s="37"/>
      <c r="HRC53" s="37"/>
      <c r="HRD53" s="37"/>
      <c r="HRE53" s="37"/>
      <c r="HRF53" s="37"/>
      <c r="HRG53" s="37"/>
      <c r="HRH53" s="37"/>
      <c r="HRI53" s="37"/>
      <c r="HRJ53" s="37"/>
      <c r="HRK53" s="37"/>
      <c r="HRL53" s="37"/>
      <c r="HRM53" s="37"/>
      <c r="HRN53" s="37"/>
      <c r="HRO53" s="37"/>
      <c r="HRP53" s="37"/>
      <c r="HRQ53" s="37"/>
      <c r="HRR53" s="37"/>
      <c r="HRS53" s="37"/>
      <c r="HRT53" s="37"/>
      <c r="HRU53" s="37"/>
      <c r="HRV53" s="37"/>
      <c r="HRW53" s="37"/>
      <c r="HRX53" s="37"/>
      <c r="HRY53" s="37"/>
      <c r="HRZ53" s="37"/>
      <c r="HSA53" s="37"/>
      <c r="HSB53" s="37"/>
      <c r="HSC53" s="37"/>
      <c r="HSD53" s="37"/>
      <c r="HSE53" s="37"/>
      <c r="HSF53" s="37"/>
      <c r="HSG53" s="37"/>
      <c r="HSH53" s="37"/>
      <c r="HSI53" s="37"/>
      <c r="HSJ53" s="37"/>
      <c r="HSK53" s="37"/>
      <c r="HSL53" s="37"/>
      <c r="HSM53" s="37"/>
      <c r="HSN53" s="37"/>
      <c r="HSO53" s="37"/>
      <c r="HSP53" s="37"/>
      <c r="HSQ53" s="37"/>
      <c r="HSR53" s="37"/>
      <c r="HSS53" s="37"/>
      <c r="HST53" s="37"/>
      <c r="HSU53" s="37"/>
      <c r="HSV53" s="37"/>
      <c r="HSW53" s="37"/>
      <c r="HSX53" s="37"/>
      <c r="HSY53" s="37"/>
      <c r="HSZ53" s="37"/>
      <c r="HTA53" s="37"/>
      <c r="HTB53" s="37"/>
      <c r="HTC53" s="37"/>
      <c r="HTD53" s="37"/>
      <c r="HTE53" s="37"/>
      <c r="HTF53" s="37"/>
      <c r="HTG53" s="37"/>
      <c r="HTH53" s="37"/>
      <c r="HTI53" s="37"/>
      <c r="HTJ53" s="37"/>
      <c r="HTK53" s="37"/>
      <c r="HTL53" s="37"/>
      <c r="HTM53" s="37"/>
      <c r="HTN53" s="37"/>
      <c r="HTO53" s="37"/>
      <c r="HTP53" s="37"/>
      <c r="HTQ53" s="37"/>
      <c r="HTR53" s="37"/>
      <c r="HTS53" s="37"/>
      <c r="HTT53" s="37"/>
      <c r="HTU53" s="37"/>
      <c r="HTV53" s="37"/>
      <c r="HTW53" s="37"/>
      <c r="HTX53" s="37"/>
      <c r="HTY53" s="37"/>
      <c r="HTZ53" s="37"/>
      <c r="HUA53" s="37"/>
      <c r="HUB53" s="37"/>
      <c r="HUC53" s="37"/>
      <c r="HUD53" s="37"/>
      <c r="HUE53" s="37"/>
      <c r="HUF53" s="37"/>
      <c r="HUG53" s="37"/>
      <c r="HUH53" s="37"/>
      <c r="HUI53" s="37"/>
      <c r="HUJ53" s="37"/>
      <c r="HUK53" s="37"/>
      <c r="HUL53" s="37"/>
      <c r="HUM53" s="37"/>
      <c r="HUN53" s="37"/>
      <c r="HUO53" s="37"/>
      <c r="HUP53" s="37"/>
      <c r="HUQ53" s="37"/>
      <c r="HUR53" s="37"/>
      <c r="HUS53" s="37"/>
      <c r="HUT53" s="37"/>
      <c r="HUU53" s="37"/>
      <c r="HUV53" s="37"/>
      <c r="HUW53" s="37"/>
      <c r="HUX53" s="37"/>
      <c r="HUY53" s="37"/>
      <c r="HUZ53" s="37"/>
      <c r="HVA53" s="37"/>
      <c r="HVB53" s="37"/>
      <c r="HVC53" s="37"/>
      <c r="HVD53" s="37"/>
      <c r="HVE53" s="37"/>
      <c r="HVF53" s="37"/>
      <c r="HVG53" s="37"/>
      <c r="HVH53" s="37"/>
      <c r="HVI53" s="37"/>
      <c r="HVJ53" s="37"/>
      <c r="HVK53" s="37"/>
      <c r="HVL53" s="37"/>
      <c r="HVM53" s="37"/>
      <c r="HVN53" s="37"/>
      <c r="HVO53" s="37"/>
      <c r="HVP53" s="37"/>
      <c r="HVQ53" s="37"/>
      <c r="HVR53" s="37"/>
      <c r="HVS53" s="37"/>
      <c r="HVT53" s="37"/>
      <c r="HVU53" s="37"/>
      <c r="HVV53" s="37"/>
      <c r="HVW53" s="37"/>
      <c r="HVX53" s="37"/>
      <c r="HVY53" s="37"/>
      <c r="HVZ53" s="37"/>
      <c r="HWA53" s="37"/>
      <c r="HWB53" s="37"/>
      <c r="HWC53" s="37"/>
      <c r="HWD53" s="37"/>
      <c r="HWE53" s="37"/>
      <c r="HWF53" s="37"/>
      <c r="HWG53" s="37"/>
      <c r="HWH53" s="37"/>
      <c r="HWI53" s="37"/>
      <c r="HWJ53" s="37"/>
      <c r="HWK53" s="37"/>
      <c r="HWL53" s="37"/>
      <c r="HWM53" s="37"/>
      <c r="HWN53" s="37"/>
      <c r="HWO53" s="37"/>
      <c r="HWP53" s="37"/>
      <c r="HWQ53" s="37"/>
      <c r="HWR53" s="37"/>
      <c r="HWS53" s="37"/>
      <c r="HWT53" s="37"/>
      <c r="HWU53" s="37"/>
      <c r="HWV53" s="37"/>
      <c r="HWW53" s="37"/>
      <c r="HWX53" s="37"/>
      <c r="HWY53" s="37"/>
      <c r="HWZ53" s="37"/>
      <c r="HXA53" s="37"/>
      <c r="HXB53" s="37"/>
      <c r="HXC53" s="37"/>
      <c r="HXD53" s="37"/>
      <c r="HXE53" s="37"/>
      <c r="HXF53" s="37"/>
      <c r="HXG53" s="37"/>
      <c r="HXH53" s="37"/>
      <c r="HXI53" s="37"/>
      <c r="HXJ53" s="37"/>
      <c r="HXK53" s="37"/>
      <c r="HXL53" s="37"/>
      <c r="HXM53" s="37"/>
      <c r="HXN53" s="37"/>
      <c r="HXO53" s="37"/>
      <c r="HXP53" s="37"/>
      <c r="HXQ53" s="37"/>
      <c r="HXR53" s="37"/>
      <c r="HXS53" s="37"/>
      <c r="HXT53" s="37"/>
      <c r="HXU53" s="37"/>
      <c r="HXV53" s="37"/>
      <c r="HXW53" s="37"/>
      <c r="HXX53" s="37"/>
      <c r="HXY53" s="37"/>
      <c r="HXZ53" s="37"/>
      <c r="HYA53" s="37"/>
      <c r="HYB53" s="37"/>
      <c r="HYC53" s="37"/>
      <c r="HYD53" s="37"/>
      <c r="HYE53" s="37"/>
      <c r="HYF53" s="37"/>
      <c r="HYG53" s="37"/>
      <c r="HYH53" s="37"/>
      <c r="HYI53" s="37"/>
      <c r="HYJ53" s="37"/>
      <c r="HYK53" s="37"/>
      <c r="HYL53" s="37"/>
      <c r="HYM53" s="37"/>
      <c r="HYN53" s="37"/>
      <c r="HYO53" s="37"/>
      <c r="HYP53" s="37"/>
      <c r="HYQ53" s="37"/>
      <c r="HYR53" s="37"/>
      <c r="HYS53" s="37"/>
      <c r="HYT53" s="37"/>
      <c r="HYU53" s="37"/>
      <c r="HYV53" s="37"/>
      <c r="HYW53" s="37"/>
      <c r="HYX53" s="37"/>
      <c r="HYY53" s="37"/>
      <c r="HYZ53" s="37"/>
      <c r="HZA53" s="37"/>
      <c r="HZB53" s="37"/>
      <c r="HZC53" s="37"/>
      <c r="HZD53" s="37"/>
      <c r="HZE53" s="37"/>
      <c r="HZF53" s="37"/>
      <c r="HZG53" s="37"/>
      <c r="HZH53" s="37"/>
      <c r="HZI53" s="37"/>
      <c r="HZJ53" s="37"/>
      <c r="HZK53" s="37"/>
      <c r="HZL53" s="37"/>
      <c r="HZM53" s="37"/>
      <c r="HZN53" s="37"/>
      <c r="HZO53" s="37"/>
      <c r="HZP53" s="37"/>
      <c r="HZQ53" s="37"/>
      <c r="HZR53" s="37"/>
      <c r="HZS53" s="37"/>
      <c r="HZT53" s="37"/>
      <c r="HZU53" s="37"/>
      <c r="HZV53" s="37"/>
      <c r="HZW53" s="37"/>
      <c r="HZX53" s="37"/>
      <c r="HZY53" s="37"/>
      <c r="HZZ53" s="37"/>
      <c r="IAA53" s="37"/>
      <c r="IAB53" s="37"/>
      <c r="IAC53" s="37"/>
      <c r="IAD53" s="37"/>
      <c r="IAE53" s="37"/>
      <c r="IAF53" s="37"/>
      <c r="IAG53" s="37"/>
      <c r="IAH53" s="37"/>
      <c r="IAI53" s="37"/>
      <c r="IAJ53" s="37"/>
      <c r="IAK53" s="37"/>
      <c r="IAL53" s="37"/>
      <c r="IAM53" s="37"/>
      <c r="IAN53" s="37"/>
      <c r="IAO53" s="37"/>
      <c r="IAP53" s="37"/>
      <c r="IAQ53" s="37"/>
      <c r="IAR53" s="37"/>
      <c r="IAS53" s="37"/>
      <c r="IAT53" s="37"/>
      <c r="IAU53" s="37"/>
      <c r="IAV53" s="37"/>
      <c r="IAW53" s="37"/>
      <c r="IAX53" s="37"/>
      <c r="IAY53" s="37"/>
      <c r="IAZ53" s="37"/>
      <c r="IBA53" s="37"/>
      <c r="IBB53" s="37"/>
      <c r="IBC53" s="37"/>
      <c r="IBD53" s="37"/>
      <c r="IBE53" s="37"/>
      <c r="IBF53" s="37"/>
      <c r="IBG53" s="37"/>
      <c r="IBH53" s="37"/>
      <c r="IBI53" s="37"/>
      <c r="IBJ53" s="37"/>
      <c r="IBK53" s="37"/>
      <c r="IBL53" s="37"/>
      <c r="IBM53" s="37"/>
      <c r="IBN53" s="37"/>
      <c r="IBO53" s="37"/>
      <c r="IBP53" s="37"/>
      <c r="IBQ53" s="37"/>
      <c r="IBR53" s="37"/>
      <c r="IBS53" s="37"/>
      <c r="IBT53" s="37"/>
      <c r="IBU53" s="37"/>
      <c r="IBV53" s="37"/>
      <c r="IBW53" s="37"/>
      <c r="IBX53" s="37"/>
      <c r="IBY53" s="37"/>
      <c r="IBZ53" s="37"/>
      <c r="ICA53" s="37"/>
      <c r="ICB53" s="37"/>
      <c r="ICC53" s="37"/>
      <c r="ICD53" s="37"/>
      <c r="ICE53" s="37"/>
      <c r="ICF53" s="37"/>
      <c r="ICG53" s="37"/>
      <c r="ICH53" s="37"/>
      <c r="ICI53" s="37"/>
      <c r="ICJ53" s="37"/>
      <c r="ICK53" s="37"/>
      <c r="ICL53" s="37"/>
      <c r="ICM53" s="37"/>
      <c r="ICN53" s="37"/>
      <c r="ICO53" s="37"/>
      <c r="ICP53" s="37"/>
      <c r="ICQ53" s="37"/>
      <c r="ICR53" s="37"/>
      <c r="ICS53" s="37"/>
      <c r="ICT53" s="37"/>
      <c r="ICU53" s="37"/>
      <c r="ICV53" s="37"/>
      <c r="ICW53" s="37"/>
      <c r="ICX53" s="37"/>
      <c r="ICY53" s="37"/>
      <c r="ICZ53" s="37"/>
      <c r="IDA53" s="37"/>
      <c r="IDB53" s="37"/>
      <c r="IDC53" s="37"/>
      <c r="IDD53" s="37"/>
      <c r="IDE53" s="37"/>
      <c r="IDF53" s="37"/>
      <c r="IDG53" s="37"/>
      <c r="IDH53" s="37"/>
      <c r="IDI53" s="37"/>
      <c r="IDJ53" s="37"/>
      <c r="IDK53" s="37"/>
      <c r="IDL53" s="37"/>
      <c r="IDM53" s="37"/>
      <c r="IDN53" s="37"/>
      <c r="IDO53" s="37"/>
      <c r="IDP53" s="37"/>
      <c r="IDQ53" s="37"/>
      <c r="IDR53" s="37"/>
      <c r="IDS53" s="37"/>
      <c r="IDT53" s="37"/>
      <c r="IDU53" s="37"/>
      <c r="IDV53" s="37"/>
      <c r="IDW53" s="37"/>
      <c r="IDX53" s="37"/>
      <c r="IDY53" s="37"/>
      <c r="IDZ53" s="37"/>
      <c r="IEA53" s="37"/>
      <c r="IEB53" s="37"/>
      <c r="IEC53" s="37"/>
      <c r="IED53" s="37"/>
      <c r="IEE53" s="37"/>
      <c r="IEF53" s="37"/>
      <c r="IEG53" s="37"/>
      <c r="IEH53" s="37"/>
      <c r="IEI53" s="37"/>
      <c r="IEJ53" s="37"/>
      <c r="IEK53" s="37"/>
      <c r="IEL53" s="37"/>
      <c r="IEM53" s="37"/>
      <c r="IEN53" s="37"/>
      <c r="IEO53" s="37"/>
      <c r="IEP53" s="37"/>
      <c r="IEQ53" s="37"/>
      <c r="IER53" s="37"/>
      <c r="IES53" s="37"/>
      <c r="IET53" s="37"/>
      <c r="IEU53" s="37"/>
      <c r="IEV53" s="37"/>
      <c r="IEW53" s="37"/>
      <c r="IEX53" s="37"/>
      <c r="IEY53" s="37"/>
      <c r="IEZ53" s="37"/>
      <c r="IFA53" s="37"/>
      <c r="IFB53" s="37"/>
      <c r="IFC53" s="37"/>
      <c r="IFD53" s="37"/>
      <c r="IFE53" s="37"/>
      <c r="IFF53" s="37"/>
      <c r="IFG53" s="37"/>
      <c r="IFH53" s="37"/>
      <c r="IFI53" s="37"/>
      <c r="IFJ53" s="37"/>
      <c r="IFK53" s="37"/>
      <c r="IFL53" s="37"/>
      <c r="IFM53" s="37"/>
      <c r="IFN53" s="37"/>
      <c r="IFO53" s="37"/>
      <c r="IFP53" s="37"/>
      <c r="IFQ53" s="37"/>
      <c r="IFR53" s="37"/>
      <c r="IFS53" s="37"/>
      <c r="IFT53" s="37"/>
      <c r="IFU53" s="37"/>
      <c r="IFV53" s="37"/>
      <c r="IFW53" s="37"/>
      <c r="IFX53" s="37"/>
      <c r="IFY53" s="37"/>
      <c r="IFZ53" s="37"/>
      <c r="IGA53" s="37"/>
      <c r="IGB53" s="37"/>
      <c r="IGC53" s="37"/>
      <c r="IGD53" s="37"/>
      <c r="IGE53" s="37"/>
      <c r="IGF53" s="37"/>
      <c r="IGG53" s="37"/>
      <c r="IGH53" s="37"/>
      <c r="IGI53" s="37"/>
      <c r="IGJ53" s="37"/>
      <c r="IGK53" s="37"/>
      <c r="IGL53" s="37"/>
      <c r="IGM53" s="37"/>
      <c r="IGN53" s="37"/>
      <c r="IGO53" s="37"/>
      <c r="IGP53" s="37"/>
      <c r="IGQ53" s="37"/>
      <c r="IGR53" s="37"/>
      <c r="IGS53" s="37"/>
      <c r="IGT53" s="37"/>
      <c r="IGU53" s="37"/>
      <c r="IGV53" s="37"/>
      <c r="IGW53" s="37"/>
      <c r="IGX53" s="37"/>
      <c r="IGY53" s="37"/>
      <c r="IGZ53" s="37"/>
      <c r="IHA53" s="37"/>
      <c r="IHB53" s="37"/>
      <c r="IHC53" s="37"/>
      <c r="IHD53" s="37"/>
      <c r="IHE53" s="37"/>
      <c r="IHF53" s="37"/>
      <c r="IHG53" s="37"/>
      <c r="IHH53" s="37"/>
      <c r="IHI53" s="37"/>
      <c r="IHJ53" s="37"/>
      <c r="IHK53" s="37"/>
      <c r="IHL53" s="37"/>
      <c r="IHM53" s="37"/>
      <c r="IHN53" s="37"/>
      <c r="IHO53" s="37"/>
      <c r="IHP53" s="37"/>
      <c r="IHQ53" s="37"/>
      <c r="IHR53" s="37"/>
      <c r="IHS53" s="37"/>
      <c r="IHT53" s="37"/>
      <c r="IHU53" s="37"/>
      <c r="IHV53" s="37"/>
      <c r="IHW53" s="37"/>
      <c r="IHX53" s="37"/>
      <c r="IHY53" s="37"/>
      <c r="IHZ53" s="37"/>
      <c r="IIA53" s="37"/>
      <c r="IIB53" s="37"/>
      <c r="IIC53" s="37"/>
      <c r="IID53" s="37"/>
      <c r="IIE53" s="37"/>
      <c r="IIF53" s="37"/>
      <c r="IIG53" s="37"/>
      <c r="IIH53" s="37"/>
      <c r="III53" s="37"/>
      <c r="IIJ53" s="37"/>
      <c r="IIK53" s="37"/>
      <c r="IIL53" s="37"/>
      <c r="IIM53" s="37"/>
      <c r="IIN53" s="37"/>
      <c r="IIO53" s="37"/>
      <c r="IIP53" s="37"/>
      <c r="IIQ53" s="37"/>
      <c r="IIR53" s="37"/>
      <c r="IIS53" s="37"/>
      <c r="IIT53" s="37"/>
      <c r="IIU53" s="37"/>
      <c r="IIV53" s="37"/>
      <c r="IIW53" s="37"/>
      <c r="IIX53" s="37"/>
      <c r="IIY53" s="37"/>
      <c r="IIZ53" s="37"/>
      <c r="IJA53" s="37"/>
      <c r="IJB53" s="37"/>
      <c r="IJC53" s="37"/>
      <c r="IJD53" s="37"/>
      <c r="IJE53" s="37"/>
      <c r="IJF53" s="37"/>
      <c r="IJG53" s="37"/>
      <c r="IJH53" s="37"/>
      <c r="IJI53" s="37"/>
      <c r="IJJ53" s="37"/>
      <c r="IJK53" s="37"/>
      <c r="IJL53" s="37"/>
      <c r="IJM53" s="37"/>
      <c r="IJN53" s="37"/>
      <c r="IJO53" s="37"/>
      <c r="IJP53" s="37"/>
      <c r="IJQ53" s="37"/>
      <c r="IJR53" s="37"/>
      <c r="IJS53" s="37"/>
      <c r="IJT53" s="37"/>
      <c r="IJU53" s="37"/>
      <c r="IJV53" s="37"/>
      <c r="IJW53" s="37"/>
      <c r="IJX53" s="37"/>
      <c r="IJY53" s="37"/>
      <c r="IJZ53" s="37"/>
      <c r="IKA53" s="37"/>
      <c r="IKB53" s="37"/>
      <c r="IKC53" s="37"/>
      <c r="IKD53" s="37"/>
      <c r="IKE53" s="37"/>
      <c r="IKF53" s="37"/>
      <c r="IKG53" s="37"/>
      <c r="IKH53" s="37"/>
      <c r="IKI53" s="37"/>
      <c r="IKJ53" s="37"/>
      <c r="IKK53" s="37"/>
      <c r="IKL53" s="37"/>
      <c r="IKM53" s="37"/>
      <c r="IKN53" s="37"/>
      <c r="IKO53" s="37"/>
      <c r="IKP53" s="37"/>
      <c r="IKQ53" s="37"/>
      <c r="IKR53" s="37"/>
      <c r="IKS53" s="37"/>
      <c r="IKT53" s="37"/>
      <c r="IKU53" s="37"/>
      <c r="IKV53" s="37"/>
      <c r="IKW53" s="37"/>
      <c r="IKX53" s="37"/>
      <c r="IKY53" s="37"/>
      <c r="IKZ53" s="37"/>
      <c r="ILA53" s="37"/>
      <c r="ILB53" s="37"/>
      <c r="ILC53" s="37"/>
      <c r="ILD53" s="37"/>
      <c r="ILE53" s="37"/>
      <c r="ILF53" s="37"/>
      <c r="ILG53" s="37"/>
      <c r="ILH53" s="37"/>
      <c r="ILI53" s="37"/>
      <c r="ILJ53" s="37"/>
      <c r="ILK53" s="37"/>
      <c r="ILL53" s="37"/>
      <c r="ILM53" s="37"/>
      <c r="ILN53" s="37"/>
      <c r="ILO53" s="37"/>
      <c r="ILP53" s="37"/>
      <c r="ILQ53" s="37"/>
      <c r="ILR53" s="37"/>
      <c r="ILS53" s="37"/>
      <c r="ILT53" s="37"/>
      <c r="ILU53" s="37"/>
      <c r="ILV53" s="37"/>
      <c r="ILW53" s="37"/>
      <c r="ILX53" s="37"/>
      <c r="ILY53" s="37"/>
      <c r="ILZ53" s="37"/>
      <c r="IMA53" s="37"/>
      <c r="IMB53" s="37"/>
      <c r="IMC53" s="37"/>
      <c r="IMD53" s="37"/>
      <c r="IME53" s="37"/>
      <c r="IMF53" s="37"/>
      <c r="IMG53" s="37"/>
      <c r="IMH53" s="37"/>
      <c r="IMI53" s="37"/>
      <c r="IMJ53" s="37"/>
      <c r="IMK53" s="37"/>
      <c r="IML53" s="37"/>
      <c r="IMM53" s="37"/>
      <c r="IMN53" s="37"/>
      <c r="IMO53" s="37"/>
      <c r="IMP53" s="37"/>
      <c r="IMQ53" s="37"/>
      <c r="IMR53" s="37"/>
      <c r="IMS53" s="37"/>
      <c r="IMT53" s="37"/>
      <c r="IMU53" s="37"/>
      <c r="IMV53" s="37"/>
      <c r="IMW53" s="37"/>
      <c r="IMX53" s="37"/>
      <c r="IMY53" s="37"/>
      <c r="IMZ53" s="37"/>
      <c r="INA53" s="37"/>
      <c r="INB53" s="37"/>
      <c r="INC53" s="37"/>
      <c r="IND53" s="37"/>
      <c r="INE53" s="37"/>
      <c r="INF53" s="37"/>
      <c r="ING53" s="37"/>
      <c r="INH53" s="37"/>
      <c r="INI53" s="37"/>
      <c r="INJ53" s="37"/>
      <c r="INK53" s="37"/>
      <c r="INL53" s="37"/>
      <c r="INM53" s="37"/>
      <c r="INN53" s="37"/>
      <c r="INO53" s="37"/>
      <c r="INP53" s="37"/>
      <c r="INQ53" s="37"/>
      <c r="INR53" s="37"/>
      <c r="INS53" s="37"/>
      <c r="INT53" s="37"/>
      <c r="INU53" s="37"/>
      <c r="INV53" s="37"/>
      <c r="INW53" s="37"/>
      <c r="INX53" s="37"/>
      <c r="INY53" s="37"/>
      <c r="INZ53" s="37"/>
      <c r="IOA53" s="37"/>
      <c r="IOB53" s="37"/>
      <c r="IOC53" s="37"/>
      <c r="IOD53" s="37"/>
      <c r="IOE53" s="37"/>
      <c r="IOF53" s="37"/>
      <c r="IOG53" s="37"/>
      <c r="IOH53" s="37"/>
      <c r="IOI53" s="37"/>
      <c r="IOJ53" s="37"/>
      <c r="IOK53" s="37"/>
      <c r="IOL53" s="37"/>
      <c r="IOM53" s="37"/>
      <c r="ION53" s="37"/>
      <c r="IOO53" s="37"/>
      <c r="IOP53" s="37"/>
      <c r="IOQ53" s="37"/>
      <c r="IOR53" s="37"/>
      <c r="IOS53" s="37"/>
      <c r="IOT53" s="37"/>
      <c r="IOU53" s="37"/>
      <c r="IOV53" s="37"/>
      <c r="IOW53" s="37"/>
      <c r="IOX53" s="37"/>
      <c r="IOY53" s="37"/>
      <c r="IOZ53" s="37"/>
      <c r="IPA53" s="37"/>
      <c r="IPB53" s="37"/>
      <c r="IPC53" s="37"/>
      <c r="IPD53" s="37"/>
      <c r="IPE53" s="37"/>
      <c r="IPF53" s="37"/>
      <c r="IPG53" s="37"/>
      <c r="IPH53" s="37"/>
      <c r="IPI53" s="37"/>
      <c r="IPJ53" s="37"/>
      <c r="IPK53" s="37"/>
      <c r="IPL53" s="37"/>
      <c r="IPM53" s="37"/>
      <c r="IPN53" s="37"/>
      <c r="IPO53" s="37"/>
      <c r="IPP53" s="37"/>
      <c r="IPQ53" s="37"/>
      <c r="IPR53" s="37"/>
      <c r="IPS53" s="37"/>
      <c r="IPT53" s="37"/>
      <c r="IPU53" s="37"/>
      <c r="IPV53" s="37"/>
      <c r="IPW53" s="37"/>
      <c r="IPX53" s="37"/>
      <c r="IPY53" s="37"/>
      <c r="IPZ53" s="37"/>
      <c r="IQA53" s="37"/>
      <c r="IQB53" s="37"/>
      <c r="IQC53" s="37"/>
      <c r="IQD53" s="37"/>
      <c r="IQE53" s="37"/>
      <c r="IQF53" s="37"/>
      <c r="IQG53" s="37"/>
      <c r="IQH53" s="37"/>
      <c r="IQI53" s="37"/>
      <c r="IQJ53" s="37"/>
      <c r="IQK53" s="37"/>
      <c r="IQL53" s="37"/>
      <c r="IQM53" s="37"/>
      <c r="IQN53" s="37"/>
      <c r="IQO53" s="37"/>
      <c r="IQP53" s="37"/>
      <c r="IQQ53" s="37"/>
      <c r="IQR53" s="37"/>
      <c r="IQS53" s="37"/>
      <c r="IQT53" s="37"/>
      <c r="IQU53" s="37"/>
      <c r="IQV53" s="37"/>
      <c r="IQW53" s="37"/>
      <c r="IQX53" s="37"/>
      <c r="IQY53" s="37"/>
      <c r="IQZ53" s="37"/>
      <c r="IRA53" s="37"/>
      <c r="IRB53" s="37"/>
      <c r="IRC53" s="37"/>
      <c r="IRD53" s="37"/>
      <c r="IRE53" s="37"/>
      <c r="IRF53" s="37"/>
      <c r="IRG53" s="37"/>
      <c r="IRH53" s="37"/>
      <c r="IRI53" s="37"/>
      <c r="IRJ53" s="37"/>
      <c r="IRK53" s="37"/>
      <c r="IRL53" s="37"/>
      <c r="IRM53" s="37"/>
      <c r="IRN53" s="37"/>
      <c r="IRO53" s="37"/>
      <c r="IRP53" s="37"/>
      <c r="IRQ53" s="37"/>
      <c r="IRR53" s="37"/>
      <c r="IRS53" s="37"/>
      <c r="IRT53" s="37"/>
      <c r="IRU53" s="37"/>
      <c r="IRV53" s="37"/>
      <c r="IRW53" s="37"/>
      <c r="IRX53" s="37"/>
      <c r="IRY53" s="37"/>
      <c r="IRZ53" s="37"/>
      <c r="ISA53" s="37"/>
      <c r="ISB53" s="37"/>
      <c r="ISC53" s="37"/>
      <c r="ISD53" s="37"/>
      <c r="ISE53" s="37"/>
      <c r="ISF53" s="37"/>
      <c r="ISG53" s="37"/>
      <c r="ISH53" s="37"/>
      <c r="ISI53" s="37"/>
      <c r="ISJ53" s="37"/>
      <c r="ISK53" s="37"/>
      <c r="ISL53" s="37"/>
      <c r="ISM53" s="37"/>
      <c r="ISN53" s="37"/>
      <c r="ISO53" s="37"/>
      <c r="ISP53" s="37"/>
      <c r="ISQ53" s="37"/>
      <c r="ISR53" s="37"/>
      <c r="ISS53" s="37"/>
      <c r="IST53" s="37"/>
      <c r="ISU53" s="37"/>
      <c r="ISV53" s="37"/>
      <c r="ISW53" s="37"/>
      <c r="ISX53" s="37"/>
      <c r="ISY53" s="37"/>
      <c r="ISZ53" s="37"/>
      <c r="ITA53" s="37"/>
      <c r="ITB53" s="37"/>
      <c r="ITC53" s="37"/>
      <c r="ITD53" s="37"/>
      <c r="ITE53" s="37"/>
      <c r="ITF53" s="37"/>
      <c r="ITG53" s="37"/>
      <c r="ITH53" s="37"/>
      <c r="ITI53" s="37"/>
      <c r="ITJ53" s="37"/>
      <c r="ITK53" s="37"/>
      <c r="ITL53" s="37"/>
      <c r="ITM53" s="37"/>
      <c r="ITN53" s="37"/>
      <c r="ITO53" s="37"/>
      <c r="ITP53" s="37"/>
      <c r="ITQ53" s="37"/>
      <c r="ITR53" s="37"/>
      <c r="ITS53" s="37"/>
      <c r="ITT53" s="37"/>
      <c r="ITU53" s="37"/>
      <c r="ITV53" s="37"/>
      <c r="ITW53" s="37"/>
      <c r="ITX53" s="37"/>
      <c r="ITY53" s="37"/>
      <c r="ITZ53" s="37"/>
      <c r="IUA53" s="37"/>
      <c r="IUB53" s="37"/>
      <c r="IUC53" s="37"/>
      <c r="IUD53" s="37"/>
      <c r="IUE53" s="37"/>
      <c r="IUF53" s="37"/>
      <c r="IUG53" s="37"/>
      <c r="IUH53" s="37"/>
      <c r="IUI53" s="37"/>
      <c r="IUJ53" s="37"/>
      <c r="IUK53" s="37"/>
      <c r="IUL53" s="37"/>
      <c r="IUM53" s="37"/>
      <c r="IUN53" s="37"/>
      <c r="IUO53" s="37"/>
      <c r="IUP53" s="37"/>
      <c r="IUQ53" s="37"/>
      <c r="IUR53" s="37"/>
      <c r="IUS53" s="37"/>
      <c r="IUT53" s="37"/>
      <c r="IUU53" s="37"/>
      <c r="IUV53" s="37"/>
      <c r="IUW53" s="37"/>
      <c r="IUX53" s="37"/>
      <c r="IUY53" s="37"/>
      <c r="IUZ53" s="37"/>
      <c r="IVA53" s="37"/>
      <c r="IVB53" s="37"/>
      <c r="IVC53" s="37"/>
      <c r="IVD53" s="37"/>
      <c r="IVE53" s="37"/>
      <c r="IVF53" s="37"/>
      <c r="IVG53" s="37"/>
      <c r="IVH53" s="37"/>
      <c r="IVI53" s="37"/>
      <c r="IVJ53" s="37"/>
      <c r="IVK53" s="37"/>
      <c r="IVL53" s="37"/>
      <c r="IVM53" s="37"/>
      <c r="IVN53" s="37"/>
      <c r="IVO53" s="37"/>
      <c r="IVP53" s="37"/>
      <c r="IVQ53" s="37"/>
      <c r="IVR53" s="37"/>
      <c r="IVS53" s="37"/>
      <c r="IVT53" s="37"/>
      <c r="IVU53" s="37"/>
      <c r="IVV53" s="37"/>
      <c r="IVW53" s="37"/>
      <c r="IVX53" s="37"/>
      <c r="IVY53" s="37"/>
      <c r="IVZ53" s="37"/>
      <c r="IWA53" s="37"/>
      <c r="IWB53" s="37"/>
      <c r="IWC53" s="37"/>
      <c r="IWD53" s="37"/>
      <c r="IWE53" s="37"/>
      <c r="IWF53" s="37"/>
      <c r="IWG53" s="37"/>
      <c r="IWH53" s="37"/>
      <c r="IWI53" s="37"/>
      <c r="IWJ53" s="37"/>
      <c r="IWK53" s="37"/>
      <c r="IWL53" s="37"/>
      <c r="IWM53" s="37"/>
      <c r="IWN53" s="37"/>
      <c r="IWO53" s="37"/>
      <c r="IWP53" s="37"/>
      <c r="IWQ53" s="37"/>
      <c r="IWR53" s="37"/>
      <c r="IWS53" s="37"/>
      <c r="IWT53" s="37"/>
      <c r="IWU53" s="37"/>
      <c r="IWV53" s="37"/>
      <c r="IWW53" s="37"/>
      <c r="IWX53" s="37"/>
      <c r="IWY53" s="37"/>
      <c r="IWZ53" s="37"/>
      <c r="IXA53" s="37"/>
      <c r="IXB53" s="37"/>
      <c r="IXC53" s="37"/>
      <c r="IXD53" s="37"/>
      <c r="IXE53" s="37"/>
      <c r="IXF53" s="37"/>
      <c r="IXG53" s="37"/>
      <c r="IXH53" s="37"/>
      <c r="IXI53" s="37"/>
      <c r="IXJ53" s="37"/>
      <c r="IXK53" s="37"/>
      <c r="IXL53" s="37"/>
      <c r="IXM53" s="37"/>
      <c r="IXN53" s="37"/>
      <c r="IXO53" s="37"/>
      <c r="IXP53" s="37"/>
      <c r="IXQ53" s="37"/>
      <c r="IXR53" s="37"/>
      <c r="IXS53" s="37"/>
      <c r="IXT53" s="37"/>
      <c r="IXU53" s="37"/>
      <c r="IXV53" s="37"/>
      <c r="IXW53" s="37"/>
      <c r="IXX53" s="37"/>
      <c r="IXY53" s="37"/>
      <c r="IXZ53" s="37"/>
      <c r="IYA53" s="37"/>
      <c r="IYB53" s="37"/>
      <c r="IYC53" s="37"/>
      <c r="IYD53" s="37"/>
      <c r="IYE53" s="37"/>
      <c r="IYF53" s="37"/>
      <c r="IYG53" s="37"/>
      <c r="IYH53" s="37"/>
      <c r="IYI53" s="37"/>
      <c r="IYJ53" s="37"/>
      <c r="IYK53" s="37"/>
      <c r="IYL53" s="37"/>
      <c r="IYM53" s="37"/>
      <c r="IYN53" s="37"/>
      <c r="IYO53" s="37"/>
      <c r="IYP53" s="37"/>
      <c r="IYQ53" s="37"/>
      <c r="IYR53" s="37"/>
      <c r="IYS53" s="37"/>
      <c r="IYT53" s="37"/>
      <c r="IYU53" s="37"/>
      <c r="IYV53" s="37"/>
      <c r="IYW53" s="37"/>
      <c r="IYX53" s="37"/>
      <c r="IYY53" s="37"/>
      <c r="IYZ53" s="37"/>
      <c r="IZA53" s="37"/>
      <c r="IZB53" s="37"/>
      <c r="IZC53" s="37"/>
      <c r="IZD53" s="37"/>
      <c r="IZE53" s="37"/>
      <c r="IZF53" s="37"/>
      <c r="IZG53" s="37"/>
      <c r="IZH53" s="37"/>
      <c r="IZI53" s="37"/>
      <c r="IZJ53" s="37"/>
      <c r="IZK53" s="37"/>
      <c r="IZL53" s="37"/>
      <c r="IZM53" s="37"/>
      <c r="IZN53" s="37"/>
      <c r="IZO53" s="37"/>
      <c r="IZP53" s="37"/>
      <c r="IZQ53" s="37"/>
      <c r="IZR53" s="37"/>
      <c r="IZS53" s="37"/>
      <c r="IZT53" s="37"/>
      <c r="IZU53" s="37"/>
      <c r="IZV53" s="37"/>
      <c r="IZW53" s="37"/>
      <c r="IZX53" s="37"/>
      <c r="IZY53" s="37"/>
      <c r="IZZ53" s="37"/>
      <c r="JAA53" s="37"/>
      <c r="JAB53" s="37"/>
      <c r="JAC53" s="37"/>
      <c r="JAD53" s="37"/>
      <c r="JAE53" s="37"/>
      <c r="JAF53" s="37"/>
      <c r="JAG53" s="37"/>
      <c r="JAH53" s="37"/>
      <c r="JAI53" s="37"/>
      <c r="JAJ53" s="37"/>
      <c r="JAK53" s="37"/>
      <c r="JAL53" s="37"/>
      <c r="JAM53" s="37"/>
      <c r="JAN53" s="37"/>
      <c r="JAO53" s="37"/>
      <c r="JAP53" s="37"/>
      <c r="JAQ53" s="37"/>
      <c r="JAR53" s="37"/>
      <c r="JAS53" s="37"/>
      <c r="JAT53" s="37"/>
      <c r="JAU53" s="37"/>
      <c r="JAV53" s="37"/>
      <c r="JAW53" s="37"/>
      <c r="JAX53" s="37"/>
      <c r="JAY53" s="37"/>
      <c r="JAZ53" s="37"/>
      <c r="JBA53" s="37"/>
      <c r="JBB53" s="37"/>
      <c r="JBC53" s="37"/>
      <c r="JBD53" s="37"/>
      <c r="JBE53" s="37"/>
      <c r="JBF53" s="37"/>
      <c r="JBG53" s="37"/>
      <c r="JBH53" s="37"/>
      <c r="JBI53" s="37"/>
      <c r="JBJ53" s="37"/>
      <c r="JBK53" s="37"/>
      <c r="JBL53" s="37"/>
      <c r="JBM53" s="37"/>
      <c r="JBN53" s="37"/>
      <c r="JBO53" s="37"/>
      <c r="JBP53" s="37"/>
      <c r="JBQ53" s="37"/>
      <c r="JBR53" s="37"/>
      <c r="JBS53" s="37"/>
      <c r="JBT53" s="37"/>
      <c r="JBU53" s="37"/>
      <c r="JBV53" s="37"/>
      <c r="JBW53" s="37"/>
      <c r="JBX53" s="37"/>
      <c r="JBY53" s="37"/>
      <c r="JBZ53" s="37"/>
      <c r="JCA53" s="37"/>
      <c r="JCB53" s="37"/>
      <c r="JCC53" s="37"/>
      <c r="JCD53" s="37"/>
      <c r="JCE53" s="37"/>
      <c r="JCF53" s="37"/>
      <c r="JCG53" s="37"/>
      <c r="JCH53" s="37"/>
      <c r="JCI53" s="37"/>
      <c r="JCJ53" s="37"/>
      <c r="JCK53" s="37"/>
      <c r="JCL53" s="37"/>
      <c r="JCM53" s="37"/>
      <c r="JCN53" s="37"/>
      <c r="JCO53" s="37"/>
      <c r="JCP53" s="37"/>
      <c r="JCQ53" s="37"/>
      <c r="JCR53" s="37"/>
      <c r="JCS53" s="37"/>
      <c r="JCT53" s="37"/>
      <c r="JCU53" s="37"/>
      <c r="JCV53" s="37"/>
      <c r="JCW53" s="37"/>
      <c r="JCX53" s="37"/>
      <c r="JCY53" s="37"/>
      <c r="JCZ53" s="37"/>
      <c r="JDA53" s="37"/>
      <c r="JDB53" s="37"/>
      <c r="JDC53" s="37"/>
      <c r="JDD53" s="37"/>
      <c r="JDE53" s="37"/>
      <c r="JDF53" s="37"/>
      <c r="JDG53" s="37"/>
      <c r="JDH53" s="37"/>
      <c r="JDI53" s="37"/>
      <c r="JDJ53" s="37"/>
      <c r="JDK53" s="37"/>
      <c r="JDL53" s="37"/>
      <c r="JDM53" s="37"/>
      <c r="JDN53" s="37"/>
      <c r="JDO53" s="37"/>
      <c r="JDP53" s="37"/>
      <c r="JDQ53" s="37"/>
      <c r="JDR53" s="37"/>
      <c r="JDS53" s="37"/>
      <c r="JDT53" s="37"/>
      <c r="JDU53" s="37"/>
      <c r="JDV53" s="37"/>
      <c r="JDW53" s="37"/>
      <c r="JDX53" s="37"/>
      <c r="JDY53" s="37"/>
      <c r="JDZ53" s="37"/>
      <c r="JEA53" s="37"/>
      <c r="JEB53" s="37"/>
      <c r="JEC53" s="37"/>
      <c r="JED53" s="37"/>
      <c r="JEE53" s="37"/>
      <c r="JEF53" s="37"/>
      <c r="JEG53" s="37"/>
      <c r="JEH53" s="37"/>
      <c r="JEI53" s="37"/>
      <c r="JEJ53" s="37"/>
      <c r="JEK53" s="37"/>
      <c r="JEL53" s="37"/>
      <c r="JEM53" s="37"/>
      <c r="JEN53" s="37"/>
      <c r="JEO53" s="37"/>
      <c r="JEP53" s="37"/>
      <c r="JEQ53" s="37"/>
      <c r="JER53" s="37"/>
      <c r="JES53" s="37"/>
      <c r="JET53" s="37"/>
      <c r="JEU53" s="37"/>
      <c r="JEV53" s="37"/>
      <c r="JEW53" s="37"/>
      <c r="JEX53" s="37"/>
      <c r="JEY53" s="37"/>
      <c r="JEZ53" s="37"/>
      <c r="JFA53" s="37"/>
      <c r="JFB53" s="37"/>
      <c r="JFC53" s="37"/>
      <c r="JFD53" s="37"/>
      <c r="JFE53" s="37"/>
      <c r="JFF53" s="37"/>
      <c r="JFG53" s="37"/>
      <c r="JFH53" s="37"/>
      <c r="JFI53" s="37"/>
      <c r="JFJ53" s="37"/>
      <c r="JFK53" s="37"/>
      <c r="JFL53" s="37"/>
      <c r="JFM53" s="37"/>
      <c r="JFN53" s="37"/>
      <c r="JFO53" s="37"/>
      <c r="JFP53" s="37"/>
      <c r="JFQ53" s="37"/>
      <c r="JFR53" s="37"/>
      <c r="JFS53" s="37"/>
      <c r="JFT53" s="37"/>
      <c r="JFU53" s="37"/>
      <c r="JFV53" s="37"/>
      <c r="JFW53" s="37"/>
      <c r="JFX53" s="37"/>
      <c r="JFY53" s="37"/>
      <c r="JFZ53" s="37"/>
      <c r="JGA53" s="37"/>
      <c r="JGB53" s="37"/>
      <c r="JGC53" s="37"/>
      <c r="JGD53" s="37"/>
      <c r="JGE53" s="37"/>
      <c r="JGF53" s="37"/>
      <c r="JGG53" s="37"/>
      <c r="JGH53" s="37"/>
      <c r="JGI53" s="37"/>
      <c r="JGJ53" s="37"/>
      <c r="JGK53" s="37"/>
      <c r="JGL53" s="37"/>
      <c r="JGM53" s="37"/>
      <c r="JGN53" s="37"/>
      <c r="JGO53" s="37"/>
      <c r="JGP53" s="37"/>
      <c r="JGQ53" s="37"/>
      <c r="JGR53" s="37"/>
      <c r="JGS53" s="37"/>
      <c r="JGT53" s="37"/>
      <c r="JGU53" s="37"/>
      <c r="JGV53" s="37"/>
      <c r="JGW53" s="37"/>
      <c r="JGX53" s="37"/>
      <c r="JGY53" s="37"/>
      <c r="JGZ53" s="37"/>
      <c r="JHA53" s="37"/>
      <c r="JHB53" s="37"/>
      <c r="JHC53" s="37"/>
      <c r="JHD53" s="37"/>
      <c r="JHE53" s="37"/>
      <c r="JHF53" s="37"/>
      <c r="JHG53" s="37"/>
      <c r="JHH53" s="37"/>
      <c r="JHI53" s="37"/>
      <c r="JHJ53" s="37"/>
      <c r="JHK53" s="37"/>
      <c r="JHL53" s="37"/>
      <c r="JHM53" s="37"/>
      <c r="JHN53" s="37"/>
      <c r="JHO53" s="37"/>
      <c r="JHP53" s="37"/>
      <c r="JHQ53" s="37"/>
      <c r="JHR53" s="37"/>
      <c r="JHS53" s="37"/>
      <c r="JHT53" s="37"/>
      <c r="JHU53" s="37"/>
      <c r="JHV53" s="37"/>
      <c r="JHW53" s="37"/>
      <c r="JHX53" s="37"/>
      <c r="JHY53" s="37"/>
      <c r="JHZ53" s="37"/>
      <c r="JIA53" s="37"/>
      <c r="JIB53" s="37"/>
      <c r="JIC53" s="37"/>
      <c r="JID53" s="37"/>
      <c r="JIE53" s="37"/>
      <c r="JIF53" s="37"/>
      <c r="JIG53" s="37"/>
      <c r="JIH53" s="37"/>
      <c r="JII53" s="37"/>
      <c r="JIJ53" s="37"/>
      <c r="JIK53" s="37"/>
      <c r="JIL53" s="37"/>
      <c r="JIM53" s="37"/>
      <c r="JIN53" s="37"/>
      <c r="JIO53" s="37"/>
      <c r="JIP53" s="37"/>
      <c r="JIQ53" s="37"/>
      <c r="JIR53" s="37"/>
      <c r="JIS53" s="37"/>
      <c r="JIT53" s="37"/>
      <c r="JIU53" s="37"/>
      <c r="JIV53" s="37"/>
      <c r="JIW53" s="37"/>
      <c r="JIX53" s="37"/>
      <c r="JIY53" s="37"/>
      <c r="JIZ53" s="37"/>
      <c r="JJA53" s="37"/>
      <c r="JJB53" s="37"/>
      <c r="JJC53" s="37"/>
      <c r="JJD53" s="37"/>
      <c r="JJE53" s="37"/>
      <c r="JJF53" s="37"/>
      <c r="JJG53" s="37"/>
      <c r="JJH53" s="37"/>
      <c r="JJI53" s="37"/>
      <c r="JJJ53" s="37"/>
      <c r="JJK53" s="37"/>
      <c r="JJL53" s="37"/>
      <c r="JJM53" s="37"/>
      <c r="JJN53" s="37"/>
      <c r="JJO53" s="37"/>
      <c r="JJP53" s="37"/>
      <c r="JJQ53" s="37"/>
      <c r="JJR53" s="37"/>
      <c r="JJS53" s="37"/>
      <c r="JJT53" s="37"/>
      <c r="JJU53" s="37"/>
      <c r="JJV53" s="37"/>
      <c r="JJW53" s="37"/>
      <c r="JJX53" s="37"/>
      <c r="JJY53" s="37"/>
      <c r="JJZ53" s="37"/>
      <c r="JKA53" s="37"/>
      <c r="JKB53" s="37"/>
      <c r="JKC53" s="37"/>
      <c r="JKD53" s="37"/>
      <c r="JKE53" s="37"/>
      <c r="JKF53" s="37"/>
      <c r="JKG53" s="37"/>
      <c r="JKH53" s="37"/>
      <c r="JKI53" s="37"/>
      <c r="JKJ53" s="37"/>
      <c r="JKK53" s="37"/>
      <c r="JKL53" s="37"/>
      <c r="JKM53" s="37"/>
      <c r="JKN53" s="37"/>
      <c r="JKO53" s="37"/>
      <c r="JKP53" s="37"/>
      <c r="JKQ53" s="37"/>
      <c r="JKR53" s="37"/>
      <c r="JKS53" s="37"/>
      <c r="JKT53" s="37"/>
      <c r="JKU53" s="37"/>
      <c r="JKV53" s="37"/>
      <c r="JKW53" s="37"/>
      <c r="JKX53" s="37"/>
      <c r="JKY53" s="37"/>
      <c r="JKZ53" s="37"/>
      <c r="JLA53" s="37"/>
      <c r="JLB53" s="37"/>
      <c r="JLC53" s="37"/>
      <c r="JLD53" s="37"/>
      <c r="JLE53" s="37"/>
      <c r="JLF53" s="37"/>
      <c r="JLG53" s="37"/>
      <c r="JLH53" s="37"/>
      <c r="JLI53" s="37"/>
      <c r="JLJ53" s="37"/>
      <c r="JLK53" s="37"/>
      <c r="JLL53" s="37"/>
      <c r="JLM53" s="37"/>
      <c r="JLN53" s="37"/>
      <c r="JLO53" s="37"/>
      <c r="JLP53" s="37"/>
      <c r="JLQ53" s="37"/>
      <c r="JLR53" s="37"/>
      <c r="JLS53" s="37"/>
      <c r="JLT53" s="37"/>
      <c r="JLU53" s="37"/>
      <c r="JLV53" s="37"/>
      <c r="JLW53" s="37"/>
      <c r="JLX53" s="37"/>
      <c r="JLY53" s="37"/>
      <c r="JLZ53" s="37"/>
      <c r="JMA53" s="37"/>
      <c r="JMB53" s="37"/>
      <c r="JMC53" s="37"/>
      <c r="JMD53" s="37"/>
      <c r="JME53" s="37"/>
      <c r="JMF53" s="37"/>
      <c r="JMG53" s="37"/>
      <c r="JMH53" s="37"/>
      <c r="JMI53" s="37"/>
      <c r="JMJ53" s="37"/>
      <c r="JMK53" s="37"/>
      <c r="JML53" s="37"/>
      <c r="JMM53" s="37"/>
      <c r="JMN53" s="37"/>
      <c r="JMO53" s="37"/>
      <c r="JMP53" s="37"/>
      <c r="JMQ53" s="37"/>
      <c r="JMR53" s="37"/>
      <c r="JMS53" s="37"/>
      <c r="JMT53" s="37"/>
      <c r="JMU53" s="37"/>
      <c r="JMV53" s="37"/>
      <c r="JMW53" s="37"/>
      <c r="JMX53" s="37"/>
      <c r="JMY53" s="37"/>
      <c r="JMZ53" s="37"/>
      <c r="JNA53" s="37"/>
      <c r="JNB53" s="37"/>
      <c r="JNC53" s="37"/>
      <c r="JND53" s="37"/>
      <c r="JNE53" s="37"/>
      <c r="JNF53" s="37"/>
      <c r="JNG53" s="37"/>
      <c r="JNH53" s="37"/>
      <c r="JNI53" s="37"/>
      <c r="JNJ53" s="37"/>
      <c r="JNK53" s="37"/>
      <c r="JNL53" s="37"/>
      <c r="JNM53" s="37"/>
      <c r="JNN53" s="37"/>
      <c r="JNO53" s="37"/>
      <c r="JNP53" s="37"/>
      <c r="JNQ53" s="37"/>
      <c r="JNR53" s="37"/>
      <c r="JNS53" s="37"/>
      <c r="JNT53" s="37"/>
      <c r="JNU53" s="37"/>
      <c r="JNV53" s="37"/>
      <c r="JNW53" s="37"/>
      <c r="JNX53" s="37"/>
      <c r="JNY53" s="37"/>
      <c r="JNZ53" s="37"/>
      <c r="JOA53" s="37"/>
      <c r="JOB53" s="37"/>
      <c r="JOC53" s="37"/>
      <c r="JOD53" s="37"/>
      <c r="JOE53" s="37"/>
      <c r="JOF53" s="37"/>
      <c r="JOG53" s="37"/>
      <c r="JOH53" s="37"/>
      <c r="JOI53" s="37"/>
      <c r="JOJ53" s="37"/>
      <c r="JOK53" s="37"/>
      <c r="JOL53" s="37"/>
      <c r="JOM53" s="37"/>
      <c r="JON53" s="37"/>
      <c r="JOO53" s="37"/>
      <c r="JOP53" s="37"/>
      <c r="JOQ53" s="37"/>
      <c r="JOR53" s="37"/>
      <c r="JOS53" s="37"/>
      <c r="JOT53" s="37"/>
      <c r="JOU53" s="37"/>
      <c r="JOV53" s="37"/>
      <c r="JOW53" s="37"/>
      <c r="JOX53" s="37"/>
      <c r="JOY53" s="37"/>
      <c r="JOZ53" s="37"/>
      <c r="JPA53" s="37"/>
      <c r="JPB53" s="37"/>
      <c r="JPC53" s="37"/>
      <c r="JPD53" s="37"/>
      <c r="JPE53" s="37"/>
      <c r="JPF53" s="37"/>
      <c r="JPG53" s="37"/>
      <c r="JPH53" s="37"/>
      <c r="JPI53" s="37"/>
      <c r="JPJ53" s="37"/>
      <c r="JPK53" s="37"/>
      <c r="JPL53" s="37"/>
      <c r="JPM53" s="37"/>
      <c r="JPN53" s="37"/>
      <c r="JPO53" s="37"/>
      <c r="JPP53" s="37"/>
      <c r="JPQ53" s="37"/>
      <c r="JPR53" s="37"/>
      <c r="JPS53" s="37"/>
      <c r="JPT53" s="37"/>
      <c r="JPU53" s="37"/>
      <c r="JPV53" s="37"/>
      <c r="JPW53" s="37"/>
      <c r="JPX53" s="37"/>
      <c r="JPY53" s="37"/>
      <c r="JPZ53" s="37"/>
      <c r="JQA53" s="37"/>
      <c r="JQB53" s="37"/>
      <c r="JQC53" s="37"/>
      <c r="JQD53" s="37"/>
      <c r="JQE53" s="37"/>
      <c r="JQF53" s="37"/>
      <c r="JQG53" s="37"/>
      <c r="JQH53" s="37"/>
      <c r="JQI53" s="37"/>
      <c r="JQJ53" s="37"/>
      <c r="JQK53" s="37"/>
      <c r="JQL53" s="37"/>
      <c r="JQM53" s="37"/>
      <c r="JQN53" s="37"/>
      <c r="JQO53" s="37"/>
      <c r="JQP53" s="37"/>
      <c r="JQQ53" s="37"/>
      <c r="JQR53" s="37"/>
      <c r="JQS53" s="37"/>
      <c r="JQT53" s="37"/>
      <c r="JQU53" s="37"/>
      <c r="JQV53" s="37"/>
      <c r="JQW53" s="37"/>
      <c r="JQX53" s="37"/>
      <c r="JQY53" s="37"/>
      <c r="JQZ53" s="37"/>
      <c r="JRA53" s="37"/>
      <c r="JRB53" s="37"/>
      <c r="JRC53" s="37"/>
      <c r="JRD53" s="37"/>
      <c r="JRE53" s="37"/>
      <c r="JRF53" s="37"/>
      <c r="JRG53" s="37"/>
      <c r="JRH53" s="37"/>
      <c r="JRI53" s="37"/>
      <c r="JRJ53" s="37"/>
      <c r="JRK53" s="37"/>
      <c r="JRL53" s="37"/>
      <c r="JRM53" s="37"/>
      <c r="JRN53" s="37"/>
      <c r="JRO53" s="37"/>
      <c r="JRP53" s="37"/>
      <c r="JRQ53" s="37"/>
      <c r="JRR53" s="37"/>
      <c r="JRS53" s="37"/>
      <c r="JRT53" s="37"/>
      <c r="JRU53" s="37"/>
      <c r="JRV53" s="37"/>
      <c r="JRW53" s="37"/>
      <c r="JRX53" s="37"/>
      <c r="JRY53" s="37"/>
      <c r="JRZ53" s="37"/>
      <c r="JSA53" s="37"/>
      <c r="JSB53" s="37"/>
      <c r="JSC53" s="37"/>
      <c r="JSD53" s="37"/>
      <c r="JSE53" s="37"/>
      <c r="JSF53" s="37"/>
      <c r="JSG53" s="37"/>
      <c r="JSH53" s="37"/>
      <c r="JSI53" s="37"/>
      <c r="JSJ53" s="37"/>
      <c r="JSK53" s="37"/>
      <c r="JSL53" s="37"/>
      <c r="JSM53" s="37"/>
      <c r="JSN53" s="37"/>
      <c r="JSO53" s="37"/>
      <c r="JSP53" s="37"/>
      <c r="JSQ53" s="37"/>
      <c r="JSR53" s="37"/>
      <c r="JSS53" s="37"/>
      <c r="JST53" s="37"/>
      <c r="JSU53" s="37"/>
      <c r="JSV53" s="37"/>
      <c r="JSW53" s="37"/>
      <c r="JSX53" s="37"/>
      <c r="JSY53" s="37"/>
      <c r="JSZ53" s="37"/>
      <c r="JTA53" s="37"/>
      <c r="JTB53" s="37"/>
      <c r="JTC53" s="37"/>
      <c r="JTD53" s="37"/>
      <c r="JTE53" s="37"/>
      <c r="JTF53" s="37"/>
      <c r="JTG53" s="37"/>
      <c r="JTH53" s="37"/>
      <c r="JTI53" s="37"/>
      <c r="JTJ53" s="37"/>
      <c r="JTK53" s="37"/>
      <c r="JTL53" s="37"/>
      <c r="JTM53" s="37"/>
      <c r="JTN53" s="37"/>
      <c r="JTO53" s="37"/>
      <c r="JTP53" s="37"/>
      <c r="JTQ53" s="37"/>
      <c r="JTR53" s="37"/>
      <c r="JTS53" s="37"/>
      <c r="JTT53" s="37"/>
      <c r="JTU53" s="37"/>
      <c r="JTV53" s="37"/>
      <c r="JTW53" s="37"/>
      <c r="JTX53" s="37"/>
      <c r="JTY53" s="37"/>
      <c r="JTZ53" s="37"/>
      <c r="JUA53" s="37"/>
      <c r="JUB53" s="37"/>
      <c r="JUC53" s="37"/>
      <c r="JUD53" s="37"/>
      <c r="JUE53" s="37"/>
      <c r="JUF53" s="37"/>
      <c r="JUG53" s="37"/>
      <c r="JUH53" s="37"/>
      <c r="JUI53" s="37"/>
      <c r="JUJ53" s="37"/>
      <c r="JUK53" s="37"/>
      <c r="JUL53" s="37"/>
      <c r="JUM53" s="37"/>
      <c r="JUN53" s="37"/>
      <c r="JUO53" s="37"/>
      <c r="JUP53" s="37"/>
      <c r="JUQ53" s="37"/>
      <c r="JUR53" s="37"/>
      <c r="JUS53" s="37"/>
      <c r="JUT53" s="37"/>
      <c r="JUU53" s="37"/>
      <c r="JUV53" s="37"/>
      <c r="JUW53" s="37"/>
      <c r="JUX53" s="37"/>
      <c r="JUY53" s="37"/>
      <c r="JUZ53" s="37"/>
      <c r="JVA53" s="37"/>
      <c r="JVB53" s="37"/>
      <c r="JVC53" s="37"/>
      <c r="JVD53" s="37"/>
      <c r="JVE53" s="37"/>
      <c r="JVF53" s="37"/>
      <c r="JVG53" s="37"/>
      <c r="JVH53" s="37"/>
      <c r="JVI53" s="37"/>
      <c r="JVJ53" s="37"/>
      <c r="JVK53" s="37"/>
      <c r="JVL53" s="37"/>
      <c r="JVM53" s="37"/>
      <c r="JVN53" s="37"/>
      <c r="JVO53" s="37"/>
      <c r="JVP53" s="37"/>
      <c r="JVQ53" s="37"/>
      <c r="JVR53" s="37"/>
      <c r="JVS53" s="37"/>
      <c r="JVT53" s="37"/>
      <c r="JVU53" s="37"/>
      <c r="JVV53" s="37"/>
      <c r="JVW53" s="37"/>
      <c r="JVX53" s="37"/>
      <c r="JVY53" s="37"/>
      <c r="JVZ53" s="37"/>
      <c r="JWA53" s="37"/>
      <c r="JWB53" s="37"/>
      <c r="JWC53" s="37"/>
      <c r="JWD53" s="37"/>
      <c r="JWE53" s="37"/>
      <c r="JWF53" s="37"/>
      <c r="JWG53" s="37"/>
      <c r="JWH53" s="37"/>
      <c r="JWI53" s="37"/>
      <c r="JWJ53" s="37"/>
      <c r="JWK53" s="37"/>
      <c r="JWL53" s="37"/>
      <c r="JWM53" s="37"/>
      <c r="JWN53" s="37"/>
      <c r="JWO53" s="37"/>
      <c r="JWP53" s="37"/>
      <c r="JWQ53" s="37"/>
      <c r="JWR53" s="37"/>
      <c r="JWS53" s="37"/>
      <c r="JWT53" s="37"/>
      <c r="JWU53" s="37"/>
      <c r="JWV53" s="37"/>
      <c r="JWW53" s="37"/>
      <c r="JWX53" s="37"/>
      <c r="JWY53" s="37"/>
      <c r="JWZ53" s="37"/>
      <c r="JXA53" s="37"/>
      <c r="JXB53" s="37"/>
      <c r="JXC53" s="37"/>
      <c r="JXD53" s="37"/>
      <c r="JXE53" s="37"/>
      <c r="JXF53" s="37"/>
      <c r="JXG53" s="37"/>
      <c r="JXH53" s="37"/>
      <c r="JXI53" s="37"/>
      <c r="JXJ53" s="37"/>
      <c r="JXK53" s="37"/>
      <c r="JXL53" s="37"/>
      <c r="JXM53" s="37"/>
      <c r="JXN53" s="37"/>
      <c r="JXO53" s="37"/>
      <c r="JXP53" s="37"/>
      <c r="JXQ53" s="37"/>
      <c r="JXR53" s="37"/>
      <c r="JXS53" s="37"/>
      <c r="JXT53" s="37"/>
      <c r="JXU53" s="37"/>
      <c r="JXV53" s="37"/>
      <c r="JXW53" s="37"/>
      <c r="JXX53" s="37"/>
      <c r="JXY53" s="37"/>
      <c r="JXZ53" s="37"/>
      <c r="JYA53" s="37"/>
      <c r="JYB53" s="37"/>
      <c r="JYC53" s="37"/>
      <c r="JYD53" s="37"/>
      <c r="JYE53" s="37"/>
      <c r="JYF53" s="37"/>
      <c r="JYG53" s="37"/>
      <c r="JYH53" s="37"/>
      <c r="JYI53" s="37"/>
      <c r="JYJ53" s="37"/>
      <c r="JYK53" s="37"/>
      <c r="JYL53" s="37"/>
      <c r="JYM53" s="37"/>
      <c r="JYN53" s="37"/>
      <c r="JYO53" s="37"/>
      <c r="JYP53" s="37"/>
      <c r="JYQ53" s="37"/>
      <c r="JYR53" s="37"/>
      <c r="JYS53" s="37"/>
      <c r="JYT53" s="37"/>
      <c r="JYU53" s="37"/>
      <c r="JYV53" s="37"/>
      <c r="JYW53" s="37"/>
      <c r="JYX53" s="37"/>
      <c r="JYY53" s="37"/>
      <c r="JYZ53" s="37"/>
      <c r="JZA53" s="37"/>
      <c r="JZB53" s="37"/>
      <c r="JZC53" s="37"/>
      <c r="JZD53" s="37"/>
      <c r="JZE53" s="37"/>
      <c r="JZF53" s="37"/>
      <c r="JZG53" s="37"/>
      <c r="JZH53" s="37"/>
      <c r="JZI53" s="37"/>
      <c r="JZJ53" s="37"/>
      <c r="JZK53" s="37"/>
      <c r="JZL53" s="37"/>
      <c r="JZM53" s="37"/>
      <c r="JZN53" s="37"/>
      <c r="JZO53" s="37"/>
      <c r="JZP53" s="37"/>
      <c r="JZQ53" s="37"/>
      <c r="JZR53" s="37"/>
      <c r="JZS53" s="37"/>
      <c r="JZT53" s="37"/>
      <c r="JZU53" s="37"/>
      <c r="JZV53" s="37"/>
      <c r="JZW53" s="37"/>
      <c r="JZX53" s="37"/>
      <c r="JZY53" s="37"/>
      <c r="JZZ53" s="37"/>
      <c r="KAA53" s="37"/>
      <c r="KAB53" s="37"/>
      <c r="KAC53" s="37"/>
      <c r="KAD53" s="37"/>
      <c r="KAE53" s="37"/>
      <c r="KAF53" s="37"/>
      <c r="KAG53" s="37"/>
      <c r="KAH53" s="37"/>
      <c r="KAI53" s="37"/>
      <c r="KAJ53" s="37"/>
      <c r="KAK53" s="37"/>
      <c r="KAL53" s="37"/>
      <c r="KAM53" s="37"/>
      <c r="KAN53" s="37"/>
      <c r="KAO53" s="37"/>
      <c r="KAP53" s="37"/>
      <c r="KAQ53" s="37"/>
      <c r="KAR53" s="37"/>
      <c r="KAS53" s="37"/>
      <c r="KAT53" s="37"/>
      <c r="KAU53" s="37"/>
      <c r="KAV53" s="37"/>
      <c r="KAW53" s="37"/>
      <c r="KAX53" s="37"/>
      <c r="KAY53" s="37"/>
      <c r="KAZ53" s="37"/>
      <c r="KBA53" s="37"/>
      <c r="KBB53" s="37"/>
      <c r="KBC53" s="37"/>
      <c r="KBD53" s="37"/>
      <c r="KBE53" s="37"/>
      <c r="KBF53" s="37"/>
      <c r="KBG53" s="37"/>
      <c r="KBH53" s="37"/>
      <c r="KBI53" s="37"/>
      <c r="KBJ53" s="37"/>
      <c r="KBK53" s="37"/>
      <c r="KBL53" s="37"/>
      <c r="KBM53" s="37"/>
      <c r="KBN53" s="37"/>
      <c r="KBO53" s="37"/>
      <c r="KBP53" s="37"/>
      <c r="KBQ53" s="37"/>
      <c r="KBR53" s="37"/>
      <c r="KBS53" s="37"/>
      <c r="KBT53" s="37"/>
      <c r="KBU53" s="37"/>
      <c r="KBV53" s="37"/>
      <c r="KBW53" s="37"/>
      <c r="KBX53" s="37"/>
      <c r="KBY53" s="37"/>
      <c r="KBZ53" s="37"/>
      <c r="KCA53" s="37"/>
      <c r="KCB53" s="37"/>
      <c r="KCC53" s="37"/>
      <c r="KCD53" s="37"/>
      <c r="KCE53" s="37"/>
      <c r="KCF53" s="37"/>
      <c r="KCG53" s="37"/>
      <c r="KCH53" s="37"/>
      <c r="KCI53" s="37"/>
      <c r="KCJ53" s="37"/>
      <c r="KCK53" s="37"/>
      <c r="KCL53" s="37"/>
      <c r="KCM53" s="37"/>
      <c r="KCN53" s="37"/>
      <c r="KCO53" s="37"/>
      <c r="KCP53" s="37"/>
      <c r="KCQ53" s="37"/>
      <c r="KCR53" s="37"/>
      <c r="KCS53" s="37"/>
      <c r="KCT53" s="37"/>
      <c r="KCU53" s="37"/>
      <c r="KCV53" s="37"/>
      <c r="KCW53" s="37"/>
      <c r="KCX53" s="37"/>
      <c r="KCY53" s="37"/>
      <c r="KCZ53" s="37"/>
      <c r="KDA53" s="37"/>
      <c r="KDB53" s="37"/>
      <c r="KDC53" s="37"/>
      <c r="KDD53" s="37"/>
      <c r="KDE53" s="37"/>
      <c r="KDF53" s="37"/>
      <c r="KDG53" s="37"/>
      <c r="KDH53" s="37"/>
      <c r="KDI53" s="37"/>
      <c r="KDJ53" s="37"/>
      <c r="KDK53" s="37"/>
      <c r="KDL53" s="37"/>
      <c r="KDM53" s="37"/>
      <c r="KDN53" s="37"/>
      <c r="KDO53" s="37"/>
      <c r="KDP53" s="37"/>
      <c r="KDQ53" s="37"/>
      <c r="KDR53" s="37"/>
      <c r="KDS53" s="37"/>
      <c r="KDT53" s="37"/>
      <c r="KDU53" s="37"/>
      <c r="KDV53" s="37"/>
      <c r="KDW53" s="37"/>
      <c r="KDX53" s="37"/>
      <c r="KDY53" s="37"/>
      <c r="KDZ53" s="37"/>
      <c r="KEA53" s="37"/>
      <c r="KEB53" s="37"/>
      <c r="KEC53" s="37"/>
      <c r="KED53" s="37"/>
      <c r="KEE53" s="37"/>
      <c r="KEF53" s="37"/>
      <c r="KEG53" s="37"/>
      <c r="KEH53" s="37"/>
      <c r="KEI53" s="37"/>
      <c r="KEJ53" s="37"/>
      <c r="KEK53" s="37"/>
      <c r="KEL53" s="37"/>
      <c r="KEM53" s="37"/>
      <c r="KEN53" s="37"/>
      <c r="KEO53" s="37"/>
      <c r="KEP53" s="37"/>
      <c r="KEQ53" s="37"/>
      <c r="KER53" s="37"/>
      <c r="KES53" s="37"/>
      <c r="KET53" s="37"/>
      <c r="KEU53" s="37"/>
      <c r="KEV53" s="37"/>
      <c r="KEW53" s="37"/>
      <c r="KEX53" s="37"/>
      <c r="KEY53" s="37"/>
      <c r="KEZ53" s="37"/>
      <c r="KFA53" s="37"/>
      <c r="KFB53" s="37"/>
      <c r="KFC53" s="37"/>
      <c r="KFD53" s="37"/>
      <c r="KFE53" s="37"/>
      <c r="KFF53" s="37"/>
      <c r="KFG53" s="37"/>
      <c r="KFH53" s="37"/>
      <c r="KFI53" s="37"/>
      <c r="KFJ53" s="37"/>
      <c r="KFK53" s="37"/>
      <c r="KFL53" s="37"/>
      <c r="KFM53" s="37"/>
      <c r="KFN53" s="37"/>
      <c r="KFO53" s="37"/>
      <c r="KFP53" s="37"/>
      <c r="KFQ53" s="37"/>
      <c r="KFR53" s="37"/>
      <c r="KFS53" s="37"/>
      <c r="KFT53" s="37"/>
      <c r="KFU53" s="37"/>
      <c r="KFV53" s="37"/>
      <c r="KFW53" s="37"/>
      <c r="KFX53" s="37"/>
      <c r="KFY53" s="37"/>
      <c r="KFZ53" s="37"/>
      <c r="KGA53" s="37"/>
      <c r="KGB53" s="37"/>
      <c r="KGC53" s="37"/>
      <c r="KGD53" s="37"/>
      <c r="KGE53" s="37"/>
      <c r="KGF53" s="37"/>
      <c r="KGG53" s="37"/>
      <c r="KGH53" s="37"/>
      <c r="KGI53" s="37"/>
      <c r="KGJ53" s="37"/>
      <c r="KGK53" s="37"/>
      <c r="KGL53" s="37"/>
      <c r="KGM53" s="37"/>
      <c r="KGN53" s="37"/>
      <c r="KGO53" s="37"/>
      <c r="KGP53" s="37"/>
      <c r="KGQ53" s="37"/>
      <c r="KGR53" s="37"/>
      <c r="KGS53" s="37"/>
      <c r="KGT53" s="37"/>
      <c r="KGU53" s="37"/>
      <c r="KGV53" s="37"/>
      <c r="KGW53" s="37"/>
      <c r="KGX53" s="37"/>
      <c r="KGY53" s="37"/>
      <c r="KGZ53" s="37"/>
      <c r="KHA53" s="37"/>
      <c r="KHB53" s="37"/>
      <c r="KHC53" s="37"/>
      <c r="KHD53" s="37"/>
      <c r="KHE53" s="37"/>
      <c r="KHF53" s="37"/>
      <c r="KHG53" s="37"/>
      <c r="KHH53" s="37"/>
      <c r="KHI53" s="37"/>
      <c r="KHJ53" s="37"/>
      <c r="KHK53" s="37"/>
      <c r="KHL53" s="37"/>
      <c r="KHM53" s="37"/>
      <c r="KHN53" s="37"/>
      <c r="KHO53" s="37"/>
      <c r="KHP53" s="37"/>
      <c r="KHQ53" s="37"/>
      <c r="KHR53" s="37"/>
      <c r="KHS53" s="37"/>
      <c r="KHT53" s="37"/>
      <c r="KHU53" s="37"/>
      <c r="KHV53" s="37"/>
      <c r="KHW53" s="37"/>
      <c r="KHX53" s="37"/>
      <c r="KHY53" s="37"/>
      <c r="KHZ53" s="37"/>
      <c r="KIA53" s="37"/>
      <c r="KIB53" s="37"/>
      <c r="KIC53" s="37"/>
      <c r="KID53" s="37"/>
      <c r="KIE53" s="37"/>
      <c r="KIF53" s="37"/>
      <c r="KIG53" s="37"/>
      <c r="KIH53" s="37"/>
      <c r="KII53" s="37"/>
      <c r="KIJ53" s="37"/>
      <c r="KIK53" s="37"/>
      <c r="KIL53" s="37"/>
      <c r="KIM53" s="37"/>
      <c r="KIN53" s="37"/>
      <c r="KIO53" s="37"/>
      <c r="KIP53" s="37"/>
      <c r="KIQ53" s="37"/>
      <c r="KIR53" s="37"/>
      <c r="KIS53" s="37"/>
      <c r="KIT53" s="37"/>
      <c r="KIU53" s="37"/>
      <c r="KIV53" s="37"/>
      <c r="KIW53" s="37"/>
      <c r="KIX53" s="37"/>
      <c r="KIY53" s="37"/>
      <c r="KIZ53" s="37"/>
      <c r="KJA53" s="37"/>
      <c r="KJB53" s="37"/>
      <c r="KJC53" s="37"/>
      <c r="KJD53" s="37"/>
      <c r="KJE53" s="37"/>
      <c r="KJF53" s="37"/>
      <c r="KJG53" s="37"/>
      <c r="KJH53" s="37"/>
      <c r="KJI53" s="37"/>
      <c r="KJJ53" s="37"/>
      <c r="KJK53" s="37"/>
      <c r="KJL53" s="37"/>
      <c r="KJM53" s="37"/>
      <c r="KJN53" s="37"/>
      <c r="KJO53" s="37"/>
      <c r="KJP53" s="37"/>
      <c r="KJQ53" s="37"/>
      <c r="KJR53" s="37"/>
      <c r="KJS53" s="37"/>
      <c r="KJT53" s="37"/>
      <c r="KJU53" s="37"/>
      <c r="KJV53" s="37"/>
      <c r="KJW53" s="37"/>
      <c r="KJX53" s="37"/>
      <c r="KJY53" s="37"/>
      <c r="KJZ53" s="37"/>
      <c r="KKA53" s="37"/>
      <c r="KKB53" s="37"/>
      <c r="KKC53" s="37"/>
      <c r="KKD53" s="37"/>
      <c r="KKE53" s="37"/>
      <c r="KKF53" s="37"/>
      <c r="KKG53" s="37"/>
      <c r="KKH53" s="37"/>
      <c r="KKI53" s="37"/>
      <c r="KKJ53" s="37"/>
      <c r="KKK53" s="37"/>
      <c r="KKL53" s="37"/>
      <c r="KKM53" s="37"/>
      <c r="KKN53" s="37"/>
      <c r="KKO53" s="37"/>
      <c r="KKP53" s="37"/>
      <c r="KKQ53" s="37"/>
      <c r="KKR53" s="37"/>
      <c r="KKS53" s="37"/>
      <c r="KKT53" s="37"/>
      <c r="KKU53" s="37"/>
      <c r="KKV53" s="37"/>
      <c r="KKW53" s="37"/>
      <c r="KKX53" s="37"/>
      <c r="KKY53" s="37"/>
      <c r="KKZ53" s="37"/>
      <c r="KLA53" s="37"/>
      <c r="KLB53" s="37"/>
      <c r="KLC53" s="37"/>
      <c r="KLD53" s="37"/>
      <c r="KLE53" s="37"/>
      <c r="KLF53" s="37"/>
      <c r="KLG53" s="37"/>
      <c r="KLH53" s="37"/>
      <c r="KLI53" s="37"/>
      <c r="KLJ53" s="37"/>
      <c r="KLK53" s="37"/>
      <c r="KLL53" s="37"/>
      <c r="KLM53" s="37"/>
      <c r="KLN53" s="37"/>
      <c r="KLO53" s="37"/>
      <c r="KLP53" s="37"/>
      <c r="KLQ53" s="37"/>
      <c r="KLR53" s="37"/>
      <c r="KLS53" s="37"/>
      <c r="KLT53" s="37"/>
      <c r="KLU53" s="37"/>
      <c r="KLV53" s="37"/>
      <c r="KLW53" s="37"/>
      <c r="KLX53" s="37"/>
      <c r="KLY53" s="37"/>
      <c r="KLZ53" s="37"/>
      <c r="KMA53" s="37"/>
      <c r="KMB53" s="37"/>
      <c r="KMC53" s="37"/>
      <c r="KMD53" s="37"/>
      <c r="KME53" s="37"/>
      <c r="KMF53" s="37"/>
      <c r="KMG53" s="37"/>
      <c r="KMH53" s="37"/>
      <c r="KMI53" s="37"/>
      <c r="KMJ53" s="37"/>
      <c r="KMK53" s="37"/>
      <c r="KML53" s="37"/>
      <c r="KMM53" s="37"/>
      <c r="KMN53" s="37"/>
      <c r="KMO53" s="37"/>
      <c r="KMP53" s="37"/>
      <c r="KMQ53" s="37"/>
      <c r="KMR53" s="37"/>
      <c r="KMS53" s="37"/>
      <c r="KMT53" s="37"/>
      <c r="KMU53" s="37"/>
      <c r="KMV53" s="37"/>
      <c r="KMW53" s="37"/>
      <c r="KMX53" s="37"/>
      <c r="KMY53" s="37"/>
      <c r="KMZ53" s="37"/>
      <c r="KNA53" s="37"/>
      <c r="KNB53" s="37"/>
      <c r="KNC53" s="37"/>
      <c r="KND53" s="37"/>
      <c r="KNE53" s="37"/>
      <c r="KNF53" s="37"/>
      <c r="KNG53" s="37"/>
      <c r="KNH53" s="37"/>
      <c r="KNI53" s="37"/>
      <c r="KNJ53" s="37"/>
      <c r="KNK53" s="37"/>
      <c r="KNL53" s="37"/>
      <c r="KNM53" s="37"/>
      <c r="KNN53" s="37"/>
      <c r="KNO53" s="37"/>
      <c r="KNP53" s="37"/>
      <c r="KNQ53" s="37"/>
      <c r="KNR53" s="37"/>
      <c r="KNS53" s="37"/>
      <c r="KNT53" s="37"/>
      <c r="KNU53" s="37"/>
      <c r="KNV53" s="37"/>
      <c r="KNW53" s="37"/>
      <c r="KNX53" s="37"/>
      <c r="KNY53" s="37"/>
      <c r="KNZ53" s="37"/>
      <c r="KOA53" s="37"/>
      <c r="KOB53" s="37"/>
      <c r="KOC53" s="37"/>
      <c r="KOD53" s="37"/>
      <c r="KOE53" s="37"/>
      <c r="KOF53" s="37"/>
      <c r="KOG53" s="37"/>
      <c r="KOH53" s="37"/>
      <c r="KOI53" s="37"/>
      <c r="KOJ53" s="37"/>
      <c r="KOK53" s="37"/>
      <c r="KOL53" s="37"/>
      <c r="KOM53" s="37"/>
      <c r="KON53" s="37"/>
      <c r="KOO53" s="37"/>
      <c r="KOP53" s="37"/>
      <c r="KOQ53" s="37"/>
      <c r="KOR53" s="37"/>
      <c r="KOS53" s="37"/>
      <c r="KOT53" s="37"/>
      <c r="KOU53" s="37"/>
      <c r="KOV53" s="37"/>
      <c r="KOW53" s="37"/>
      <c r="KOX53" s="37"/>
      <c r="KOY53" s="37"/>
      <c r="KOZ53" s="37"/>
      <c r="KPA53" s="37"/>
      <c r="KPB53" s="37"/>
      <c r="KPC53" s="37"/>
      <c r="KPD53" s="37"/>
      <c r="KPE53" s="37"/>
      <c r="KPF53" s="37"/>
      <c r="KPG53" s="37"/>
      <c r="KPH53" s="37"/>
      <c r="KPI53" s="37"/>
      <c r="KPJ53" s="37"/>
      <c r="KPK53" s="37"/>
      <c r="KPL53" s="37"/>
      <c r="KPM53" s="37"/>
      <c r="KPN53" s="37"/>
      <c r="KPO53" s="37"/>
      <c r="KPP53" s="37"/>
      <c r="KPQ53" s="37"/>
      <c r="KPR53" s="37"/>
      <c r="KPS53" s="37"/>
      <c r="KPT53" s="37"/>
      <c r="KPU53" s="37"/>
      <c r="KPV53" s="37"/>
      <c r="KPW53" s="37"/>
      <c r="KPX53" s="37"/>
      <c r="KPY53" s="37"/>
      <c r="KPZ53" s="37"/>
      <c r="KQA53" s="37"/>
      <c r="KQB53" s="37"/>
      <c r="KQC53" s="37"/>
      <c r="KQD53" s="37"/>
      <c r="KQE53" s="37"/>
      <c r="KQF53" s="37"/>
      <c r="KQG53" s="37"/>
      <c r="KQH53" s="37"/>
      <c r="KQI53" s="37"/>
      <c r="KQJ53" s="37"/>
      <c r="KQK53" s="37"/>
      <c r="KQL53" s="37"/>
      <c r="KQM53" s="37"/>
      <c r="KQN53" s="37"/>
      <c r="KQO53" s="37"/>
      <c r="KQP53" s="37"/>
      <c r="KQQ53" s="37"/>
      <c r="KQR53" s="37"/>
      <c r="KQS53" s="37"/>
      <c r="KQT53" s="37"/>
      <c r="KQU53" s="37"/>
      <c r="KQV53" s="37"/>
      <c r="KQW53" s="37"/>
      <c r="KQX53" s="37"/>
      <c r="KQY53" s="37"/>
      <c r="KQZ53" s="37"/>
      <c r="KRA53" s="37"/>
      <c r="KRB53" s="37"/>
      <c r="KRC53" s="37"/>
      <c r="KRD53" s="37"/>
      <c r="KRE53" s="37"/>
      <c r="KRF53" s="37"/>
      <c r="KRG53" s="37"/>
      <c r="KRH53" s="37"/>
      <c r="KRI53" s="37"/>
      <c r="KRJ53" s="37"/>
      <c r="KRK53" s="37"/>
      <c r="KRL53" s="37"/>
      <c r="KRM53" s="37"/>
      <c r="KRN53" s="37"/>
      <c r="KRO53" s="37"/>
      <c r="KRP53" s="37"/>
      <c r="KRQ53" s="37"/>
      <c r="KRR53" s="37"/>
      <c r="KRS53" s="37"/>
      <c r="KRT53" s="37"/>
      <c r="KRU53" s="37"/>
      <c r="KRV53" s="37"/>
      <c r="KRW53" s="37"/>
      <c r="KRX53" s="37"/>
      <c r="KRY53" s="37"/>
      <c r="KRZ53" s="37"/>
      <c r="KSA53" s="37"/>
      <c r="KSB53" s="37"/>
      <c r="KSC53" s="37"/>
      <c r="KSD53" s="37"/>
      <c r="KSE53" s="37"/>
      <c r="KSF53" s="37"/>
      <c r="KSG53" s="37"/>
      <c r="KSH53" s="37"/>
      <c r="KSI53" s="37"/>
      <c r="KSJ53" s="37"/>
      <c r="KSK53" s="37"/>
      <c r="KSL53" s="37"/>
      <c r="KSM53" s="37"/>
      <c r="KSN53" s="37"/>
      <c r="KSO53" s="37"/>
      <c r="KSP53" s="37"/>
      <c r="KSQ53" s="37"/>
      <c r="KSR53" s="37"/>
      <c r="KSS53" s="37"/>
      <c r="KST53" s="37"/>
      <c r="KSU53" s="37"/>
      <c r="KSV53" s="37"/>
      <c r="KSW53" s="37"/>
      <c r="KSX53" s="37"/>
      <c r="KSY53" s="37"/>
      <c r="KSZ53" s="37"/>
      <c r="KTA53" s="37"/>
      <c r="KTB53" s="37"/>
      <c r="KTC53" s="37"/>
      <c r="KTD53" s="37"/>
      <c r="KTE53" s="37"/>
      <c r="KTF53" s="37"/>
      <c r="KTG53" s="37"/>
      <c r="KTH53" s="37"/>
      <c r="KTI53" s="37"/>
      <c r="KTJ53" s="37"/>
      <c r="KTK53" s="37"/>
      <c r="KTL53" s="37"/>
      <c r="KTM53" s="37"/>
      <c r="KTN53" s="37"/>
      <c r="KTO53" s="37"/>
      <c r="KTP53" s="37"/>
      <c r="KTQ53" s="37"/>
      <c r="KTR53" s="37"/>
      <c r="KTS53" s="37"/>
      <c r="KTT53" s="37"/>
      <c r="KTU53" s="37"/>
      <c r="KTV53" s="37"/>
      <c r="KTW53" s="37"/>
      <c r="KTX53" s="37"/>
      <c r="KTY53" s="37"/>
      <c r="KTZ53" s="37"/>
      <c r="KUA53" s="37"/>
      <c r="KUB53" s="37"/>
      <c r="KUC53" s="37"/>
      <c r="KUD53" s="37"/>
      <c r="KUE53" s="37"/>
      <c r="KUF53" s="37"/>
      <c r="KUG53" s="37"/>
      <c r="KUH53" s="37"/>
      <c r="KUI53" s="37"/>
      <c r="KUJ53" s="37"/>
      <c r="KUK53" s="37"/>
      <c r="KUL53" s="37"/>
      <c r="KUM53" s="37"/>
      <c r="KUN53" s="37"/>
      <c r="KUO53" s="37"/>
      <c r="KUP53" s="37"/>
      <c r="KUQ53" s="37"/>
      <c r="KUR53" s="37"/>
      <c r="KUS53" s="37"/>
      <c r="KUT53" s="37"/>
      <c r="KUU53" s="37"/>
      <c r="KUV53" s="37"/>
      <c r="KUW53" s="37"/>
      <c r="KUX53" s="37"/>
      <c r="KUY53" s="37"/>
      <c r="KUZ53" s="37"/>
      <c r="KVA53" s="37"/>
      <c r="KVB53" s="37"/>
      <c r="KVC53" s="37"/>
      <c r="KVD53" s="37"/>
      <c r="KVE53" s="37"/>
      <c r="KVF53" s="37"/>
      <c r="KVG53" s="37"/>
      <c r="KVH53" s="37"/>
      <c r="KVI53" s="37"/>
      <c r="KVJ53" s="37"/>
      <c r="KVK53" s="37"/>
      <c r="KVL53" s="37"/>
      <c r="KVM53" s="37"/>
      <c r="KVN53" s="37"/>
      <c r="KVO53" s="37"/>
      <c r="KVP53" s="37"/>
      <c r="KVQ53" s="37"/>
      <c r="KVR53" s="37"/>
      <c r="KVS53" s="37"/>
      <c r="KVT53" s="37"/>
      <c r="KVU53" s="37"/>
      <c r="KVV53" s="37"/>
      <c r="KVW53" s="37"/>
      <c r="KVX53" s="37"/>
      <c r="KVY53" s="37"/>
      <c r="KVZ53" s="37"/>
      <c r="KWA53" s="37"/>
      <c r="KWB53" s="37"/>
      <c r="KWC53" s="37"/>
      <c r="KWD53" s="37"/>
      <c r="KWE53" s="37"/>
      <c r="KWF53" s="37"/>
      <c r="KWG53" s="37"/>
      <c r="KWH53" s="37"/>
      <c r="KWI53" s="37"/>
      <c r="KWJ53" s="37"/>
      <c r="KWK53" s="37"/>
      <c r="KWL53" s="37"/>
      <c r="KWM53" s="37"/>
      <c r="KWN53" s="37"/>
      <c r="KWO53" s="37"/>
      <c r="KWP53" s="37"/>
      <c r="KWQ53" s="37"/>
      <c r="KWR53" s="37"/>
      <c r="KWS53" s="37"/>
      <c r="KWT53" s="37"/>
      <c r="KWU53" s="37"/>
      <c r="KWV53" s="37"/>
      <c r="KWW53" s="37"/>
      <c r="KWX53" s="37"/>
      <c r="KWY53" s="37"/>
      <c r="KWZ53" s="37"/>
      <c r="KXA53" s="37"/>
      <c r="KXB53" s="37"/>
      <c r="KXC53" s="37"/>
      <c r="KXD53" s="37"/>
      <c r="KXE53" s="37"/>
      <c r="KXF53" s="37"/>
      <c r="KXG53" s="37"/>
      <c r="KXH53" s="37"/>
      <c r="KXI53" s="37"/>
      <c r="KXJ53" s="37"/>
      <c r="KXK53" s="37"/>
      <c r="KXL53" s="37"/>
      <c r="KXM53" s="37"/>
      <c r="KXN53" s="37"/>
      <c r="KXO53" s="37"/>
      <c r="KXP53" s="37"/>
      <c r="KXQ53" s="37"/>
      <c r="KXR53" s="37"/>
      <c r="KXS53" s="37"/>
      <c r="KXT53" s="37"/>
      <c r="KXU53" s="37"/>
      <c r="KXV53" s="37"/>
      <c r="KXW53" s="37"/>
      <c r="KXX53" s="37"/>
      <c r="KXY53" s="37"/>
      <c r="KXZ53" s="37"/>
      <c r="KYA53" s="37"/>
      <c r="KYB53" s="37"/>
      <c r="KYC53" s="37"/>
      <c r="KYD53" s="37"/>
      <c r="KYE53" s="37"/>
      <c r="KYF53" s="37"/>
      <c r="KYG53" s="37"/>
      <c r="KYH53" s="37"/>
      <c r="KYI53" s="37"/>
      <c r="KYJ53" s="37"/>
      <c r="KYK53" s="37"/>
      <c r="KYL53" s="37"/>
      <c r="KYM53" s="37"/>
      <c r="KYN53" s="37"/>
      <c r="KYO53" s="37"/>
      <c r="KYP53" s="37"/>
      <c r="KYQ53" s="37"/>
      <c r="KYR53" s="37"/>
      <c r="KYS53" s="37"/>
      <c r="KYT53" s="37"/>
      <c r="KYU53" s="37"/>
      <c r="KYV53" s="37"/>
      <c r="KYW53" s="37"/>
      <c r="KYX53" s="37"/>
      <c r="KYY53" s="37"/>
      <c r="KYZ53" s="37"/>
      <c r="KZA53" s="37"/>
      <c r="KZB53" s="37"/>
      <c r="KZC53" s="37"/>
      <c r="KZD53" s="37"/>
      <c r="KZE53" s="37"/>
      <c r="KZF53" s="37"/>
      <c r="KZG53" s="37"/>
      <c r="KZH53" s="37"/>
      <c r="KZI53" s="37"/>
      <c r="KZJ53" s="37"/>
      <c r="KZK53" s="37"/>
      <c r="KZL53" s="37"/>
      <c r="KZM53" s="37"/>
      <c r="KZN53" s="37"/>
      <c r="KZO53" s="37"/>
      <c r="KZP53" s="37"/>
      <c r="KZQ53" s="37"/>
      <c r="KZR53" s="37"/>
      <c r="KZS53" s="37"/>
      <c r="KZT53" s="37"/>
      <c r="KZU53" s="37"/>
      <c r="KZV53" s="37"/>
      <c r="KZW53" s="37"/>
      <c r="KZX53" s="37"/>
      <c r="KZY53" s="37"/>
      <c r="KZZ53" s="37"/>
      <c r="LAA53" s="37"/>
      <c r="LAB53" s="37"/>
      <c r="LAC53" s="37"/>
      <c r="LAD53" s="37"/>
      <c r="LAE53" s="37"/>
      <c r="LAF53" s="37"/>
      <c r="LAG53" s="37"/>
      <c r="LAH53" s="37"/>
      <c r="LAI53" s="37"/>
      <c r="LAJ53" s="37"/>
      <c r="LAK53" s="37"/>
      <c r="LAL53" s="37"/>
      <c r="LAM53" s="37"/>
      <c r="LAN53" s="37"/>
      <c r="LAO53" s="37"/>
      <c r="LAP53" s="37"/>
      <c r="LAQ53" s="37"/>
      <c r="LAR53" s="37"/>
      <c r="LAS53" s="37"/>
      <c r="LAT53" s="37"/>
      <c r="LAU53" s="37"/>
      <c r="LAV53" s="37"/>
      <c r="LAW53" s="37"/>
      <c r="LAX53" s="37"/>
      <c r="LAY53" s="37"/>
      <c r="LAZ53" s="37"/>
      <c r="LBA53" s="37"/>
      <c r="LBB53" s="37"/>
      <c r="LBC53" s="37"/>
      <c r="LBD53" s="37"/>
      <c r="LBE53" s="37"/>
      <c r="LBF53" s="37"/>
      <c r="LBG53" s="37"/>
      <c r="LBH53" s="37"/>
      <c r="LBI53" s="37"/>
      <c r="LBJ53" s="37"/>
      <c r="LBK53" s="37"/>
      <c r="LBL53" s="37"/>
      <c r="LBM53" s="37"/>
      <c r="LBN53" s="37"/>
      <c r="LBO53" s="37"/>
      <c r="LBP53" s="37"/>
      <c r="LBQ53" s="37"/>
      <c r="LBR53" s="37"/>
      <c r="LBS53" s="37"/>
      <c r="LBT53" s="37"/>
      <c r="LBU53" s="37"/>
      <c r="LBV53" s="37"/>
      <c r="LBW53" s="37"/>
      <c r="LBX53" s="37"/>
      <c r="LBY53" s="37"/>
      <c r="LBZ53" s="37"/>
      <c r="LCA53" s="37"/>
      <c r="LCB53" s="37"/>
      <c r="LCC53" s="37"/>
      <c r="LCD53" s="37"/>
      <c r="LCE53" s="37"/>
      <c r="LCF53" s="37"/>
      <c r="LCG53" s="37"/>
      <c r="LCH53" s="37"/>
      <c r="LCI53" s="37"/>
      <c r="LCJ53" s="37"/>
      <c r="LCK53" s="37"/>
      <c r="LCL53" s="37"/>
      <c r="LCM53" s="37"/>
      <c r="LCN53" s="37"/>
      <c r="LCO53" s="37"/>
      <c r="LCP53" s="37"/>
      <c r="LCQ53" s="37"/>
      <c r="LCR53" s="37"/>
      <c r="LCS53" s="37"/>
      <c r="LCT53" s="37"/>
      <c r="LCU53" s="37"/>
      <c r="LCV53" s="37"/>
      <c r="LCW53" s="37"/>
      <c r="LCX53" s="37"/>
      <c r="LCY53" s="37"/>
      <c r="LCZ53" s="37"/>
      <c r="LDA53" s="37"/>
      <c r="LDB53" s="37"/>
      <c r="LDC53" s="37"/>
      <c r="LDD53" s="37"/>
      <c r="LDE53" s="37"/>
      <c r="LDF53" s="37"/>
      <c r="LDG53" s="37"/>
      <c r="LDH53" s="37"/>
      <c r="LDI53" s="37"/>
      <c r="LDJ53" s="37"/>
      <c r="LDK53" s="37"/>
      <c r="LDL53" s="37"/>
      <c r="LDM53" s="37"/>
      <c r="LDN53" s="37"/>
      <c r="LDO53" s="37"/>
      <c r="LDP53" s="37"/>
      <c r="LDQ53" s="37"/>
      <c r="LDR53" s="37"/>
      <c r="LDS53" s="37"/>
      <c r="LDT53" s="37"/>
      <c r="LDU53" s="37"/>
      <c r="LDV53" s="37"/>
      <c r="LDW53" s="37"/>
      <c r="LDX53" s="37"/>
      <c r="LDY53" s="37"/>
      <c r="LDZ53" s="37"/>
      <c r="LEA53" s="37"/>
      <c r="LEB53" s="37"/>
      <c r="LEC53" s="37"/>
      <c r="LED53" s="37"/>
      <c r="LEE53" s="37"/>
      <c r="LEF53" s="37"/>
      <c r="LEG53" s="37"/>
      <c r="LEH53" s="37"/>
      <c r="LEI53" s="37"/>
      <c r="LEJ53" s="37"/>
      <c r="LEK53" s="37"/>
      <c r="LEL53" s="37"/>
      <c r="LEM53" s="37"/>
      <c r="LEN53" s="37"/>
      <c r="LEO53" s="37"/>
      <c r="LEP53" s="37"/>
      <c r="LEQ53" s="37"/>
      <c r="LER53" s="37"/>
      <c r="LES53" s="37"/>
      <c r="LET53" s="37"/>
      <c r="LEU53" s="37"/>
      <c r="LEV53" s="37"/>
      <c r="LEW53" s="37"/>
      <c r="LEX53" s="37"/>
      <c r="LEY53" s="37"/>
      <c r="LEZ53" s="37"/>
      <c r="LFA53" s="37"/>
      <c r="LFB53" s="37"/>
      <c r="LFC53" s="37"/>
      <c r="LFD53" s="37"/>
      <c r="LFE53" s="37"/>
      <c r="LFF53" s="37"/>
      <c r="LFG53" s="37"/>
      <c r="LFH53" s="37"/>
      <c r="LFI53" s="37"/>
      <c r="LFJ53" s="37"/>
      <c r="LFK53" s="37"/>
      <c r="LFL53" s="37"/>
      <c r="LFM53" s="37"/>
      <c r="LFN53" s="37"/>
      <c r="LFO53" s="37"/>
      <c r="LFP53" s="37"/>
      <c r="LFQ53" s="37"/>
      <c r="LFR53" s="37"/>
      <c r="LFS53" s="37"/>
      <c r="LFT53" s="37"/>
      <c r="LFU53" s="37"/>
      <c r="LFV53" s="37"/>
      <c r="LFW53" s="37"/>
      <c r="LFX53" s="37"/>
      <c r="LFY53" s="37"/>
      <c r="LFZ53" s="37"/>
      <c r="LGA53" s="37"/>
      <c r="LGB53" s="37"/>
      <c r="LGC53" s="37"/>
      <c r="LGD53" s="37"/>
      <c r="LGE53" s="37"/>
      <c r="LGF53" s="37"/>
      <c r="LGG53" s="37"/>
      <c r="LGH53" s="37"/>
      <c r="LGI53" s="37"/>
      <c r="LGJ53" s="37"/>
      <c r="LGK53" s="37"/>
      <c r="LGL53" s="37"/>
      <c r="LGM53" s="37"/>
      <c r="LGN53" s="37"/>
      <c r="LGO53" s="37"/>
      <c r="LGP53" s="37"/>
      <c r="LGQ53" s="37"/>
      <c r="LGR53" s="37"/>
      <c r="LGS53" s="37"/>
      <c r="LGT53" s="37"/>
      <c r="LGU53" s="37"/>
      <c r="LGV53" s="37"/>
      <c r="LGW53" s="37"/>
      <c r="LGX53" s="37"/>
      <c r="LGY53" s="37"/>
      <c r="LGZ53" s="37"/>
      <c r="LHA53" s="37"/>
      <c r="LHB53" s="37"/>
      <c r="LHC53" s="37"/>
      <c r="LHD53" s="37"/>
      <c r="LHE53" s="37"/>
      <c r="LHF53" s="37"/>
      <c r="LHG53" s="37"/>
      <c r="LHH53" s="37"/>
      <c r="LHI53" s="37"/>
      <c r="LHJ53" s="37"/>
      <c r="LHK53" s="37"/>
      <c r="LHL53" s="37"/>
      <c r="LHM53" s="37"/>
      <c r="LHN53" s="37"/>
      <c r="LHO53" s="37"/>
      <c r="LHP53" s="37"/>
      <c r="LHQ53" s="37"/>
      <c r="LHR53" s="37"/>
      <c r="LHS53" s="37"/>
      <c r="LHT53" s="37"/>
      <c r="LHU53" s="37"/>
      <c r="LHV53" s="37"/>
      <c r="LHW53" s="37"/>
      <c r="LHX53" s="37"/>
      <c r="LHY53" s="37"/>
      <c r="LHZ53" s="37"/>
      <c r="LIA53" s="37"/>
      <c r="LIB53" s="37"/>
      <c r="LIC53" s="37"/>
      <c r="LID53" s="37"/>
      <c r="LIE53" s="37"/>
      <c r="LIF53" s="37"/>
      <c r="LIG53" s="37"/>
      <c r="LIH53" s="37"/>
      <c r="LII53" s="37"/>
      <c r="LIJ53" s="37"/>
      <c r="LIK53" s="37"/>
      <c r="LIL53" s="37"/>
      <c r="LIM53" s="37"/>
      <c r="LIN53" s="37"/>
      <c r="LIO53" s="37"/>
      <c r="LIP53" s="37"/>
      <c r="LIQ53" s="37"/>
      <c r="LIR53" s="37"/>
      <c r="LIS53" s="37"/>
      <c r="LIT53" s="37"/>
      <c r="LIU53" s="37"/>
      <c r="LIV53" s="37"/>
      <c r="LIW53" s="37"/>
      <c r="LIX53" s="37"/>
      <c r="LIY53" s="37"/>
      <c r="LIZ53" s="37"/>
      <c r="LJA53" s="37"/>
      <c r="LJB53" s="37"/>
      <c r="LJC53" s="37"/>
      <c r="LJD53" s="37"/>
      <c r="LJE53" s="37"/>
      <c r="LJF53" s="37"/>
      <c r="LJG53" s="37"/>
      <c r="LJH53" s="37"/>
      <c r="LJI53" s="37"/>
      <c r="LJJ53" s="37"/>
      <c r="LJK53" s="37"/>
      <c r="LJL53" s="37"/>
      <c r="LJM53" s="37"/>
      <c r="LJN53" s="37"/>
      <c r="LJO53" s="37"/>
      <c r="LJP53" s="37"/>
      <c r="LJQ53" s="37"/>
      <c r="LJR53" s="37"/>
      <c r="LJS53" s="37"/>
      <c r="LJT53" s="37"/>
      <c r="LJU53" s="37"/>
      <c r="LJV53" s="37"/>
      <c r="LJW53" s="37"/>
      <c r="LJX53" s="37"/>
      <c r="LJY53" s="37"/>
      <c r="LJZ53" s="37"/>
      <c r="LKA53" s="37"/>
      <c r="LKB53" s="37"/>
      <c r="LKC53" s="37"/>
      <c r="LKD53" s="37"/>
      <c r="LKE53" s="37"/>
      <c r="LKF53" s="37"/>
      <c r="LKG53" s="37"/>
      <c r="LKH53" s="37"/>
      <c r="LKI53" s="37"/>
      <c r="LKJ53" s="37"/>
      <c r="LKK53" s="37"/>
      <c r="LKL53" s="37"/>
      <c r="LKM53" s="37"/>
      <c r="LKN53" s="37"/>
      <c r="LKO53" s="37"/>
      <c r="LKP53" s="37"/>
      <c r="LKQ53" s="37"/>
      <c r="LKR53" s="37"/>
      <c r="LKS53" s="37"/>
      <c r="LKT53" s="37"/>
      <c r="LKU53" s="37"/>
      <c r="LKV53" s="37"/>
      <c r="LKW53" s="37"/>
      <c r="LKX53" s="37"/>
      <c r="LKY53" s="37"/>
      <c r="LKZ53" s="37"/>
      <c r="LLA53" s="37"/>
      <c r="LLB53" s="37"/>
      <c r="LLC53" s="37"/>
      <c r="LLD53" s="37"/>
      <c r="LLE53" s="37"/>
      <c r="LLF53" s="37"/>
      <c r="LLG53" s="37"/>
      <c r="LLH53" s="37"/>
      <c r="LLI53" s="37"/>
      <c r="LLJ53" s="37"/>
      <c r="LLK53" s="37"/>
      <c r="LLL53" s="37"/>
      <c r="LLM53" s="37"/>
      <c r="LLN53" s="37"/>
      <c r="LLO53" s="37"/>
      <c r="LLP53" s="37"/>
      <c r="LLQ53" s="37"/>
      <c r="LLR53" s="37"/>
      <c r="LLS53" s="37"/>
      <c r="LLT53" s="37"/>
      <c r="LLU53" s="37"/>
      <c r="LLV53" s="37"/>
      <c r="LLW53" s="37"/>
      <c r="LLX53" s="37"/>
      <c r="LLY53" s="37"/>
      <c r="LLZ53" s="37"/>
      <c r="LMA53" s="37"/>
      <c r="LMB53" s="37"/>
      <c r="LMC53" s="37"/>
      <c r="LMD53" s="37"/>
      <c r="LME53" s="37"/>
      <c r="LMF53" s="37"/>
      <c r="LMG53" s="37"/>
      <c r="LMH53" s="37"/>
      <c r="LMI53" s="37"/>
      <c r="LMJ53" s="37"/>
      <c r="LMK53" s="37"/>
      <c r="LML53" s="37"/>
      <c r="LMM53" s="37"/>
      <c r="LMN53" s="37"/>
      <c r="LMO53" s="37"/>
      <c r="LMP53" s="37"/>
      <c r="LMQ53" s="37"/>
      <c r="LMR53" s="37"/>
      <c r="LMS53" s="37"/>
      <c r="LMT53" s="37"/>
      <c r="LMU53" s="37"/>
      <c r="LMV53" s="37"/>
      <c r="LMW53" s="37"/>
      <c r="LMX53" s="37"/>
      <c r="LMY53" s="37"/>
      <c r="LMZ53" s="37"/>
      <c r="LNA53" s="37"/>
      <c r="LNB53" s="37"/>
      <c r="LNC53" s="37"/>
      <c r="LND53" s="37"/>
      <c r="LNE53" s="37"/>
      <c r="LNF53" s="37"/>
      <c r="LNG53" s="37"/>
      <c r="LNH53" s="37"/>
      <c r="LNI53" s="37"/>
      <c r="LNJ53" s="37"/>
      <c r="LNK53" s="37"/>
      <c r="LNL53" s="37"/>
      <c r="LNM53" s="37"/>
      <c r="LNN53" s="37"/>
      <c r="LNO53" s="37"/>
      <c r="LNP53" s="37"/>
      <c r="LNQ53" s="37"/>
      <c r="LNR53" s="37"/>
      <c r="LNS53" s="37"/>
      <c r="LNT53" s="37"/>
      <c r="LNU53" s="37"/>
      <c r="LNV53" s="37"/>
      <c r="LNW53" s="37"/>
      <c r="LNX53" s="37"/>
      <c r="LNY53" s="37"/>
      <c r="LNZ53" s="37"/>
      <c r="LOA53" s="37"/>
      <c r="LOB53" s="37"/>
      <c r="LOC53" s="37"/>
      <c r="LOD53" s="37"/>
      <c r="LOE53" s="37"/>
      <c r="LOF53" s="37"/>
      <c r="LOG53" s="37"/>
      <c r="LOH53" s="37"/>
      <c r="LOI53" s="37"/>
      <c r="LOJ53" s="37"/>
      <c r="LOK53" s="37"/>
      <c r="LOL53" s="37"/>
      <c r="LOM53" s="37"/>
      <c r="LON53" s="37"/>
      <c r="LOO53" s="37"/>
      <c r="LOP53" s="37"/>
      <c r="LOQ53" s="37"/>
      <c r="LOR53" s="37"/>
      <c r="LOS53" s="37"/>
      <c r="LOT53" s="37"/>
      <c r="LOU53" s="37"/>
      <c r="LOV53" s="37"/>
      <c r="LOW53" s="37"/>
      <c r="LOX53" s="37"/>
      <c r="LOY53" s="37"/>
      <c r="LOZ53" s="37"/>
      <c r="LPA53" s="37"/>
      <c r="LPB53" s="37"/>
      <c r="LPC53" s="37"/>
      <c r="LPD53" s="37"/>
      <c r="LPE53" s="37"/>
      <c r="LPF53" s="37"/>
      <c r="LPG53" s="37"/>
      <c r="LPH53" s="37"/>
      <c r="LPI53" s="37"/>
      <c r="LPJ53" s="37"/>
      <c r="LPK53" s="37"/>
      <c r="LPL53" s="37"/>
      <c r="LPM53" s="37"/>
      <c r="LPN53" s="37"/>
      <c r="LPO53" s="37"/>
      <c r="LPP53" s="37"/>
      <c r="LPQ53" s="37"/>
      <c r="LPR53" s="37"/>
      <c r="LPS53" s="37"/>
      <c r="LPT53" s="37"/>
      <c r="LPU53" s="37"/>
      <c r="LPV53" s="37"/>
      <c r="LPW53" s="37"/>
      <c r="LPX53" s="37"/>
      <c r="LPY53" s="37"/>
      <c r="LPZ53" s="37"/>
      <c r="LQA53" s="37"/>
      <c r="LQB53" s="37"/>
      <c r="LQC53" s="37"/>
      <c r="LQD53" s="37"/>
      <c r="LQE53" s="37"/>
      <c r="LQF53" s="37"/>
      <c r="LQG53" s="37"/>
      <c r="LQH53" s="37"/>
      <c r="LQI53" s="37"/>
      <c r="LQJ53" s="37"/>
      <c r="LQK53" s="37"/>
      <c r="LQL53" s="37"/>
      <c r="LQM53" s="37"/>
      <c r="LQN53" s="37"/>
      <c r="LQO53" s="37"/>
      <c r="LQP53" s="37"/>
      <c r="LQQ53" s="37"/>
      <c r="LQR53" s="37"/>
      <c r="LQS53" s="37"/>
      <c r="LQT53" s="37"/>
      <c r="LQU53" s="37"/>
      <c r="LQV53" s="37"/>
      <c r="LQW53" s="37"/>
      <c r="LQX53" s="37"/>
      <c r="LQY53" s="37"/>
      <c r="LQZ53" s="37"/>
      <c r="LRA53" s="37"/>
      <c r="LRB53" s="37"/>
      <c r="LRC53" s="37"/>
      <c r="LRD53" s="37"/>
      <c r="LRE53" s="37"/>
      <c r="LRF53" s="37"/>
      <c r="LRG53" s="37"/>
      <c r="LRH53" s="37"/>
      <c r="LRI53" s="37"/>
      <c r="LRJ53" s="37"/>
      <c r="LRK53" s="37"/>
      <c r="LRL53" s="37"/>
      <c r="LRM53" s="37"/>
      <c r="LRN53" s="37"/>
      <c r="LRO53" s="37"/>
      <c r="LRP53" s="37"/>
      <c r="LRQ53" s="37"/>
      <c r="LRR53" s="37"/>
      <c r="LRS53" s="37"/>
      <c r="LRT53" s="37"/>
      <c r="LRU53" s="37"/>
      <c r="LRV53" s="37"/>
      <c r="LRW53" s="37"/>
      <c r="LRX53" s="37"/>
      <c r="LRY53" s="37"/>
      <c r="LRZ53" s="37"/>
      <c r="LSA53" s="37"/>
      <c r="LSB53" s="37"/>
      <c r="LSC53" s="37"/>
      <c r="LSD53" s="37"/>
      <c r="LSE53" s="37"/>
      <c r="LSF53" s="37"/>
      <c r="LSG53" s="37"/>
      <c r="LSH53" s="37"/>
      <c r="LSI53" s="37"/>
      <c r="LSJ53" s="37"/>
      <c r="LSK53" s="37"/>
      <c r="LSL53" s="37"/>
      <c r="LSM53" s="37"/>
      <c r="LSN53" s="37"/>
      <c r="LSO53" s="37"/>
      <c r="LSP53" s="37"/>
      <c r="LSQ53" s="37"/>
      <c r="LSR53" s="37"/>
      <c r="LSS53" s="37"/>
      <c r="LST53" s="37"/>
      <c r="LSU53" s="37"/>
      <c r="LSV53" s="37"/>
      <c r="LSW53" s="37"/>
      <c r="LSX53" s="37"/>
      <c r="LSY53" s="37"/>
      <c r="LSZ53" s="37"/>
      <c r="LTA53" s="37"/>
      <c r="LTB53" s="37"/>
      <c r="LTC53" s="37"/>
      <c r="LTD53" s="37"/>
      <c r="LTE53" s="37"/>
      <c r="LTF53" s="37"/>
      <c r="LTG53" s="37"/>
      <c r="LTH53" s="37"/>
      <c r="LTI53" s="37"/>
      <c r="LTJ53" s="37"/>
      <c r="LTK53" s="37"/>
      <c r="LTL53" s="37"/>
      <c r="LTM53" s="37"/>
      <c r="LTN53" s="37"/>
      <c r="LTO53" s="37"/>
      <c r="LTP53" s="37"/>
      <c r="LTQ53" s="37"/>
      <c r="LTR53" s="37"/>
      <c r="LTS53" s="37"/>
      <c r="LTT53" s="37"/>
      <c r="LTU53" s="37"/>
      <c r="LTV53" s="37"/>
      <c r="LTW53" s="37"/>
      <c r="LTX53" s="37"/>
      <c r="LTY53" s="37"/>
      <c r="LTZ53" s="37"/>
      <c r="LUA53" s="37"/>
      <c r="LUB53" s="37"/>
      <c r="LUC53" s="37"/>
      <c r="LUD53" s="37"/>
      <c r="LUE53" s="37"/>
      <c r="LUF53" s="37"/>
      <c r="LUG53" s="37"/>
      <c r="LUH53" s="37"/>
      <c r="LUI53" s="37"/>
      <c r="LUJ53" s="37"/>
      <c r="LUK53" s="37"/>
      <c r="LUL53" s="37"/>
      <c r="LUM53" s="37"/>
      <c r="LUN53" s="37"/>
      <c r="LUO53" s="37"/>
      <c r="LUP53" s="37"/>
      <c r="LUQ53" s="37"/>
      <c r="LUR53" s="37"/>
      <c r="LUS53" s="37"/>
      <c r="LUT53" s="37"/>
      <c r="LUU53" s="37"/>
      <c r="LUV53" s="37"/>
      <c r="LUW53" s="37"/>
      <c r="LUX53" s="37"/>
      <c r="LUY53" s="37"/>
      <c r="LUZ53" s="37"/>
      <c r="LVA53" s="37"/>
      <c r="LVB53" s="37"/>
      <c r="LVC53" s="37"/>
      <c r="LVD53" s="37"/>
      <c r="LVE53" s="37"/>
      <c r="LVF53" s="37"/>
      <c r="LVG53" s="37"/>
      <c r="LVH53" s="37"/>
      <c r="LVI53" s="37"/>
      <c r="LVJ53" s="37"/>
      <c r="LVK53" s="37"/>
      <c r="LVL53" s="37"/>
      <c r="LVM53" s="37"/>
      <c r="LVN53" s="37"/>
      <c r="LVO53" s="37"/>
      <c r="LVP53" s="37"/>
      <c r="LVQ53" s="37"/>
      <c r="LVR53" s="37"/>
      <c r="LVS53" s="37"/>
      <c r="LVT53" s="37"/>
      <c r="LVU53" s="37"/>
      <c r="LVV53" s="37"/>
      <c r="LVW53" s="37"/>
      <c r="LVX53" s="37"/>
      <c r="LVY53" s="37"/>
      <c r="LVZ53" s="37"/>
      <c r="LWA53" s="37"/>
      <c r="LWB53" s="37"/>
      <c r="LWC53" s="37"/>
      <c r="LWD53" s="37"/>
      <c r="LWE53" s="37"/>
      <c r="LWF53" s="37"/>
      <c r="LWG53" s="37"/>
      <c r="LWH53" s="37"/>
      <c r="LWI53" s="37"/>
      <c r="LWJ53" s="37"/>
      <c r="LWK53" s="37"/>
      <c r="LWL53" s="37"/>
      <c r="LWM53" s="37"/>
      <c r="LWN53" s="37"/>
      <c r="LWO53" s="37"/>
      <c r="LWP53" s="37"/>
      <c r="LWQ53" s="37"/>
      <c r="LWR53" s="37"/>
      <c r="LWS53" s="37"/>
      <c r="LWT53" s="37"/>
      <c r="LWU53" s="37"/>
      <c r="LWV53" s="37"/>
      <c r="LWW53" s="37"/>
      <c r="LWX53" s="37"/>
      <c r="LWY53" s="37"/>
      <c r="LWZ53" s="37"/>
      <c r="LXA53" s="37"/>
      <c r="LXB53" s="37"/>
      <c r="LXC53" s="37"/>
      <c r="LXD53" s="37"/>
      <c r="LXE53" s="37"/>
      <c r="LXF53" s="37"/>
      <c r="LXG53" s="37"/>
      <c r="LXH53" s="37"/>
      <c r="LXI53" s="37"/>
      <c r="LXJ53" s="37"/>
      <c r="LXK53" s="37"/>
      <c r="LXL53" s="37"/>
      <c r="LXM53" s="37"/>
      <c r="LXN53" s="37"/>
      <c r="LXO53" s="37"/>
      <c r="LXP53" s="37"/>
      <c r="LXQ53" s="37"/>
      <c r="LXR53" s="37"/>
      <c r="LXS53" s="37"/>
      <c r="LXT53" s="37"/>
      <c r="LXU53" s="37"/>
      <c r="LXV53" s="37"/>
      <c r="LXW53" s="37"/>
      <c r="LXX53" s="37"/>
      <c r="LXY53" s="37"/>
      <c r="LXZ53" s="37"/>
      <c r="LYA53" s="37"/>
      <c r="LYB53" s="37"/>
      <c r="LYC53" s="37"/>
      <c r="LYD53" s="37"/>
      <c r="LYE53" s="37"/>
      <c r="LYF53" s="37"/>
      <c r="LYG53" s="37"/>
      <c r="LYH53" s="37"/>
      <c r="LYI53" s="37"/>
      <c r="LYJ53" s="37"/>
      <c r="LYK53" s="37"/>
      <c r="LYL53" s="37"/>
      <c r="LYM53" s="37"/>
      <c r="LYN53" s="37"/>
      <c r="LYO53" s="37"/>
      <c r="LYP53" s="37"/>
      <c r="LYQ53" s="37"/>
      <c r="LYR53" s="37"/>
      <c r="LYS53" s="37"/>
      <c r="LYT53" s="37"/>
      <c r="LYU53" s="37"/>
      <c r="LYV53" s="37"/>
      <c r="LYW53" s="37"/>
      <c r="LYX53" s="37"/>
      <c r="LYY53" s="37"/>
      <c r="LYZ53" s="37"/>
      <c r="LZA53" s="37"/>
      <c r="LZB53" s="37"/>
      <c r="LZC53" s="37"/>
      <c r="LZD53" s="37"/>
      <c r="LZE53" s="37"/>
      <c r="LZF53" s="37"/>
      <c r="LZG53" s="37"/>
      <c r="LZH53" s="37"/>
      <c r="LZI53" s="37"/>
      <c r="LZJ53" s="37"/>
      <c r="LZK53" s="37"/>
      <c r="LZL53" s="37"/>
      <c r="LZM53" s="37"/>
      <c r="LZN53" s="37"/>
      <c r="LZO53" s="37"/>
      <c r="LZP53" s="37"/>
      <c r="LZQ53" s="37"/>
      <c r="LZR53" s="37"/>
      <c r="LZS53" s="37"/>
      <c r="LZT53" s="37"/>
      <c r="LZU53" s="37"/>
      <c r="LZV53" s="37"/>
      <c r="LZW53" s="37"/>
      <c r="LZX53" s="37"/>
      <c r="LZY53" s="37"/>
      <c r="LZZ53" s="37"/>
      <c r="MAA53" s="37"/>
      <c r="MAB53" s="37"/>
      <c r="MAC53" s="37"/>
      <c r="MAD53" s="37"/>
      <c r="MAE53" s="37"/>
      <c r="MAF53" s="37"/>
      <c r="MAG53" s="37"/>
      <c r="MAH53" s="37"/>
      <c r="MAI53" s="37"/>
      <c r="MAJ53" s="37"/>
      <c r="MAK53" s="37"/>
      <c r="MAL53" s="37"/>
      <c r="MAM53" s="37"/>
      <c r="MAN53" s="37"/>
      <c r="MAO53" s="37"/>
      <c r="MAP53" s="37"/>
      <c r="MAQ53" s="37"/>
      <c r="MAR53" s="37"/>
      <c r="MAS53" s="37"/>
      <c r="MAT53" s="37"/>
      <c r="MAU53" s="37"/>
      <c r="MAV53" s="37"/>
      <c r="MAW53" s="37"/>
      <c r="MAX53" s="37"/>
      <c r="MAY53" s="37"/>
      <c r="MAZ53" s="37"/>
      <c r="MBA53" s="37"/>
      <c r="MBB53" s="37"/>
      <c r="MBC53" s="37"/>
      <c r="MBD53" s="37"/>
      <c r="MBE53" s="37"/>
      <c r="MBF53" s="37"/>
      <c r="MBG53" s="37"/>
      <c r="MBH53" s="37"/>
      <c r="MBI53" s="37"/>
      <c r="MBJ53" s="37"/>
      <c r="MBK53" s="37"/>
      <c r="MBL53" s="37"/>
      <c r="MBM53" s="37"/>
      <c r="MBN53" s="37"/>
      <c r="MBO53" s="37"/>
      <c r="MBP53" s="37"/>
      <c r="MBQ53" s="37"/>
      <c r="MBR53" s="37"/>
      <c r="MBS53" s="37"/>
      <c r="MBT53" s="37"/>
      <c r="MBU53" s="37"/>
      <c r="MBV53" s="37"/>
      <c r="MBW53" s="37"/>
      <c r="MBX53" s="37"/>
      <c r="MBY53" s="37"/>
      <c r="MBZ53" s="37"/>
      <c r="MCA53" s="37"/>
      <c r="MCB53" s="37"/>
      <c r="MCC53" s="37"/>
      <c r="MCD53" s="37"/>
      <c r="MCE53" s="37"/>
      <c r="MCF53" s="37"/>
      <c r="MCG53" s="37"/>
      <c r="MCH53" s="37"/>
      <c r="MCI53" s="37"/>
      <c r="MCJ53" s="37"/>
      <c r="MCK53" s="37"/>
      <c r="MCL53" s="37"/>
      <c r="MCM53" s="37"/>
      <c r="MCN53" s="37"/>
      <c r="MCO53" s="37"/>
      <c r="MCP53" s="37"/>
      <c r="MCQ53" s="37"/>
      <c r="MCR53" s="37"/>
      <c r="MCS53" s="37"/>
      <c r="MCT53" s="37"/>
      <c r="MCU53" s="37"/>
      <c r="MCV53" s="37"/>
      <c r="MCW53" s="37"/>
      <c r="MCX53" s="37"/>
      <c r="MCY53" s="37"/>
      <c r="MCZ53" s="37"/>
      <c r="MDA53" s="37"/>
      <c r="MDB53" s="37"/>
      <c r="MDC53" s="37"/>
      <c r="MDD53" s="37"/>
      <c r="MDE53" s="37"/>
      <c r="MDF53" s="37"/>
      <c r="MDG53" s="37"/>
      <c r="MDH53" s="37"/>
      <c r="MDI53" s="37"/>
      <c r="MDJ53" s="37"/>
      <c r="MDK53" s="37"/>
      <c r="MDL53" s="37"/>
      <c r="MDM53" s="37"/>
      <c r="MDN53" s="37"/>
      <c r="MDO53" s="37"/>
      <c r="MDP53" s="37"/>
      <c r="MDQ53" s="37"/>
      <c r="MDR53" s="37"/>
      <c r="MDS53" s="37"/>
      <c r="MDT53" s="37"/>
      <c r="MDU53" s="37"/>
      <c r="MDV53" s="37"/>
      <c r="MDW53" s="37"/>
      <c r="MDX53" s="37"/>
      <c r="MDY53" s="37"/>
      <c r="MDZ53" s="37"/>
      <c r="MEA53" s="37"/>
      <c r="MEB53" s="37"/>
      <c r="MEC53" s="37"/>
      <c r="MED53" s="37"/>
      <c r="MEE53" s="37"/>
      <c r="MEF53" s="37"/>
      <c r="MEG53" s="37"/>
      <c r="MEH53" s="37"/>
      <c r="MEI53" s="37"/>
      <c r="MEJ53" s="37"/>
      <c r="MEK53" s="37"/>
      <c r="MEL53" s="37"/>
      <c r="MEM53" s="37"/>
      <c r="MEN53" s="37"/>
      <c r="MEO53" s="37"/>
      <c r="MEP53" s="37"/>
      <c r="MEQ53" s="37"/>
      <c r="MER53" s="37"/>
      <c r="MES53" s="37"/>
      <c r="MET53" s="37"/>
      <c r="MEU53" s="37"/>
      <c r="MEV53" s="37"/>
      <c r="MEW53" s="37"/>
      <c r="MEX53" s="37"/>
      <c r="MEY53" s="37"/>
      <c r="MEZ53" s="37"/>
      <c r="MFA53" s="37"/>
      <c r="MFB53" s="37"/>
      <c r="MFC53" s="37"/>
      <c r="MFD53" s="37"/>
      <c r="MFE53" s="37"/>
      <c r="MFF53" s="37"/>
      <c r="MFG53" s="37"/>
      <c r="MFH53" s="37"/>
      <c r="MFI53" s="37"/>
      <c r="MFJ53" s="37"/>
      <c r="MFK53" s="37"/>
      <c r="MFL53" s="37"/>
      <c r="MFM53" s="37"/>
      <c r="MFN53" s="37"/>
      <c r="MFO53" s="37"/>
      <c r="MFP53" s="37"/>
      <c r="MFQ53" s="37"/>
      <c r="MFR53" s="37"/>
      <c r="MFS53" s="37"/>
      <c r="MFT53" s="37"/>
      <c r="MFU53" s="37"/>
      <c r="MFV53" s="37"/>
      <c r="MFW53" s="37"/>
      <c r="MFX53" s="37"/>
      <c r="MFY53" s="37"/>
      <c r="MFZ53" s="37"/>
      <c r="MGA53" s="37"/>
      <c r="MGB53" s="37"/>
      <c r="MGC53" s="37"/>
      <c r="MGD53" s="37"/>
      <c r="MGE53" s="37"/>
      <c r="MGF53" s="37"/>
      <c r="MGG53" s="37"/>
      <c r="MGH53" s="37"/>
      <c r="MGI53" s="37"/>
      <c r="MGJ53" s="37"/>
      <c r="MGK53" s="37"/>
      <c r="MGL53" s="37"/>
      <c r="MGM53" s="37"/>
      <c r="MGN53" s="37"/>
      <c r="MGO53" s="37"/>
      <c r="MGP53" s="37"/>
      <c r="MGQ53" s="37"/>
      <c r="MGR53" s="37"/>
      <c r="MGS53" s="37"/>
      <c r="MGT53" s="37"/>
      <c r="MGU53" s="37"/>
      <c r="MGV53" s="37"/>
      <c r="MGW53" s="37"/>
      <c r="MGX53" s="37"/>
      <c r="MGY53" s="37"/>
      <c r="MGZ53" s="37"/>
      <c r="MHA53" s="37"/>
      <c r="MHB53" s="37"/>
      <c r="MHC53" s="37"/>
      <c r="MHD53" s="37"/>
      <c r="MHE53" s="37"/>
      <c r="MHF53" s="37"/>
      <c r="MHG53" s="37"/>
      <c r="MHH53" s="37"/>
      <c r="MHI53" s="37"/>
      <c r="MHJ53" s="37"/>
      <c r="MHK53" s="37"/>
      <c r="MHL53" s="37"/>
      <c r="MHM53" s="37"/>
      <c r="MHN53" s="37"/>
      <c r="MHO53" s="37"/>
      <c r="MHP53" s="37"/>
      <c r="MHQ53" s="37"/>
      <c r="MHR53" s="37"/>
      <c r="MHS53" s="37"/>
      <c r="MHT53" s="37"/>
      <c r="MHU53" s="37"/>
      <c r="MHV53" s="37"/>
      <c r="MHW53" s="37"/>
      <c r="MHX53" s="37"/>
      <c r="MHY53" s="37"/>
      <c r="MHZ53" s="37"/>
      <c r="MIA53" s="37"/>
      <c r="MIB53" s="37"/>
      <c r="MIC53" s="37"/>
      <c r="MID53" s="37"/>
      <c r="MIE53" s="37"/>
      <c r="MIF53" s="37"/>
      <c r="MIG53" s="37"/>
      <c r="MIH53" s="37"/>
      <c r="MII53" s="37"/>
      <c r="MIJ53" s="37"/>
      <c r="MIK53" s="37"/>
      <c r="MIL53" s="37"/>
      <c r="MIM53" s="37"/>
      <c r="MIN53" s="37"/>
      <c r="MIO53" s="37"/>
      <c r="MIP53" s="37"/>
      <c r="MIQ53" s="37"/>
      <c r="MIR53" s="37"/>
      <c r="MIS53" s="37"/>
      <c r="MIT53" s="37"/>
      <c r="MIU53" s="37"/>
      <c r="MIV53" s="37"/>
      <c r="MIW53" s="37"/>
      <c r="MIX53" s="37"/>
      <c r="MIY53" s="37"/>
      <c r="MIZ53" s="37"/>
      <c r="MJA53" s="37"/>
      <c r="MJB53" s="37"/>
      <c r="MJC53" s="37"/>
      <c r="MJD53" s="37"/>
      <c r="MJE53" s="37"/>
      <c r="MJF53" s="37"/>
      <c r="MJG53" s="37"/>
      <c r="MJH53" s="37"/>
      <c r="MJI53" s="37"/>
      <c r="MJJ53" s="37"/>
      <c r="MJK53" s="37"/>
      <c r="MJL53" s="37"/>
      <c r="MJM53" s="37"/>
      <c r="MJN53" s="37"/>
      <c r="MJO53" s="37"/>
      <c r="MJP53" s="37"/>
      <c r="MJQ53" s="37"/>
      <c r="MJR53" s="37"/>
      <c r="MJS53" s="37"/>
      <c r="MJT53" s="37"/>
      <c r="MJU53" s="37"/>
      <c r="MJV53" s="37"/>
      <c r="MJW53" s="37"/>
      <c r="MJX53" s="37"/>
      <c r="MJY53" s="37"/>
      <c r="MJZ53" s="37"/>
      <c r="MKA53" s="37"/>
      <c r="MKB53" s="37"/>
      <c r="MKC53" s="37"/>
      <c r="MKD53" s="37"/>
      <c r="MKE53" s="37"/>
      <c r="MKF53" s="37"/>
      <c r="MKG53" s="37"/>
      <c r="MKH53" s="37"/>
      <c r="MKI53" s="37"/>
      <c r="MKJ53" s="37"/>
      <c r="MKK53" s="37"/>
      <c r="MKL53" s="37"/>
      <c r="MKM53" s="37"/>
      <c r="MKN53" s="37"/>
      <c r="MKO53" s="37"/>
      <c r="MKP53" s="37"/>
      <c r="MKQ53" s="37"/>
      <c r="MKR53" s="37"/>
      <c r="MKS53" s="37"/>
      <c r="MKT53" s="37"/>
      <c r="MKU53" s="37"/>
      <c r="MKV53" s="37"/>
      <c r="MKW53" s="37"/>
      <c r="MKX53" s="37"/>
      <c r="MKY53" s="37"/>
      <c r="MKZ53" s="37"/>
      <c r="MLA53" s="37"/>
      <c r="MLB53" s="37"/>
      <c r="MLC53" s="37"/>
      <c r="MLD53" s="37"/>
      <c r="MLE53" s="37"/>
      <c r="MLF53" s="37"/>
      <c r="MLG53" s="37"/>
      <c r="MLH53" s="37"/>
      <c r="MLI53" s="37"/>
      <c r="MLJ53" s="37"/>
      <c r="MLK53" s="37"/>
      <c r="MLL53" s="37"/>
      <c r="MLM53" s="37"/>
      <c r="MLN53" s="37"/>
      <c r="MLO53" s="37"/>
      <c r="MLP53" s="37"/>
      <c r="MLQ53" s="37"/>
      <c r="MLR53" s="37"/>
      <c r="MLS53" s="37"/>
      <c r="MLT53" s="37"/>
      <c r="MLU53" s="37"/>
      <c r="MLV53" s="37"/>
      <c r="MLW53" s="37"/>
      <c r="MLX53" s="37"/>
      <c r="MLY53" s="37"/>
      <c r="MLZ53" s="37"/>
      <c r="MMA53" s="37"/>
      <c r="MMB53" s="37"/>
      <c r="MMC53" s="37"/>
      <c r="MMD53" s="37"/>
      <c r="MME53" s="37"/>
      <c r="MMF53" s="37"/>
      <c r="MMG53" s="37"/>
      <c r="MMH53" s="37"/>
      <c r="MMI53" s="37"/>
      <c r="MMJ53" s="37"/>
      <c r="MMK53" s="37"/>
      <c r="MML53" s="37"/>
      <c r="MMM53" s="37"/>
      <c r="MMN53" s="37"/>
      <c r="MMO53" s="37"/>
      <c r="MMP53" s="37"/>
      <c r="MMQ53" s="37"/>
      <c r="MMR53" s="37"/>
      <c r="MMS53" s="37"/>
      <c r="MMT53" s="37"/>
      <c r="MMU53" s="37"/>
      <c r="MMV53" s="37"/>
      <c r="MMW53" s="37"/>
      <c r="MMX53" s="37"/>
      <c r="MMY53" s="37"/>
      <c r="MMZ53" s="37"/>
      <c r="MNA53" s="37"/>
      <c r="MNB53" s="37"/>
      <c r="MNC53" s="37"/>
      <c r="MND53" s="37"/>
      <c r="MNE53" s="37"/>
      <c r="MNF53" s="37"/>
      <c r="MNG53" s="37"/>
      <c r="MNH53" s="37"/>
      <c r="MNI53" s="37"/>
      <c r="MNJ53" s="37"/>
      <c r="MNK53" s="37"/>
      <c r="MNL53" s="37"/>
      <c r="MNM53" s="37"/>
      <c r="MNN53" s="37"/>
      <c r="MNO53" s="37"/>
      <c r="MNP53" s="37"/>
      <c r="MNQ53" s="37"/>
      <c r="MNR53" s="37"/>
      <c r="MNS53" s="37"/>
      <c r="MNT53" s="37"/>
      <c r="MNU53" s="37"/>
      <c r="MNV53" s="37"/>
      <c r="MNW53" s="37"/>
      <c r="MNX53" s="37"/>
      <c r="MNY53" s="37"/>
      <c r="MNZ53" s="37"/>
      <c r="MOA53" s="37"/>
      <c r="MOB53" s="37"/>
      <c r="MOC53" s="37"/>
      <c r="MOD53" s="37"/>
      <c r="MOE53" s="37"/>
      <c r="MOF53" s="37"/>
      <c r="MOG53" s="37"/>
      <c r="MOH53" s="37"/>
      <c r="MOI53" s="37"/>
      <c r="MOJ53" s="37"/>
      <c r="MOK53" s="37"/>
      <c r="MOL53" s="37"/>
      <c r="MOM53" s="37"/>
      <c r="MON53" s="37"/>
      <c r="MOO53" s="37"/>
      <c r="MOP53" s="37"/>
      <c r="MOQ53" s="37"/>
      <c r="MOR53" s="37"/>
      <c r="MOS53" s="37"/>
      <c r="MOT53" s="37"/>
      <c r="MOU53" s="37"/>
      <c r="MOV53" s="37"/>
      <c r="MOW53" s="37"/>
      <c r="MOX53" s="37"/>
      <c r="MOY53" s="37"/>
      <c r="MOZ53" s="37"/>
      <c r="MPA53" s="37"/>
      <c r="MPB53" s="37"/>
      <c r="MPC53" s="37"/>
      <c r="MPD53" s="37"/>
      <c r="MPE53" s="37"/>
      <c r="MPF53" s="37"/>
      <c r="MPG53" s="37"/>
      <c r="MPH53" s="37"/>
      <c r="MPI53" s="37"/>
      <c r="MPJ53" s="37"/>
      <c r="MPK53" s="37"/>
      <c r="MPL53" s="37"/>
      <c r="MPM53" s="37"/>
      <c r="MPN53" s="37"/>
      <c r="MPO53" s="37"/>
      <c r="MPP53" s="37"/>
      <c r="MPQ53" s="37"/>
      <c r="MPR53" s="37"/>
      <c r="MPS53" s="37"/>
      <c r="MPT53" s="37"/>
      <c r="MPU53" s="37"/>
      <c r="MPV53" s="37"/>
      <c r="MPW53" s="37"/>
      <c r="MPX53" s="37"/>
      <c r="MPY53" s="37"/>
      <c r="MPZ53" s="37"/>
      <c r="MQA53" s="37"/>
      <c r="MQB53" s="37"/>
      <c r="MQC53" s="37"/>
      <c r="MQD53" s="37"/>
      <c r="MQE53" s="37"/>
      <c r="MQF53" s="37"/>
      <c r="MQG53" s="37"/>
      <c r="MQH53" s="37"/>
      <c r="MQI53" s="37"/>
      <c r="MQJ53" s="37"/>
      <c r="MQK53" s="37"/>
      <c r="MQL53" s="37"/>
      <c r="MQM53" s="37"/>
      <c r="MQN53" s="37"/>
      <c r="MQO53" s="37"/>
      <c r="MQP53" s="37"/>
      <c r="MQQ53" s="37"/>
      <c r="MQR53" s="37"/>
      <c r="MQS53" s="37"/>
      <c r="MQT53" s="37"/>
      <c r="MQU53" s="37"/>
      <c r="MQV53" s="37"/>
      <c r="MQW53" s="37"/>
      <c r="MQX53" s="37"/>
      <c r="MQY53" s="37"/>
      <c r="MQZ53" s="37"/>
      <c r="MRA53" s="37"/>
      <c r="MRB53" s="37"/>
      <c r="MRC53" s="37"/>
      <c r="MRD53" s="37"/>
      <c r="MRE53" s="37"/>
      <c r="MRF53" s="37"/>
      <c r="MRG53" s="37"/>
      <c r="MRH53" s="37"/>
      <c r="MRI53" s="37"/>
      <c r="MRJ53" s="37"/>
      <c r="MRK53" s="37"/>
      <c r="MRL53" s="37"/>
      <c r="MRM53" s="37"/>
      <c r="MRN53" s="37"/>
      <c r="MRO53" s="37"/>
      <c r="MRP53" s="37"/>
      <c r="MRQ53" s="37"/>
      <c r="MRR53" s="37"/>
      <c r="MRS53" s="37"/>
      <c r="MRT53" s="37"/>
      <c r="MRU53" s="37"/>
      <c r="MRV53" s="37"/>
      <c r="MRW53" s="37"/>
      <c r="MRX53" s="37"/>
      <c r="MRY53" s="37"/>
      <c r="MRZ53" s="37"/>
      <c r="MSA53" s="37"/>
      <c r="MSB53" s="37"/>
      <c r="MSC53" s="37"/>
      <c r="MSD53" s="37"/>
      <c r="MSE53" s="37"/>
      <c r="MSF53" s="37"/>
      <c r="MSG53" s="37"/>
      <c r="MSH53" s="37"/>
      <c r="MSI53" s="37"/>
      <c r="MSJ53" s="37"/>
      <c r="MSK53" s="37"/>
      <c r="MSL53" s="37"/>
      <c r="MSM53" s="37"/>
      <c r="MSN53" s="37"/>
      <c r="MSO53" s="37"/>
      <c r="MSP53" s="37"/>
      <c r="MSQ53" s="37"/>
      <c r="MSR53" s="37"/>
      <c r="MSS53" s="37"/>
      <c r="MST53" s="37"/>
      <c r="MSU53" s="37"/>
      <c r="MSV53" s="37"/>
      <c r="MSW53" s="37"/>
      <c r="MSX53" s="37"/>
      <c r="MSY53" s="37"/>
      <c r="MSZ53" s="37"/>
      <c r="MTA53" s="37"/>
      <c r="MTB53" s="37"/>
      <c r="MTC53" s="37"/>
      <c r="MTD53" s="37"/>
      <c r="MTE53" s="37"/>
      <c r="MTF53" s="37"/>
      <c r="MTG53" s="37"/>
      <c r="MTH53" s="37"/>
      <c r="MTI53" s="37"/>
      <c r="MTJ53" s="37"/>
      <c r="MTK53" s="37"/>
      <c r="MTL53" s="37"/>
      <c r="MTM53" s="37"/>
      <c r="MTN53" s="37"/>
      <c r="MTO53" s="37"/>
      <c r="MTP53" s="37"/>
      <c r="MTQ53" s="37"/>
      <c r="MTR53" s="37"/>
      <c r="MTS53" s="37"/>
      <c r="MTT53" s="37"/>
      <c r="MTU53" s="37"/>
      <c r="MTV53" s="37"/>
      <c r="MTW53" s="37"/>
      <c r="MTX53" s="37"/>
      <c r="MTY53" s="37"/>
      <c r="MTZ53" s="37"/>
      <c r="MUA53" s="37"/>
      <c r="MUB53" s="37"/>
      <c r="MUC53" s="37"/>
      <c r="MUD53" s="37"/>
      <c r="MUE53" s="37"/>
      <c r="MUF53" s="37"/>
      <c r="MUG53" s="37"/>
      <c r="MUH53" s="37"/>
      <c r="MUI53" s="37"/>
      <c r="MUJ53" s="37"/>
      <c r="MUK53" s="37"/>
      <c r="MUL53" s="37"/>
      <c r="MUM53" s="37"/>
      <c r="MUN53" s="37"/>
      <c r="MUO53" s="37"/>
      <c r="MUP53" s="37"/>
      <c r="MUQ53" s="37"/>
      <c r="MUR53" s="37"/>
      <c r="MUS53" s="37"/>
      <c r="MUT53" s="37"/>
      <c r="MUU53" s="37"/>
      <c r="MUV53" s="37"/>
      <c r="MUW53" s="37"/>
      <c r="MUX53" s="37"/>
      <c r="MUY53" s="37"/>
      <c r="MUZ53" s="37"/>
      <c r="MVA53" s="37"/>
      <c r="MVB53" s="37"/>
      <c r="MVC53" s="37"/>
      <c r="MVD53" s="37"/>
      <c r="MVE53" s="37"/>
      <c r="MVF53" s="37"/>
      <c r="MVG53" s="37"/>
      <c r="MVH53" s="37"/>
      <c r="MVI53" s="37"/>
      <c r="MVJ53" s="37"/>
      <c r="MVK53" s="37"/>
      <c r="MVL53" s="37"/>
      <c r="MVM53" s="37"/>
      <c r="MVN53" s="37"/>
      <c r="MVO53" s="37"/>
      <c r="MVP53" s="37"/>
      <c r="MVQ53" s="37"/>
      <c r="MVR53" s="37"/>
      <c r="MVS53" s="37"/>
      <c r="MVT53" s="37"/>
      <c r="MVU53" s="37"/>
      <c r="MVV53" s="37"/>
      <c r="MVW53" s="37"/>
      <c r="MVX53" s="37"/>
      <c r="MVY53" s="37"/>
      <c r="MVZ53" s="37"/>
      <c r="MWA53" s="37"/>
      <c r="MWB53" s="37"/>
      <c r="MWC53" s="37"/>
      <c r="MWD53" s="37"/>
      <c r="MWE53" s="37"/>
      <c r="MWF53" s="37"/>
      <c r="MWG53" s="37"/>
      <c r="MWH53" s="37"/>
      <c r="MWI53" s="37"/>
      <c r="MWJ53" s="37"/>
      <c r="MWK53" s="37"/>
      <c r="MWL53" s="37"/>
      <c r="MWM53" s="37"/>
      <c r="MWN53" s="37"/>
      <c r="MWO53" s="37"/>
      <c r="MWP53" s="37"/>
      <c r="MWQ53" s="37"/>
      <c r="MWR53" s="37"/>
      <c r="MWS53" s="37"/>
      <c r="MWT53" s="37"/>
      <c r="MWU53" s="37"/>
      <c r="MWV53" s="37"/>
      <c r="MWW53" s="37"/>
      <c r="MWX53" s="37"/>
      <c r="MWY53" s="37"/>
      <c r="MWZ53" s="37"/>
      <c r="MXA53" s="37"/>
      <c r="MXB53" s="37"/>
      <c r="MXC53" s="37"/>
      <c r="MXD53" s="37"/>
      <c r="MXE53" s="37"/>
      <c r="MXF53" s="37"/>
      <c r="MXG53" s="37"/>
      <c r="MXH53" s="37"/>
      <c r="MXI53" s="37"/>
      <c r="MXJ53" s="37"/>
      <c r="MXK53" s="37"/>
      <c r="MXL53" s="37"/>
      <c r="MXM53" s="37"/>
      <c r="MXN53" s="37"/>
      <c r="MXO53" s="37"/>
      <c r="MXP53" s="37"/>
      <c r="MXQ53" s="37"/>
      <c r="MXR53" s="37"/>
      <c r="MXS53" s="37"/>
      <c r="MXT53" s="37"/>
      <c r="MXU53" s="37"/>
      <c r="MXV53" s="37"/>
      <c r="MXW53" s="37"/>
      <c r="MXX53" s="37"/>
      <c r="MXY53" s="37"/>
      <c r="MXZ53" s="37"/>
      <c r="MYA53" s="37"/>
      <c r="MYB53" s="37"/>
      <c r="MYC53" s="37"/>
      <c r="MYD53" s="37"/>
      <c r="MYE53" s="37"/>
      <c r="MYF53" s="37"/>
      <c r="MYG53" s="37"/>
      <c r="MYH53" s="37"/>
      <c r="MYI53" s="37"/>
      <c r="MYJ53" s="37"/>
      <c r="MYK53" s="37"/>
      <c r="MYL53" s="37"/>
      <c r="MYM53" s="37"/>
      <c r="MYN53" s="37"/>
      <c r="MYO53" s="37"/>
      <c r="MYP53" s="37"/>
      <c r="MYQ53" s="37"/>
      <c r="MYR53" s="37"/>
      <c r="MYS53" s="37"/>
      <c r="MYT53" s="37"/>
      <c r="MYU53" s="37"/>
      <c r="MYV53" s="37"/>
      <c r="MYW53" s="37"/>
      <c r="MYX53" s="37"/>
      <c r="MYY53" s="37"/>
      <c r="MYZ53" s="37"/>
      <c r="MZA53" s="37"/>
      <c r="MZB53" s="37"/>
      <c r="MZC53" s="37"/>
      <c r="MZD53" s="37"/>
      <c r="MZE53" s="37"/>
      <c r="MZF53" s="37"/>
      <c r="MZG53" s="37"/>
      <c r="MZH53" s="37"/>
      <c r="MZI53" s="37"/>
      <c r="MZJ53" s="37"/>
      <c r="MZK53" s="37"/>
      <c r="MZL53" s="37"/>
      <c r="MZM53" s="37"/>
      <c r="MZN53" s="37"/>
      <c r="MZO53" s="37"/>
      <c r="MZP53" s="37"/>
      <c r="MZQ53" s="37"/>
      <c r="MZR53" s="37"/>
      <c r="MZS53" s="37"/>
      <c r="MZT53" s="37"/>
      <c r="MZU53" s="37"/>
      <c r="MZV53" s="37"/>
      <c r="MZW53" s="37"/>
      <c r="MZX53" s="37"/>
      <c r="MZY53" s="37"/>
      <c r="MZZ53" s="37"/>
      <c r="NAA53" s="37"/>
      <c r="NAB53" s="37"/>
      <c r="NAC53" s="37"/>
      <c r="NAD53" s="37"/>
      <c r="NAE53" s="37"/>
      <c r="NAF53" s="37"/>
      <c r="NAG53" s="37"/>
      <c r="NAH53" s="37"/>
      <c r="NAI53" s="37"/>
      <c r="NAJ53" s="37"/>
      <c r="NAK53" s="37"/>
      <c r="NAL53" s="37"/>
      <c r="NAM53" s="37"/>
      <c r="NAN53" s="37"/>
      <c r="NAO53" s="37"/>
      <c r="NAP53" s="37"/>
      <c r="NAQ53" s="37"/>
      <c r="NAR53" s="37"/>
      <c r="NAS53" s="37"/>
      <c r="NAT53" s="37"/>
      <c r="NAU53" s="37"/>
      <c r="NAV53" s="37"/>
      <c r="NAW53" s="37"/>
      <c r="NAX53" s="37"/>
      <c r="NAY53" s="37"/>
      <c r="NAZ53" s="37"/>
      <c r="NBA53" s="37"/>
      <c r="NBB53" s="37"/>
      <c r="NBC53" s="37"/>
      <c r="NBD53" s="37"/>
      <c r="NBE53" s="37"/>
      <c r="NBF53" s="37"/>
      <c r="NBG53" s="37"/>
      <c r="NBH53" s="37"/>
      <c r="NBI53" s="37"/>
      <c r="NBJ53" s="37"/>
      <c r="NBK53" s="37"/>
      <c r="NBL53" s="37"/>
      <c r="NBM53" s="37"/>
      <c r="NBN53" s="37"/>
      <c r="NBO53" s="37"/>
      <c r="NBP53" s="37"/>
      <c r="NBQ53" s="37"/>
      <c r="NBR53" s="37"/>
      <c r="NBS53" s="37"/>
      <c r="NBT53" s="37"/>
      <c r="NBU53" s="37"/>
      <c r="NBV53" s="37"/>
      <c r="NBW53" s="37"/>
      <c r="NBX53" s="37"/>
      <c r="NBY53" s="37"/>
      <c r="NBZ53" s="37"/>
      <c r="NCA53" s="37"/>
      <c r="NCB53" s="37"/>
      <c r="NCC53" s="37"/>
      <c r="NCD53" s="37"/>
      <c r="NCE53" s="37"/>
      <c r="NCF53" s="37"/>
      <c r="NCG53" s="37"/>
      <c r="NCH53" s="37"/>
      <c r="NCI53" s="37"/>
      <c r="NCJ53" s="37"/>
      <c r="NCK53" s="37"/>
      <c r="NCL53" s="37"/>
      <c r="NCM53" s="37"/>
      <c r="NCN53" s="37"/>
      <c r="NCO53" s="37"/>
      <c r="NCP53" s="37"/>
      <c r="NCQ53" s="37"/>
      <c r="NCR53" s="37"/>
      <c r="NCS53" s="37"/>
      <c r="NCT53" s="37"/>
      <c r="NCU53" s="37"/>
      <c r="NCV53" s="37"/>
      <c r="NCW53" s="37"/>
      <c r="NCX53" s="37"/>
      <c r="NCY53" s="37"/>
      <c r="NCZ53" s="37"/>
      <c r="NDA53" s="37"/>
      <c r="NDB53" s="37"/>
      <c r="NDC53" s="37"/>
      <c r="NDD53" s="37"/>
      <c r="NDE53" s="37"/>
      <c r="NDF53" s="37"/>
      <c r="NDG53" s="37"/>
      <c r="NDH53" s="37"/>
      <c r="NDI53" s="37"/>
      <c r="NDJ53" s="37"/>
      <c r="NDK53" s="37"/>
      <c r="NDL53" s="37"/>
      <c r="NDM53" s="37"/>
      <c r="NDN53" s="37"/>
      <c r="NDO53" s="37"/>
      <c r="NDP53" s="37"/>
      <c r="NDQ53" s="37"/>
      <c r="NDR53" s="37"/>
      <c r="NDS53" s="37"/>
      <c r="NDT53" s="37"/>
      <c r="NDU53" s="37"/>
      <c r="NDV53" s="37"/>
      <c r="NDW53" s="37"/>
      <c r="NDX53" s="37"/>
      <c r="NDY53" s="37"/>
      <c r="NDZ53" s="37"/>
      <c r="NEA53" s="37"/>
      <c r="NEB53" s="37"/>
      <c r="NEC53" s="37"/>
      <c r="NED53" s="37"/>
      <c r="NEE53" s="37"/>
      <c r="NEF53" s="37"/>
      <c r="NEG53" s="37"/>
      <c r="NEH53" s="37"/>
      <c r="NEI53" s="37"/>
      <c r="NEJ53" s="37"/>
      <c r="NEK53" s="37"/>
      <c r="NEL53" s="37"/>
      <c r="NEM53" s="37"/>
      <c r="NEN53" s="37"/>
      <c r="NEO53" s="37"/>
      <c r="NEP53" s="37"/>
      <c r="NEQ53" s="37"/>
      <c r="NER53" s="37"/>
      <c r="NES53" s="37"/>
      <c r="NET53" s="37"/>
      <c r="NEU53" s="37"/>
      <c r="NEV53" s="37"/>
      <c r="NEW53" s="37"/>
      <c r="NEX53" s="37"/>
      <c r="NEY53" s="37"/>
      <c r="NEZ53" s="37"/>
      <c r="NFA53" s="37"/>
      <c r="NFB53" s="37"/>
      <c r="NFC53" s="37"/>
      <c r="NFD53" s="37"/>
      <c r="NFE53" s="37"/>
      <c r="NFF53" s="37"/>
      <c r="NFG53" s="37"/>
      <c r="NFH53" s="37"/>
      <c r="NFI53" s="37"/>
      <c r="NFJ53" s="37"/>
      <c r="NFK53" s="37"/>
      <c r="NFL53" s="37"/>
      <c r="NFM53" s="37"/>
      <c r="NFN53" s="37"/>
      <c r="NFO53" s="37"/>
      <c r="NFP53" s="37"/>
      <c r="NFQ53" s="37"/>
      <c r="NFR53" s="37"/>
      <c r="NFS53" s="37"/>
      <c r="NFT53" s="37"/>
      <c r="NFU53" s="37"/>
      <c r="NFV53" s="37"/>
      <c r="NFW53" s="37"/>
      <c r="NFX53" s="37"/>
      <c r="NFY53" s="37"/>
      <c r="NFZ53" s="37"/>
      <c r="NGA53" s="37"/>
      <c r="NGB53" s="37"/>
      <c r="NGC53" s="37"/>
      <c r="NGD53" s="37"/>
      <c r="NGE53" s="37"/>
      <c r="NGF53" s="37"/>
      <c r="NGG53" s="37"/>
      <c r="NGH53" s="37"/>
      <c r="NGI53" s="37"/>
      <c r="NGJ53" s="37"/>
      <c r="NGK53" s="37"/>
      <c r="NGL53" s="37"/>
      <c r="NGM53" s="37"/>
      <c r="NGN53" s="37"/>
      <c r="NGO53" s="37"/>
      <c r="NGP53" s="37"/>
      <c r="NGQ53" s="37"/>
      <c r="NGR53" s="37"/>
      <c r="NGS53" s="37"/>
      <c r="NGT53" s="37"/>
      <c r="NGU53" s="37"/>
      <c r="NGV53" s="37"/>
      <c r="NGW53" s="37"/>
      <c r="NGX53" s="37"/>
      <c r="NGY53" s="37"/>
      <c r="NGZ53" s="37"/>
      <c r="NHA53" s="37"/>
      <c r="NHB53" s="37"/>
      <c r="NHC53" s="37"/>
      <c r="NHD53" s="37"/>
      <c r="NHE53" s="37"/>
      <c r="NHF53" s="37"/>
      <c r="NHG53" s="37"/>
      <c r="NHH53" s="37"/>
      <c r="NHI53" s="37"/>
      <c r="NHJ53" s="37"/>
      <c r="NHK53" s="37"/>
      <c r="NHL53" s="37"/>
      <c r="NHM53" s="37"/>
      <c r="NHN53" s="37"/>
      <c r="NHO53" s="37"/>
      <c r="NHP53" s="37"/>
      <c r="NHQ53" s="37"/>
      <c r="NHR53" s="37"/>
      <c r="NHS53" s="37"/>
      <c r="NHT53" s="37"/>
      <c r="NHU53" s="37"/>
      <c r="NHV53" s="37"/>
      <c r="NHW53" s="37"/>
      <c r="NHX53" s="37"/>
      <c r="NHY53" s="37"/>
      <c r="NHZ53" s="37"/>
      <c r="NIA53" s="37"/>
      <c r="NIB53" s="37"/>
      <c r="NIC53" s="37"/>
      <c r="NID53" s="37"/>
      <c r="NIE53" s="37"/>
      <c r="NIF53" s="37"/>
      <c r="NIG53" s="37"/>
      <c r="NIH53" s="37"/>
      <c r="NII53" s="37"/>
      <c r="NIJ53" s="37"/>
      <c r="NIK53" s="37"/>
      <c r="NIL53" s="37"/>
      <c r="NIM53" s="37"/>
      <c r="NIN53" s="37"/>
      <c r="NIO53" s="37"/>
      <c r="NIP53" s="37"/>
      <c r="NIQ53" s="37"/>
      <c r="NIR53" s="37"/>
      <c r="NIS53" s="37"/>
      <c r="NIT53" s="37"/>
      <c r="NIU53" s="37"/>
      <c r="NIV53" s="37"/>
      <c r="NIW53" s="37"/>
      <c r="NIX53" s="37"/>
      <c r="NIY53" s="37"/>
      <c r="NIZ53" s="37"/>
      <c r="NJA53" s="37"/>
      <c r="NJB53" s="37"/>
      <c r="NJC53" s="37"/>
      <c r="NJD53" s="37"/>
      <c r="NJE53" s="37"/>
      <c r="NJF53" s="37"/>
      <c r="NJG53" s="37"/>
      <c r="NJH53" s="37"/>
      <c r="NJI53" s="37"/>
      <c r="NJJ53" s="37"/>
      <c r="NJK53" s="37"/>
      <c r="NJL53" s="37"/>
      <c r="NJM53" s="37"/>
      <c r="NJN53" s="37"/>
      <c r="NJO53" s="37"/>
      <c r="NJP53" s="37"/>
      <c r="NJQ53" s="37"/>
      <c r="NJR53" s="37"/>
      <c r="NJS53" s="37"/>
      <c r="NJT53" s="37"/>
      <c r="NJU53" s="37"/>
      <c r="NJV53" s="37"/>
      <c r="NJW53" s="37"/>
      <c r="NJX53" s="37"/>
      <c r="NJY53" s="37"/>
      <c r="NJZ53" s="37"/>
      <c r="NKA53" s="37"/>
      <c r="NKB53" s="37"/>
      <c r="NKC53" s="37"/>
      <c r="NKD53" s="37"/>
      <c r="NKE53" s="37"/>
      <c r="NKF53" s="37"/>
      <c r="NKG53" s="37"/>
      <c r="NKH53" s="37"/>
      <c r="NKI53" s="37"/>
      <c r="NKJ53" s="37"/>
      <c r="NKK53" s="37"/>
      <c r="NKL53" s="37"/>
      <c r="NKM53" s="37"/>
      <c r="NKN53" s="37"/>
      <c r="NKO53" s="37"/>
      <c r="NKP53" s="37"/>
      <c r="NKQ53" s="37"/>
      <c r="NKR53" s="37"/>
      <c r="NKS53" s="37"/>
      <c r="NKT53" s="37"/>
      <c r="NKU53" s="37"/>
      <c r="NKV53" s="37"/>
      <c r="NKW53" s="37"/>
      <c r="NKX53" s="37"/>
      <c r="NKY53" s="37"/>
      <c r="NKZ53" s="37"/>
      <c r="NLA53" s="37"/>
      <c r="NLB53" s="37"/>
      <c r="NLC53" s="37"/>
      <c r="NLD53" s="37"/>
      <c r="NLE53" s="37"/>
      <c r="NLF53" s="37"/>
      <c r="NLG53" s="37"/>
      <c r="NLH53" s="37"/>
      <c r="NLI53" s="37"/>
      <c r="NLJ53" s="37"/>
      <c r="NLK53" s="37"/>
      <c r="NLL53" s="37"/>
      <c r="NLM53" s="37"/>
      <c r="NLN53" s="37"/>
      <c r="NLO53" s="37"/>
      <c r="NLP53" s="37"/>
      <c r="NLQ53" s="37"/>
      <c r="NLR53" s="37"/>
      <c r="NLS53" s="37"/>
      <c r="NLT53" s="37"/>
      <c r="NLU53" s="37"/>
      <c r="NLV53" s="37"/>
      <c r="NLW53" s="37"/>
      <c r="NLX53" s="37"/>
      <c r="NLY53" s="37"/>
      <c r="NLZ53" s="37"/>
      <c r="NMA53" s="37"/>
      <c r="NMB53" s="37"/>
      <c r="NMC53" s="37"/>
      <c r="NMD53" s="37"/>
      <c r="NME53" s="37"/>
      <c r="NMF53" s="37"/>
      <c r="NMG53" s="37"/>
      <c r="NMH53" s="37"/>
      <c r="NMI53" s="37"/>
      <c r="NMJ53" s="37"/>
      <c r="NMK53" s="37"/>
      <c r="NML53" s="37"/>
      <c r="NMM53" s="37"/>
      <c r="NMN53" s="37"/>
      <c r="NMO53" s="37"/>
      <c r="NMP53" s="37"/>
      <c r="NMQ53" s="37"/>
      <c r="NMR53" s="37"/>
      <c r="NMS53" s="37"/>
      <c r="NMT53" s="37"/>
      <c r="NMU53" s="37"/>
      <c r="NMV53" s="37"/>
      <c r="NMW53" s="37"/>
      <c r="NMX53" s="37"/>
      <c r="NMY53" s="37"/>
      <c r="NMZ53" s="37"/>
      <c r="NNA53" s="37"/>
      <c r="NNB53" s="37"/>
      <c r="NNC53" s="37"/>
      <c r="NND53" s="37"/>
      <c r="NNE53" s="37"/>
      <c r="NNF53" s="37"/>
      <c r="NNG53" s="37"/>
      <c r="NNH53" s="37"/>
      <c r="NNI53" s="37"/>
      <c r="NNJ53" s="37"/>
      <c r="NNK53" s="37"/>
      <c r="NNL53" s="37"/>
      <c r="NNM53" s="37"/>
      <c r="NNN53" s="37"/>
      <c r="NNO53" s="37"/>
      <c r="NNP53" s="37"/>
      <c r="NNQ53" s="37"/>
      <c r="NNR53" s="37"/>
      <c r="NNS53" s="37"/>
      <c r="NNT53" s="37"/>
      <c r="NNU53" s="37"/>
      <c r="NNV53" s="37"/>
      <c r="NNW53" s="37"/>
      <c r="NNX53" s="37"/>
      <c r="NNY53" s="37"/>
      <c r="NNZ53" s="37"/>
      <c r="NOA53" s="37"/>
      <c r="NOB53" s="37"/>
      <c r="NOC53" s="37"/>
      <c r="NOD53" s="37"/>
      <c r="NOE53" s="37"/>
      <c r="NOF53" s="37"/>
      <c r="NOG53" s="37"/>
      <c r="NOH53" s="37"/>
      <c r="NOI53" s="37"/>
      <c r="NOJ53" s="37"/>
      <c r="NOK53" s="37"/>
      <c r="NOL53" s="37"/>
      <c r="NOM53" s="37"/>
      <c r="NON53" s="37"/>
      <c r="NOO53" s="37"/>
      <c r="NOP53" s="37"/>
      <c r="NOQ53" s="37"/>
      <c r="NOR53" s="37"/>
      <c r="NOS53" s="37"/>
      <c r="NOT53" s="37"/>
      <c r="NOU53" s="37"/>
      <c r="NOV53" s="37"/>
      <c r="NOW53" s="37"/>
      <c r="NOX53" s="37"/>
      <c r="NOY53" s="37"/>
      <c r="NOZ53" s="37"/>
      <c r="NPA53" s="37"/>
      <c r="NPB53" s="37"/>
      <c r="NPC53" s="37"/>
      <c r="NPD53" s="37"/>
      <c r="NPE53" s="37"/>
      <c r="NPF53" s="37"/>
      <c r="NPG53" s="37"/>
      <c r="NPH53" s="37"/>
      <c r="NPI53" s="37"/>
      <c r="NPJ53" s="37"/>
      <c r="NPK53" s="37"/>
      <c r="NPL53" s="37"/>
      <c r="NPM53" s="37"/>
      <c r="NPN53" s="37"/>
      <c r="NPO53" s="37"/>
      <c r="NPP53" s="37"/>
      <c r="NPQ53" s="37"/>
      <c r="NPR53" s="37"/>
      <c r="NPS53" s="37"/>
      <c r="NPT53" s="37"/>
      <c r="NPU53" s="37"/>
      <c r="NPV53" s="37"/>
      <c r="NPW53" s="37"/>
      <c r="NPX53" s="37"/>
      <c r="NPY53" s="37"/>
      <c r="NPZ53" s="37"/>
      <c r="NQA53" s="37"/>
      <c r="NQB53" s="37"/>
      <c r="NQC53" s="37"/>
      <c r="NQD53" s="37"/>
      <c r="NQE53" s="37"/>
      <c r="NQF53" s="37"/>
      <c r="NQG53" s="37"/>
      <c r="NQH53" s="37"/>
      <c r="NQI53" s="37"/>
      <c r="NQJ53" s="37"/>
      <c r="NQK53" s="37"/>
      <c r="NQL53" s="37"/>
      <c r="NQM53" s="37"/>
      <c r="NQN53" s="37"/>
      <c r="NQO53" s="37"/>
      <c r="NQP53" s="37"/>
      <c r="NQQ53" s="37"/>
      <c r="NQR53" s="37"/>
      <c r="NQS53" s="37"/>
      <c r="NQT53" s="37"/>
      <c r="NQU53" s="37"/>
      <c r="NQV53" s="37"/>
      <c r="NQW53" s="37"/>
      <c r="NQX53" s="37"/>
      <c r="NQY53" s="37"/>
      <c r="NQZ53" s="37"/>
      <c r="NRA53" s="37"/>
      <c r="NRB53" s="37"/>
      <c r="NRC53" s="37"/>
      <c r="NRD53" s="37"/>
      <c r="NRE53" s="37"/>
      <c r="NRF53" s="37"/>
      <c r="NRG53" s="37"/>
      <c r="NRH53" s="37"/>
      <c r="NRI53" s="37"/>
      <c r="NRJ53" s="37"/>
      <c r="NRK53" s="37"/>
      <c r="NRL53" s="37"/>
      <c r="NRM53" s="37"/>
      <c r="NRN53" s="37"/>
      <c r="NRO53" s="37"/>
      <c r="NRP53" s="37"/>
      <c r="NRQ53" s="37"/>
      <c r="NRR53" s="37"/>
      <c r="NRS53" s="37"/>
      <c r="NRT53" s="37"/>
      <c r="NRU53" s="37"/>
      <c r="NRV53" s="37"/>
      <c r="NRW53" s="37"/>
      <c r="NRX53" s="37"/>
      <c r="NRY53" s="37"/>
      <c r="NRZ53" s="37"/>
      <c r="NSA53" s="37"/>
      <c r="NSB53" s="37"/>
      <c r="NSC53" s="37"/>
      <c r="NSD53" s="37"/>
      <c r="NSE53" s="37"/>
      <c r="NSF53" s="37"/>
      <c r="NSG53" s="37"/>
      <c r="NSH53" s="37"/>
      <c r="NSI53" s="37"/>
      <c r="NSJ53" s="37"/>
      <c r="NSK53" s="37"/>
      <c r="NSL53" s="37"/>
      <c r="NSM53" s="37"/>
      <c r="NSN53" s="37"/>
      <c r="NSO53" s="37"/>
      <c r="NSP53" s="37"/>
      <c r="NSQ53" s="37"/>
      <c r="NSR53" s="37"/>
      <c r="NSS53" s="37"/>
      <c r="NST53" s="37"/>
      <c r="NSU53" s="37"/>
      <c r="NSV53" s="37"/>
      <c r="NSW53" s="37"/>
      <c r="NSX53" s="37"/>
      <c r="NSY53" s="37"/>
      <c r="NSZ53" s="37"/>
      <c r="NTA53" s="37"/>
      <c r="NTB53" s="37"/>
      <c r="NTC53" s="37"/>
      <c r="NTD53" s="37"/>
      <c r="NTE53" s="37"/>
      <c r="NTF53" s="37"/>
      <c r="NTG53" s="37"/>
      <c r="NTH53" s="37"/>
      <c r="NTI53" s="37"/>
      <c r="NTJ53" s="37"/>
      <c r="NTK53" s="37"/>
      <c r="NTL53" s="37"/>
      <c r="NTM53" s="37"/>
      <c r="NTN53" s="37"/>
      <c r="NTO53" s="37"/>
      <c r="NTP53" s="37"/>
      <c r="NTQ53" s="37"/>
      <c r="NTR53" s="37"/>
      <c r="NTS53" s="37"/>
      <c r="NTT53" s="37"/>
      <c r="NTU53" s="37"/>
      <c r="NTV53" s="37"/>
      <c r="NTW53" s="37"/>
      <c r="NTX53" s="37"/>
      <c r="NTY53" s="37"/>
      <c r="NTZ53" s="37"/>
      <c r="NUA53" s="37"/>
      <c r="NUB53" s="37"/>
      <c r="NUC53" s="37"/>
      <c r="NUD53" s="37"/>
      <c r="NUE53" s="37"/>
      <c r="NUF53" s="37"/>
      <c r="NUG53" s="37"/>
      <c r="NUH53" s="37"/>
      <c r="NUI53" s="37"/>
      <c r="NUJ53" s="37"/>
      <c r="NUK53" s="37"/>
      <c r="NUL53" s="37"/>
      <c r="NUM53" s="37"/>
      <c r="NUN53" s="37"/>
      <c r="NUO53" s="37"/>
      <c r="NUP53" s="37"/>
      <c r="NUQ53" s="37"/>
      <c r="NUR53" s="37"/>
      <c r="NUS53" s="37"/>
      <c r="NUT53" s="37"/>
      <c r="NUU53" s="37"/>
      <c r="NUV53" s="37"/>
      <c r="NUW53" s="37"/>
      <c r="NUX53" s="37"/>
      <c r="NUY53" s="37"/>
      <c r="NUZ53" s="37"/>
      <c r="NVA53" s="37"/>
      <c r="NVB53" s="37"/>
      <c r="NVC53" s="37"/>
      <c r="NVD53" s="37"/>
      <c r="NVE53" s="37"/>
      <c r="NVF53" s="37"/>
      <c r="NVG53" s="37"/>
      <c r="NVH53" s="37"/>
      <c r="NVI53" s="37"/>
      <c r="NVJ53" s="37"/>
      <c r="NVK53" s="37"/>
      <c r="NVL53" s="37"/>
      <c r="NVM53" s="37"/>
      <c r="NVN53" s="37"/>
      <c r="NVO53" s="37"/>
      <c r="NVP53" s="37"/>
      <c r="NVQ53" s="37"/>
      <c r="NVR53" s="37"/>
      <c r="NVS53" s="37"/>
      <c r="NVT53" s="37"/>
      <c r="NVU53" s="37"/>
      <c r="NVV53" s="37"/>
      <c r="NVW53" s="37"/>
      <c r="NVX53" s="37"/>
      <c r="NVY53" s="37"/>
      <c r="NVZ53" s="37"/>
      <c r="NWA53" s="37"/>
      <c r="NWB53" s="37"/>
      <c r="NWC53" s="37"/>
      <c r="NWD53" s="37"/>
      <c r="NWE53" s="37"/>
      <c r="NWF53" s="37"/>
      <c r="NWG53" s="37"/>
      <c r="NWH53" s="37"/>
      <c r="NWI53" s="37"/>
      <c r="NWJ53" s="37"/>
      <c r="NWK53" s="37"/>
      <c r="NWL53" s="37"/>
      <c r="NWM53" s="37"/>
      <c r="NWN53" s="37"/>
      <c r="NWO53" s="37"/>
      <c r="NWP53" s="37"/>
      <c r="NWQ53" s="37"/>
      <c r="NWR53" s="37"/>
      <c r="NWS53" s="37"/>
      <c r="NWT53" s="37"/>
      <c r="NWU53" s="37"/>
      <c r="NWV53" s="37"/>
      <c r="NWW53" s="37"/>
      <c r="NWX53" s="37"/>
      <c r="NWY53" s="37"/>
      <c r="NWZ53" s="37"/>
      <c r="NXA53" s="37"/>
      <c r="NXB53" s="37"/>
      <c r="NXC53" s="37"/>
      <c r="NXD53" s="37"/>
      <c r="NXE53" s="37"/>
      <c r="NXF53" s="37"/>
      <c r="NXG53" s="37"/>
      <c r="NXH53" s="37"/>
      <c r="NXI53" s="37"/>
      <c r="NXJ53" s="37"/>
      <c r="NXK53" s="37"/>
      <c r="NXL53" s="37"/>
      <c r="NXM53" s="37"/>
      <c r="NXN53" s="37"/>
      <c r="NXO53" s="37"/>
      <c r="NXP53" s="37"/>
      <c r="NXQ53" s="37"/>
      <c r="NXR53" s="37"/>
      <c r="NXS53" s="37"/>
      <c r="NXT53" s="37"/>
      <c r="NXU53" s="37"/>
      <c r="NXV53" s="37"/>
      <c r="NXW53" s="37"/>
      <c r="NXX53" s="37"/>
      <c r="NXY53" s="37"/>
      <c r="NXZ53" s="37"/>
      <c r="NYA53" s="37"/>
      <c r="NYB53" s="37"/>
      <c r="NYC53" s="37"/>
      <c r="NYD53" s="37"/>
      <c r="NYE53" s="37"/>
      <c r="NYF53" s="37"/>
      <c r="NYG53" s="37"/>
      <c r="NYH53" s="37"/>
      <c r="NYI53" s="37"/>
      <c r="NYJ53" s="37"/>
      <c r="NYK53" s="37"/>
      <c r="NYL53" s="37"/>
      <c r="NYM53" s="37"/>
      <c r="NYN53" s="37"/>
      <c r="NYO53" s="37"/>
      <c r="NYP53" s="37"/>
      <c r="NYQ53" s="37"/>
      <c r="NYR53" s="37"/>
      <c r="NYS53" s="37"/>
      <c r="NYT53" s="37"/>
      <c r="NYU53" s="37"/>
      <c r="NYV53" s="37"/>
      <c r="NYW53" s="37"/>
      <c r="NYX53" s="37"/>
      <c r="NYY53" s="37"/>
      <c r="NYZ53" s="37"/>
      <c r="NZA53" s="37"/>
      <c r="NZB53" s="37"/>
      <c r="NZC53" s="37"/>
      <c r="NZD53" s="37"/>
      <c r="NZE53" s="37"/>
      <c r="NZF53" s="37"/>
      <c r="NZG53" s="37"/>
      <c r="NZH53" s="37"/>
      <c r="NZI53" s="37"/>
      <c r="NZJ53" s="37"/>
      <c r="NZK53" s="37"/>
      <c r="NZL53" s="37"/>
      <c r="NZM53" s="37"/>
      <c r="NZN53" s="37"/>
      <c r="NZO53" s="37"/>
      <c r="NZP53" s="37"/>
      <c r="NZQ53" s="37"/>
      <c r="NZR53" s="37"/>
      <c r="NZS53" s="37"/>
      <c r="NZT53" s="37"/>
      <c r="NZU53" s="37"/>
      <c r="NZV53" s="37"/>
      <c r="NZW53" s="37"/>
      <c r="NZX53" s="37"/>
      <c r="NZY53" s="37"/>
      <c r="NZZ53" s="37"/>
      <c r="OAA53" s="37"/>
      <c r="OAB53" s="37"/>
      <c r="OAC53" s="37"/>
      <c r="OAD53" s="37"/>
      <c r="OAE53" s="37"/>
      <c r="OAF53" s="37"/>
      <c r="OAG53" s="37"/>
      <c r="OAH53" s="37"/>
      <c r="OAI53" s="37"/>
      <c r="OAJ53" s="37"/>
      <c r="OAK53" s="37"/>
      <c r="OAL53" s="37"/>
      <c r="OAM53" s="37"/>
      <c r="OAN53" s="37"/>
      <c r="OAO53" s="37"/>
      <c r="OAP53" s="37"/>
      <c r="OAQ53" s="37"/>
      <c r="OAR53" s="37"/>
      <c r="OAS53" s="37"/>
      <c r="OAT53" s="37"/>
      <c r="OAU53" s="37"/>
      <c r="OAV53" s="37"/>
      <c r="OAW53" s="37"/>
      <c r="OAX53" s="37"/>
      <c r="OAY53" s="37"/>
      <c r="OAZ53" s="37"/>
      <c r="OBA53" s="37"/>
      <c r="OBB53" s="37"/>
      <c r="OBC53" s="37"/>
      <c r="OBD53" s="37"/>
      <c r="OBE53" s="37"/>
      <c r="OBF53" s="37"/>
      <c r="OBG53" s="37"/>
      <c r="OBH53" s="37"/>
      <c r="OBI53" s="37"/>
      <c r="OBJ53" s="37"/>
      <c r="OBK53" s="37"/>
      <c r="OBL53" s="37"/>
      <c r="OBM53" s="37"/>
      <c r="OBN53" s="37"/>
      <c r="OBO53" s="37"/>
      <c r="OBP53" s="37"/>
      <c r="OBQ53" s="37"/>
      <c r="OBR53" s="37"/>
      <c r="OBS53" s="37"/>
      <c r="OBT53" s="37"/>
      <c r="OBU53" s="37"/>
      <c r="OBV53" s="37"/>
      <c r="OBW53" s="37"/>
      <c r="OBX53" s="37"/>
      <c r="OBY53" s="37"/>
      <c r="OBZ53" s="37"/>
      <c r="OCA53" s="37"/>
      <c r="OCB53" s="37"/>
      <c r="OCC53" s="37"/>
      <c r="OCD53" s="37"/>
      <c r="OCE53" s="37"/>
      <c r="OCF53" s="37"/>
      <c r="OCG53" s="37"/>
      <c r="OCH53" s="37"/>
      <c r="OCI53" s="37"/>
      <c r="OCJ53" s="37"/>
      <c r="OCK53" s="37"/>
      <c r="OCL53" s="37"/>
      <c r="OCM53" s="37"/>
      <c r="OCN53" s="37"/>
      <c r="OCO53" s="37"/>
      <c r="OCP53" s="37"/>
      <c r="OCQ53" s="37"/>
      <c r="OCR53" s="37"/>
      <c r="OCS53" s="37"/>
      <c r="OCT53" s="37"/>
      <c r="OCU53" s="37"/>
      <c r="OCV53" s="37"/>
      <c r="OCW53" s="37"/>
      <c r="OCX53" s="37"/>
      <c r="OCY53" s="37"/>
      <c r="OCZ53" s="37"/>
      <c r="ODA53" s="37"/>
      <c r="ODB53" s="37"/>
      <c r="ODC53" s="37"/>
      <c r="ODD53" s="37"/>
      <c r="ODE53" s="37"/>
      <c r="ODF53" s="37"/>
      <c r="ODG53" s="37"/>
      <c r="ODH53" s="37"/>
      <c r="ODI53" s="37"/>
      <c r="ODJ53" s="37"/>
      <c r="ODK53" s="37"/>
      <c r="ODL53" s="37"/>
      <c r="ODM53" s="37"/>
      <c r="ODN53" s="37"/>
      <c r="ODO53" s="37"/>
      <c r="ODP53" s="37"/>
      <c r="ODQ53" s="37"/>
      <c r="ODR53" s="37"/>
      <c r="ODS53" s="37"/>
      <c r="ODT53" s="37"/>
      <c r="ODU53" s="37"/>
      <c r="ODV53" s="37"/>
      <c r="ODW53" s="37"/>
      <c r="ODX53" s="37"/>
      <c r="ODY53" s="37"/>
      <c r="ODZ53" s="37"/>
      <c r="OEA53" s="37"/>
      <c r="OEB53" s="37"/>
      <c r="OEC53" s="37"/>
      <c r="OED53" s="37"/>
      <c r="OEE53" s="37"/>
      <c r="OEF53" s="37"/>
      <c r="OEG53" s="37"/>
      <c r="OEH53" s="37"/>
      <c r="OEI53" s="37"/>
      <c r="OEJ53" s="37"/>
      <c r="OEK53" s="37"/>
      <c r="OEL53" s="37"/>
      <c r="OEM53" s="37"/>
      <c r="OEN53" s="37"/>
      <c r="OEO53" s="37"/>
      <c r="OEP53" s="37"/>
      <c r="OEQ53" s="37"/>
      <c r="OER53" s="37"/>
      <c r="OES53" s="37"/>
      <c r="OET53" s="37"/>
      <c r="OEU53" s="37"/>
      <c r="OEV53" s="37"/>
      <c r="OEW53" s="37"/>
      <c r="OEX53" s="37"/>
      <c r="OEY53" s="37"/>
      <c r="OEZ53" s="37"/>
      <c r="OFA53" s="37"/>
      <c r="OFB53" s="37"/>
      <c r="OFC53" s="37"/>
      <c r="OFD53" s="37"/>
      <c r="OFE53" s="37"/>
      <c r="OFF53" s="37"/>
      <c r="OFG53" s="37"/>
      <c r="OFH53" s="37"/>
      <c r="OFI53" s="37"/>
      <c r="OFJ53" s="37"/>
      <c r="OFK53" s="37"/>
      <c r="OFL53" s="37"/>
      <c r="OFM53" s="37"/>
      <c r="OFN53" s="37"/>
      <c r="OFO53" s="37"/>
      <c r="OFP53" s="37"/>
      <c r="OFQ53" s="37"/>
      <c r="OFR53" s="37"/>
      <c r="OFS53" s="37"/>
      <c r="OFT53" s="37"/>
      <c r="OFU53" s="37"/>
      <c r="OFV53" s="37"/>
      <c r="OFW53" s="37"/>
      <c r="OFX53" s="37"/>
      <c r="OFY53" s="37"/>
      <c r="OFZ53" s="37"/>
      <c r="OGA53" s="37"/>
      <c r="OGB53" s="37"/>
      <c r="OGC53" s="37"/>
      <c r="OGD53" s="37"/>
      <c r="OGE53" s="37"/>
      <c r="OGF53" s="37"/>
      <c r="OGG53" s="37"/>
      <c r="OGH53" s="37"/>
      <c r="OGI53" s="37"/>
      <c r="OGJ53" s="37"/>
      <c r="OGK53" s="37"/>
      <c r="OGL53" s="37"/>
      <c r="OGM53" s="37"/>
      <c r="OGN53" s="37"/>
      <c r="OGO53" s="37"/>
      <c r="OGP53" s="37"/>
      <c r="OGQ53" s="37"/>
      <c r="OGR53" s="37"/>
      <c r="OGS53" s="37"/>
      <c r="OGT53" s="37"/>
      <c r="OGU53" s="37"/>
      <c r="OGV53" s="37"/>
      <c r="OGW53" s="37"/>
      <c r="OGX53" s="37"/>
      <c r="OGY53" s="37"/>
      <c r="OGZ53" s="37"/>
      <c r="OHA53" s="37"/>
      <c r="OHB53" s="37"/>
      <c r="OHC53" s="37"/>
      <c r="OHD53" s="37"/>
      <c r="OHE53" s="37"/>
      <c r="OHF53" s="37"/>
      <c r="OHG53" s="37"/>
      <c r="OHH53" s="37"/>
      <c r="OHI53" s="37"/>
      <c r="OHJ53" s="37"/>
      <c r="OHK53" s="37"/>
      <c r="OHL53" s="37"/>
      <c r="OHM53" s="37"/>
      <c r="OHN53" s="37"/>
      <c r="OHO53" s="37"/>
      <c r="OHP53" s="37"/>
      <c r="OHQ53" s="37"/>
      <c r="OHR53" s="37"/>
      <c r="OHS53" s="37"/>
      <c r="OHT53" s="37"/>
      <c r="OHU53" s="37"/>
      <c r="OHV53" s="37"/>
      <c r="OHW53" s="37"/>
      <c r="OHX53" s="37"/>
      <c r="OHY53" s="37"/>
      <c r="OHZ53" s="37"/>
      <c r="OIA53" s="37"/>
      <c r="OIB53" s="37"/>
      <c r="OIC53" s="37"/>
      <c r="OID53" s="37"/>
      <c r="OIE53" s="37"/>
      <c r="OIF53" s="37"/>
      <c r="OIG53" s="37"/>
      <c r="OIH53" s="37"/>
      <c r="OII53" s="37"/>
      <c r="OIJ53" s="37"/>
      <c r="OIK53" s="37"/>
      <c r="OIL53" s="37"/>
      <c r="OIM53" s="37"/>
      <c r="OIN53" s="37"/>
      <c r="OIO53" s="37"/>
      <c r="OIP53" s="37"/>
      <c r="OIQ53" s="37"/>
      <c r="OIR53" s="37"/>
      <c r="OIS53" s="37"/>
      <c r="OIT53" s="37"/>
      <c r="OIU53" s="37"/>
      <c r="OIV53" s="37"/>
      <c r="OIW53" s="37"/>
      <c r="OIX53" s="37"/>
      <c r="OIY53" s="37"/>
      <c r="OIZ53" s="37"/>
      <c r="OJA53" s="37"/>
      <c r="OJB53" s="37"/>
      <c r="OJC53" s="37"/>
      <c r="OJD53" s="37"/>
      <c r="OJE53" s="37"/>
      <c r="OJF53" s="37"/>
      <c r="OJG53" s="37"/>
      <c r="OJH53" s="37"/>
      <c r="OJI53" s="37"/>
      <c r="OJJ53" s="37"/>
      <c r="OJK53" s="37"/>
      <c r="OJL53" s="37"/>
      <c r="OJM53" s="37"/>
      <c r="OJN53" s="37"/>
      <c r="OJO53" s="37"/>
      <c r="OJP53" s="37"/>
      <c r="OJQ53" s="37"/>
      <c r="OJR53" s="37"/>
      <c r="OJS53" s="37"/>
      <c r="OJT53" s="37"/>
      <c r="OJU53" s="37"/>
      <c r="OJV53" s="37"/>
      <c r="OJW53" s="37"/>
      <c r="OJX53" s="37"/>
      <c r="OJY53" s="37"/>
      <c r="OJZ53" s="37"/>
      <c r="OKA53" s="37"/>
      <c r="OKB53" s="37"/>
      <c r="OKC53" s="37"/>
      <c r="OKD53" s="37"/>
      <c r="OKE53" s="37"/>
      <c r="OKF53" s="37"/>
      <c r="OKG53" s="37"/>
      <c r="OKH53" s="37"/>
      <c r="OKI53" s="37"/>
      <c r="OKJ53" s="37"/>
      <c r="OKK53" s="37"/>
      <c r="OKL53" s="37"/>
      <c r="OKM53" s="37"/>
      <c r="OKN53" s="37"/>
      <c r="OKO53" s="37"/>
      <c r="OKP53" s="37"/>
      <c r="OKQ53" s="37"/>
      <c r="OKR53" s="37"/>
      <c r="OKS53" s="37"/>
      <c r="OKT53" s="37"/>
      <c r="OKU53" s="37"/>
      <c r="OKV53" s="37"/>
      <c r="OKW53" s="37"/>
      <c r="OKX53" s="37"/>
      <c r="OKY53" s="37"/>
      <c r="OKZ53" s="37"/>
      <c r="OLA53" s="37"/>
      <c r="OLB53" s="37"/>
      <c r="OLC53" s="37"/>
      <c r="OLD53" s="37"/>
      <c r="OLE53" s="37"/>
      <c r="OLF53" s="37"/>
      <c r="OLG53" s="37"/>
      <c r="OLH53" s="37"/>
      <c r="OLI53" s="37"/>
      <c r="OLJ53" s="37"/>
      <c r="OLK53" s="37"/>
      <c r="OLL53" s="37"/>
      <c r="OLM53" s="37"/>
      <c r="OLN53" s="37"/>
      <c r="OLO53" s="37"/>
      <c r="OLP53" s="37"/>
      <c r="OLQ53" s="37"/>
      <c r="OLR53" s="37"/>
      <c r="OLS53" s="37"/>
      <c r="OLT53" s="37"/>
      <c r="OLU53" s="37"/>
      <c r="OLV53" s="37"/>
      <c r="OLW53" s="37"/>
      <c r="OLX53" s="37"/>
      <c r="OLY53" s="37"/>
      <c r="OLZ53" s="37"/>
      <c r="OMA53" s="37"/>
      <c r="OMB53" s="37"/>
      <c r="OMC53" s="37"/>
      <c r="OMD53" s="37"/>
      <c r="OME53" s="37"/>
      <c r="OMF53" s="37"/>
      <c r="OMG53" s="37"/>
      <c r="OMH53" s="37"/>
      <c r="OMI53" s="37"/>
      <c r="OMJ53" s="37"/>
      <c r="OMK53" s="37"/>
      <c r="OML53" s="37"/>
      <c r="OMM53" s="37"/>
      <c r="OMN53" s="37"/>
      <c r="OMO53" s="37"/>
      <c r="OMP53" s="37"/>
      <c r="OMQ53" s="37"/>
      <c r="OMR53" s="37"/>
      <c r="OMS53" s="37"/>
      <c r="OMT53" s="37"/>
      <c r="OMU53" s="37"/>
      <c r="OMV53" s="37"/>
      <c r="OMW53" s="37"/>
      <c r="OMX53" s="37"/>
      <c r="OMY53" s="37"/>
      <c r="OMZ53" s="37"/>
      <c r="ONA53" s="37"/>
      <c r="ONB53" s="37"/>
      <c r="ONC53" s="37"/>
      <c r="OND53" s="37"/>
      <c r="ONE53" s="37"/>
      <c r="ONF53" s="37"/>
      <c r="ONG53" s="37"/>
      <c r="ONH53" s="37"/>
      <c r="ONI53" s="37"/>
      <c r="ONJ53" s="37"/>
      <c r="ONK53" s="37"/>
      <c r="ONL53" s="37"/>
      <c r="ONM53" s="37"/>
      <c r="ONN53" s="37"/>
      <c r="ONO53" s="37"/>
      <c r="ONP53" s="37"/>
      <c r="ONQ53" s="37"/>
      <c r="ONR53" s="37"/>
      <c r="ONS53" s="37"/>
      <c r="ONT53" s="37"/>
      <c r="ONU53" s="37"/>
      <c r="ONV53" s="37"/>
      <c r="ONW53" s="37"/>
      <c r="ONX53" s="37"/>
      <c r="ONY53" s="37"/>
      <c r="ONZ53" s="37"/>
      <c r="OOA53" s="37"/>
      <c r="OOB53" s="37"/>
      <c r="OOC53" s="37"/>
      <c r="OOD53" s="37"/>
      <c r="OOE53" s="37"/>
      <c r="OOF53" s="37"/>
      <c r="OOG53" s="37"/>
      <c r="OOH53" s="37"/>
      <c r="OOI53" s="37"/>
      <c r="OOJ53" s="37"/>
      <c r="OOK53" s="37"/>
      <c r="OOL53" s="37"/>
      <c r="OOM53" s="37"/>
      <c r="OON53" s="37"/>
      <c r="OOO53" s="37"/>
      <c r="OOP53" s="37"/>
      <c r="OOQ53" s="37"/>
      <c r="OOR53" s="37"/>
      <c r="OOS53" s="37"/>
      <c r="OOT53" s="37"/>
      <c r="OOU53" s="37"/>
      <c r="OOV53" s="37"/>
      <c r="OOW53" s="37"/>
      <c r="OOX53" s="37"/>
      <c r="OOY53" s="37"/>
      <c r="OOZ53" s="37"/>
      <c r="OPA53" s="37"/>
      <c r="OPB53" s="37"/>
      <c r="OPC53" s="37"/>
      <c r="OPD53" s="37"/>
      <c r="OPE53" s="37"/>
      <c r="OPF53" s="37"/>
      <c r="OPG53" s="37"/>
      <c r="OPH53" s="37"/>
      <c r="OPI53" s="37"/>
      <c r="OPJ53" s="37"/>
      <c r="OPK53" s="37"/>
      <c r="OPL53" s="37"/>
      <c r="OPM53" s="37"/>
      <c r="OPN53" s="37"/>
      <c r="OPO53" s="37"/>
      <c r="OPP53" s="37"/>
      <c r="OPQ53" s="37"/>
      <c r="OPR53" s="37"/>
      <c r="OPS53" s="37"/>
      <c r="OPT53" s="37"/>
      <c r="OPU53" s="37"/>
      <c r="OPV53" s="37"/>
      <c r="OPW53" s="37"/>
      <c r="OPX53" s="37"/>
      <c r="OPY53" s="37"/>
      <c r="OPZ53" s="37"/>
      <c r="OQA53" s="37"/>
      <c r="OQB53" s="37"/>
      <c r="OQC53" s="37"/>
      <c r="OQD53" s="37"/>
      <c r="OQE53" s="37"/>
      <c r="OQF53" s="37"/>
      <c r="OQG53" s="37"/>
      <c r="OQH53" s="37"/>
      <c r="OQI53" s="37"/>
      <c r="OQJ53" s="37"/>
      <c r="OQK53" s="37"/>
      <c r="OQL53" s="37"/>
      <c r="OQM53" s="37"/>
      <c r="OQN53" s="37"/>
      <c r="OQO53" s="37"/>
      <c r="OQP53" s="37"/>
      <c r="OQQ53" s="37"/>
      <c r="OQR53" s="37"/>
      <c r="OQS53" s="37"/>
      <c r="OQT53" s="37"/>
      <c r="OQU53" s="37"/>
      <c r="OQV53" s="37"/>
      <c r="OQW53" s="37"/>
      <c r="OQX53" s="37"/>
      <c r="OQY53" s="37"/>
      <c r="OQZ53" s="37"/>
      <c r="ORA53" s="37"/>
      <c r="ORB53" s="37"/>
      <c r="ORC53" s="37"/>
      <c r="ORD53" s="37"/>
      <c r="ORE53" s="37"/>
      <c r="ORF53" s="37"/>
      <c r="ORG53" s="37"/>
      <c r="ORH53" s="37"/>
      <c r="ORI53" s="37"/>
      <c r="ORJ53" s="37"/>
      <c r="ORK53" s="37"/>
      <c r="ORL53" s="37"/>
      <c r="ORM53" s="37"/>
      <c r="ORN53" s="37"/>
      <c r="ORO53" s="37"/>
      <c r="ORP53" s="37"/>
      <c r="ORQ53" s="37"/>
      <c r="ORR53" s="37"/>
      <c r="ORS53" s="37"/>
      <c r="ORT53" s="37"/>
      <c r="ORU53" s="37"/>
      <c r="ORV53" s="37"/>
      <c r="ORW53" s="37"/>
      <c r="ORX53" s="37"/>
      <c r="ORY53" s="37"/>
      <c r="ORZ53" s="37"/>
      <c r="OSA53" s="37"/>
      <c r="OSB53" s="37"/>
      <c r="OSC53" s="37"/>
      <c r="OSD53" s="37"/>
      <c r="OSE53" s="37"/>
      <c r="OSF53" s="37"/>
      <c r="OSG53" s="37"/>
      <c r="OSH53" s="37"/>
      <c r="OSI53" s="37"/>
      <c r="OSJ53" s="37"/>
      <c r="OSK53" s="37"/>
      <c r="OSL53" s="37"/>
      <c r="OSM53" s="37"/>
      <c r="OSN53" s="37"/>
      <c r="OSO53" s="37"/>
      <c r="OSP53" s="37"/>
      <c r="OSQ53" s="37"/>
      <c r="OSR53" s="37"/>
      <c r="OSS53" s="37"/>
      <c r="OST53" s="37"/>
      <c r="OSU53" s="37"/>
      <c r="OSV53" s="37"/>
      <c r="OSW53" s="37"/>
      <c r="OSX53" s="37"/>
      <c r="OSY53" s="37"/>
      <c r="OSZ53" s="37"/>
      <c r="OTA53" s="37"/>
      <c r="OTB53" s="37"/>
      <c r="OTC53" s="37"/>
      <c r="OTD53" s="37"/>
      <c r="OTE53" s="37"/>
      <c r="OTF53" s="37"/>
      <c r="OTG53" s="37"/>
      <c r="OTH53" s="37"/>
      <c r="OTI53" s="37"/>
      <c r="OTJ53" s="37"/>
      <c r="OTK53" s="37"/>
      <c r="OTL53" s="37"/>
      <c r="OTM53" s="37"/>
      <c r="OTN53" s="37"/>
      <c r="OTO53" s="37"/>
      <c r="OTP53" s="37"/>
      <c r="OTQ53" s="37"/>
      <c r="OTR53" s="37"/>
      <c r="OTS53" s="37"/>
      <c r="OTT53" s="37"/>
      <c r="OTU53" s="37"/>
      <c r="OTV53" s="37"/>
      <c r="OTW53" s="37"/>
      <c r="OTX53" s="37"/>
      <c r="OTY53" s="37"/>
      <c r="OTZ53" s="37"/>
      <c r="OUA53" s="37"/>
      <c r="OUB53" s="37"/>
      <c r="OUC53" s="37"/>
      <c r="OUD53" s="37"/>
      <c r="OUE53" s="37"/>
      <c r="OUF53" s="37"/>
      <c r="OUG53" s="37"/>
      <c r="OUH53" s="37"/>
      <c r="OUI53" s="37"/>
      <c r="OUJ53" s="37"/>
      <c r="OUK53" s="37"/>
      <c r="OUL53" s="37"/>
      <c r="OUM53" s="37"/>
      <c r="OUN53" s="37"/>
      <c r="OUO53" s="37"/>
      <c r="OUP53" s="37"/>
      <c r="OUQ53" s="37"/>
      <c r="OUR53" s="37"/>
      <c r="OUS53" s="37"/>
      <c r="OUT53" s="37"/>
      <c r="OUU53" s="37"/>
      <c r="OUV53" s="37"/>
      <c r="OUW53" s="37"/>
      <c r="OUX53" s="37"/>
      <c r="OUY53" s="37"/>
      <c r="OUZ53" s="37"/>
      <c r="OVA53" s="37"/>
      <c r="OVB53" s="37"/>
      <c r="OVC53" s="37"/>
      <c r="OVD53" s="37"/>
      <c r="OVE53" s="37"/>
      <c r="OVF53" s="37"/>
      <c r="OVG53" s="37"/>
      <c r="OVH53" s="37"/>
      <c r="OVI53" s="37"/>
      <c r="OVJ53" s="37"/>
      <c r="OVK53" s="37"/>
      <c r="OVL53" s="37"/>
      <c r="OVM53" s="37"/>
      <c r="OVN53" s="37"/>
      <c r="OVO53" s="37"/>
      <c r="OVP53" s="37"/>
      <c r="OVQ53" s="37"/>
      <c r="OVR53" s="37"/>
      <c r="OVS53" s="37"/>
      <c r="OVT53" s="37"/>
      <c r="OVU53" s="37"/>
      <c r="OVV53" s="37"/>
      <c r="OVW53" s="37"/>
      <c r="OVX53" s="37"/>
      <c r="OVY53" s="37"/>
      <c r="OVZ53" s="37"/>
      <c r="OWA53" s="37"/>
      <c r="OWB53" s="37"/>
      <c r="OWC53" s="37"/>
      <c r="OWD53" s="37"/>
      <c r="OWE53" s="37"/>
      <c r="OWF53" s="37"/>
      <c r="OWG53" s="37"/>
      <c r="OWH53" s="37"/>
      <c r="OWI53" s="37"/>
      <c r="OWJ53" s="37"/>
      <c r="OWK53" s="37"/>
      <c r="OWL53" s="37"/>
      <c r="OWM53" s="37"/>
      <c r="OWN53" s="37"/>
      <c r="OWO53" s="37"/>
      <c r="OWP53" s="37"/>
      <c r="OWQ53" s="37"/>
      <c r="OWR53" s="37"/>
      <c r="OWS53" s="37"/>
      <c r="OWT53" s="37"/>
      <c r="OWU53" s="37"/>
      <c r="OWV53" s="37"/>
      <c r="OWW53" s="37"/>
      <c r="OWX53" s="37"/>
      <c r="OWY53" s="37"/>
      <c r="OWZ53" s="37"/>
      <c r="OXA53" s="37"/>
      <c r="OXB53" s="37"/>
      <c r="OXC53" s="37"/>
      <c r="OXD53" s="37"/>
      <c r="OXE53" s="37"/>
      <c r="OXF53" s="37"/>
      <c r="OXG53" s="37"/>
      <c r="OXH53" s="37"/>
      <c r="OXI53" s="37"/>
      <c r="OXJ53" s="37"/>
      <c r="OXK53" s="37"/>
      <c r="OXL53" s="37"/>
      <c r="OXM53" s="37"/>
      <c r="OXN53" s="37"/>
      <c r="OXO53" s="37"/>
      <c r="OXP53" s="37"/>
      <c r="OXQ53" s="37"/>
      <c r="OXR53" s="37"/>
      <c r="OXS53" s="37"/>
      <c r="OXT53" s="37"/>
      <c r="OXU53" s="37"/>
      <c r="OXV53" s="37"/>
      <c r="OXW53" s="37"/>
      <c r="OXX53" s="37"/>
      <c r="OXY53" s="37"/>
      <c r="OXZ53" s="37"/>
      <c r="OYA53" s="37"/>
      <c r="OYB53" s="37"/>
      <c r="OYC53" s="37"/>
      <c r="OYD53" s="37"/>
      <c r="OYE53" s="37"/>
      <c r="OYF53" s="37"/>
      <c r="OYG53" s="37"/>
      <c r="OYH53" s="37"/>
      <c r="OYI53" s="37"/>
      <c r="OYJ53" s="37"/>
      <c r="OYK53" s="37"/>
      <c r="OYL53" s="37"/>
      <c r="OYM53" s="37"/>
      <c r="OYN53" s="37"/>
      <c r="OYO53" s="37"/>
      <c r="OYP53" s="37"/>
      <c r="OYQ53" s="37"/>
      <c r="OYR53" s="37"/>
      <c r="OYS53" s="37"/>
      <c r="OYT53" s="37"/>
      <c r="OYU53" s="37"/>
      <c r="OYV53" s="37"/>
      <c r="OYW53" s="37"/>
      <c r="OYX53" s="37"/>
      <c r="OYY53" s="37"/>
      <c r="OYZ53" s="37"/>
      <c r="OZA53" s="37"/>
      <c r="OZB53" s="37"/>
      <c r="OZC53" s="37"/>
      <c r="OZD53" s="37"/>
      <c r="OZE53" s="37"/>
      <c r="OZF53" s="37"/>
      <c r="OZG53" s="37"/>
      <c r="OZH53" s="37"/>
      <c r="OZI53" s="37"/>
      <c r="OZJ53" s="37"/>
      <c r="OZK53" s="37"/>
      <c r="OZL53" s="37"/>
      <c r="OZM53" s="37"/>
      <c r="OZN53" s="37"/>
      <c r="OZO53" s="37"/>
      <c r="OZP53" s="37"/>
      <c r="OZQ53" s="37"/>
      <c r="OZR53" s="37"/>
      <c r="OZS53" s="37"/>
      <c r="OZT53" s="37"/>
      <c r="OZU53" s="37"/>
      <c r="OZV53" s="37"/>
      <c r="OZW53" s="37"/>
      <c r="OZX53" s="37"/>
      <c r="OZY53" s="37"/>
      <c r="OZZ53" s="37"/>
      <c r="PAA53" s="37"/>
      <c r="PAB53" s="37"/>
      <c r="PAC53" s="37"/>
      <c r="PAD53" s="37"/>
      <c r="PAE53" s="37"/>
      <c r="PAF53" s="37"/>
      <c r="PAG53" s="37"/>
      <c r="PAH53" s="37"/>
      <c r="PAI53" s="37"/>
      <c r="PAJ53" s="37"/>
      <c r="PAK53" s="37"/>
      <c r="PAL53" s="37"/>
      <c r="PAM53" s="37"/>
      <c r="PAN53" s="37"/>
      <c r="PAO53" s="37"/>
      <c r="PAP53" s="37"/>
      <c r="PAQ53" s="37"/>
      <c r="PAR53" s="37"/>
      <c r="PAS53" s="37"/>
      <c r="PAT53" s="37"/>
      <c r="PAU53" s="37"/>
      <c r="PAV53" s="37"/>
      <c r="PAW53" s="37"/>
      <c r="PAX53" s="37"/>
      <c r="PAY53" s="37"/>
      <c r="PAZ53" s="37"/>
      <c r="PBA53" s="37"/>
      <c r="PBB53" s="37"/>
      <c r="PBC53" s="37"/>
      <c r="PBD53" s="37"/>
      <c r="PBE53" s="37"/>
      <c r="PBF53" s="37"/>
      <c r="PBG53" s="37"/>
      <c r="PBH53" s="37"/>
      <c r="PBI53" s="37"/>
      <c r="PBJ53" s="37"/>
      <c r="PBK53" s="37"/>
      <c r="PBL53" s="37"/>
      <c r="PBM53" s="37"/>
      <c r="PBN53" s="37"/>
      <c r="PBO53" s="37"/>
      <c r="PBP53" s="37"/>
      <c r="PBQ53" s="37"/>
      <c r="PBR53" s="37"/>
      <c r="PBS53" s="37"/>
      <c r="PBT53" s="37"/>
      <c r="PBU53" s="37"/>
      <c r="PBV53" s="37"/>
      <c r="PBW53" s="37"/>
      <c r="PBX53" s="37"/>
      <c r="PBY53" s="37"/>
      <c r="PBZ53" s="37"/>
      <c r="PCA53" s="37"/>
      <c r="PCB53" s="37"/>
      <c r="PCC53" s="37"/>
      <c r="PCD53" s="37"/>
      <c r="PCE53" s="37"/>
      <c r="PCF53" s="37"/>
      <c r="PCG53" s="37"/>
      <c r="PCH53" s="37"/>
      <c r="PCI53" s="37"/>
      <c r="PCJ53" s="37"/>
      <c r="PCK53" s="37"/>
      <c r="PCL53" s="37"/>
      <c r="PCM53" s="37"/>
      <c r="PCN53" s="37"/>
      <c r="PCO53" s="37"/>
      <c r="PCP53" s="37"/>
      <c r="PCQ53" s="37"/>
      <c r="PCR53" s="37"/>
      <c r="PCS53" s="37"/>
      <c r="PCT53" s="37"/>
      <c r="PCU53" s="37"/>
      <c r="PCV53" s="37"/>
      <c r="PCW53" s="37"/>
      <c r="PCX53" s="37"/>
      <c r="PCY53" s="37"/>
      <c r="PCZ53" s="37"/>
      <c r="PDA53" s="37"/>
      <c r="PDB53" s="37"/>
      <c r="PDC53" s="37"/>
      <c r="PDD53" s="37"/>
      <c r="PDE53" s="37"/>
      <c r="PDF53" s="37"/>
      <c r="PDG53" s="37"/>
      <c r="PDH53" s="37"/>
      <c r="PDI53" s="37"/>
      <c r="PDJ53" s="37"/>
      <c r="PDK53" s="37"/>
      <c r="PDL53" s="37"/>
      <c r="PDM53" s="37"/>
      <c r="PDN53" s="37"/>
      <c r="PDO53" s="37"/>
      <c r="PDP53" s="37"/>
      <c r="PDQ53" s="37"/>
      <c r="PDR53" s="37"/>
      <c r="PDS53" s="37"/>
      <c r="PDT53" s="37"/>
      <c r="PDU53" s="37"/>
      <c r="PDV53" s="37"/>
      <c r="PDW53" s="37"/>
      <c r="PDX53" s="37"/>
      <c r="PDY53" s="37"/>
      <c r="PDZ53" s="37"/>
      <c r="PEA53" s="37"/>
      <c r="PEB53" s="37"/>
      <c r="PEC53" s="37"/>
      <c r="PED53" s="37"/>
      <c r="PEE53" s="37"/>
      <c r="PEF53" s="37"/>
      <c r="PEG53" s="37"/>
      <c r="PEH53" s="37"/>
      <c r="PEI53" s="37"/>
      <c r="PEJ53" s="37"/>
      <c r="PEK53" s="37"/>
      <c r="PEL53" s="37"/>
      <c r="PEM53" s="37"/>
      <c r="PEN53" s="37"/>
      <c r="PEO53" s="37"/>
      <c r="PEP53" s="37"/>
      <c r="PEQ53" s="37"/>
      <c r="PER53" s="37"/>
      <c r="PES53" s="37"/>
      <c r="PET53" s="37"/>
      <c r="PEU53" s="37"/>
      <c r="PEV53" s="37"/>
      <c r="PEW53" s="37"/>
      <c r="PEX53" s="37"/>
      <c r="PEY53" s="37"/>
      <c r="PEZ53" s="37"/>
      <c r="PFA53" s="37"/>
      <c r="PFB53" s="37"/>
      <c r="PFC53" s="37"/>
      <c r="PFD53" s="37"/>
      <c r="PFE53" s="37"/>
      <c r="PFF53" s="37"/>
      <c r="PFG53" s="37"/>
      <c r="PFH53" s="37"/>
      <c r="PFI53" s="37"/>
      <c r="PFJ53" s="37"/>
      <c r="PFK53" s="37"/>
      <c r="PFL53" s="37"/>
      <c r="PFM53" s="37"/>
      <c r="PFN53" s="37"/>
      <c r="PFO53" s="37"/>
      <c r="PFP53" s="37"/>
      <c r="PFQ53" s="37"/>
      <c r="PFR53" s="37"/>
      <c r="PFS53" s="37"/>
      <c r="PFT53" s="37"/>
      <c r="PFU53" s="37"/>
      <c r="PFV53" s="37"/>
      <c r="PFW53" s="37"/>
      <c r="PFX53" s="37"/>
      <c r="PFY53" s="37"/>
      <c r="PFZ53" s="37"/>
      <c r="PGA53" s="37"/>
      <c r="PGB53" s="37"/>
      <c r="PGC53" s="37"/>
      <c r="PGD53" s="37"/>
      <c r="PGE53" s="37"/>
      <c r="PGF53" s="37"/>
      <c r="PGG53" s="37"/>
      <c r="PGH53" s="37"/>
      <c r="PGI53" s="37"/>
      <c r="PGJ53" s="37"/>
      <c r="PGK53" s="37"/>
      <c r="PGL53" s="37"/>
      <c r="PGM53" s="37"/>
      <c r="PGN53" s="37"/>
      <c r="PGO53" s="37"/>
      <c r="PGP53" s="37"/>
      <c r="PGQ53" s="37"/>
      <c r="PGR53" s="37"/>
      <c r="PGS53" s="37"/>
      <c r="PGT53" s="37"/>
      <c r="PGU53" s="37"/>
      <c r="PGV53" s="37"/>
      <c r="PGW53" s="37"/>
      <c r="PGX53" s="37"/>
      <c r="PGY53" s="37"/>
      <c r="PGZ53" s="37"/>
      <c r="PHA53" s="37"/>
      <c r="PHB53" s="37"/>
      <c r="PHC53" s="37"/>
      <c r="PHD53" s="37"/>
      <c r="PHE53" s="37"/>
      <c r="PHF53" s="37"/>
      <c r="PHG53" s="37"/>
      <c r="PHH53" s="37"/>
      <c r="PHI53" s="37"/>
      <c r="PHJ53" s="37"/>
      <c r="PHK53" s="37"/>
      <c r="PHL53" s="37"/>
      <c r="PHM53" s="37"/>
      <c r="PHN53" s="37"/>
      <c r="PHO53" s="37"/>
      <c r="PHP53" s="37"/>
      <c r="PHQ53" s="37"/>
      <c r="PHR53" s="37"/>
      <c r="PHS53" s="37"/>
      <c r="PHT53" s="37"/>
      <c r="PHU53" s="37"/>
      <c r="PHV53" s="37"/>
      <c r="PHW53" s="37"/>
      <c r="PHX53" s="37"/>
      <c r="PHY53" s="37"/>
      <c r="PHZ53" s="37"/>
      <c r="PIA53" s="37"/>
      <c r="PIB53" s="37"/>
      <c r="PIC53" s="37"/>
      <c r="PID53" s="37"/>
      <c r="PIE53" s="37"/>
      <c r="PIF53" s="37"/>
      <c r="PIG53" s="37"/>
      <c r="PIH53" s="37"/>
      <c r="PII53" s="37"/>
      <c r="PIJ53" s="37"/>
      <c r="PIK53" s="37"/>
      <c r="PIL53" s="37"/>
      <c r="PIM53" s="37"/>
      <c r="PIN53" s="37"/>
      <c r="PIO53" s="37"/>
      <c r="PIP53" s="37"/>
      <c r="PIQ53" s="37"/>
      <c r="PIR53" s="37"/>
      <c r="PIS53" s="37"/>
      <c r="PIT53" s="37"/>
      <c r="PIU53" s="37"/>
      <c r="PIV53" s="37"/>
      <c r="PIW53" s="37"/>
      <c r="PIX53" s="37"/>
      <c r="PIY53" s="37"/>
      <c r="PIZ53" s="37"/>
      <c r="PJA53" s="37"/>
      <c r="PJB53" s="37"/>
      <c r="PJC53" s="37"/>
      <c r="PJD53" s="37"/>
      <c r="PJE53" s="37"/>
      <c r="PJF53" s="37"/>
      <c r="PJG53" s="37"/>
      <c r="PJH53" s="37"/>
      <c r="PJI53" s="37"/>
      <c r="PJJ53" s="37"/>
      <c r="PJK53" s="37"/>
      <c r="PJL53" s="37"/>
      <c r="PJM53" s="37"/>
      <c r="PJN53" s="37"/>
      <c r="PJO53" s="37"/>
      <c r="PJP53" s="37"/>
      <c r="PJQ53" s="37"/>
      <c r="PJR53" s="37"/>
      <c r="PJS53" s="37"/>
      <c r="PJT53" s="37"/>
      <c r="PJU53" s="37"/>
      <c r="PJV53" s="37"/>
      <c r="PJW53" s="37"/>
      <c r="PJX53" s="37"/>
      <c r="PJY53" s="37"/>
      <c r="PJZ53" s="37"/>
      <c r="PKA53" s="37"/>
      <c r="PKB53" s="37"/>
      <c r="PKC53" s="37"/>
      <c r="PKD53" s="37"/>
      <c r="PKE53" s="37"/>
      <c r="PKF53" s="37"/>
      <c r="PKG53" s="37"/>
      <c r="PKH53" s="37"/>
      <c r="PKI53" s="37"/>
      <c r="PKJ53" s="37"/>
      <c r="PKK53" s="37"/>
      <c r="PKL53" s="37"/>
      <c r="PKM53" s="37"/>
      <c r="PKN53" s="37"/>
      <c r="PKO53" s="37"/>
      <c r="PKP53" s="37"/>
      <c r="PKQ53" s="37"/>
      <c r="PKR53" s="37"/>
      <c r="PKS53" s="37"/>
      <c r="PKT53" s="37"/>
      <c r="PKU53" s="37"/>
      <c r="PKV53" s="37"/>
      <c r="PKW53" s="37"/>
      <c r="PKX53" s="37"/>
      <c r="PKY53" s="37"/>
      <c r="PKZ53" s="37"/>
      <c r="PLA53" s="37"/>
      <c r="PLB53" s="37"/>
      <c r="PLC53" s="37"/>
      <c r="PLD53" s="37"/>
      <c r="PLE53" s="37"/>
      <c r="PLF53" s="37"/>
      <c r="PLG53" s="37"/>
      <c r="PLH53" s="37"/>
      <c r="PLI53" s="37"/>
      <c r="PLJ53" s="37"/>
      <c r="PLK53" s="37"/>
      <c r="PLL53" s="37"/>
      <c r="PLM53" s="37"/>
      <c r="PLN53" s="37"/>
      <c r="PLO53" s="37"/>
      <c r="PLP53" s="37"/>
      <c r="PLQ53" s="37"/>
      <c r="PLR53" s="37"/>
      <c r="PLS53" s="37"/>
      <c r="PLT53" s="37"/>
      <c r="PLU53" s="37"/>
      <c r="PLV53" s="37"/>
      <c r="PLW53" s="37"/>
      <c r="PLX53" s="37"/>
      <c r="PLY53" s="37"/>
      <c r="PLZ53" s="37"/>
      <c r="PMA53" s="37"/>
      <c r="PMB53" s="37"/>
      <c r="PMC53" s="37"/>
      <c r="PMD53" s="37"/>
      <c r="PME53" s="37"/>
      <c r="PMF53" s="37"/>
      <c r="PMG53" s="37"/>
      <c r="PMH53" s="37"/>
      <c r="PMI53" s="37"/>
      <c r="PMJ53" s="37"/>
      <c r="PMK53" s="37"/>
      <c r="PML53" s="37"/>
      <c r="PMM53" s="37"/>
      <c r="PMN53" s="37"/>
      <c r="PMO53" s="37"/>
      <c r="PMP53" s="37"/>
      <c r="PMQ53" s="37"/>
      <c r="PMR53" s="37"/>
      <c r="PMS53" s="37"/>
      <c r="PMT53" s="37"/>
      <c r="PMU53" s="37"/>
      <c r="PMV53" s="37"/>
      <c r="PMW53" s="37"/>
      <c r="PMX53" s="37"/>
      <c r="PMY53" s="37"/>
      <c r="PMZ53" s="37"/>
      <c r="PNA53" s="37"/>
      <c r="PNB53" s="37"/>
      <c r="PNC53" s="37"/>
      <c r="PND53" s="37"/>
      <c r="PNE53" s="37"/>
      <c r="PNF53" s="37"/>
      <c r="PNG53" s="37"/>
      <c r="PNH53" s="37"/>
      <c r="PNI53" s="37"/>
      <c r="PNJ53" s="37"/>
      <c r="PNK53" s="37"/>
      <c r="PNL53" s="37"/>
      <c r="PNM53" s="37"/>
      <c r="PNN53" s="37"/>
      <c r="PNO53" s="37"/>
      <c r="PNP53" s="37"/>
      <c r="PNQ53" s="37"/>
      <c r="PNR53" s="37"/>
      <c r="PNS53" s="37"/>
      <c r="PNT53" s="37"/>
      <c r="PNU53" s="37"/>
      <c r="PNV53" s="37"/>
      <c r="PNW53" s="37"/>
      <c r="PNX53" s="37"/>
      <c r="PNY53" s="37"/>
      <c r="PNZ53" s="37"/>
      <c r="POA53" s="37"/>
      <c r="POB53" s="37"/>
      <c r="POC53" s="37"/>
      <c r="POD53" s="37"/>
      <c r="POE53" s="37"/>
      <c r="POF53" s="37"/>
      <c r="POG53" s="37"/>
      <c r="POH53" s="37"/>
      <c r="POI53" s="37"/>
      <c r="POJ53" s="37"/>
      <c r="POK53" s="37"/>
      <c r="POL53" s="37"/>
      <c r="POM53" s="37"/>
      <c r="PON53" s="37"/>
      <c r="POO53" s="37"/>
      <c r="POP53" s="37"/>
      <c r="POQ53" s="37"/>
      <c r="POR53" s="37"/>
      <c r="POS53" s="37"/>
      <c r="POT53" s="37"/>
      <c r="POU53" s="37"/>
      <c r="POV53" s="37"/>
      <c r="POW53" s="37"/>
      <c r="POX53" s="37"/>
      <c r="POY53" s="37"/>
      <c r="POZ53" s="37"/>
      <c r="PPA53" s="37"/>
      <c r="PPB53" s="37"/>
      <c r="PPC53" s="37"/>
      <c r="PPD53" s="37"/>
      <c r="PPE53" s="37"/>
      <c r="PPF53" s="37"/>
      <c r="PPG53" s="37"/>
      <c r="PPH53" s="37"/>
      <c r="PPI53" s="37"/>
      <c r="PPJ53" s="37"/>
      <c r="PPK53" s="37"/>
      <c r="PPL53" s="37"/>
      <c r="PPM53" s="37"/>
      <c r="PPN53" s="37"/>
      <c r="PPO53" s="37"/>
      <c r="PPP53" s="37"/>
      <c r="PPQ53" s="37"/>
      <c r="PPR53" s="37"/>
      <c r="PPS53" s="37"/>
      <c r="PPT53" s="37"/>
      <c r="PPU53" s="37"/>
      <c r="PPV53" s="37"/>
      <c r="PPW53" s="37"/>
      <c r="PPX53" s="37"/>
      <c r="PPY53" s="37"/>
      <c r="PPZ53" s="37"/>
      <c r="PQA53" s="37"/>
      <c r="PQB53" s="37"/>
      <c r="PQC53" s="37"/>
      <c r="PQD53" s="37"/>
      <c r="PQE53" s="37"/>
      <c r="PQF53" s="37"/>
      <c r="PQG53" s="37"/>
      <c r="PQH53" s="37"/>
      <c r="PQI53" s="37"/>
      <c r="PQJ53" s="37"/>
      <c r="PQK53" s="37"/>
      <c r="PQL53" s="37"/>
      <c r="PQM53" s="37"/>
      <c r="PQN53" s="37"/>
      <c r="PQO53" s="37"/>
      <c r="PQP53" s="37"/>
      <c r="PQQ53" s="37"/>
      <c r="PQR53" s="37"/>
      <c r="PQS53" s="37"/>
      <c r="PQT53" s="37"/>
      <c r="PQU53" s="37"/>
      <c r="PQV53" s="37"/>
      <c r="PQW53" s="37"/>
      <c r="PQX53" s="37"/>
      <c r="PQY53" s="37"/>
      <c r="PQZ53" s="37"/>
      <c r="PRA53" s="37"/>
      <c r="PRB53" s="37"/>
      <c r="PRC53" s="37"/>
      <c r="PRD53" s="37"/>
      <c r="PRE53" s="37"/>
      <c r="PRF53" s="37"/>
      <c r="PRG53" s="37"/>
      <c r="PRH53" s="37"/>
      <c r="PRI53" s="37"/>
      <c r="PRJ53" s="37"/>
      <c r="PRK53" s="37"/>
      <c r="PRL53" s="37"/>
      <c r="PRM53" s="37"/>
      <c r="PRN53" s="37"/>
      <c r="PRO53" s="37"/>
      <c r="PRP53" s="37"/>
      <c r="PRQ53" s="37"/>
      <c r="PRR53" s="37"/>
      <c r="PRS53" s="37"/>
      <c r="PRT53" s="37"/>
      <c r="PRU53" s="37"/>
      <c r="PRV53" s="37"/>
      <c r="PRW53" s="37"/>
      <c r="PRX53" s="37"/>
      <c r="PRY53" s="37"/>
      <c r="PRZ53" s="37"/>
      <c r="PSA53" s="37"/>
      <c r="PSB53" s="37"/>
      <c r="PSC53" s="37"/>
      <c r="PSD53" s="37"/>
      <c r="PSE53" s="37"/>
      <c r="PSF53" s="37"/>
      <c r="PSG53" s="37"/>
      <c r="PSH53" s="37"/>
      <c r="PSI53" s="37"/>
      <c r="PSJ53" s="37"/>
      <c r="PSK53" s="37"/>
      <c r="PSL53" s="37"/>
      <c r="PSM53" s="37"/>
      <c r="PSN53" s="37"/>
      <c r="PSO53" s="37"/>
      <c r="PSP53" s="37"/>
      <c r="PSQ53" s="37"/>
      <c r="PSR53" s="37"/>
      <c r="PSS53" s="37"/>
      <c r="PST53" s="37"/>
      <c r="PSU53" s="37"/>
      <c r="PSV53" s="37"/>
      <c r="PSW53" s="37"/>
      <c r="PSX53" s="37"/>
      <c r="PSY53" s="37"/>
      <c r="PSZ53" s="37"/>
      <c r="PTA53" s="37"/>
      <c r="PTB53" s="37"/>
      <c r="PTC53" s="37"/>
      <c r="PTD53" s="37"/>
      <c r="PTE53" s="37"/>
      <c r="PTF53" s="37"/>
      <c r="PTG53" s="37"/>
      <c r="PTH53" s="37"/>
      <c r="PTI53" s="37"/>
      <c r="PTJ53" s="37"/>
      <c r="PTK53" s="37"/>
      <c r="PTL53" s="37"/>
      <c r="PTM53" s="37"/>
      <c r="PTN53" s="37"/>
      <c r="PTO53" s="37"/>
      <c r="PTP53" s="37"/>
      <c r="PTQ53" s="37"/>
      <c r="PTR53" s="37"/>
      <c r="PTS53" s="37"/>
      <c r="PTT53" s="37"/>
      <c r="PTU53" s="37"/>
      <c r="PTV53" s="37"/>
      <c r="PTW53" s="37"/>
      <c r="PTX53" s="37"/>
      <c r="PTY53" s="37"/>
      <c r="PTZ53" s="37"/>
      <c r="PUA53" s="37"/>
      <c r="PUB53" s="37"/>
      <c r="PUC53" s="37"/>
      <c r="PUD53" s="37"/>
      <c r="PUE53" s="37"/>
      <c r="PUF53" s="37"/>
      <c r="PUG53" s="37"/>
      <c r="PUH53" s="37"/>
      <c r="PUI53" s="37"/>
      <c r="PUJ53" s="37"/>
      <c r="PUK53" s="37"/>
      <c r="PUL53" s="37"/>
      <c r="PUM53" s="37"/>
      <c r="PUN53" s="37"/>
      <c r="PUO53" s="37"/>
      <c r="PUP53" s="37"/>
      <c r="PUQ53" s="37"/>
      <c r="PUR53" s="37"/>
      <c r="PUS53" s="37"/>
      <c r="PUT53" s="37"/>
      <c r="PUU53" s="37"/>
      <c r="PUV53" s="37"/>
      <c r="PUW53" s="37"/>
      <c r="PUX53" s="37"/>
      <c r="PUY53" s="37"/>
      <c r="PUZ53" s="37"/>
      <c r="PVA53" s="37"/>
      <c r="PVB53" s="37"/>
      <c r="PVC53" s="37"/>
      <c r="PVD53" s="37"/>
      <c r="PVE53" s="37"/>
      <c r="PVF53" s="37"/>
      <c r="PVG53" s="37"/>
      <c r="PVH53" s="37"/>
      <c r="PVI53" s="37"/>
      <c r="PVJ53" s="37"/>
      <c r="PVK53" s="37"/>
      <c r="PVL53" s="37"/>
      <c r="PVM53" s="37"/>
      <c r="PVN53" s="37"/>
      <c r="PVO53" s="37"/>
      <c r="PVP53" s="37"/>
      <c r="PVQ53" s="37"/>
      <c r="PVR53" s="37"/>
      <c r="PVS53" s="37"/>
      <c r="PVT53" s="37"/>
      <c r="PVU53" s="37"/>
      <c r="PVV53" s="37"/>
      <c r="PVW53" s="37"/>
      <c r="PVX53" s="37"/>
      <c r="PVY53" s="37"/>
      <c r="PVZ53" s="37"/>
      <c r="PWA53" s="37"/>
      <c r="PWB53" s="37"/>
      <c r="PWC53" s="37"/>
      <c r="PWD53" s="37"/>
      <c r="PWE53" s="37"/>
      <c r="PWF53" s="37"/>
      <c r="PWG53" s="37"/>
      <c r="PWH53" s="37"/>
      <c r="PWI53" s="37"/>
      <c r="PWJ53" s="37"/>
      <c r="PWK53" s="37"/>
      <c r="PWL53" s="37"/>
      <c r="PWM53" s="37"/>
      <c r="PWN53" s="37"/>
      <c r="PWO53" s="37"/>
      <c r="PWP53" s="37"/>
      <c r="PWQ53" s="37"/>
      <c r="PWR53" s="37"/>
      <c r="PWS53" s="37"/>
      <c r="PWT53" s="37"/>
      <c r="PWU53" s="37"/>
      <c r="PWV53" s="37"/>
      <c r="PWW53" s="37"/>
      <c r="PWX53" s="37"/>
      <c r="PWY53" s="37"/>
      <c r="PWZ53" s="37"/>
      <c r="PXA53" s="37"/>
      <c r="PXB53" s="37"/>
      <c r="PXC53" s="37"/>
      <c r="PXD53" s="37"/>
      <c r="PXE53" s="37"/>
      <c r="PXF53" s="37"/>
      <c r="PXG53" s="37"/>
      <c r="PXH53" s="37"/>
      <c r="PXI53" s="37"/>
      <c r="PXJ53" s="37"/>
      <c r="PXK53" s="37"/>
      <c r="PXL53" s="37"/>
      <c r="PXM53" s="37"/>
      <c r="PXN53" s="37"/>
      <c r="PXO53" s="37"/>
      <c r="PXP53" s="37"/>
      <c r="PXQ53" s="37"/>
      <c r="PXR53" s="37"/>
      <c r="PXS53" s="37"/>
      <c r="PXT53" s="37"/>
      <c r="PXU53" s="37"/>
      <c r="PXV53" s="37"/>
      <c r="PXW53" s="37"/>
      <c r="PXX53" s="37"/>
      <c r="PXY53" s="37"/>
      <c r="PXZ53" s="37"/>
      <c r="PYA53" s="37"/>
      <c r="PYB53" s="37"/>
      <c r="PYC53" s="37"/>
      <c r="PYD53" s="37"/>
      <c r="PYE53" s="37"/>
      <c r="PYF53" s="37"/>
      <c r="PYG53" s="37"/>
      <c r="PYH53" s="37"/>
      <c r="PYI53" s="37"/>
      <c r="PYJ53" s="37"/>
      <c r="PYK53" s="37"/>
      <c r="PYL53" s="37"/>
      <c r="PYM53" s="37"/>
      <c r="PYN53" s="37"/>
      <c r="PYO53" s="37"/>
      <c r="PYP53" s="37"/>
      <c r="PYQ53" s="37"/>
      <c r="PYR53" s="37"/>
      <c r="PYS53" s="37"/>
      <c r="PYT53" s="37"/>
      <c r="PYU53" s="37"/>
      <c r="PYV53" s="37"/>
      <c r="PYW53" s="37"/>
      <c r="PYX53" s="37"/>
      <c r="PYY53" s="37"/>
      <c r="PYZ53" s="37"/>
      <c r="PZA53" s="37"/>
      <c r="PZB53" s="37"/>
      <c r="PZC53" s="37"/>
      <c r="PZD53" s="37"/>
      <c r="PZE53" s="37"/>
      <c r="PZF53" s="37"/>
      <c r="PZG53" s="37"/>
      <c r="PZH53" s="37"/>
      <c r="PZI53" s="37"/>
      <c r="PZJ53" s="37"/>
      <c r="PZK53" s="37"/>
      <c r="PZL53" s="37"/>
      <c r="PZM53" s="37"/>
      <c r="PZN53" s="37"/>
      <c r="PZO53" s="37"/>
      <c r="PZP53" s="37"/>
      <c r="PZQ53" s="37"/>
      <c r="PZR53" s="37"/>
      <c r="PZS53" s="37"/>
      <c r="PZT53" s="37"/>
      <c r="PZU53" s="37"/>
      <c r="PZV53" s="37"/>
      <c r="PZW53" s="37"/>
      <c r="PZX53" s="37"/>
      <c r="PZY53" s="37"/>
      <c r="PZZ53" s="37"/>
      <c r="QAA53" s="37"/>
      <c r="QAB53" s="37"/>
      <c r="QAC53" s="37"/>
      <c r="QAD53" s="37"/>
      <c r="QAE53" s="37"/>
      <c r="QAF53" s="37"/>
      <c r="QAG53" s="37"/>
      <c r="QAH53" s="37"/>
      <c r="QAI53" s="37"/>
      <c r="QAJ53" s="37"/>
      <c r="QAK53" s="37"/>
      <c r="QAL53" s="37"/>
      <c r="QAM53" s="37"/>
      <c r="QAN53" s="37"/>
      <c r="QAO53" s="37"/>
      <c r="QAP53" s="37"/>
      <c r="QAQ53" s="37"/>
      <c r="QAR53" s="37"/>
      <c r="QAS53" s="37"/>
      <c r="QAT53" s="37"/>
      <c r="QAU53" s="37"/>
      <c r="QAV53" s="37"/>
      <c r="QAW53" s="37"/>
      <c r="QAX53" s="37"/>
      <c r="QAY53" s="37"/>
      <c r="QAZ53" s="37"/>
      <c r="QBA53" s="37"/>
      <c r="QBB53" s="37"/>
      <c r="QBC53" s="37"/>
      <c r="QBD53" s="37"/>
      <c r="QBE53" s="37"/>
      <c r="QBF53" s="37"/>
      <c r="QBG53" s="37"/>
      <c r="QBH53" s="37"/>
      <c r="QBI53" s="37"/>
      <c r="QBJ53" s="37"/>
      <c r="QBK53" s="37"/>
      <c r="QBL53" s="37"/>
      <c r="QBM53" s="37"/>
      <c r="QBN53" s="37"/>
      <c r="QBO53" s="37"/>
      <c r="QBP53" s="37"/>
      <c r="QBQ53" s="37"/>
      <c r="QBR53" s="37"/>
      <c r="QBS53" s="37"/>
      <c r="QBT53" s="37"/>
      <c r="QBU53" s="37"/>
      <c r="QBV53" s="37"/>
      <c r="QBW53" s="37"/>
      <c r="QBX53" s="37"/>
      <c r="QBY53" s="37"/>
      <c r="QBZ53" s="37"/>
      <c r="QCA53" s="37"/>
      <c r="QCB53" s="37"/>
      <c r="QCC53" s="37"/>
      <c r="QCD53" s="37"/>
      <c r="QCE53" s="37"/>
      <c r="QCF53" s="37"/>
      <c r="QCG53" s="37"/>
      <c r="QCH53" s="37"/>
      <c r="QCI53" s="37"/>
      <c r="QCJ53" s="37"/>
      <c r="QCK53" s="37"/>
      <c r="QCL53" s="37"/>
      <c r="QCM53" s="37"/>
      <c r="QCN53" s="37"/>
      <c r="QCO53" s="37"/>
      <c r="QCP53" s="37"/>
      <c r="QCQ53" s="37"/>
      <c r="QCR53" s="37"/>
      <c r="QCS53" s="37"/>
      <c r="QCT53" s="37"/>
      <c r="QCU53" s="37"/>
      <c r="QCV53" s="37"/>
      <c r="QCW53" s="37"/>
      <c r="QCX53" s="37"/>
      <c r="QCY53" s="37"/>
      <c r="QCZ53" s="37"/>
      <c r="QDA53" s="37"/>
      <c r="QDB53" s="37"/>
      <c r="QDC53" s="37"/>
      <c r="QDD53" s="37"/>
      <c r="QDE53" s="37"/>
      <c r="QDF53" s="37"/>
      <c r="QDG53" s="37"/>
      <c r="QDH53" s="37"/>
      <c r="QDI53" s="37"/>
      <c r="QDJ53" s="37"/>
      <c r="QDK53" s="37"/>
      <c r="QDL53" s="37"/>
      <c r="QDM53" s="37"/>
      <c r="QDN53" s="37"/>
      <c r="QDO53" s="37"/>
      <c r="QDP53" s="37"/>
      <c r="QDQ53" s="37"/>
      <c r="QDR53" s="37"/>
      <c r="QDS53" s="37"/>
      <c r="QDT53" s="37"/>
      <c r="QDU53" s="37"/>
      <c r="QDV53" s="37"/>
      <c r="QDW53" s="37"/>
      <c r="QDX53" s="37"/>
      <c r="QDY53" s="37"/>
      <c r="QDZ53" s="37"/>
      <c r="QEA53" s="37"/>
      <c r="QEB53" s="37"/>
      <c r="QEC53" s="37"/>
      <c r="QED53" s="37"/>
      <c r="QEE53" s="37"/>
      <c r="QEF53" s="37"/>
      <c r="QEG53" s="37"/>
      <c r="QEH53" s="37"/>
      <c r="QEI53" s="37"/>
      <c r="QEJ53" s="37"/>
      <c r="QEK53" s="37"/>
      <c r="QEL53" s="37"/>
      <c r="QEM53" s="37"/>
      <c r="QEN53" s="37"/>
      <c r="QEO53" s="37"/>
      <c r="QEP53" s="37"/>
      <c r="QEQ53" s="37"/>
      <c r="QER53" s="37"/>
      <c r="QES53" s="37"/>
      <c r="QET53" s="37"/>
      <c r="QEU53" s="37"/>
      <c r="QEV53" s="37"/>
      <c r="QEW53" s="37"/>
      <c r="QEX53" s="37"/>
      <c r="QEY53" s="37"/>
      <c r="QEZ53" s="37"/>
      <c r="QFA53" s="37"/>
      <c r="QFB53" s="37"/>
      <c r="QFC53" s="37"/>
      <c r="QFD53" s="37"/>
      <c r="QFE53" s="37"/>
      <c r="QFF53" s="37"/>
      <c r="QFG53" s="37"/>
      <c r="QFH53" s="37"/>
      <c r="QFI53" s="37"/>
      <c r="QFJ53" s="37"/>
      <c r="QFK53" s="37"/>
      <c r="QFL53" s="37"/>
      <c r="QFM53" s="37"/>
      <c r="QFN53" s="37"/>
      <c r="QFO53" s="37"/>
      <c r="QFP53" s="37"/>
      <c r="QFQ53" s="37"/>
      <c r="QFR53" s="37"/>
      <c r="QFS53" s="37"/>
      <c r="QFT53" s="37"/>
      <c r="QFU53" s="37"/>
      <c r="QFV53" s="37"/>
      <c r="QFW53" s="37"/>
      <c r="QFX53" s="37"/>
      <c r="QFY53" s="37"/>
      <c r="QFZ53" s="37"/>
      <c r="QGA53" s="37"/>
      <c r="QGB53" s="37"/>
      <c r="QGC53" s="37"/>
      <c r="QGD53" s="37"/>
      <c r="QGE53" s="37"/>
      <c r="QGF53" s="37"/>
      <c r="QGG53" s="37"/>
      <c r="QGH53" s="37"/>
      <c r="QGI53" s="37"/>
      <c r="QGJ53" s="37"/>
      <c r="QGK53" s="37"/>
      <c r="QGL53" s="37"/>
      <c r="QGM53" s="37"/>
      <c r="QGN53" s="37"/>
      <c r="QGO53" s="37"/>
      <c r="QGP53" s="37"/>
      <c r="QGQ53" s="37"/>
      <c r="QGR53" s="37"/>
      <c r="QGS53" s="37"/>
      <c r="QGT53" s="37"/>
      <c r="QGU53" s="37"/>
      <c r="QGV53" s="37"/>
      <c r="QGW53" s="37"/>
      <c r="QGX53" s="37"/>
      <c r="QGY53" s="37"/>
      <c r="QGZ53" s="37"/>
      <c r="QHA53" s="37"/>
      <c r="QHB53" s="37"/>
      <c r="QHC53" s="37"/>
      <c r="QHD53" s="37"/>
      <c r="QHE53" s="37"/>
      <c r="QHF53" s="37"/>
      <c r="QHG53" s="37"/>
      <c r="QHH53" s="37"/>
      <c r="QHI53" s="37"/>
      <c r="QHJ53" s="37"/>
      <c r="QHK53" s="37"/>
      <c r="QHL53" s="37"/>
      <c r="QHM53" s="37"/>
      <c r="QHN53" s="37"/>
      <c r="QHO53" s="37"/>
      <c r="QHP53" s="37"/>
      <c r="QHQ53" s="37"/>
      <c r="QHR53" s="37"/>
      <c r="QHS53" s="37"/>
      <c r="QHT53" s="37"/>
      <c r="QHU53" s="37"/>
      <c r="QHV53" s="37"/>
      <c r="QHW53" s="37"/>
      <c r="QHX53" s="37"/>
      <c r="QHY53" s="37"/>
      <c r="QHZ53" s="37"/>
      <c r="QIA53" s="37"/>
      <c r="QIB53" s="37"/>
      <c r="QIC53" s="37"/>
      <c r="QID53" s="37"/>
      <c r="QIE53" s="37"/>
      <c r="QIF53" s="37"/>
      <c r="QIG53" s="37"/>
      <c r="QIH53" s="37"/>
      <c r="QII53" s="37"/>
      <c r="QIJ53" s="37"/>
      <c r="QIK53" s="37"/>
      <c r="QIL53" s="37"/>
      <c r="QIM53" s="37"/>
      <c r="QIN53" s="37"/>
      <c r="QIO53" s="37"/>
      <c r="QIP53" s="37"/>
      <c r="QIQ53" s="37"/>
      <c r="QIR53" s="37"/>
      <c r="QIS53" s="37"/>
      <c r="QIT53" s="37"/>
      <c r="QIU53" s="37"/>
      <c r="QIV53" s="37"/>
      <c r="QIW53" s="37"/>
      <c r="QIX53" s="37"/>
      <c r="QIY53" s="37"/>
      <c r="QIZ53" s="37"/>
      <c r="QJA53" s="37"/>
      <c r="QJB53" s="37"/>
      <c r="QJC53" s="37"/>
      <c r="QJD53" s="37"/>
      <c r="QJE53" s="37"/>
      <c r="QJF53" s="37"/>
      <c r="QJG53" s="37"/>
      <c r="QJH53" s="37"/>
      <c r="QJI53" s="37"/>
      <c r="QJJ53" s="37"/>
      <c r="QJK53" s="37"/>
      <c r="QJL53" s="37"/>
      <c r="QJM53" s="37"/>
      <c r="QJN53" s="37"/>
      <c r="QJO53" s="37"/>
      <c r="QJP53" s="37"/>
      <c r="QJQ53" s="37"/>
      <c r="QJR53" s="37"/>
      <c r="QJS53" s="37"/>
      <c r="QJT53" s="37"/>
      <c r="QJU53" s="37"/>
      <c r="QJV53" s="37"/>
      <c r="QJW53" s="37"/>
      <c r="QJX53" s="37"/>
      <c r="QJY53" s="37"/>
      <c r="QJZ53" s="37"/>
      <c r="QKA53" s="37"/>
      <c r="QKB53" s="37"/>
      <c r="QKC53" s="37"/>
      <c r="QKD53" s="37"/>
      <c r="QKE53" s="37"/>
      <c r="QKF53" s="37"/>
      <c r="QKG53" s="37"/>
      <c r="QKH53" s="37"/>
      <c r="QKI53" s="37"/>
      <c r="QKJ53" s="37"/>
      <c r="QKK53" s="37"/>
      <c r="QKL53" s="37"/>
      <c r="QKM53" s="37"/>
      <c r="QKN53" s="37"/>
      <c r="QKO53" s="37"/>
      <c r="QKP53" s="37"/>
      <c r="QKQ53" s="37"/>
      <c r="QKR53" s="37"/>
      <c r="QKS53" s="37"/>
      <c r="QKT53" s="37"/>
      <c r="QKU53" s="37"/>
      <c r="QKV53" s="37"/>
      <c r="QKW53" s="37"/>
      <c r="QKX53" s="37"/>
      <c r="QKY53" s="37"/>
      <c r="QKZ53" s="37"/>
      <c r="QLA53" s="37"/>
      <c r="QLB53" s="37"/>
      <c r="QLC53" s="37"/>
      <c r="QLD53" s="37"/>
      <c r="QLE53" s="37"/>
      <c r="QLF53" s="37"/>
      <c r="QLG53" s="37"/>
      <c r="QLH53" s="37"/>
      <c r="QLI53" s="37"/>
      <c r="QLJ53" s="37"/>
      <c r="QLK53" s="37"/>
      <c r="QLL53" s="37"/>
      <c r="QLM53" s="37"/>
      <c r="QLN53" s="37"/>
      <c r="QLO53" s="37"/>
      <c r="QLP53" s="37"/>
      <c r="QLQ53" s="37"/>
      <c r="QLR53" s="37"/>
      <c r="QLS53" s="37"/>
      <c r="QLT53" s="37"/>
      <c r="QLU53" s="37"/>
      <c r="QLV53" s="37"/>
      <c r="QLW53" s="37"/>
      <c r="QLX53" s="37"/>
      <c r="QLY53" s="37"/>
      <c r="QLZ53" s="37"/>
      <c r="QMA53" s="37"/>
      <c r="QMB53" s="37"/>
      <c r="QMC53" s="37"/>
      <c r="QMD53" s="37"/>
      <c r="QME53" s="37"/>
      <c r="QMF53" s="37"/>
      <c r="QMG53" s="37"/>
      <c r="QMH53" s="37"/>
      <c r="QMI53" s="37"/>
      <c r="QMJ53" s="37"/>
      <c r="QMK53" s="37"/>
      <c r="QML53" s="37"/>
      <c r="QMM53" s="37"/>
      <c r="QMN53" s="37"/>
      <c r="QMO53" s="37"/>
      <c r="QMP53" s="37"/>
      <c r="QMQ53" s="37"/>
      <c r="QMR53" s="37"/>
      <c r="QMS53" s="37"/>
      <c r="QMT53" s="37"/>
      <c r="QMU53" s="37"/>
      <c r="QMV53" s="37"/>
      <c r="QMW53" s="37"/>
      <c r="QMX53" s="37"/>
      <c r="QMY53" s="37"/>
      <c r="QMZ53" s="37"/>
      <c r="QNA53" s="37"/>
      <c r="QNB53" s="37"/>
      <c r="QNC53" s="37"/>
      <c r="QND53" s="37"/>
      <c r="QNE53" s="37"/>
      <c r="QNF53" s="37"/>
      <c r="QNG53" s="37"/>
      <c r="QNH53" s="37"/>
      <c r="QNI53" s="37"/>
      <c r="QNJ53" s="37"/>
      <c r="QNK53" s="37"/>
      <c r="QNL53" s="37"/>
      <c r="QNM53" s="37"/>
      <c r="QNN53" s="37"/>
      <c r="QNO53" s="37"/>
      <c r="QNP53" s="37"/>
      <c r="QNQ53" s="37"/>
      <c r="QNR53" s="37"/>
      <c r="QNS53" s="37"/>
      <c r="QNT53" s="37"/>
      <c r="QNU53" s="37"/>
      <c r="QNV53" s="37"/>
      <c r="QNW53" s="37"/>
      <c r="QNX53" s="37"/>
      <c r="QNY53" s="37"/>
      <c r="QNZ53" s="37"/>
      <c r="QOA53" s="37"/>
      <c r="QOB53" s="37"/>
      <c r="QOC53" s="37"/>
      <c r="QOD53" s="37"/>
      <c r="QOE53" s="37"/>
      <c r="QOF53" s="37"/>
      <c r="QOG53" s="37"/>
      <c r="QOH53" s="37"/>
      <c r="QOI53" s="37"/>
      <c r="QOJ53" s="37"/>
      <c r="QOK53" s="37"/>
      <c r="QOL53" s="37"/>
      <c r="QOM53" s="37"/>
      <c r="QON53" s="37"/>
      <c r="QOO53" s="37"/>
      <c r="QOP53" s="37"/>
      <c r="QOQ53" s="37"/>
      <c r="QOR53" s="37"/>
      <c r="QOS53" s="37"/>
      <c r="QOT53" s="37"/>
      <c r="QOU53" s="37"/>
      <c r="QOV53" s="37"/>
      <c r="QOW53" s="37"/>
      <c r="QOX53" s="37"/>
      <c r="QOY53" s="37"/>
      <c r="QOZ53" s="37"/>
      <c r="QPA53" s="37"/>
      <c r="QPB53" s="37"/>
      <c r="QPC53" s="37"/>
      <c r="QPD53" s="37"/>
      <c r="QPE53" s="37"/>
      <c r="QPF53" s="37"/>
      <c r="QPG53" s="37"/>
      <c r="QPH53" s="37"/>
      <c r="QPI53" s="37"/>
      <c r="QPJ53" s="37"/>
      <c r="QPK53" s="37"/>
      <c r="QPL53" s="37"/>
      <c r="QPM53" s="37"/>
      <c r="QPN53" s="37"/>
      <c r="QPO53" s="37"/>
      <c r="QPP53" s="37"/>
      <c r="QPQ53" s="37"/>
      <c r="QPR53" s="37"/>
      <c r="QPS53" s="37"/>
      <c r="QPT53" s="37"/>
      <c r="QPU53" s="37"/>
      <c r="QPV53" s="37"/>
      <c r="QPW53" s="37"/>
      <c r="QPX53" s="37"/>
      <c r="QPY53" s="37"/>
      <c r="QPZ53" s="37"/>
      <c r="QQA53" s="37"/>
      <c r="QQB53" s="37"/>
      <c r="QQC53" s="37"/>
      <c r="QQD53" s="37"/>
      <c r="QQE53" s="37"/>
      <c r="QQF53" s="37"/>
      <c r="QQG53" s="37"/>
      <c r="QQH53" s="37"/>
      <c r="QQI53" s="37"/>
      <c r="QQJ53" s="37"/>
      <c r="QQK53" s="37"/>
      <c r="QQL53" s="37"/>
      <c r="QQM53" s="37"/>
      <c r="QQN53" s="37"/>
      <c r="QQO53" s="37"/>
      <c r="QQP53" s="37"/>
      <c r="QQQ53" s="37"/>
      <c r="QQR53" s="37"/>
      <c r="QQS53" s="37"/>
      <c r="QQT53" s="37"/>
      <c r="QQU53" s="37"/>
      <c r="QQV53" s="37"/>
      <c r="QQW53" s="37"/>
      <c r="QQX53" s="37"/>
      <c r="QQY53" s="37"/>
      <c r="QQZ53" s="37"/>
      <c r="QRA53" s="37"/>
      <c r="QRB53" s="37"/>
      <c r="QRC53" s="37"/>
      <c r="QRD53" s="37"/>
      <c r="QRE53" s="37"/>
      <c r="QRF53" s="37"/>
      <c r="QRG53" s="37"/>
      <c r="QRH53" s="37"/>
      <c r="QRI53" s="37"/>
      <c r="QRJ53" s="37"/>
      <c r="QRK53" s="37"/>
      <c r="QRL53" s="37"/>
      <c r="QRM53" s="37"/>
      <c r="QRN53" s="37"/>
      <c r="QRO53" s="37"/>
      <c r="QRP53" s="37"/>
      <c r="QRQ53" s="37"/>
      <c r="QRR53" s="37"/>
      <c r="QRS53" s="37"/>
      <c r="QRT53" s="37"/>
      <c r="QRU53" s="37"/>
      <c r="QRV53" s="37"/>
      <c r="QRW53" s="37"/>
      <c r="QRX53" s="37"/>
      <c r="QRY53" s="37"/>
      <c r="QRZ53" s="37"/>
      <c r="QSA53" s="37"/>
      <c r="QSB53" s="37"/>
      <c r="QSC53" s="37"/>
      <c r="QSD53" s="37"/>
      <c r="QSE53" s="37"/>
      <c r="QSF53" s="37"/>
      <c r="QSG53" s="37"/>
      <c r="QSH53" s="37"/>
      <c r="QSI53" s="37"/>
      <c r="QSJ53" s="37"/>
      <c r="QSK53" s="37"/>
      <c r="QSL53" s="37"/>
      <c r="QSM53" s="37"/>
      <c r="QSN53" s="37"/>
      <c r="QSO53" s="37"/>
      <c r="QSP53" s="37"/>
      <c r="QSQ53" s="37"/>
      <c r="QSR53" s="37"/>
      <c r="QSS53" s="37"/>
      <c r="QST53" s="37"/>
      <c r="QSU53" s="37"/>
      <c r="QSV53" s="37"/>
      <c r="QSW53" s="37"/>
      <c r="QSX53" s="37"/>
      <c r="QSY53" s="37"/>
      <c r="QSZ53" s="37"/>
      <c r="QTA53" s="37"/>
      <c r="QTB53" s="37"/>
      <c r="QTC53" s="37"/>
      <c r="QTD53" s="37"/>
      <c r="QTE53" s="37"/>
      <c r="QTF53" s="37"/>
      <c r="QTG53" s="37"/>
      <c r="QTH53" s="37"/>
      <c r="QTI53" s="37"/>
      <c r="QTJ53" s="37"/>
      <c r="QTK53" s="37"/>
      <c r="QTL53" s="37"/>
      <c r="QTM53" s="37"/>
      <c r="QTN53" s="37"/>
      <c r="QTO53" s="37"/>
      <c r="QTP53" s="37"/>
      <c r="QTQ53" s="37"/>
      <c r="QTR53" s="37"/>
      <c r="QTS53" s="37"/>
      <c r="QTT53" s="37"/>
      <c r="QTU53" s="37"/>
      <c r="QTV53" s="37"/>
      <c r="QTW53" s="37"/>
      <c r="QTX53" s="37"/>
      <c r="QTY53" s="37"/>
      <c r="QTZ53" s="37"/>
      <c r="QUA53" s="37"/>
      <c r="QUB53" s="37"/>
      <c r="QUC53" s="37"/>
      <c r="QUD53" s="37"/>
      <c r="QUE53" s="37"/>
      <c r="QUF53" s="37"/>
      <c r="QUG53" s="37"/>
      <c r="QUH53" s="37"/>
      <c r="QUI53" s="37"/>
      <c r="QUJ53" s="37"/>
      <c r="QUK53" s="37"/>
      <c r="QUL53" s="37"/>
      <c r="QUM53" s="37"/>
      <c r="QUN53" s="37"/>
      <c r="QUO53" s="37"/>
      <c r="QUP53" s="37"/>
      <c r="QUQ53" s="37"/>
      <c r="QUR53" s="37"/>
      <c r="QUS53" s="37"/>
      <c r="QUT53" s="37"/>
      <c r="QUU53" s="37"/>
      <c r="QUV53" s="37"/>
      <c r="QUW53" s="37"/>
      <c r="QUX53" s="37"/>
      <c r="QUY53" s="37"/>
      <c r="QUZ53" s="37"/>
      <c r="QVA53" s="37"/>
      <c r="QVB53" s="37"/>
      <c r="QVC53" s="37"/>
      <c r="QVD53" s="37"/>
      <c r="QVE53" s="37"/>
      <c r="QVF53" s="37"/>
      <c r="QVG53" s="37"/>
      <c r="QVH53" s="37"/>
      <c r="QVI53" s="37"/>
      <c r="QVJ53" s="37"/>
      <c r="QVK53" s="37"/>
      <c r="QVL53" s="37"/>
      <c r="QVM53" s="37"/>
      <c r="QVN53" s="37"/>
      <c r="QVO53" s="37"/>
      <c r="QVP53" s="37"/>
      <c r="QVQ53" s="37"/>
      <c r="QVR53" s="37"/>
      <c r="QVS53" s="37"/>
      <c r="QVT53" s="37"/>
      <c r="QVU53" s="37"/>
      <c r="QVV53" s="37"/>
      <c r="QVW53" s="37"/>
      <c r="QVX53" s="37"/>
      <c r="QVY53" s="37"/>
      <c r="QVZ53" s="37"/>
      <c r="QWA53" s="37"/>
      <c r="QWB53" s="37"/>
      <c r="QWC53" s="37"/>
      <c r="QWD53" s="37"/>
      <c r="QWE53" s="37"/>
      <c r="QWF53" s="37"/>
      <c r="QWG53" s="37"/>
      <c r="QWH53" s="37"/>
      <c r="QWI53" s="37"/>
      <c r="QWJ53" s="37"/>
      <c r="QWK53" s="37"/>
      <c r="QWL53" s="37"/>
      <c r="QWM53" s="37"/>
      <c r="QWN53" s="37"/>
      <c r="QWO53" s="37"/>
      <c r="QWP53" s="37"/>
      <c r="QWQ53" s="37"/>
      <c r="QWR53" s="37"/>
      <c r="QWS53" s="37"/>
      <c r="QWT53" s="37"/>
      <c r="QWU53" s="37"/>
      <c r="QWV53" s="37"/>
      <c r="QWW53" s="37"/>
      <c r="QWX53" s="37"/>
      <c r="QWY53" s="37"/>
      <c r="QWZ53" s="37"/>
      <c r="QXA53" s="37"/>
      <c r="QXB53" s="37"/>
      <c r="QXC53" s="37"/>
      <c r="QXD53" s="37"/>
      <c r="QXE53" s="37"/>
      <c r="QXF53" s="37"/>
      <c r="QXG53" s="37"/>
      <c r="QXH53" s="37"/>
      <c r="QXI53" s="37"/>
      <c r="QXJ53" s="37"/>
      <c r="QXK53" s="37"/>
      <c r="QXL53" s="37"/>
      <c r="QXM53" s="37"/>
      <c r="QXN53" s="37"/>
      <c r="QXO53" s="37"/>
      <c r="QXP53" s="37"/>
      <c r="QXQ53" s="37"/>
      <c r="QXR53" s="37"/>
      <c r="QXS53" s="37"/>
      <c r="QXT53" s="37"/>
      <c r="QXU53" s="37"/>
      <c r="QXV53" s="37"/>
      <c r="QXW53" s="37"/>
      <c r="QXX53" s="37"/>
      <c r="QXY53" s="37"/>
      <c r="QXZ53" s="37"/>
      <c r="QYA53" s="37"/>
      <c r="QYB53" s="37"/>
      <c r="QYC53" s="37"/>
      <c r="QYD53" s="37"/>
      <c r="QYE53" s="37"/>
      <c r="QYF53" s="37"/>
      <c r="QYG53" s="37"/>
      <c r="QYH53" s="37"/>
      <c r="QYI53" s="37"/>
      <c r="QYJ53" s="37"/>
      <c r="QYK53" s="37"/>
      <c r="QYL53" s="37"/>
      <c r="QYM53" s="37"/>
      <c r="QYN53" s="37"/>
      <c r="QYO53" s="37"/>
      <c r="QYP53" s="37"/>
      <c r="QYQ53" s="37"/>
      <c r="QYR53" s="37"/>
      <c r="QYS53" s="37"/>
      <c r="QYT53" s="37"/>
      <c r="QYU53" s="37"/>
      <c r="QYV53" s="37"/>
      <c r="QYW53" s="37"/>
      <c r="QYX53" s="37"/>
      <c r="QYY53" s="37"/>
      <c r="QYZ53" s="37"/>
      <c r="QZA53" s="37"/>
      <c r="QZB53" s="37"/>
      <c r="QZC53" s="37"/>
      <c r="QZD53" s="37"/>
      <c r="QZE53" s="37"/>
      <c r="QZF53" s="37"/>
      <c r="QZG53" s="37"/>
      <c r="QZH53" s="37"/>
      <c r="QZI53" s="37"/>
      <c r="QZJ53" s="37"/>
      <c r="QZK53" s="37"/>
      <c r="QZL53" s="37"/>
      <c r="QZM53" s="37"/>
      <c r="QZN53" s="37"/>
      <c r="QZO53" s="37"/>
      <c r="QZP53" s="37"/>
      <c r="QZQ53" s="37"/>
      <c r="QZR53" s="37"/>
      <c r="QZS53" s="37"/>
      <c r="QZT53" s="37"/>
      <c r="QZU53" s="37"/>
      <c r="QZV53" s="37"/>
      <c r="QZW53" s="37"/>
      <c r="QZX53" s="37"/>
      <c r="QZY53" s="37"/>
      <c r="QZZ53" s="37"/>
      <c r="RAA53" s="37"/>
      <c r="RAB53" s="37"/>
      <c r="RAC53" s="37"/>
      <c r="RAD53" s="37"/>
      <c r="RAE53" s="37"/>
      <c r="RAF53" s="37"/>
      <c r="RAG53" s="37"/>
      <c r="RAH53" s="37"/>
      <c r="RAI53" s="37"/>
      <c r="RAJ53" s="37"/>
      <c r="RAK53" s="37"/>
      <c r="RAL53" s="37"/>
      <c r="RAM53" s="37"/>
      <c r="RAN53" s="37"/>
      <c r="RAO53" s="37"/>
      <c r="RAP53" s="37"/>
      <c r="RAQ53" s="37"/>
      <c r="RAR53" s="37"/>
      <c r="RAS53" s="37"/>
      <c r="RAT53" s="37"/>
      <c r="RAU53" s="37"/>
      <c r="RAV53" s="37"/>
      <c r="RAW53" s="37"/>
      <c r="RAX53" s="37"/>
      <c r="RAY53" s="37"/>
      <c r="RAZ53" s="37"/>
      <c r="RBA53" s="37"/>
      <c r="RBB53" s="37"/>
      <c r="RBC53" s="37"/>
      <c r="RBD53" s="37"/>
      <c r="RBE53" s="37"/>
      <c r="RBF53" s="37"/>
      <c r="RBG53" s="37"/>
      <c r="RBH53" s="37"/>
      <c r="RBI53" s="37"/>
      <c r="RBJ53" s="37"/>
      <c r="RBK53" s="37"/>
      <c r="RBL53" s="37"/>
      <c r="RBM53" s="37"/>
      <c r="RBN53" s="37"/>
      <c r="RBO53" s="37"/>
      <c r="RBP53" s="37"/>
      <c r="RBQ53" s="37"/>
      <c r="RBR53" s="37"/>
      <c r="RBS53" s="37"/>
      <c r="RBT53" s="37"/>
      <c r="RBU53" s="37"/>
      <c r="RBV53" s="37"/>
      <c r="RBW53" s="37"/>
      <c r="RBX53" s="37"/>
      <c r="RBY53" s="37"/>
      <c r="RBZ53" s="37"/>
      <c r="RCA53" s="37"/>
      <c r="RCB53" s="37"/>
      <c r="RCC53" s="37"/>
      <c r="RCD53" s="37"/>
      <c r="RCE53" s="37"/>
      <c r="RCF53" s="37"/>
      <c r="RCG53" s="37"/>
      <c r="RCH53" s="37"/>
      <c r="RCI53" s="37"/>
      <c r="RCJ53" s="37"/>
      <c r="RCK53" s="37"/>
      <c r="RCL53" s="37"/>
      <c r="RCM53" s="37"/>
      <c r="RCN53" s="37"/>
      <c r="RCO53" s="37"/>
      <c r="RCP53" s="37"/>
      <c r="RCQ53" s="37"/>
      <c r="RCR53" s="37"/>
      <c r="RCS53" s="37"/>
      <c r="RCT53" s="37"/>
      <c r="RCU53" s="37"/>
      <c r="RCV53" s="37"/>
      <c r="RCW53" s="37"/>
      <c r="RCX53" s="37"/>
      <c r="RCY53" s="37"/>
      <c r="RCZ53" s="37"/>
      <c r="RDA53" s="37"/>
      <c r="RDB53" s="37"/>
      <c r="RDC53" s="37"/>
      <c r="RDD53" s="37"/>
      <c r="RDE53" s="37"/>
      <c r="RDF53" s="37"/>
      <c r="RDG53" s="37"/>
      <c r="RDH53" s="37"/>
      <c r="RDI53" s="37"/>
      <c r="RDJ53" s="37"/>
      <c r="RDK53" s="37"/>
      <c r="RDL53" s="37"/>
      <c r="RDM53" s="37"/>
      <c r="RDN53" s="37"/>
      <c r="RDO53" s="37"/>
      <c r="RDP53" s="37"/>
      <c r="RDQ53" s="37"/>
      <c r="RDR53" s="37"/>
      <c r="RDS53" s="37"/>
      <c r="RDT53" s="37"/>
      <c r="RDU53" s="37"/>
      <c r="RDV53" s="37"/>
      <c r="RDW53" s="37"/>
      <c r="RDX53" s="37"/>
      <c r="RDY53" s="37"/>
      <c r="RDZ53" s="37"/>
      <c r="REA53" s="37"/>
      <c r="REB53" s="37"/>
      <c r="REC53" s="37"/>
      <c r="RED53" s="37"/>
      <c r="REE53" s="37"/>
      <c r="REF53" s="37"/>
      <c r="REG53" s="37"/>
      <c r="REH53" s="37"/>
      <c r="REI53" s="37"/>
      <c r="REJ53" s="37"/>
      <c r="REK53" s="37"/>
      <c r="REL53" s="37"/>
      <c r="REM53" s="37"/>
      <c r="REN53" s="37"/>
      <c r="REO53" s="37"/>
      <c r="REP53" s="37"/>
      <c r="REQ53" s="37"/>
      <c r="RER53" s="37"/>
      <c r="RES53" s="37"/>
      <c r="RET53" s="37"/>
      <c r="REU53" s="37"/>
      <c r="REV53" s="37"/>
      <c r="REW53" s="37"/>
      <c r="REX53" s="37"/>
      <c r="REY53" s="37"/>
      <c r="REZ53" s="37"/>
      <c r="RFA53" s="37"/>
      <c r="RFB53" s="37"/>
      <c r="RFC53" s="37"/>
      <c r="RFD53" s="37"/>
      <c r="RFE53" s="37"/>
      <c r="RFF53" s="37"/>
      <c r="RFG53" s="37"/>
      <c r="RFH53" s="37"/>
      <c r="RFI53" s="37"/>
      <c r="RFJ53" s="37"/>
      <c r="RFK53" s="37"/>
      <c r="RFL53" s="37"/>
      <c r="RFM53" s="37"/>
      <c r="RFN53" s="37"/>
      <c r="RFO53" s="37"/>
      <c r="RFP53" s="37"/>
      <c r="RFQ53" s="37"/>
      <c r="RFR53" s="37"/>
      <c r="RFS53" s="37"/>
      <c r="RFT53" s="37"/>
      <c r="RFU53" s="37"/>
      <c r="RFV53" s="37"/>
      <c r="RFW53" s="37"/>
      <c r="RFX53" s="37"/>
      <c r="RFY53" s="37"/>
      <c r="RFZ53" s="37"/>
      <c r="RGA53" s="37"/>
      <c r="RGB53" s="37"/>
      <c r="RGC53" s="37"/>
      <c r="RGD53" s="37"/>
      <c r="RGE53" s="37"/>
      <c r="RGF53" s="37"/>
      <c r="RGG53" s="37"/>
      <c r="RGH53" s="37"/>
      <c r="RGI53" s="37"/>
      <c r="RGJ53" s="37"/>
      <c r="RGK53" s="37"/>
      <c r="RGL53" s="37"/>
      <c r="RGM53" s="37"/>
      <c r="RGN53" s="37"/>
      <c r="RGO53" s="37"/>
      <c r="RGP53" s="37"/>
      <c r="RGQ53" s="37"/>
      <c r="RGR53" s="37"/>
      <c r="RGS53" s="37"/>
      <c r="RGT53" s="37"/>
      <c r="RGU53" s="37"/>
      <c r="RGV53" s="37"/>
      <c r="RGW53" s="37"/>
      <c r="RGX53" s="37"/>
      <c r="RGY53" s="37"/>
      <c r="RGZ53" s="37"/>
      <c r="RHA53" s="37"/>
      <c r="RHB53" s="37"/>
      <c r="RHC53" s="37"/>
      <c r="RHD53" s="37"/>
      <c r="RHE53" s="37"/>
      <c r="RHF53" s="37"/>
      <c r="RHG53" s="37"/>
      <c r="RHH53" s="37"/>
      <c r="RHI53" s="37"/>
      <c r="RHJ53" s="37"/>
      <c r="RHK53" s="37"/>
      <c r="RHL53" s="37"/>
      <c r="RHM53" s="37"/>
      <c r="RHN53" s="37"/>
      <c r="RHO53" s="37"/>
      <c r="RHP53" s="37"/>
      <c r="RHQ53" s="37"/>
      <c r="RHR53" s="37"/>
      <c r="RHS53" s="37"/>
      <c r="RHT53" s="37"/>
      <c r="RHU53" s="37"/>
      <c r="RHV53" s="37"/>
      <c r="RHW53" s="37"/>
      <c r="RHX53" s="37"/>
      <c r="RHY53" s="37"/>
      <c r="RHZ53" s="37"/>
      <c r="RIA53" s="37"/>
      <c r="RIB53" s="37"/>
      <c r="RIC53" s="37"/>
      <c r="RID53" s="37"/>
      <c r="RIE53" s="37"/>
      <c r="RIF53" s="37"/>
      <c r="RIG53" s="37"/>
      <c r="RIH53" s="37"/>
      <c r="RII53" s="37"/>
      <c r="RIJ53" s="37"/>
      <c r="RIK53" s="37"/>
      <c r="RIL53" s="37"/>
      <c r="RIM53" s="37"/>
      <c r="RIN53" s="37"/>
      <c r="RIO53" s="37"/>
      <c r="RIP53" s="37"/>
      <c r="RIQ53" s="37"/>
      <c r="RIR53" s="37"/>
      <c r="RIS53" s="37"/>
      <c r="RIT53" s="37"/>
      <c r="RIU53" s="37"/>
      <c r="RIV53" s="37"/>
      <c r="RIW53" s="37"/>
      <c r="RIX53" s="37"/>
      <c r="RIY53" s="37"/>
      <c r="RIZ53" s="37"/>
      <c r="RJA53" s="37"/>
      <c r="RJB53" s="37"/>
      <c r="RJC53" s="37"/>
      <c r="RJD53" s="37"/>
      <c r="RJE53" s="37"/>
      <c r="RJF53" s="37"/>
      <c r="RJG53" s="37"/>
      <c r="RJH53" s="37"/>
      <c r="RJI53" s="37"/>
      <c r="RJJ53" s="37"/>
      <c r="RJK53" s="37"/>
      <c r="RJL53" s="37"/>
      <c r="RJM53" s="37"/>
      <c r="RJN53" s="37"/>
      <c r="RJO53" s="37"/>
      <c r="RJP53" s="37"/>
      <c r="RJQ53" s="37"/>
      <c r="RJR53" s="37"/>
      <c r="RJS53" s="37"/>
      <c r="RJT53" s="37"/>
      <c r="RJU53" s="37"/>
      <c r="RJV53" s="37"/>
      <c r="RJW53" s="37"/>
      <c r="RJX53" s="37"/>
      <c r="RJY53" s="37"/>
      <c r="RJZ53" s="37"/>
      <c r="RKA53" s="37"/>
      <c r="RKB53" s="37"/>
      <c r="RKC53" s="37"/>
      <c r="RKD53" s="37"/>
      <c r="RKE53" s="37"/>
      <c r="RKF53" s="37"/>
      <c r="RKG53" s="37"/>
      <c r="RKH53" s="37"/>
      <c r="RKI53" s="37"/>
      <c r="RKJ53" s="37"/>
      <c r="RKK53" s="37"/>
      <c r="RKL53" s="37"/>
      <c r="RKM53" s="37"/>
      <c r="RKN53" s="37"/>
      <c r="RKO53" s="37"/>
      <c r="RKP53" s="37"/>
      <c r="RKQ53" s="37"/>
      <c r="RKR53" s="37"/>
      <c r="RKS53" s="37"/>
      <c r="RKT53" s="37"/>
      <c r="RKU53" s="37"/>
      <c r="RKV53" s="37"/>
      <c r="RKW53" s="37"/>
      <c r="RKX53" s="37"/>
      <c r="RKY53" s="37"/>
      <c r="RKZ53" s="37"/>
      <c r="RLA53" s="37"/>
      <c r="RLB53" s="37"/>
      <c r="RLC53" s="37"/>
      <c r="RLD53" s="37"/>
      <c r="RLE53" s="37"/>
      <c r="RLF53" s="37"/>
      <c r="RLG53" s="37"/>
      <c r="RLH53" s="37"/>
      <c r="RLI53" s="37"/>
      <c r="RLJ53" s="37"/>
      <c r="RLK53" s="37"/>
      <c r="RLL53" s="37"/>
      <c r="RLM53" s="37"/>
      <c r="RLN53" s="37"/>
      <c r="RLO53" s="37"/>
      <c r="RLP53" s="37"/>
      <c r="RLQ53" s="37"/>
      <c r="RLR53" s="37"/>
      <c r="RLS53" s="37"/>
      <c r="RLT53" s="37"/>
      <c r="RLU53" s="37"/>
      <c r="RLV53" s="37"/>
      <c r="RLW53" s="37"/>
      <c r="RLX53" s="37"/>
      <c r="RLY53" s="37"/>
      <c r="RLZ53" s="37"/>
      <c r="RMA53" s="37"/>
      <c r="RMB53" s="37"/>
      <c r="RMC53" s="37"/>
      <c r="RMD53" s="37"/>
      <c r="RME53" s="37"/>
      <c r="RMF53" s="37"/>
      <c r="RMG53" s="37"/>
      <c r="RMH53" s="37"/>
      <c r="RMI53" s="37"/>
      <c r="RMJ53" s="37"/>
      <c r="RMK53" s="37"/>
      <c r="RML53" s="37"/>
      <c r="RMM53" s="37"/>
      <c r="RMN53" s="37"/>
      <c r="RMO53" s="37"/>
      <c r="RMP53" s="37"/>
      <c r="RMQ53" s="37"/>
      <c r="RMR53" s="37"/>
      <c r="RMS53" s="37"/>
      <c r="RMT53" s="37"/>
      <c r="RMU53" s="37"/>
      <c r="RMV53" s="37"/>
      <c r="RMW53" s="37"/>
      <c r="RMX53" s="37"/>
      <c r="RMY53" s="37"/>
      <c r="RMZ53" s="37"/>
      <c r="RNA53" s="37"/>
      <c r="RNB53" s="37"/>
      <c r="RNC53" s="37"/>
      <c r="RND53" s="37"/>
      <c r="RNE53" s="37"/>
      <c r="RNF53" s="37"/>
      <c r="RNG53" s="37"/>
      <c r="RNH53" s="37"/>
      <c r="RNI53" s="37"/>
      <c r="RNJ53" s="37"/>
      <c r="RNK53" s="37"/>
      <c r="RNL53" s="37"/>
      <c r="RNM53" s="37"/>
      <c r="RNN53" s="37"/>
      <c r="RNO53" s="37"/>
      <c r="RNP53" s="37"/>
      <c r="RNQ53" s="37"/>
      <c r="RNR53" s="37"/>
      <c r="RNS53" s="37"/>
      <c r="RNT53" s="37"/>
      <c r="RNU53" s="37"/>
      <c r="RNV53" s="37"/>
      <c r="RNW53" s="37"/>
      <c r="RNX53" s="37"/>
      <c r="RNY53" s="37"/>
      <c r="RNZ53" s="37"/>
      <c r="ROA53" s="37"/>
      <c r="ROB53" s="37"/>
      <c r="ROC53" s="37"/>
      <c r="ROD53" s="37"/>
      <c r="ROE53" s="37"/>
      <c r="ROF53" s="37"/>
      <c r="ROG53" s="37"/>
      <c r="ROH53" s="37"/>
      <c r="ROI53" s="37"/>
      <c r="ROJ53" s="37"/>
      <c r="ROK53" s="37"/>
      <c r="ROL53" s="37"/>
      <c r="ROM53" s="37"/>
      <c r="RON53" s="37"/>
      <c r="ROO53" s="37"/>
      <c r="ROP53" s="37"/>
      <c r="ROQ53" s="37"/>
      <c r="ROR53" s="37"/>
      <c r="ROS53" s="37"/>
      <c r="ROT53" s="37"/>
      <c r="ROU53" s="37"/>
      <c r="ROV53" s="37"/>
      <c r="ROW53" s="37"/>
      <c r="ROX53" s="37"/>
      <c r="ROY53" s="37"/>
      <c r="ROZ53" s="37"/>
      <c r="RPA53" s="37"/>
      <c r="RPB53" s="37"/>
      <c r="RPC53" s="37"/>
      <c r="RPD53" s="37"/>
      <c r="RPE53" s="37"/>
      <c r="RPF53" s="37"/>
      <c r="RPG53" s="37"/>
      <c r="RPH53" s="37"/>
      <c r="RPI53" s="37"/>
      <c r="RPJ53" s="37"/>
      <c r="RPK53" s="37"/>
      <c r="RPL53" s="37"/>
      <c r="RPM53" s="37"/>
      <c r="RPN53" s="37"/>
      <c r="RPO53" s="37"/>
      <c r="RPP53" s="37"/>
      <c r="RPQ53" s="37"/>
      <c r="RPR53" s="37"/>
      <c r="RPS53" s="37"/>
      <c r="RPT53" s="37"/>
      <c r="RPU53" s="37"/>
      <c r="RPV53" s="37"/>
      <c r="RPW53" s="37"/>
      <c r="RPX53" s="37"/>
      <c r="RPY53" s="37"/>
      <c r="RPZ53" s="37"/>
      <c r="RQA53" s="37"/>
      <c r="RQB53" s="37"/>
      <c r="RQC53" s="37"/>
      <c r="RQD53" s="37"/>
      <c r="RQE53" s="37"/>
      <c r="RQF53" s="37"/>
      <c r="RQG53" s="37"/>
      <c r="RQH53" s="37"/>
      <c r="RQI53" s="37"/>
      <c r="RQJ53" s="37"/>
      <c r="RQK53" s="37"/>
      <c r="RQL53" s="37"/>
      <c r="RQM53" s="37"/>
      <c r="RQN53" s="37"/>
      <c r="RQO53" s="37"/>
      <c r="RQP53" s="37"/>
      <c r="RQQ53" s="37"/>
      <c r="RQR53" s="37"/>
      <c r="RQS53" s="37"/>
      <c r="RQT53" s="37"/>
      <c r="RQU53" s="37"/>
      <c r="RQV53" s="37"/>
      <c r="RQW53" s="37"/>
      <c r="RQX53" s="37"/>
      <c r="RQY53" s="37"/>
      <c r="RQZ53" s="37"/>
      <c r="RRA53" s="37"/>
      <c r="RRB53" s="37"/>
      <c r="RRC53" s="37"/>
      <c r="RRD53" s="37"/>
      <c r="RRE53" s="37"/>
      <c r="RRF53" s="37"/>
      <c r="RRG53" s="37"/>
      <c r="RRH53" s="37"/>
      <c r="RRI53" s="37"/>
      <c r="RRJ53" s="37"/>
      <c r="RRK53" s="37"/>
      <c r="RRL53" s="37"/>
      <c r="RRM53" s="37"/>
      <c r="RRN53" s="37"/>
      <c r="RRO53" s="37"/>
      <c r="RRP53" s="37"/>
      <c r="RRQ53" s="37"/>
      <c r="RRR53" s="37"/>
      <c r="RRS53" s="37"/>
      <c r="RRT53" s="37"/>
      <c r="RRU53" s="37"/>
      <c r="RRV53" s="37"/>
      <c r="RRW53" s="37"/>
      <c r="RRX53" s="37"/>
      <c r="RRY53" s="37"/>
      <c r="RRZ53" s="37"/>
      <c r="RSA53" s="37"/>
      <c r="RSB53" s="37"/>
      <c r="RSC53" s="37"/>
      <c r="RSD53" s="37"/>
      <c r="RSE53" s="37"/>
      <c r="RSF53" s="37"/>
      <c r="RSG53" s="37"/>
      <c r="RSH53" s="37"/>
      <c r="RSI53" s="37"/>
      <c r="RSJ53" s="37"/>
      <c r="RSK53" s="37"/>
      <c r="RSL53" s="37"/>
      <c r="RSM53" s="37"/>
      <c r="RSN53" s="37"/>
      <c r="RSO53" s="37"/>
      <c r="RSP53" s="37"/>
      <c r="RSQ53" s="37"/>
      <c r="RSR53" s="37"/>
      <c r="RSS53" s="37"/>
      <c r="RST53" s="37"/>
      <c r="RSU53" s="37"/>
      <c r="RSV53" s="37"/>
      <c r="RSW53" s="37"/>
      <c r="RSX53" s="37"/>
      <c r="RSY53" s="37"/>
      <c r="RSZ53" s="37"/>
      <c r="RTA53" s="37"/>
      <c r="RTB53" s="37"/>
      <c r="RTC53" s="37"/>
      <c r="RTD53" s="37"/>
      <c r="RTE53" s="37"/>
      <c r="RTF53" s="37"/>
      <c r="RTG53" s="37"/>
      <c r="RTH53" s="37"/>
      <c r="RTI53" s="37"/>
      <c r="RTJ53" s="37"/>
      <c r="RTK53" s="37"/>
      <c r="RTL53" s="37"/>
      <c r="RTM53" s="37"/>
      <c r="RTN53" s="37"/>
      <c r="RTO53" s="37"/>
      <c r="RTP53" s="37"/>
      <c r="RTQ53" s="37"/>
      <c r="RTR53" s="37"/>
      <c r="RTS53" s="37"/>
      <c r="RTT53" s="37"/>
      <c r="RTU53" s="37"/>
      <c r="RTV53" s="37"/>
      <c r="RTW53" s="37"/>
      <c r="RTX53" s="37"/>
      <c r="RTY53" s="37"/>
      <c r="RTZ53" s="37"/>
      <c r="RUA53" s="37"/>
      <c r="RUB53" s="37"/>
      <c r="RUC53" s="37"/>
      <c r="RUD53" s="37"/>
      <c r="RUE53" s="37"/>
      <c r="RUF53" s="37"/>
      <c r="RUG53" s="37"/>
      <c r="RUH53" s="37"/>
      <c r="RUI53" s="37"/>
      <c r="RUJ53" s="37"/>
      <c r="RUK53" s="37"/>
      <c r="RUL53" s="37"/>
      <c r="RUM53" s="37"/>
      <c r="RUN53" s="37"/>
      <c r="RUO53" s="37"/>
      <c r="RUP53" s="37"/>
      <c r="RUQ53" s="37"/>
      <c r="RUR53" s="37"/>
      <c r="RUS53" s="37"/>
      <c r="RUT53" s="37"/>
      <c r="RUU53" s="37"/>
      <c r="RUV53" s="37"/>
      <c r="RUW53" s="37"/>
      <c r="RUX53" s="37"/>
      <c r="RUY53" s="37"/>
      <c r="RUZ53" s="37"/>
      <c r="RVA53" s="37"/>
      <c r="RVB53" s="37"/>
      <c r="RVC53" s="37"/>
      <c r="RVD53" s="37"/>
      <c r="RVE53" s="37"/>
      <c r="RVF53" s="37"/>
      <c r="RVG53" s="37"/>
      <c r="RVH53" s="37"/>
      <c r="RVI53" s="37"/>
      <c r="RVJ53" s="37"/>
      <c r="RVK53" s="37"/>
      <c r="RVL53" s="37"/>
      <c r="RVM53" s="37"/>
      <c r="RVN53" s="37"/>
      <c r="RVO53" s="37"/>
      <c r="RVP53" s="37"/>
      <c r="RVQ53" s="37"/>
      <c r="RVR53" s="37"/>
      <c r="RVS53" s="37"/>
      <c r="RVT53" s="37"/>
      <c r="RVU53" s="37"/>
      <c r="RVV53" s="37"/>
      <c r="RVW53" s="37"/>
      <c r="RVX53" s="37"/>
      <c r="RVY53" s="37"/>
      <c r="RVZ53" s="37"/>
      <c r="RWA53" s="37"/>
      <c r="RWB53" s="37"/>
      <c r="RWC53" s="37"/>
      <c r="RWD53" s="37"/>
      <c r="RWE53" s="37"/>
      <c r="RWF53" s="37"/>
      <c r="RWG53" s="37"/>
      <c r="RWH53" s="37"/>
      <c r="RWI53" s="37"/>
      <c r="RWJ53" s="37"/>
      <c r="RWK53" s="37"/>
      <c r="RWL53" s="37"/>
      <c r="RWM53" s="37"/>
      <c r="RWN53" s="37"/>
      <c r="RWO53" s="37"/>
      <c r="RWP53" s="37"/>
      <c r="RWQ53" s="37"/>
      <c r="RWR53" s="37"/>
      <c r="RWS53" s="37"/>
      <c r="RWT53" s="37"/>
      <c r="RWU53" s="37"/>
      <c r="RWV53" s="37"/>
      <c r="RWW53" s="37"/>
      <c r="RWX53" s="37"/>
      <c r="RWY53" s="37"/>
      <c r="RWZ53" s="37"/>
      <c r="RXA53" s="37"/>
      <c r="RXB53" s="37"/>
      <c r="RXC53" s="37"/>
      <c r="RXD53" s="37"/>
      <c r="RXE53" s="37"/>
      <c r="RXF53" s="37"/>
      <c r="RXG53" s="37"/>
      <c r="RXH53" s="37"/>
      <c r="RXI53" s="37"/>
      <c r="RXJ53" s="37"/>
      <c r="RXK53" s="37"/>
      <c r="RXL53" s="37"/>
      <c r="RXM53" s="37"/>
      <c r="RXN53" s="37"/>
      <c r="RXO53" s="37"/>
      <c r="RXP53" s="37"/>
      <c r="RXQ53" s="37"/>
      <c r="RXR53" s="37"/>
      <c r="RXS53" s="37"/>
      <c r="RXT53" s="37"/>
      <c r="RXU53" s="37"/>
      <c r="RXV53" s="37"/>
      <c r="RXW53" s="37"/>
      <c r="RXX53" s="37"/>
      <c r="RXY53" s="37"/>
      <c r="RXZ53" s="37"/>
      <c r="RYA53" s="37"/>
      <c r="RYB53" s="37"/>
      <c r="RYC53" s="37"/>
      <c r="RYD53" s="37"/>
      <c r="RYE53" s="37"/>
      <c r="RYF53" s="37"/>
      <c r="RYG53" s="37"/>
      <c r="RYH53" s="37"/>
      <c r="RYI53" s="37"/>
      <c r="RYJ53" s="37"/>
      <c r="RYK53" s="37"/>
      <c r="RYL53" s="37"/>
      <c r="RYM53" s="37"/>
      <c r="RYN53" s="37"/>
      <c r="RYO53" s="37"/>
      <c r="RYP53" s="37"/>
      <c r="RYQ53" s="37"/>
      <c r="RYR53" s="37"/>
      <c r="RYS53" s="37"/>
      <c r="RYT53" s="37"/>
      <c r="RYU53" s="37"/>
      <c r="RYV53" s="37"/>
      <c r="RYW53" s="37"/>
      <c r="RYX53" s="37"/>
      <c r="RYY53" s="37"/>
      <c r="RYZ53" s="37"/>
      <c r="RZA53" s="37"/>
      <c r="RZB53" s="37"/>
      <c r="RZC53" s="37"/>
      <c r="RZD53" s="37"/>
      <c r="RZE53" s="37"/>
      <c r="RZF53" s="37"/>
      <c r="RZG53" s="37"/>
      <c r="RZH53" s="37"/>
      <c r="RZI53" s="37"/>
      <c r="RZJ53" s="37"/>
      <c r="RZK53" s="37"/>
      <c r="RZL53" s="37"/>
      <c r="RZM53" s="37"/>
      <c r="RZN53" s="37"/>
      <c r="RZO53" s="37"/>
      <c r="RZP53" s="37"/>
      <c r="RZQ53" s="37"/>
      <c r="RZR53" s="37"/>
      <c r="RZS53" s="37"/>
      <c r="RZT53" s="37"/>
      <c r="RZU53" s="37"/>
      <c r="RZV53" s="37"/>
      <c r="RZW53" s="37"/>
      <c r="RZX53" s="37"/>
      <c r="RZY53" s="37"/>
      <c r="RZZ53" s="37"/>
      <c r="SAA53" s="37"/>
      <c r="SAB53" s="37"/>
      <c r="SAC53" s="37"/>
      <c r="SAD53" s="37"/>
      <c r="SAE53" s="37"/>
      <c r="SAF53" s="37"/>
      <c r="SAG53" s="37"/>
      <c r="SAH53" s="37"/>
      <c r="SAI53" s="37"/>
      <c r="SAJ53" s="37"/>
      <c r="SAK53" s="37"/>
      <c r="SAL53" s="37"/>
      <c r="SAM53" s="37"/>
      <c r="SAN53" s="37"/>
      <c r="SAO53" s="37"/>
      <c r="SAP53" s="37"/>
      <c r="SAQ53" s="37"/>
      <c r="SAR53" s="37"/>
      <c r="SAS53" s="37"/>
      <c r="SAT53" s="37"/>
      <c r="SAU53" s="37"/>
      <c r="SAV53" s="37"/>
      <c r="SAW53" s="37"/>
      <c r="SAX53" s="37"/>
      <c r="SAY53" s="37"/>
      <c r="SAZ53" s="37"/>
      <c r="SBA53" s="37"/>
      <c r="SBB53" s="37"/>
      <c r="SBC53" s="37"/>
      <c r="SBD53" s="37"/>
      <c r="SBE53" s="37"/>
      <c r="SBF53" s="37"/>
      <c r="SBG53" s="37"/>
      <c r="SBH53" s="37"/>
      <c r="SBI53" s="37"/>
      <c r="SBJ53" s="37"/>
      <c r="SBK53" s="37"/>
      <c r="SBL53" s="37"/>
      <c r="SBM53" s="37"/>
      <c r="SBN53" s="37"/>
      <c r="SBO53" s="37"/>
      <c r="SBP53" s="37"/>
      <c r="SBQ53" s="37"/>
      <c r="SBR53" s="37"/>
      <c r="SBS53" s="37"/>
      <c r="SBT53" s="37"/>
      <c r="SBU53" s="37"/>
      <c r="SBV53" s="37"/>
      <c r="SBW53" s="37"/>
      <c r="SBX53" s="37"/>
      <c r="SBY53" s="37"/>
      <c r="SBZ53" s="37"/>
      <c r="SCA53" s="37"/>
      <c r="SCB53" s="37"/>
      <c r="SCC53" s="37"/>
      <c r="SCD53" s="37"/>
      <c r="SCE53" s="37"/>
      <c r="SCF53" s="37"/>
      <c r="SCG53" s="37"/>
      <c r="SCH53" s="37"/>
      <c r="SCI53" s="37"/>
      <c r="SCJ53" s="37"/>
      <c r="SCK53" s="37"/>
      <c r="SCL53" s="37"/>
      <c r="SCM53" s="37"/>
      <c r="SCN53" s="37"/>
      <c r="SCO53" s="37"/>
      <c r="SCP53" s="37"/>
      <c r="SCQ53" s="37"/>
      <c r="SCR53" s="37"/>
      <c r="SCS53" s="37"/>
      <c r="SCT53" s="37"/>
      <c r="SCU53" s="37"/>
      <c r="SCV53" s="37"/>
      <c r="SCW53" s="37"/>
      <c r="SCX53" s="37"/>
      <c r="SCY53" s="37"/>
      <c r="SCZ53" s="37"/>
      <c r="SDA53" s="37"/>
      <c r="SDB53" s="37"/>
      <c r="SDC53" s="37"/>
      <c r="SDD53" s="37"/>
      <c r="SDE53" s="37"/>
      <c r="SDF53" s="37"/>
      <c r="SDG53" s="37"/>
      <c r="SDH53" s="37"/>
      <c r="SDI53" s="37"/>
      <c r="SDJ53" s="37"/>
      <c r="SDK53" s="37"/>
      <c r="SDL53" s="37"/>
      <c r="SDM53" s="37"/>
      <c r="SDN53" s="37"/>
      <c r="SDO53" s="37"/>
      <c r="SDP53" s="37"/>
      <c r="SDQ53" s="37"/>
      <c r="SDR53" s="37"/>
      <c r="SDS53" s="37"/>
      <c r="SDT53" s="37"/>
      <c r="SDU53" s="37"/>
      <c r="SDV53" s="37"/>
      <c r="SDW53" s="37"/>
      <c r="SDX53" s="37"/>
      <c r="SDY53" s="37"/>
      <c r="SDZ53" s="37"/>
      <c r="SEA53" s="37"/>
      <c r="SEB53" s="37"/>
      <c r="SEC53" s="37"/>
      <c r="SED53" s="37"/>
      <c r="SEE53" s="37"/>
      <c r="SEF53" s="37"/>
      <c r="SEG53" s="37"/>
      <c r="SEH53" s="37"/>
      <c r="SEI53" s="37"/>
      <c r="SEJ53" s="37"/>
      <c r="SEK53" s="37"/>
      <c r="SEL53" s="37"/>
      <c r="SEM53" s="37"/>
      <c r="SEN53" s="37"/>
      <c r="SEO53" s="37"/>
      <c r="SEP53" s="37"/>
      <c r="SEQ53" s="37"/>
      <c r="SER53" s="37"/>
      <c r="SES53" s="37"/>
      <c r="SET53" s="37"/>
      <c r="SEU53" s="37"/>
      <c r="SEV53" s="37"/>
      <c r="SEW53" s="37"/>
      <c r="SEX53" s="37"/>
      <c r="SEY53" s="37"/>
      <c r="SEZ53" s="37"/>
      <c r="SFA53" s="37"/>
      <c r="SFB53" s="37"/>
      <c r="SFC53" s="37"/>
      <c r="SFD53" s="37"/>
      <c r="SFE53" s="37"/>
      <c r="SFF53" s="37"/>
      <c r="SFG53" s="37"/>
      <c r="SFH53" s="37"/>
      <c r="SFI53" s="37"/>
      <c r="SFJ53" s="37"/>
      <c r="SFK53" s="37"/>
      <c r="SFL53" s="37"/>
      <c r="SFM53" s="37"/>
      <c r="SFN53" s="37"/>
      <c r="SFO53" s="37"/>
      <c r="SFP53" s="37"/>
      <c r="SFQ53" s="37"/>
      <c r="SFR53" s="37"/>
      <c r="SFS53" s="37"/>
      <c r="SFT53" s="37"/>
      <c r="SFU53" s="37"/>
      <c r="SFV53" s="37"/>
      <c r="SFW53" s="37"/>
      <c r="SFX53" s="37"/>
      <c r="SFY53" s="37"/>
      <c r="SFZ53" s="37"/>
      <c r="SGA53" s="37"/>
      <c r="SGB53" s="37"/>
      <c r="SGC53" s="37"/>
      <c r="SGD53" s="37"/>
      <c r="SGE53" s="37"/>
      <c r="SGF53" s="37"/>
      <c r="SGG53" s="37"/>
      <c r="SGH53" s="37"/>
      <c r="SGI53" s="37"/>
      <c r="SGJ53" s="37"/>
      <c r="SGK53" s="37"/>
      <c r="SGL53" s="37"/>
      <c r="SGM53" s="37"/>
      <c r="SGN53" s="37"/>
      <c r="SGO53" s="37"/>
      <c r="SGP53" s="37"/>
      <c r="SGQ53" s="37"/>
      <c r="SGR53" s="37"/>
      <c r="SGS53" s="37"/>
      <c r="SGT53" s="37"/>
      <c r="SGU53" s="37"/>
      <c r="SGV53" s="37"/>
      <c r="SGW53" s="37"/>
      <c r="SGX53" s="37"/>
      <c r="SGY53" s="37"/>
      <c r="SGZ53" s="37"/>
      <c r="SHA53" s="37"/>
      <c r="SHB53" s="37"/>
      <c r="SHC53" s="37"/>
      <c r="SHD53" s="37"/>
      <c r="SHE53" s="37"/>
      <c r="SHF53" s="37"/>
      <c r="SHG53" s="37"/>
      <c r="SHH53" s="37"/>
      <c r="SHI53" s="37"/>
      <c r="SHJ53" s="37"/>
      <c r="SHK53" s="37"/>
      <c r="SHL53" s="37"/>
      <c r="SHM53" s="37"/>
      <c r="SHN53" s="37"/>
      <c r="SHO53" s="37"/>
      <c r="SHP53" s="37"/>
      <c r="SHQ53" s="37"/>
      <c r="SHR53" s="37"/>
      <c r="SHS53" s="37"/>
      <c r="SHT53" s="37"/>
      <c r="SHU53" s="37"/>
      <c r="SHV53" s="37"/>
      <c r="SHW53" s="37"/>
      <c r="SHX53" s="37"/>
      <c r="SHY53" s="37"/>
      <c r="SHZ53" s="37"/>
      <c r="SIA53" s="37"/>
      <c r="SIB53" s="37"/>
      <c r="SIC53" s="37"/>
      <c r="SID53" s="37"/>
      <c r="SIE53" s="37"/>
      <c r="SIF53" s="37"/>
      <c r="SIG53" s="37"/>
      <c r="SIH53" s="37"/>
      <c r="SII53" s="37"/>
      <c r="SIJ53" s="37"/>
      <c r="SIK53" s="37"/>
      <c r="SIL53" s="37"/>
      <c r="SIM53" s="37"/>
      <c r="SIN53" s="37"/>
      <c r="SIO53" s="37"/>
      <c r="SIP53" s="37"/>
      <c r="SIQ53" s="37"/>
      <c r="SIR53" s="37"/>
      <c r="SIS53" s="37"/>
      <c r="SIT53" s="37"/>
      <c r="SIU53" s="37"/>
      <c r="SIV53" s="37"/>
      <c r="SIW53" s="37"/>
      <c r="SIX53" s="37"/>
      <c r="SIY53" s="37"/>
      <c r="SIZ53" s="37"/>
      <c r="SJA53" s="37"/>
      <c r="SJB53" s="37"/>
      <c r="SJC53" s="37"/>
      <c r="SJD53" s="37"/>
      <c r="SJE53" s="37"/>
      <c r="SJF53" s="37"/>
      <c r="SJG53" s="37"/>
      <c r="SJH53" s="37"/>
      <c r="SJI53" s="37"/>
      <c r="SJJ53" s="37"/>
      <c r="SJK53" s="37"/>
      <c r="SJL53" s="37"/>
      <c r="SJM53" s="37"/>
      <c r="SJN53" s="37"/>
      <c r="SJO53" s="37"/>
      <c r="SJP53" s="37"/>
      <c r="SJQ53" s="37"/>
      <c r="SJR53" s="37"/>
      <c r="SJS53" s="37"/>
      <c r="SJT53" s="37"/>
      <c r="SJU53" s="37"/>
      <c r="SJV53" s="37"/>
      <c r="SJW53" s="37"/>
      <c r="SJX53" s="37"/>
      <c r="SJY53" s="37"/>
      <c r="SJZ53" s="37"/>
      <c r="SKA53" s="37"/>
      <c r="SKB53" s="37"/>
      <c r="SKC53" s="37"/>
      <c r="SKD53" s="37"/>
      <c r="SKE53" s="37"/>
      <c r="SKF53" s="37"/>
      <c r="SKG53" s="37"/>
      <c r="SKH53" s="37"/>
      <c r="SKI53" s="37"/>
      <c r="SKJ53" s="37"/>
      <c r="SKK53" s="37"/>
      <c r="SKL53" s="37"/>
      <c r="SKM53" s="37"/>
      <c r="SKN53" s="37"/>
      <c r="SKO53" s="37"/>
      <c r="SKP53" s="37"/>
      <c r="SKQ53" s="37"/>
      <c r="SKR53" s="37"/>
      <c r="SKS53" s="37"/>
      <c r="SKT53" s="37"/>
      <c r="SKU53" s="37"/>
      <c r="SKV53" s="37"/>
      <c r="SKW53" s="37"/>
      <c r="SKX53" s="37"/>
      <c r="SKY53" s="37"/>
      <c r="SKZ53" s="37"/>
      <c r="SLA53" s="37"/>
      <c r="SLB53" s="37"/>
      <c r="SLC53" s="37"/>
      <c r="SLD53" s="37"/>
      <c r="SLE53" s="37"/>
      <c r="SLF53" s="37"/>
      <c r="SLG53" s="37"/>
      <c r="SLH53" s="37"/>
      <c r="SLI53" s="37"/>
      <c r="SLJ53" s="37"/>
      <c r="SLK53" s="37"/>
      <c r="SLL53" s="37"/>
      <c r="SLM53" s="37"/>
      <c r="SLN53" s="37"/>
      <c r="SLO53" s="37"/>
      <c r="SLP53" s="37"/>
      <c r="SLQ53" s="37"/>
      <c r="SLR53" s="37"/>
      <c r="SLS53" s="37"/>
      <c r="SLT53" s="37"/>
      <c r="SLU53" s="37"/>
      <c r="SLV53" s="37"/>
      <c r="SLW53" s="37"/>
      <c r="SLX53" s="37"/>
      <c r="SLY53" s="37"/>
      <c r="SLZ53" s="37"/>
      <c r="SMA53" s="37"/>
      <c r="SMB53" s="37"/>
      <c r="SMC53" s="37"/>
      <c r="SMD53" s="37"/>
      <c r="SME53" s="37"/>
      <c r="SMF53" s="37"/>
      <c r="SMG53" s="37"/>
      <c r="SMH53" s="37"/>
      <c r="SMI53" s="37"/>
      <c r="SMJ53" s="37"/>
      <c r="SMK53" s="37"/>
      <c r="SML53" s="37"/>
      <c r="SMM53" s="37"/>
      <c r="SMN53" s="37"/>
      <c r="SMO53" s="37"/>
      <c r="SMP53" s="37"/>
      <c r="SMQ53" s="37"/>
      <c r="SMR53" s="37"/>
      <c r="SMS53" s="37"/>
      <c r="SMT53" s="37"/>
      <c r="SMU53" s="37"/>
      <c r="SMV53" s="37"/>
      <c r="SMW53" s="37"/>
      <c r="SMX53" s="37"/>
      <c r="SMY53" s="37"/>
      <c r="SMZ53" s="37"/>
      <c r="SNA53" s="37"/>
      <c r="SNB53" s="37"/>
      <c r="SNC53" s="37"/>
      <c r="SND53" s="37"/>
      <c r="SNE53" s="37"/>
      <c r="SNF53" s="37"/>
      <c r="SNG53" s="37"/>
      <c r="SNH53" s="37"/>
      <c r="SNI53" s="37"/>
      <c r="SNJ53" s="37"/>
      <c r="SNK53" s="37"/>
      <c r="SNL53" s="37"/>
      <c r="SNM53" s="37"/>
      <c r="SNN53" s="37"/>
      <c r="SNO53" s="37"/>
      <c r="SNP53" s="37"/>
      <c r="SNQ53" s="37"/>
      <c r="SNR53" s="37"/>
      <c r="SNS53" s="37"/>
      <c r="SNT53" s="37"/>
      <c r="SNU53" s="37"/>
      <c r="SNV53" s="37"/>
      <c r="SNW53" s="37"/>
      <c r="SNX53" s="37"/>
      <c r="SNY53" s="37"/>
      <c r="SNZ53" s="37"/>
      <c r="SOA53" s="37"/>
      <c r="SOB53" s="37"/>
      <c r="SOC53" s="37"/>
      <c r="SOD53" s="37"/>
      <c r="SOE53" s="37"/>
      <c r="SOF53" s="37"/>
      <c r="SOG53" s="37"/>
      <c r="SOH53" s="37"/>
      <c r="SOI53" s="37"/>
      <c r="SOJ53" s="37"/>
      <c r="SOK53" s="37"/>
      <c r="SOL53" s="37"/>
      <c r="SOM53" s="37"/>
      <c r="SON53" s="37"/>
      <c r="SOO53" s="37"/>
      <c r="SOP53" s="37"/>
      <c r="SOQ53" s="37"/>
      <c r="SOR53" s="37"/>
      <c r="SOS53" s="37"/>
      <c r="SOT53" s="37"/>
      <c r="SOU53" s="37"/>
      <c r="SOV53" s="37"/>
      <c r="SOW53" s="37"/>
      <c r="SOX53" s="37"/>
      <c r="SOY53" s="37"/>
      <c r="SOZ53" s="37"/>
      <c r="SPA53" s="37"/>
      <c r="SPB53" s="37"/>
      <c r="SPC53" s="37"/>
      <c r="SPD53" s="37"/>
      <c r="SPE53" s="37"/>
      <c r="SPF53" s="37"/>
      <c r="SPG53" s="37"/>
      <c r="SPH53" s="37"/>
      <c r="SPI53" s="37"/>
      <c r="SPJ53" s="37"/>
      <c r="SPK53" s="37"/>
      <c r="SPL53" s="37"/>
      <c r="SPM53" s="37"/>
      <c r="SPN53" s="37"/>
      <c r="SPO53" s="37"/>
      <c r="SPP53" s="37"/>
      <c r="SPQ53" s="37"/>
      <c r="SPR53" s="37"/>
      <c r="SPS53" s="37"/>
      <c r="SPT53" s="37"/>
      <c r="SPU53" s="37"/>
      <c r="SPV53" s="37"/>
      <c r="SPW53" s="37"/>
      <c r="SPX53" s="37"/>
      <c r="SPY53" s="37"/>
      <c r="SPZ53" s="37"/>
      <c r="SQA53" s="37"/>
      <c r="SQB53" s="37"/>
      <c r="SQC53" s="37"/>
      <c r="SQD53" s="37"/>
      <c r="SQE53" s="37"/>
      <c r="SQF53" s="37"/>
      <c r="SQG53" s="37"/>
      <c r="SQH53" s="37"/>
      <c r="SQI53" s="37"/>
      <c r="SQJ53" s="37"/>
      <c r="SQK53" s="37"/>
      <c r="SQL53" s="37"/>
      <c r="SQM53" s="37"/>
      <c r="SQN53" s="37"/>
      <c r="SQO53" s="37"/>
      <c r="SQP53" s="37"/>
      <c r="SQQ53" s="37"/>
      <c r="SQR53" s="37"/>
      <c r="SQS53" s="37"/>
      <c r="SQT53" s="37"/>
      <c r="SQU53" s="37"/>
      <c r="SQV53" s="37"/>
      <c r="SQW53" s="37"/>
      <c r="SQX53" s="37"/>
      <c r="SQY53" s="37"/>
      <c r="SQZ53" s="37"/>
      <c r="SRA53" s="37"/>
      <c r="SRB53" s="37"/>
      <c r="SRC53" s="37"/>
      <c r="SRD53" s="37"/>
      <c r="SRE53" s="37"/>
      <c r="SRF53" s="37"/>
      <c r="SRG53" s="37"/>
      <c r="SRH53" s="37"/>
      <c r="SRI53" s="37"/>
      <c r="SRJ53" s="37"/>
      <c r="SRK53" s="37"/>
      <c r="SRL53" s="37"/>
      <c r="SRM53" s="37"/>
      <c r="SRN53" s="37"/>
      <c r="SRO53" s="37"/>
      <c r="SRP53" s="37"/>
      <c r="SRQ53" s="37"/>
      <c r="SRR53" s="37"/>
      <c r="SRS53" s="37"/>
      <c r="SRT53" s="37"/>
      <c r="SRU53" s="37"/>
      <c r="SRV53" s="37"/>
      <c r="SRW53" s="37"/>
      <c r="SRX53" s="37"/>
      <c r="SRY53" s="37"/>
      <c r="SRZ53" s="37"/>
      <c r="SSA53" s="37"/>
      <c r="SSB53" s="37"/>
      <c r="SSC53" s="37"/>
      <c r="SSD53" s="37"/>
      <c r="SSE53" s="37"/>
      <c r="SSF53" s="37"/>
      <c r="SSG53" s="37"/>
      <c r="SSH53" s="37"/>
      <c r="SSI53" s="37"/>
      <c r="SSJ53" s="37"/>
      <c r="SSK53" s="37"/>
      <c r="SSL53" s="37"/>
      <c r="SSM53" s="37"/>
      <c r="SSN53" s="37"/>
      <c r="SSO53" s="37"/>
      <c r="SSP53" s="37"/>
      <c r="SSQ53" s="37"/>
      <c r="SSR53" s="37"/>
      <c r="SSS53" s="37"/>
      <c r="SST53" s="37"/>
      <c r="SSU53" s="37"/>
      <c r="SSV53" s="37"/>
      <c r="SSW53" s="37"/>
      <c r="SSX53" s="37"/>
      <c r="SSY53" s="37"/>
      <c r="SSZ53" s="37"/>
      <c r="STA53" s="37"/>
      <c r="STB53" s="37"/>
      <c r="STC53" s="37"/>
      <c r="STD53" s="37"/>
      <c r="STE53" s="37"/>
      <c r="STF53" s="37"/>
      <c r="STG53" s="37"/>
      <c r="STH53" s="37"/>
      <c r="STI53" s="37"/>
      <c r="STJ53" s="37"/>
      <c r="STK53" s="37"/>
      <c r="STL53" s="37"/>
      <c r="STM53" s="37"/>
      <c r="STN53" s="37"/>
      <c r="STO53" s="37"/>
      <c r="STP53" s="37"/>
      <c r="STQ53" s="37"/>
      <c r="STR53" s="37"/>
      <c r="STS53" s="37"/>
      <c r="STT53" s="37"/>
      <c r="STU53" s="37"/>
      <c r="STV53" s="37"/>
      <c r="STW53" s="37"/>
      <c r="STX53" s="37"/>
      <c r="STY53" s="37"/>
      <c r="STZ53" s="37"/>
      <c r="SUA53" s="37"/>
      <c r="SUB53" s="37"/>
      <c r="SUC53" s="37"/>
      <c r="SUD53" s="37"/>
      <c r="SUE53" s="37"/>
      <c r="SUF53" s="37"/>
      <c r="SUG53" s="37"/>
      <c r="SUH53" s="37"/>
      <c r="SUI53" s="37"/>
      <c r="SUJ53" s="37"/>
      <c r="SUK53" s="37"/>
      <c r="SUL53" s="37"/>
      <c r="SUM53" s="37"/>
      <c r="SUN53" s="37"/>
      <c r="SUO53" s="37"/>
      <c r="SUP53" s="37"/>
      <c r="SUQ53" s="37"/>
      <c r="SUR53" s="37"/>
      <c r="SUS53" s="37"/>
      <c r="SUT53" s="37"/>
      <c r="SUU53" s="37"/>
      <c r="SUV53" s="37"/>
      <c r="SUW53" s="37"/>
      <c r="SUX53" s="37"/>
      <c r="SUY53" s="37"/>
      <c r="SUZ53" s="37"/>
      <c r="SVA53" s="37"/>
      <c r="SVB53" s="37"/>
      <c r="SVC53" s="37"/>
      <c r="SVD53" s="37"/>
      <c r="SVE53" s="37"/>
      <c r="SVF53" s="37"/>
      <c r="SVG53" s="37"/>
      <c r="SVH53" s="37"/>
      <c r="SVI53" s="37"/>
      <c r="SVJ53" s="37"/>
      <c r="SVK53" s="37"/>
      <c r="SVL53" s="37"/>
      <c r="SVM53" s="37"/>
      <c r="SVN53" s="37"/>
      <c r="SVO53" s="37"/>
      <c r="SVP53" s="37"/>
      <c r="SVQ53" s="37"/>
      <c r="SVR53" s="37"/>
      <c r="SVS53" s="37"/>
      <c r="SVT53" s="37"/>
      <c r="SVU53" s="37"/>
      <c r="SVV53" s="37"/>
      <c r="SVW53" s="37"/>
      <c r="SVX53" s="37"/>
      <c r="SVY53" s="37"/>
      <c r="SVZ53" s="37"/>
      <c r="SWA53" s="37"/>
      <c r="SWB53" s="37"/>
      <c r="SWC53" s="37"/>
      <c r="SWD53" s="37"/>
      <c r="SWE53" s="37"/>
      <c r="SWF53" s="37"/>
      <c r="SWG53" s="37"/>
      <c r="SWH53" s="37"/>
      <c r="SWI53" s="37"/>
      <c r="SWJ53" s="37"/>
      <c r="SWK53" s="37"/>
      <c r="SWL53" s="37"/>
      <c r="SWM53" s="37"/>
      <c r="SWN53" s="37"/>
      <c r="SWO53" s="37"/>
      <c r="SWP53" s="37"/>
      <c r="SWQ53" s="37"/>
      <c r="SWR53" s="37"/>
      <c r="SWS53" s="37"/>
      <c r="SWT53" s="37"/>
      <c r="SWU53" s="37"/>
      <c r="SWV53" s="37"/>
      <c r="SWW53" s="37"/>
      <c r="SWX53" s="37"/>
      <c r="SWY53" s="37"/>
      <c r="SWZ53" s="37"/>
      <c r="SXA53" s="37"/>
      <c r="SXB53" s="37"/>
      <c r="SXC53" s="37"/>
      <c r="SXD53" s="37"/>
      <c r="SXE53" s="37"/>
      <c r="SXF53" s="37"/>
      <c r="SXG53" s="37"/>
      <c r="SXH53" s="37"/>
      <c r="SXI53" s="37"/>
      <c r="SXJ53" s="37"/>
      <c r="SXK53" s="37"/>
      <c r="SXL53" s="37"/>
      <c r="SXM53" s="37"/>
      <c r="SXN53" s="37"/>
      <c r="SXO53" s="37"/>
      <c r="SXP53" s="37"/>
      <c r="SXQ53" s="37"/>
      <c r="SXR53" s="37"/>
      <c r="SXS53" s="37"/>
      <c r="SXT53" s="37"/>
      <c r="SXU53" s="37"/>
      <c r="SXV53" s="37"/>
      <c r="SXW53" s="37"/>
      <c r="SXX53" s="37"/>
      <c r="SXY53" s="37"/>
      <c r="SXZ53" s="37"/>
      <c r="SYA53" s="37"/>
      <c r="SYB53" s="37"/>
      <c r="SYC53" s="37"/>
      <c r="SYD53" s="37"/>
      <c r="SYE53" s="37"/>
      <c r="SYF53" s="37"/>
      <c r="SYG53" s="37"/>
      <c r="SYH53" s="37"/>
      <c r="SYI53" s="37"/>
      <c r="SYJ53" s="37"/>
      <c r="SYK53" s="37"/>
      <c r="SYL53" s="37"/>
      <c r="SYM53" s="37"/>
      <c r="SYN53" s="37"/>
      <c r="SYO53" s="37"/>
      <c r="SYP53" s="37"/>
      <c r="SYQ53" s="37"/>
      <c r="SYR53" s="37"/>
      <c r="SYS53" s="37"/>
      <c r="SYT53" s="37"/>
      <c r="SYU53" s="37"/>
      <c r="SYV53" s="37"/>
      <c r="SYW53" s="37"/>
      <c r="SYX53" s="37"/>
      <c r="SYY53" s="37"/>
      <c r="SYZ53" s="37"/>
      <c r="SZA53" s="37"/>
      <c r="SZB53" s="37"/>
      <c r="SZC53" s="37"/>
      <c r="SZD53" s="37"/>
      <c r="SZE53" s="37"/>
      <c r="SZF53" s="37"/>
      <c r="SZG53" s="37"/>
      <c r="SZH53" s="37"/>
      <c r="SZI53" s="37"/>
      <c r="SZJ53" s="37"/>
      <c r="SZK53" s="37"/>
      <c r="SZL53" s="37"/>
      <c r="SZM53" s="37"/>
      <c r="SZN53" s="37"/>
      <c r="SZO53" s="37"/>
      <c r="SZP53" s="37"/>
      <c r="SZQ53" s="37"/>
      <c r="SZR53" s="37"/>
      <c r="SZS53" s="37"/>
      <c r="SZT53" s="37"/>
      <c r="SZU53" s="37"/>
      <c r="SZV53" s="37"/>
      <c r="SZW53" s="37"/>
      <c r="SZX53" s="37"/>
      <c r="SZY53" s="37"/>
      <c r="SZZ53" s="37"/>
      <c r="TAA53" s="37"/>
      <c r="TAB53" s="37"/>
      <c r="TAC53" s="37"/>
      <c r="TAD53" s="37"/>
      <c r="TAE53" s="37"/>
      <c r="TAF53" s="37"/>
      <c r="TAG53" s="37"/>
      <c r="TAH53" s="37"/>
      <c r="TAI53" s="37"/>
      <c r="TAJ53" s="37"/>
      <c r="TAK53" s="37"/>
      <c r="TAL53" s="37"/>
      <c r="TAM53" s="37"/>
      <c r="TAN53" s="37"/>
      <c r="TAO53" s="37"/>
      <c r="TAP53" s="37"/>
      <c r="TAQ53" s="37"/>
      <c r="TAR53" s="37"/>
      <c r="TAS53" s="37"/>
      <c r="TAT53" s="37"/>
      <c r="TAU53" s="37"/>
      <c r="TAV53" s="37"/>
      <c r="TAW53" s="37"/>
      <c r="TAX53" s="37"/>
      <c r="TAY53" s="37"/>
      <c r="TAZ53" s="37"/>
      <c r="TBA53" s="37"/>
      <c r="TBB53" s="37"/>
      <c r="TBC53" s="37"/>
      <c r="TBD53" s="37"/>
      <c r="TBE53" s="37"/>
      <c r="TBF53" s="37"/>
      <c r="TBG53" s="37"/>
      <c r="TBH53" s="37"/>
      <c r="TBI53" s="37"/>
      <c r="TBJ53" s="37"/>
      <c r="TBK53" s="37"/>
      <c r="TBL53" s="37"/>
      <c r="TBM53" s="37"/>
      <c r="TBN53" s="37"/>
      <c r="TBO53" s="37"/>
      <c r="TBP53" s="37"/>
      <c r="TBQ53" s="37"/>
      <c r="TBR53" s="37"/>
      <c r="TBS53" s="37"/>
      <c r="TBT53" s="37"/>
      <c r="TBU53" s="37"/>
      <c r="TBV53" s="37"/>
      <c r="TBW53" s="37"/>
      <c r="TBX53" s="37"/>
      <c r="TBY53" s="37"/>
      <c r="TBZ53" s="37"/>
      <c r="TCA53" s="37"/>
      <c r="TCB53" s="37"/>
      <c r="TCC53" s="37"/>
      <c r="TCD53" s="37"/>
      <c r="TCE53" s="37"/>
      <c r="TCF53" s="37"/>
      <c r="TCG53" s="37"/>
      <c r="TCH53" s="37"/>
      <c r="TCI53" s="37"/>
      <c r="TCJ53" s="37"/>
      <c r="TCK53" s="37"/>
      <c r="TCL53" s="37"/>
      <c r="TCM53" s="37"/>
      <c r="TCN53" s="37"/>
      <c r="TCO53" s="37"/>
      <c r="TCP53" s="37"/>
      <c r="TCQ53" s="37"/>
      <c r="TCR53" s="37"/>
      <c r="TCS53" s="37"/>
      <c r="TCT53" s="37"/>
      <c r="TCU53" s="37"/>
      <c r="TCV53" s="37"/>
      <c r="TCW53" s="37"/>
      <c r="TCX53" s="37"/>
      <c r="TCY53" s="37"/>
      <c r="TCZ53" s="37"/>
      <c r="TDA53" s="37"/>
      <c r="TDB53" s="37"/>
      <c r="TDC53" s="37"/>
      <c r="TDD53" s="37"/>
      <c r="TDE53" s="37"/>
      <c r="TDF53" s="37"/>
      <c r="TDG53" s="37"/>
      <c r="TDH53" s="37"/>
      <c r="TDI53" s="37"/>
      <c r="TDJ53" s="37"/>
      <c r="TDK53" s="37"/>
      <c r="TDL53" s="37"/>
      <c r="TDM53" s="37"/>
      <c r="TDN53" s="37"/>
      <c r="TDO53" s="37"/>
      <c r="TDP53" s="37"/>
      <c r="TDQ53" s="37"/>
      <c r="TDR53" s="37"/>
      <c r="TDS53" s="37"/>
      <c r="TDT53" s="37"/>
      <c r="TDU53" s="37"/>
      <c r="TDV53" s="37"/>
      <c r="TDW53" s="37"/>
      <c r="TDX53" s="37"/>
      <c r="TDY53" s="37"/>
      <c r="TDZ53" s="37"/>
      <c r="TEA53" s="37"/>
      <c r="TEB53" s="37"/>
      <c r="TEC53" s="37"/>
      <c r="TED53" s="37"/>
      <c r="TEE53" s="37"/>
      <c r="TEF53" s="37"/>
      <c r="TEG53" s="37"/>
      <c r="TEH53" s="37"/>
      <c r="TEI53" s="37"/>
      <c r="TEJ53" s="37"/>
      <c r="TEK53" s="37"/>
      <c r="TEL53" s="37"/>
      <c r="TEM53" s="37"/>
      <c r="TEN53" s="37"/>
      <c r="TEO53" s="37"/>
      <c r="TEP53" s="37"/>
      <c r="TEQ53" s="37"/>
      <c r="TER53" s="37"/>
      <c r="TES53" s="37"/>
      <c r="TET53" s="37"/>
      <c r="TEU53" s="37"/>
      <c r="TEV53" s="37"/>
      <c r="TEW53" s="37"/>
      <c r="TEX53" s="37"/>
      <c r="TEY53" s="37"/>
      <c r="TEZ53" s="37"/>
      <c r="TFA53" s="37"/>
      <c r="TFB53" s="37"/>
      <c r="TFC53" s="37"/>
      <c r="TFD53" s="37"/>
      <c r="TFE53" s="37"/>
      <c r="TFF53" s="37"/>
      <c r="TFG53" s="37"/>
      <c r="TFH53" s="37"/>
      <c r="TFI53" s="37"/>
      <c r="TFJ53" s="37"/>
      <c r="TFK53" s="37"/>
      <c r="TFL53" s="37"/>
      <c r="TFM53" s="37"/>
      <c r="TFN53" s="37"/>
      <c r="TFO53" s="37"/>
      <c r="TFP53" s="37"/>
      <c r="TFQ53" s="37"/>
      <c r="TFR53" s="37"/>
      <c r="TFS53" s="37"/>
      <c r="TFT53" s="37"/>
      <c r="TFU53" s="37"/>
      <c r="TFV53" s="37"/>
      <c r="TFW53" s="37"/>
      <c r="TFX53" s="37"/>
      <c r="TFY53" s="37"/>
      <c r="TFZ53" s="37"/>
      <c r="TGA53" s="37"/>
      <c r="TGB53" s="37"/>
      <c r="TGC53" s="37"/>
      <c r="TGD53" s="37"/>
      <c r="TGE53" s="37"/>
      <c r="TGF53" s="37"/>
      <c r="TGG53" s="37"/>
      <c r="TGH53" s="37"/>
      <c r="TGI53" s="37"/>
      <c r="TGJ53" s="37"/>
      <c r="TGK53" s="37"/>
      <c r="TGL53" s="37"/>
      <c r="TGM53" s="37"/>
      <c r="TGN53" s="37"/>
      <c r="TGO53" s="37"/>
      <c r="TGP53" s="37"/>
      <c r="TGQ53" s="37"/>
      <c r="TGR53" s="37"/>
      <c r="TGS53" s="37"/>
      <c r="TGT53" s="37"/>
      <c r="TGU53" s="37"/>
      <c r="TGV53" s="37"/>
      <c r="TGW53" s="37"/>
      <c r="TGX53" s="37"/>
      <c r="TGY53" s="37"/>
      <c r="TGZ53" s="37"/>
      <c r="THA53" s="37"/>
      <c r="THB53" s="37"/>
      <c r="THC53" s="37"/>
      <c r="THD53" s="37"/>
      <c r="THE53" s="37"/>
      <c r="THF53" s="37"/>
      <c r="THG53" s="37"/>
      <c r="THH53" s="37"/>
      <c r="THI53" s="37"/>
      <c r="THJ53" s="37"/>
      <c r="THK53" s="37"/>
      <c r="THL53" s="37"/>
      <c r="THM53" s="37"/>
      <c r="THN53" s="37"/>
      <c r="THO53" s="37"/>
      <c r="THP53" s="37"/>
      <c r="THQ53" s="37"/>
      <c r="THR53" s="37"/>
      <c r="THS53" s="37"/>
      <c r="THT53" s="37"/>
      <c r="THU53" s="37"/>
      <c r="THV53" s="37"/>
      <c r="THW53" s="37"/>
      <c r="THX53" s="37"/>
      <c r="THY53" s="37"/>
      <c r="THZ53" s="37"/>
      <c r="TIA53" s="37"/>
      <c r="TIB53" s="37"/>
      <c r="TIC53" s="37"/>
      <c r="TID53" s="37"/>
      <c r="TIE53" s="37"/>
      <c r="TIF53" s="37"/>
      <c r="TIG53" s="37"/>
      <c r="TIH53" s="37"/>
      <c r="TII53" s="37"/>
      <c r="TIJ53" s="37"/>
      <c r="TIK53" s="37"/>
      <c r="TIL53" s="37"/>
      <c r="TIM53" s="37"/>
      <c r="TIN53" s="37"/>
      <c r="TIO53" s="37"/>
      <c r="TIP53" s="37"/>
      <c r="TIQ53" s="37"/>
      <c r="TIR53" s="37"/>
      <c r="TIS53" s="37"/>
      <c r="TIT53" s="37"/>
      <c r="TIU53" s="37"/>
      <c r="TIV53" s="37"/>
      <c r="TIW53" s="37"/>
      <c r="TIX53" s="37"/>
      <c r="TIY53" s="37"/>
      <c r="TIZ53" s="37"/>
      <c r="TJA53" s="37"/>
      <c r="TJB53" s="37"/>
      <c r="TJC53" s="37"/>
      <c r="TJD53" s="37"/>
      <c r="TJE53" s="37"/>
      <c r="TJF53" s="37"/>
      <c r="TJG53" s="37"/>
      <c r="TJH53" s="37"/>
      <c r="TJI53" s="37"/>
      <c r="TJJ53" s="37"/>
      <c r="TJK53" s="37"/>
      <c r="TJL53" s="37"/>
      <c r="TJM53" s="37"/>
      <c r="TJN53" s="37"/>
      <c r="TJO53" s="37"/>
      <c r="TJP53" s="37"/>
      <c r="TJQ53" s="37"/>
      <c r="TJR53" s="37"/>
      <c r="TJS53" s="37"/>
      <c r="TJT53" s="37"/>
      <c r="TJU53" s="37"/>
      <c r="TJV53" s="37"/>
      <c r="TJW53" s="37"/>
      <c r="TJX53" s="37"/>
      <c r="TJY53" s="37"/>
      <c r="TJZ53" s="37"/>
      <c r="TKA53" s="37"/>
      <c r="TKB53" s="37"/>
      <c r="TKC53" s="37"/>
      <c r="TKD53" s="37"/>
      <c r="TKE53" s="37"/>
      <c r="TKF53" s="37"/>
      <c r="TKG53" s="37"/>
      <c r="TKH53" s="37"/>
      <c r="TKI53" s="37"/>
      <c r="TKJ53" s="37"/>
      <c r="TKK53" s="37"/>
      <c r="TKL53" s="37"/>
      <c r="TKM53" s="37"/>
      <c r="TKN53" s="37"/>
      <c r="TKO53" s="37"/>
      <c r="TKP53" s="37"/>
      <c r="TKQ53" s="37"/>
      <c r="TKR53" s="37"/>
      <c r="TKS53" s="37"/>
      <c r="TKT53" s="37"/>
      <c r="TKU53" s="37"/>
      <c r="TKV53" s="37"/>
      <c r="TKW53" s="37"/>
      <c r="TKX53" s="37"/>
      <c r="TKY53" s="37"/>
      <c r="TKZ53" s="37"/>
      <c r="TLA53" s="37"/>
      <c r="TLB53" s="37"/>
      <c r="TLC53" s="37"/>
      <c r="TLD53" s="37"/>
      <c r="TLE53" s="37"/>
      <c r="TLF53" s="37"/>
      <c r="TLG53" s="37"/>
      <c r="TLH53" s="37"/>
      <c r="TLI53" s="37"/>
      <c r="TLJ53" s="37"/>
      <c r="TLK53" s="37"/>
      <c r="TLL53" s="37"/>
      <c r="TLM53" s="37"/>
      <c r="TLN53" s="37"/>
      <c r="TLO53" s="37"/>
      <c r="TLP53" s="37"/>
      <c r="TLQ53" s="37"/>
      <c r="TLR53" s="37"/>
      <c r="TLS53" s="37"/>
      <c r="TLT53" s="37"/>
      <c r="TLU53" s="37"/>
      <c r="TLV53" s="37"/>
      <c r="TLW53" s="37"/>
      <c r="TLX53" s="37"/>
      <c r="TLY53" s="37"/>
      <c r="TLZ53" s="37"/>
      <c r="TMA53" s="37"/>
      <c r="TMB53" s="37"/>
      <c r="TMC53" s="37"/>
      <c r="TMD53" s="37"/>
      <c r="TME53" s="37"/>
      <c r="TMF53" s="37"/>
      <c r="TMG53" s="37"/>
      <c r="TMH53" s="37"/>
      <c r="TMI53" s="37"/>
      <c r="TMJ53" s="37"/>
      <c r="TMK53" s="37"/>
      <c r="TML53" s="37"/>
      <c r="TMM53" s="37"/>
      <c r="TMN53" s="37"/>
      <c r="TMO53" s="37"/>
      <c r="TMP53" s="37"/>
      <c r="TMQ53" s="37"/>
      <c r="TMR53" s="37"/>
      <c r="TMS53" s="37"/>
      <c r="TMT53" s="37"/>
      <c r="TMU53" s="37"/>
      <c r="TMV53" s="37"/>
      <c r="TMW53" s="37"/>
      <c r="TMX53" s="37"/>
      <c r="TMY53" s="37"/>
      <c r="TMZ53" s="37"/>
      <c r="TNA53" s="37"/>
      <c r="TNB53" s="37"/>
      <c r="TNC53" s="37"/>
      <c r="TND53" s="37"/>
      <c r="TNE53" s="37"/>
      <c r="TNF53" s="37"/>
      <c r="TNG53" s="37"/>
      <c r="TNH53" s="37"/>
      <c r="TNI53" s="37"/>
      <c r="TNJ53" s="37"/>
      <c r="TNK53" s="37"/>
      <c r="TNL53" s="37"/>
      <c r="TNM53" s="37"/>
      <c r="TNN53" s="37"/>
      <c r="TNO53" s="37"/>
      <c r="TNP53" s="37"/>
      <c r="TNQ53" s="37"/>
      <c r="TNR53" s="37"/>
      <c r="TNS53" s="37"/>
      <c r="TNT53" s="37"/>
      <c r="TNU53" s="37"/>
      <c r="TNV53" s="37"/>
      <c r="TNW53" s="37"/>
      <c r="TNX53" s="37"/>
      <c r="TNY53" s="37"/>
      <c r="TNZ53" s="37"/>
      <c r="TOA53" s="37"/>
      <c r="TOB53" s="37"/>
      <c r="TOC53" s="37"/>
      <c r="TOD53" s="37"/>
      <c r="TOE53" s="37"/>
      <c r="TOF53" s="37"/>
      <c r="TOG53" s="37"/>
      <c r="TOH53" s="37"/>
      <c r="TOI53" s="37"/>
      <c r="TOJ53" s="37"/>
      <c r="TOK53" s="37"/>
      <c r="TOL53" s="37"/>
      <c r="TOM53" s="37"/>
      <c r="TON53" s="37"/>
      <c r="TOO53" s="37"/>
      <c r="TOP53" s="37"/>
      <c r="TOQ53" s="37"/>
      <c r="TOR53" s="37"/>
      <c r="TOS53" s="37"/>
      <c r="TOT53" s="37"/>
      <c r="TOU53" s="37"/>
      <c r="TOV53" s="37"/>
      <c r="TOW53" s="37"/>
      <c r="TOX53" s="37"/>
      <c r="TOY53" s="37"/>
      <c r="TOZ53" s="37"/>
      <c r="TPA53" s="37"/>
      <c r="TPB53" s="37"/>
      <c r="TPC53" s="37"/>
      <c r="TPD53" s="37"/>
      <c r="TPE53" s="37"/>
      <c r="TPF53" s="37"/>
      <c r="TPG53" s="37"/>
      <c r="TPH53" s="37"/>
      <c r="TPI53" s="37"/>
      <c r="TPJ53" s="37"/>
      <c r="TPK53" s="37"/>
      <c r="TPL53" s="37"/>
      <c r="TPM53" s="37"/>
      <c r="TPN53" s="37"/>
      <c r="TPO53" s="37"/>
      <c r="TPP53" s="37"/>
      <c r="TPQ53" s="37"/>
      <c r="TPR53" s="37"/>
      <c r="TPS53" s="37"/>
      <c r="TPT53" s="37"/>
      <c r="TPU53" s="37"/>
      <c r="TPV53" s="37"/>
      <c r="TPW53" s="37"/>
      <c r="TPX53" s="37"/>
      <c r="TPY53" s="37"/>
      <c r="TPZ53" s="37"/>
      <c r="TQA53" s="37"/>
      <c r="TQB53" s="37"/>
      <c r="TQC53" s="37"/>
      <c r="TQD53" s="37"/>
      <c r="TQE53" s="37"/>
      <c r="TQF53" s="37"/>
      <c r="TQG53" s="37"/>
      <c r="TQH53" s="37"/>
      <c r="TQI53" s="37"/>
      <c r="TQJ53" s="37"/>
      <c r="TQK53" s="37"/>
      <c r="TQL53" s="37"/>
      <c r="TQM53" s="37"/>
      <c r="TQN53" s="37"/>
      <c r="TQO53" s="37"/>
      <c r="TQP53" s="37"/>
      <c r="TQQ53" s="37"/>
      <c r="TQR53" s="37"/>
      <c r="TQS53" s="37"/>
      <c r="TQT53" s="37"/>
      <c r="TQU53" s="37"/>
      <c r="TQV53" s="37"/>
      <c r="TQW53" s="37"/>
      <c r="TQX53" s="37"/>
      <c r="TQY53" s="37"/>
      <c r="TQZ53" s="37"/>
      <c r="TRA53" s="37"/>
      <c r="TRB53" s="37"/>
      <c r="TRC53" s="37"/>
      <c r="TRD53" s="37"/>
      <c r="TRE53" s="37"/>
      <c r="TRF53" s="37"/>
      <c r="TRG53" s="37"/>
      <c r="TRH53" s="37"/>
      <c r="TRI53" s="37"/>
      <c r="TRJ53" s="37"/>
      <c r="TRK53" s="37"/>
      <c r="TRL53" s="37"/>
      <c r="TRM53" s="37"/>
      <c r="TRN53" s="37"/>
      <c r="TRO53" s="37"/>
      <c r="TRP53" s="37"/>
      <c r="TRQ53" s="37"/>
      <c r="TRR53" s="37"/>
      <c r="TRS53" s="37"/>
      <c r="TRT53" s="37"/>
      <c r="TRU53" s="37"/>
      <c r="TRV53" s="37"/>
      <c r="TRW53" s="37"/>
      <c r="TRX53" s="37"/>
      <c r="TRY53" s="37"/>
      <c r="TRZ53" s="37"/>
      <c r="TSA53" s="37"/>
      <c r="TSB53" s="37"/>
      <c r="TSC53" s="37"/>
      <c r="TSD53" s="37"/>
      <c r="TSE53" s="37"/>
      <c r="TSF53" s="37"/>
      <c r="TSG53" s="37"/>
      <c r="TSH53" s="37"/>
      <c r="TSI53" s="37"/>
      <c r="TSJ53" s="37"/>
      <c r="TSK53" s="37"/>
      <c r="TSL53" s="37"/>
      <c r="TSM53" s="37"/>
      <c r="TSN53" s="37"/>
      <c r="TSO53" s="37"/>
      <c r="TSP53" s="37"/>
      <c r="TSQ53" s="37"/>
      <c r="TSR53" s="37"/>
      <c r="TSS53" s="37"/>
      <c r="TST53" s="37"/>
      <c r="TSU53" s="37"/>
      <c r="TSV53" s="37"/>
      <c r="TSW53" s="37"/>
      <c r="TSX53" s="37"/>
      <c r="TSY53" s="37"/>
      <c r="TSZ53" s="37"/>
      <c r="TTA53" s="37"/>
      <c r="TTB53" s="37"/>
      <c r="TTC53" s="37"/>
      <c r="TTD53" s="37"/>
      <c r="TTE53" s="37"/>
      <c r="TTF53" s="37"/>
      <c r="TTG53" s="37"/>
      <c r="TTH53" s="37"/>
      <c r="TTI53" s="37"/>
      <c r="TTJ53" s="37"/>
      <c r="TTK53" s="37"/>
      <c r="TTL53" s="37"/>
      <c r="TTM53" s="37"/>
      <c r="TTN53" s="37"/>
      <c r="TTO53" s="37"/>
      <c r="TTP53" s="37"/>
      <c r="TTQ53" s="37"/>
      <c r="TTR53" s="37"/>
      <c r="TTS53" s="37"/>
      <c r="TTT53" s="37"/>
      <c r="TTU53" s="37"/>
      <c r="TTV53" s="37"/>
      <c r="TTW53" s="37"/>
      <c r="TTX53" s="37"/>
      <c r="TTY53" s="37"/>
      <c r="TTZ53" s="37"/>
      <c r="TUA53" s="37"/>
      <c r="TUB53" s="37"/>
      <c r="TUC53" s="37"/>
      <c r="TUD53" s="37"/>
      <c r="TUE53" s="37"/>
      <c r="TUF53" s="37"/>
      <c r="TUG53" s="37"/>
      <c r="TUH53" s="37"/>
      <c r="TUI53" s="37"/>
      <c r="TUJ53" s="37"/>
      <c r="TUK53" s="37"/>
      <c r="TUL53" s="37"/>
      <c r="TUM53" s="37"/>
      <c r="TUN53" s="37"/>
      <c r="TUO53" s="37"/>
      <c r="TUP53" s="37"/>
      <c r="TUQ53" s="37"/>
      <c r="TUR53" s="37"/>
      <c r="TUS53" s="37"/>
      <c r="TUT53" s="37"/>
      <c r="TUU53" s="37"/>
      <c r="TUV53" s="37"/>
      <c r="TUW53" s="37"/>
      <c r="TUX53" s="37"/>
      <c r="TUY53" s="37"/>
      <c r="TUZ53" s="37"/>
      <c r="TVA53" s="37"/>
      <c r="TVB53" s="37"/>
      <c r="TVC53" s="37"/>
      <c r="TVD53" s="37"/>
      <c r="TVE53" s="37"/>
      <c r="TVF53" s="37"/>
      <c r="TVG53" s="37"/>
      <c r="TVH53" s="37"/>
      <c r="TVI53" s="37"/>
      <c r="TVJ53" s="37"/>
      <c r="TVK53" s="37"/>
      <c r="TVL53" s="37"/>
      <c r="TVM53" s="37"/>
      <c r="TVN53" s="37"/>
      <c r="TVO53" s="37"/>
      <c r="TVP53" s="37"/>
      <c r="TVQ53" s="37"/>
      <c r="TVR53" s="37"/>
      <c r="TVS53" s="37"/>
      <c r="TVT53" s="37"/>
      <c r="TVU53" s="37"/>
      <c r="TVV53" s="37"/>
      <c r="TVW53" s="37"/>
      <c r="TVX53" s="37"/>
      <c r="TVY53" s="37"/>
      <c r="TVZ53" s="37"/>
      <c r="TWA53" s="37"/>
      <c r="TWB53" s="37"/>
      <c r="TWC53" s="37"/>
      <c r="TWD53" s="37"/>
      <c r="TWE53" s="37"/>
      <c r="TWF53" s="37"/>
      <c r="TWG53" s="37"/>
      <c r="TWH53" s="37"/>
      <c r="TWI53" s="37"/>
      <c r="TWJ53" s="37"/>
      <c r="TWK53" s="37"/>
      <c r="TWL53" s="37"/>
      <c r="TWM53" s="37"/>
      <c r="TWN53" s="37"/>
      <c r="TWO53" s="37"/>
      <c r="TWP53" s="37"/>
      <c r="TWQ53" s="37"/>
      <c r="TWR53" s="37"/>
      <c r="TWS53" s="37"/>
      <c r="TWT53" s="37"/>
      <c r="TWU53" s="37"/>
      <c r="TWV53" s="37"/>
      <c r="TWW53" s="37"/>
      <c r="TWX53" s="37"/>
      <c r="TWY53" s="37"/>
      <c r="TWZ53" s="37"/>
      <c r="TXA53" s="37"/>
      <c r="TXB53" s="37"/>
      <c r="TXC53" s="37"/>
      <c r="TXD53" s="37"/>
      <c r="TXE53" s="37"/>
      <c r="TXF53" s="37"/>
      <c r="TXG53" s="37"/>
      <c r="TXH53" s="37"/>
      <c r="TXI53" s="37"/>
      <c r="TXJ53" s="37"/>
      <c r="TXK53" s="37"/>
      <c r="TXL53" s="37"/>
      <c r="TXM53" s="37"/>
      <c r="TXN53" s="37"/>
      <c r="TXO53" s="37"/>
      <c r="TXP53" s="37"/>
      <c r="TXQ53" s="37"/>
      <c r="TXR53" s="37"/>
      <c r="TXS53" s="37"/>
      <c r="TXT53" s="37"/>
      <c r="TXU53" s="37"/>
      <c r="TXV53" s="37"/>
      <c r="TXW53" s="37"/>
      <c r="TXX53" s="37"/>
      <c r="TXY53" s="37"/>
      <c r="TXZ53" s="37"/>
      <c r="TYA53" s="37"/>
      <c r="TYB53" s="37"/>
      <c r="TYC53" s="37"/>
      <c r="TYD53" s="37"/>
      <c r="TYE53" s="37"/>
      <c r="TYF53" s="37"/>
      <c r="TYG53" s="37"/>
      <c r="TYH53" s="37"/>
      <c r="TYI53" s="37"/>
      <c r="TYJ53" s="37"/>
      <c r="TYK53" s="37"/>
      <c r="TYL53" s="37"/>
      <c r="TYM53" s="37"/>
      <c r="TYN53" s="37"/>
      <c r="TYO53" s="37"/>
      <c r="TYP53" s="37"/>
      <c r="TYQ53" s="37"/>
      <c r="TYR53" s="37"/>
      <c r="TYS53" s="37"/>
      <c r="TYT53" s="37"/>
      <c r="TYU53" s="37"/>
      <c r="TYV53" s="37"/>
      <c r="TYW53" s="37"/>
      <c r="TYX53" s="37"/>
      <c r="TYY53" s="37"/>
      <c r="TYZ53" s="37"/>
      <c r="TZA53" s="37"/>
      <c r="TZB53" s="37"/>
      <c r="TZC53" s="37"/>
      <c r="TZD53" s="37"/>
      <c r="TZE53" s="37"/>
      <c r="TZF53" s="37"/>
      <c r="TZG53" s="37"/>
      <c r="TZH53" s="37"/>
      <c r="TZI53" s="37"/>
      <c r="TZJ53" s="37"/>
      <c r="TZK53" s="37"/>
      <c r="TZL53" s="37"/>
      <c r="TZM53" s="37"/>
      <c r="TZN53" s="37"/>
      <c r="TZO53" s="37"/>
      <c r="TZP53" s="37"/>
      <c r="TZQ53" s="37"/>
      <c r="TZR53" s="37"/>
      <c r="TZS53" s="37"/>
      <c r="TZT53" s="37"/>
      <c r="TZU53" s="37"/>
      <c r="TZV53" s="37"/>
      <c r="TZW53" s="37"/>
      <c r="TZX53" s="37"/>
      <c r="TZY53" s="37"/>
      <c r="TZZ53" s="37"/>
      <c r="UAA53" s="37"/>
      <c r="UAB53" s="37"/>
      <c r="UAC53" s="37"/>
      <c r="UAD53" s="37"/>
      <c r="UAE53" s="37"/>
      <c r="UAF53" s="37"/>
      <c r="UAG53" s="37"/>
      <c r="UAH53" s="37"/>
      <c r="UAI53" s="37"/>
      <c r="UAJ53" s="37"/>
      <c r="UAK53" s="37"/>
      <c r="UAL53" s="37"/>
      <c r="UAM53" s="37"/>
      <c r="UAN53" s="37"/>
      <c r="UAO53" s="37"/>
      <c r="UAP53" s="37"/>
      <c r="UAQ53" s="37"/>
      <c r="UAR53" s="37"/>
      <c r="UAS53" s="37"/>
      <c r="UAT53" s="37"/>
      <c r="UAU53" s="37"/>
      <c r="UAV53" s="37"/>
      <c r="UAW53" s="37"/>
      <c r="UAX53" s="37"/>
      <c r="UAY53" s="37"/>
      <c r="UAZ53" s="37"/>
      <c r="UBA53" s="37"/>
      <c r="UBB53" s="37"/>
      <c r="UBC53" s="37"/>
      <c r="UBD53" s="37"/>
      <c r="UBE53" s="37"/>
      <c r="UBF53" s="37"/>
      <c r="UBG53" s="37"/>
      <c r="UBH53" s="37"/>
      <c r="UBI53" s="37"/>
      <c r="UBJ53" s="37"/>
      <c r="UBK53" s="37"/>
      <c r="UBL53" s="37"/>
      <c r="UBM53" s="37"/>
      <c r="UBN53" s="37"/>
      <c r="UBO53" s="37"/>
      <c r="UBP53" s="37"/>
      <c r="UBQ53" s="37"/>
      <c r="UBR53" s="37"/>
      <c r="UBS53" s="37"/>
      <c r="UBT53" s="37"/>
      <c r="UBU53" s="37"/>
      <c r="UBV53" s="37"/>
      <c r="UBW53" s="37"/>
      <c r="UBX53" s="37"/>
      <c r="UBY53" s="37"/>
      <c r="UBZ53" s="37"/>
      <c r="UCA53" s="37"/>
      <c r="UCB53" s="37"/>
      <c r="UCC53" s="37"/>
      <c r="UCD53" s="37"/>
      <c r="UCE53" s="37"/>
      <c r="UCF53" s="37"/>
      <c r="UCG53" s="37"/>
      <c r="UCH53" s="37"/>
      <c r="UCI53" s="37"/>
      <c r="UCJ53" s="37"/>
      <c r="UCK53" s="37"/>
      <c r="UCL53" s="37"/>
      <c r="UCM53" s="37"/>
      <c r="UCN53" s="37"/>
      <c r="UCO53" s="37"/>
      <c r="UCP53" s="37"/>
      <c r="UCQ53" s="37"/>
      <c r="UCR53" s="37"/>
      <c r="UCS53" s="37"/>
      <c r="UCT53" s="37"/>
      <c r="UCU53" s="37"/>
      <c r="UCV53" s="37"/>
      <c r="UCW53" s="37"/>
      <c r="UCX53" s="37"/>
      <c r="UCY53" s="37"/>
      <c r="UCZ53" s="37"/>
      <c r="UDA53" s="37"/>
      <c r="UDB53" s="37"/>
      <c r="UDC53" s="37"/>
      <c r="UDD53" s="37"/>
      <c r="UDE53" s="37"/>
      <c r="UDF53" s="37"/>
      <c r="UDG53" s="37"/>
      <c r="UDH53" s="37"/>
      <c r="UDI53" s="37"/>
      <c r="UDJ53" s="37"/>
      <c r="UDK53" s="37"/>
      <c r="UDL53" s="37"/>
      <c r="UDM53" s="37"/>
      <c r="UDN53" s="37"/>
      <c r="UDO53" s="37"/>
      <c r="UDP53" s="37"/>
      <c r="UDQ53" s="37"/>
      <c r="UDR53" s="37"/>
      <c r="UDS53" s="37"/>
      <c r="UDT53" s="37"/>
      <c r="UDU53" s="37"/>
      <c r="UDV53" s="37"/>
      <c r="UDW53" s="37"/>
      <c r="UDX53" s="37"/>
      <c r="UDY53" s="37"/>
      <c r="UDZ53" s="37"/>
      <c r="UEA53" s="37"/>
      <c r="UEB53" s="37"/>
      <c r="UEC53" s="37"/>
      <c r="UED53" s="37"/>
      <c r="UEE53" s="37"/>
      <c r="UEF53" s="37"/>
      <c r="UEG53" s="37"/>
      <c r="UEH53" s="37"/>
      <c r="UEI53" s="37"/>
      <c r="UEJ53" s="37"/>
      <c r="UEK53" s="37"/>
      <c r="UEL53" s="37"/>
      <c r="UEM53" s="37"/>
      <c r="UEN53" s="37"/>
      <c r="UEO53" s="37"/>
      <c r="UEP53" s="37"/>
      <c r="UEQ53" s="37"/>
      <c r="UER53" s="37"/>
      <c r="UES53" s="37"/>
      <c r="UET53" s="37"/>
      <c r="UEU53" s="37"/>
      <c r="UEV53" s="37"/>
      <c r="UEW53" s="37"/>
      <c r="UEX53" s="37"/>
      <c r="UEY53" s="37"/>
      <c r="UEZ53" s="37"/>
      <c r="UFA53" s="37"/>
      <c r="UFB53" s="37"/>
      <c r="UFC53" s="37"/>
      <c r="UFD53" s="37"/>
      <c r="UFE53" s="37"/>
      <c r="UFF53" s="37"/>
      <c r="UFG53" s="37"/>
      <c r="UFH53" s="37"/>
      <c r="UFI53" s="37"/>
      <c r="UFJ53" s="37"/>
      <c r="UFK53" s="37"/>
      <c r="UFL53" s="37"/>
      <c r="UFM53" s="37"/>
      <c r="UFN53" s="37"/>
      <c r="UFO53" s="37"/>
      <c r="UFP53" s="37"/>
      <c r="UFQ53" s="37"/>
      <c r="UFR53" s="37"/>
      <c r="UFS53" s="37"/>
      <c r="UFT53" s="37"/>
      <c r="UFU53" s="37"/>
      <c r="UFV53" s="37"/>
      <c r="UFW53" s="37"/>
      <c r="UFX53" s="37"/>
      <c r="UFY53" s="37"/>
      <c r="UFZ53" s="37"/>
      <c r="UGA53" s="37"/>
      <c r="UGB53" s="37"/>
      <c r="UGC53" s="37"/>
      <c r="UGD53" s="37"/>
      <c r="UGE53" s="37"/>
      <c r="UGF53" s="37"/>
      <c r="UGG53" s="37"/>
      <c r="UGH53" s="37"/>
      <c r="UGI53" s="37"/>
      <c r="UGJ53" s="37"/>
      <c r="UGK53" s="37"/>
      <c r="UGL53" s="37"/>
      <c r="UGM53" s="37"/>
      <c r="UGN53" s="37"/>
      <c r="UGO53" s="37"/>
      <c r="UGP53" s="37"/>
      <c r="UGQ53" s="37"/>
      <c r="UGR53" s="37"/>
      <c r="UGS53" s="37"/>
      <c r="UGT53" s="37"/>
      <c r="UGU53" s="37"/>
      <c r="UGV53" s="37"/>
      <c r="UGW53" s="37"/>
      <c r="UGX53" s="37"/>
      <c r="UGY53" s="37"/>
      <c r="UGZ53" s="37"/>
      <c r="UHA53" s="37"/>
      <c r="UHB53" s="37"/>
      <c r="UHC53" s="37"/>
      <c r="UHD53" s="37"/>
      <c r="UHE53" s="37"/>
      <c r="UHF53" s="37"/>
      <c r="UHG53" s="37"/>
      <c r="UHH53" s="37"/>
      <c r="UHI53" s="37"/>
      <c r="UHJ53" s="37"/>
      <c r="UHK53" s="37"/>
      <c r="UHL53" s="37"/>
      <c r="UHM53" s="37"/>
      <c r="UHN53" s="37"/>
      <c r="UHO53" s="37"/>
      <c r="UHP53" s="37"/>
      <c r="UHQ53" s="37"/>
      <c r="UHR53" s="37"/>
      <c r="UHS53" s="37"/>
      <c r="UHT53" s="37"/>
      <c r="UHU53" s="37"/>
      <c r="UHV53" s="37"/>
      <c r="UHW53" s="37"/>
      <c r="UHX53" s="37"/>
      <c r="UHY53" s="37"/>
      <c r="UHZ53" s="37"/>
      <c r="UIA53" s="37"/>
      <c r="UIB53" s="37"/>
      <c r="UIC53" s="37"/>
      <c r="UID53" s="37"/>
      <c r="UIE53" s="37"/>
      <c r="UIF53" s="37"/>
      <c r="UIG53" s="37"/>
      <c r="UIH53" s="37"/>
      <c r="UII53" s="37"/>
      <c r="UIJ53" s="37"/>
      <c r="UIK53" s="37"/>
      <c r="UIL53" s="37"/>
      <c r="UIM53" s="37"/>
      <c r="UIN53" s="37"/>
      <c r="UIO53" s="37"/>
      <c r="UIP53" s="37"/>
      <c r="UIQ53" s="37"/>
      <c r="UIR53" s="37"/>
      <c r="UIS53" s="37"/>
      <c r="UIT53" s="37"/>
      <c r="UIU53" s="37"/>
      <c r="UIV53" s="37"/>
      <c r="UIW53" s="37"/>
      <c r="UIX53" s="37"/>
      <c r="UIY53" s="37"/>
      <c r="UIZ53" s="37"/>
      <c r="UJA53" s="37"/>
      <c r="UJB53" s="37"/>
      <c r="UJC53" s="37"/>
      <c r="UJD53" s="37"/>
      <c r="UJE53" s="37"/>
      <c r="UJF53" s="37"/>
      <c r="UJG53" s="37"/>
      <c r="UJH53" s="37"/>
      <c r="UJI53" s="37"/>
      <c r="UJJ53" s="37"/>
      <c r="UJK53" s="37"/>
      <c r="UJL53" s="37"/>
      <c r="UJM53" s="37"/>
      <c r="UJN53" s="37"/>
      <c r="UJO53" s="37"/>
      <c r="UJP53" s="37"/>
      <c r="UJQ53" s="37"/>
      <c r="UJR53" s="37"/>
      <c r="UJS53" s="37"/>
      <c r="UJT53" s="37"/>
      <c r="UJU53" s="37"/>
      <c r="UJV53" s="37"/>
      <c r="UJW53" s="37"/>
      <c r="UJX53" s="37"/>
      <c r="UJY53" s="37"/>
      <c r="UJZ53" s="37"/>
      <c r="UKA53" s="37"/>
      <c r="UKB53" s="37"/>
      <c r="UKC53" s="37"/>
      <c r="UKD53" s="37"/>
      <c r="UKE53" s="37"/>
      <c r="UKF53" s="37"/>
      <c r="UKG53" s="37"/>
      <c r="UKH53" s="37"/>
      <c r="UKI53" s="37"/>
      <c r="UKJ53" s="37"/>
      <c r="UKK53" s="37"/>
      <c r="UKL53" s="37"/>
      <c r="UKM53" s="37"/>
      <c r="UKN53" s="37"/>
      <c r="UKO53" s="37"/>
      <c r="UKP53" s="37"/>
      <c r="UKQ53" s="37"/>
      <c r="UKR53" s="37"/>
      <c r="UKS53" s="37"/>
      <c r="UKT53" s="37"/>
      <c r="UKU53" s="37"/>
      <c r="UKV53" s="37"/>
      <c r="UKW53" s="37"/>
      <c r="UKX53" s="37"/>
      <c r="UKY53" s="37"/>
      <c r="UKZ53" s="37"/>
      <c r="ULA53" s="37"/>
      <c r="ULB53" s="37"/>
      <c r="ULC53" s="37"/>
      <c r="ULD53" s="37"/>
      <c r="ULE53" s="37"/>
      <c r="ULF53" s="37"/>
      <c r="ULG53" s="37"/>
      <c r="ULH53" s="37"/>
      <c r="ULI53" s="37"/>
      <c r="ULJ53" s="37"/>
      <c r="ULK53" s="37"/>
      <c r="ULL53" s="37"/>
      <c r="ULM53" s="37"/>
      <c r="ULN53" s="37"/>
      <c r="ULO53" s="37"/>
      <c r="ULP53" s="37"/>
      <c r="ULQ53" s="37"/>
      <c r="ULR53" s="37"/>
      <c r="ULS53" s="37"/>
      <c r="ULT53" s="37"/>
      <c r="ULU53" s="37"/>
      <c r="ULV53" s="37"/>
      <c r="ULW53" s="37"/>
      <c r="ULX53" s="37"/>
      <c r="ULY53" s="37"/>
      <c r="ULZ53" s="37"/>
      <c r="UMA53" s="37"/>
      <c r="UMB53" s="37"/>
      <c r="UMC53" s="37"/>
      <c r="UMD53" s="37"/>
      <c r="UME53" s="37"/>
      <c r="UMF53" s="37"/>
      <c r="UMG53" s="37"/>
      <c r="UMH53" s="37"/>
      <c r="UMI53" s="37"/>
      <c r="UMJ53" s="37"/>
      <c r="UMK53" s="37"/>
      <c r="UML53" s="37"/>
      <c r="UMM53" s="37"/>
      <c r="UMN53" s="37"/>
      <c r="UMO53" s="37"/>
      <c r="UMP53" s="37"/>
      <c r="UMQ53" s="37"/>
      <c r="UMR53" s="37"/>
      <c r="UMS53" s="37"/>
      <c r="UMT53" s="37"/>
      <c r="UMU53" s="37"/>
      <c r="UMV53" s="37"/>
      <c r="UMW53" s="37"/>
      <c r="UMX53" s="37"/>
      <c r="UMY53" s="37"/>
      <c r="UMZ53" s="37"/>
      <c r="UNA53" s="37"/>
      <c r="UNB53" s="37"/>
      <c r="UNC53" s="37"/>
      <c r="UND53" s="37"/>
      <c r="UNE53" s="37"/>
      <c r="UNF53" s="37"/>
      <c r="UNG53" s="37"/>
      <c r="UNH53" s="37"/>
      <c r="UNI53" s="37"/>
      <c r="UNJ53" s="37"/>
      <c r="UNK53" s="37"/>
      <c r="UNL53" s="37"/>
      <c r="UNM53" s="37"/>
      <c r="UNN53" s="37"/>
      <c r="UNO53" s="37"/>
      <c r="UNP53" s="37"/>
      <c r="UNQ53" s="37"/>
      <c r="UNR53" s="37"/>
      <c r="UNS53" s="37"/>
      <c r="UNT53" s="37"/>
      <c r="UNU53" s="37"/>
      <c r="UNV53" s="37"/>
      <c r="UNW53" s="37"/>
      <c r="UNX53" s="37"/>
      <c r="UNY53" s="37"/>
      <c r="UNZ53" s="37"/>
      <c r="UOA53" s="37"/>
      <c r="UOB53" s="37"/>
      <c r="UOC53" s="37"/>
      <c r="UOD53" s="37"/>
      <c r="UOE53" s="37"/>
      <c r="UOF53" s="37"/>
      <c r="UOG53" s="37"/>
      <c r="UOH53" s="37"/>
      <c r="UOI53" s="37"/>
      <c r="UOJ53" s="37"/>
      <c r="UOK53" s="37"/>
      <c r="UOL53" s="37"/>
      <c r="UOM53" s="37"/>
      <c r="UON53" s="37"/>
      <c r="UOO53" s="37"/>
      <c r="UOP53" s="37"/>
      <c r="UOQ53" s="37"/>
      <c r="UOR53" s="37"/>
      <c r="UOS53" s="37"/>
      <c r="UOT53" s="37"/>
      <c r="UOU53" s="37"/>
      <c r="UOV53" s="37"/>
      <c r="UOW53" s="37"/>
      <c r="UOX53" s="37"/>
      <c r="UOY53" s="37"/>
      <c r="UOZ53" s="37"/>
      <c r="UPA53" s="37"/>
      <c r="UPB53" s="37"/>
      <c r="UPC53" s="37"/>
      <c r="UPD53" s="37"/>
      <c r="UPE53" s="37"/>
      <c r="UPF53" s="37"/>
      <c r="UPG53" s="37"/>
      <c r="UPH53" s="37"/>
      <c r="UPI53" s="37"/>
      <c r="UPJ53" s="37"/>
      <c r="UPK53" s="37"/>
      <c r="UPL53" s="37"/>
      <c r="UPM53" s="37"/>
      <c r="UPN53" s="37"/>
      <c r="UPO53" s="37"/>
      <c r="UPP53" s="37"/>
      <c r="UPQ53" s="37"/>
      <c r="UPR53" s="37"/>
      <c r="UPS53" s="37"/>
      <c r="UPT53" s="37"/>
      <c r="UPU53" s="37"/>
      <c r="UPV53" s="37"/>
      <c r="UPW53" s="37"/>
      <c r="UPX53" s="37"/>
      <c r="UPY53" s="37"/>
      <c r="UPZ53" s="37"/>
      <c r="UQA53" s="37"/>
      <c r="UQB53" s="37"/>
      <c r="UQC53" s="37"/>
      <c r="UQD53" s="37"/>
      <c r="UQE53" s="37"/>
      <c r="UQF53" s="37"/>
      <c r="UQG53" s="37"/>
      <c r="UQH53" s="37"/>
      <c r="UQI53" s="37"/>
      <c r="UQJ53" s="37"/>
      <c r="UQK53" s="37"/>
      <c r="UQL53" s="37"/>
      <c r="UQM53" s="37"/>
      <c r="UQN53" s="37"/>
      <c r="UQO53" s="37"/>
      <c r="UQP53" s="37"/>
      <c r="UQQ53" s="37"/>
      <c r="UQR53" s="37"/>
      <c r="UQS53" s="37"/>
      <c r="UQT53" s="37"/>
      <c r="UQU53" s="37"/>
      <c r="UQV53" s="37"/>
      <c r="UQW53" s="37"/>
      <c r="UQX53" s="37"/>
      <c r="UQY53" s="37"/>
      <c r="UQZ53" s="37"/>
      <c r="URA53" s="37"/>
      <c r="URB53" s="37"/>
      <c r="URC53" s="37"/>
      <c r="URD53" s="37"/>
      <c r="URE53" s="37"/>
      <c r="URF53" s="37"/>
      <c r="URG53" s="37"/>
      <c r="URH53" s="37"/>
      <c r="URI53" s="37"/>
      <c r="URJ53" s="37"/>
      <c r="URK53" s="37"/>
      <c r="URL53" s="37"/>
      <c r="URM53" s="37"/>
      <c r="URN53" s="37"/>
      <c r="URO53" s="37"/>
      <c r="URP53" s="37"/>
      <c r="URQ53" s="37"/>
      <c r="URR53" s="37"/>
      <c r="URS53" s="37"/>
      <c r="URT53" s="37"/>
      <c r="URU53" s="37"/>
      <c r="URV53" s="37"/>
      <c r="URW53" s="37"/>
      <c r="URX53" s="37"/>
      <c r="URY53" s="37"/>
      <c r="URZ53" s="37"/>
      <c r="USA53" s="37"/>
      <c r="USB53" s="37"/>
      <c r="USC53" s="37"/>
      <c r="USD53" s="37"/>
      <c r="USE53" s="37"/>
      <c r="USF53" s="37"/>
      <c r="USG53" s="37"/>
      <c r="USH53" s="37"/>
      <c r="USI53" s="37"/>
      <c r="USJ53" s="37"/>
      <c r="USK53" s="37"/>
      <c r="USL53" s="37"/>
      <c r="USM53" s="37"/>
      <c r="USN53" s="37"/>
      <c r="USO53" s="37"/>
      <c r="USP53" s="37"/>
      <c r="USQ53" s="37"/>
      <c r="USR53" s="37"/>
      <c r="USS53" s="37"/>
      <c r="UST53" s="37"/>
      <c r="USU53" s="37"/>
      <c r="USV53" s="37"/>
      <c r="USW53" s="37"/>
      <c r="USX53" s="37"/>
      <c r="USY53" s="37"/>
      <c r="USZ53" s="37"/>
      <c r="UTA53" s="37"/>
      <c r="UTB53" s="37"/>
      <c r="UTC53" s="37"/>
      <c r="UTD53" s="37"/>
      <c r="UTE53" s="37"/>
      <c r="UTF53" s="37"/>
      <c r="UTG53" s="37"/>
      <c r="UTH53" s="37"/>
      <c r="UTI53" s="37"/>
      <c r="UTJ53" s="37"/>
      <c r="UTK53" s="37"/>
      <c r="UTL53" s="37"/>
      <c r="UTM53" s="37"/>
      <c r="UTN53" s="37"/>
      <c r="UTO53" s="37"/>
      <c r="UTP53" s="37"/>
      <c r="UTQ53" s="37"/>
      <c r="UTR53" s="37"/>
      <c r="UTS53" s="37"/>
      <c r="UTT53" s="37"/>
      <c r="UTU53" s="37"/>
      <c r="UTV53" s="37"/>
      <c r="UTW53" s="37"/>
      <c r="UTX53" s="37"/>
      <c r="UTY53" s="37"/>
      <c r="UTZ53" s="37"/>
      <c r="UUA53" s="37"/>
      <c r="UUB53" s="37"/>
      <c r="UUC53" s="37"/>
      <c r="UUD53" s="37"/>
      <c r="UUE53" s="37"/>
      <c r="UUF53" s="37"/>
      <c r="UUG53" s="37"/>
      <c r="UUH53" s="37"/>
      <c r="UUI53" s="37"/>
      <c r="UUJ53" s="37"/>
      <c r="UUK53" s="37"/>
      <c r="UUL53" s="37"/>
      <c r="UUM53" s="37"/>
      <c r="UUN53" s="37"/>
      <c r="UUO53" s="37"/>
      <c r="UUP53" s="37"/>
      <c r="UUQ53" s="37"/>
      <c r="UUR53" s="37"/>
      <c r="UUS53" s="37"/>
      <c r="UUT53" s="37"/>
      <c r="UUU53" s="37"/>
      <c r="UUV53" s="37"/>
      <c r="UUW53" s="37"/>
      <c r="UUX53" s="37"/>
      <c r="UUY53" s="37"/>
      <c r="UUZ53" s="37"/>
      <c r="UVA53" s="37"/>
      <c r="UVB53" s="37"/>
      <c r="UVC53" s="37"/>
      <c r="UVD53" s="37"/>
      <c r="UVE53" s="37"/>
      <c r="UVF53" s="37"/>
      <c r="UVG53" s="37"/>
      <c r="UVH53" s="37"/>
      <c r="UVI53" s="37"/>
      <c r="UVJ53" s="37"/>
      <c r="UVK53" s="37"/>
      <c r="UVL53" s="37"/>
      <c r="UVM53" s="37"/>
      <c r="UVN53" s="37"/>
      <c r="UVO53" s="37"/>
      <c r="UVP53" s="37"/>
      <c r="UVQ53" s="37"/>
      <c r="UVR53" s="37"/>
      <c r="UVS53" s="37"/>
      <c r="UVT53" s="37"/>
      <c r="UVU53" s="37"/>
      <c r="UVV53" s="37"/>
      <c r="UVW53" s="37"/>
      <c r="UVX53" s="37"/>
      <c r="UVY53" s="37"/>
      <c r="UVZ53" s="37"/>
      <c r="UWA53" s="37"/>
      <c r="UWB53" s="37"/>
      <c r="UWC53" s="37"/>
      <c r="UWD53" s="37"/>
      <c r="UWE53" s="37"/>
      <c r="UWF53" s="37"/>
      <c r="UWG53" s="37"/>
      <c r="UWH53" s="37"/>
      <c r="UWI53" s="37"/>
      <c r="UWJ53" s="37"/>
      <c r="UWK53" s="37"/>
      <c r="UWL53" s="37"/>
      <c r="UWM53" s="37"/>
      <c r="UWN53" s="37"/>
      <c r="UWO53" s="37"/>
      <c r="UWP53" s="37"/>
      <c r="UWQ53" s="37"/>
      <c r="UWR53" s="37"/>
      <c r="UWS53" s="37"/>
      <c r="UWT53" s="37"/>
      <c r="UWU53" s="37"/>
      <c r="UWV53" s="37"/>
      <c r="UWW53" s="37"/>
      <c r="UWX53" s="37"/>
      <c r="UWY53" s="37"/>
      <c r="UWZ53" s="37"/>
      <c r="UXA53" s="37"/>
      <c r="UXB53" s="37"/>
      <c r="UXC53" s="37"/>
      <c r="UXD53" s="37"/>
      <c r="UXE53" s="37"/>
      <c r="UXF53" s="37"/>
      <c r="UXG53" s="37"/>
      <c r="UXH53" s="37"/>
      <c r="UXI53" s="37"/>
      <c r="UXJ53" s="37"/>
      <c r="UXK53" s="37"/>
      <c r="UXL53" s="37"/>
      <c r="UXM53" s="37"/>
      <c r="UXN53" s="37"/>
      <c r="UXO53" s="37"/>
      <c r="UXP53" s="37"/>
      <c r="UXQ53" s="37"/>
      <c r="UXR53" s="37"/>
      <c r="UXS53" s="37"/>
      <c r="UXT53" s="37"/>
      <c r="UXU53" s="37"/>
      <c r="UXV53" s="37"/>
      <c r="UXW53" s="37"/>
      <c r="UXX53" s="37"/>
      <c r="UXY53" s="37"/>
      <c r="UXZ53" s="37"/>
      <c r="UYA53" s="37"/>
      <c r="UYB53" s="37"/>
      <c r="UYC53" s="37"/>
      <c r="UYD53" s="37"/>
      <c r="UYE53" s="37"/>
      <c r="UYF53" s="37"/>
      <c r="UYG53" s="37"/>
      <c r="UYH53" s="37"/>
      <c r="UYI53" s="37"/>
      <c r="UYJ53" s="37"/>
      <c r="UYK53" s="37"/>
      <c r="UYL53" s="37"/>
      <c r="UYM53" s="37"/>
      <c r="UYN53" s="37"/>
      <c r="UYO53" s="37"/>
      <c r="UYP53" s="37"/>
      <c r="UYQ53" s="37"/>
      <c r="UYR53" s="37"/>
      <c r="UYS53" s="37"/>
      <c r="UYT53" s="37"/>
      <c r="UYU53" s="37"/>
      <c r="UYV53" s="37"/>
      <c r="UYW53" s="37"/>
      <c r="UYX53" s="37"/>
      <c r="UYY53" s="37"/>
      <c r="UYZ53" s="37"/>
      <c r="UZA53" s="37"/>
      <c r="UZB53" s="37"/>
      <c r="UZC53" s="37"/>
      <c r="UZD53" s="37"/>
      <c r="UZE53" s="37"/>
      <c r="UZF53" s="37"/>
      <c r="UZG53" s="37"/>
      <c r="UZH53" s="37"/>
      <c r="UZI53" s="37"/>
      <c r="UZJ53" s="37"/>
      <c r="UZK53" s="37"/>
      <c r="UZL53" s="37"/>
      <c r="UZM53" s="37"/>
      <c r="UZN53" s="37"/>
      <c r="UZO53" s="37"/>
      <c r="UZP53" s="37"/>
      <c r="UZQ53" s="37"/>
      <c r="UZR53" s="37"/>
      <c r="UZS53" s="37"/>
      <c r="UZT53" s="37"/>
      <c r="UZU53" s="37"/>
      <c r="UZV53" s="37"/>
      <c r="UZW53" s="37"/>
      <c r="UZX53" s="37"/>
      <c r="UZY53" s="37"/>
      <c r="UZZ53" s="37"/>
      <c r="VAA53" s="37"/>
      <c r="VAB53" s="37"/>
      <c r="VAC53" s="37"/>
      <c r="VAD53" s="37"/>
      <c r="VAE53" s="37"/>
      <c r="VAF53" s="37"/>
      <c r="VAG53" s="37"/>
      <c r="VAH53" s="37"/>
      <c r="VAI53" s="37"/>
      <c r="VAJ53" s="37"/>
      <c r="VAK53" s="37"/>
      <c r="VAL53" s="37"/>
      <c r="VAM53" s="37"/>
      <c r="VAN53" s="37"/>
      <c r="VAO53" s="37"/>
      <c r="VAP53" s="37"/>
      <c r="VAQ53" s="37"/>
      <c r="VAR53" s="37"/>
      <c r="VAS53" s="37"/>
      <c r="VAT53" s="37"/>
      <c r="VAU53" s="37"/>
      <c r="VAV53" s="37"/>
      <c r="VAW53" s="37"/>
      <c r="VAX53" s="37"/>
      <c r="VAY53" s="37"/>
      <c r="VAZ53" s="37"/>
      <c r="VBA53" s="37"/>
      <c r="VBB53" s="37"/>
      <c r="VBC53" s="37"/>
      <c r="VBD53" s="37"/>
      <c r="VBE53" s="37"/>
      <c r="VBF53" s="37"/>
      <c r="VBG53" s="37"/>
      <c r="VBH53" s="37"/>
      <c r="VBI53" s="37"/>
      <c r="VBJ53" s="37"/>
      <c r="VBK53" s="37"/>
      <c r="VBL53" s="37"/>
      <c r="VBM53" s="37"/>
      <c r="VBN53" s="37"/>
      <c r="VBO53" s="37"/>
      <c r="VBP53" s="37"/>
      <c r="VBQ53" s="37"/>
      <c r="VBR53" s="37"/>
      <c r="VBS53" s="37"/>
      <c r="VBT53" s="37"/>
      <c r="VBU53" s="37"/>
      <c r="VBV53" s="37"/>
      <c r="VBW53" s="37"/>
      <c r="VBX53" s="37"/>
      <c r="VBY53" s="37"/>
      <c r="VBZ53" s="37"/>
      <c r="VCA53" s="37"/>
      <c r="VCB53" s="37"/>
      <c r="VCC53" s="37"/>
      <c r="VCD53" s="37"/>
      <c r="VCE53" s="37"/>
      <c r="VCF53" s="37"/>
      <c r="VCG53" s="37"/>
      <c r="VCH53" s="37"/>
      <c r="VCI53" s="37"/>
      <c r="VCJ53" s="37"/>
      <c r="VCK53" s="37"/>
      <c r="VCL53" s="37"/>
      <c r="VCM53" s="37"/>
      <c r="VCN53" s="37"/>
      <c r="VCO53" s="37"/>
      <c r="VCP53" s="37"/>
      <c r="VCQ53" s="37"/>
      <c r="VCR53" s="37"/>
      <c r="VCS53" s="37"/>
      <c r="VCT53" s="37"/>
      <c r="VCU53" s="37"/>
      <c r="VCV53" s="37"/>
      <c r="VCW53" s="37"/>
      <c r="VCX53" s="37"/>
      <c r="VCY53" s="37"/>
      <c r="VCZ53" s="37"/>
      <c r="VDA53" s="37"/>
      <c r="VDB53" s="37"/>
      <c r="VDC53" s="37"/>
      <c r="VDD53" s="37"/>
      <c r="VDE53" s="37"/>
      <c r="VDF53" s="37"/>
      <c r="VDG53" s="37"/>
      <c r="VDH53" s="37"/>
      <c r="VDI53" s="37"/>
      <c r="VDJ53" s="37"/>
      <c r="VDK53" s="37"/>
      <c r="VDL53" s="37"/>
      <c r="VDM53" s="37"/>
      <c r="VDN53" s="37"/>
      <c r="VDO53" s="37"/>
      <c r="VDP53" s="37"/>
      <c r="VDQ53" s="37"/>
      <c r="VDR53" s="37"/>
      <c r="VDS53" s="37"/>
      <c r="VDT53" s="37"/>
      <c r="VDU53" s="37"/>
      <c r="VDV53" s="37"/>
      <c r="VDW53" s="37"/>
      <c r="VDX53" s="37"/>
      <c r="VDY53" s="37"/>
      <c r="VDZ53" s="37"/>
      <c r="VEA53" s="37"/>
      <c r="VEB53" s="37"/>
      <c r="VEC53" s="37"/>
      <c r="VED53" s="37"/>
      <c r="VEE53" s="37"/>
      <c r="VEF53" s="37"/>
      <c r="VEG53" s="37"/>
      <c r="VEH53" s="37"/>
      <c r="VEI53" s="37"/>
      <c r="VEJ53" s="37"/>
      <c r="VEK53" s="37"/>
      <c r="VEL53" s="37"/>
      <c r="VEM53" s="37"/>
      <c r="VEN53" s="37"/>
      <c r="VEO53" s="37"/>
      <c r="VEP53" s="37"/>
      <c r="VEQ53" s="37"/>
      <c r="VER53" s="37"/>
      <c r="VES53" s="37"/>
      <c r="VET53" s="37"/>
      <c r="VEU53" s="37"/>
      <c r="VEV53" s="37"/>
      <c r="VEW53" s="37"/>
      <c r="VEX53" s="37"/>
      <c r="VEY53" s="37"/>
      <c r="VEZ53" s="37"/>
      <c r="VFA53" s="37"/>
      <c r="VFB53" s="37"/>
      <c r="VFC53" s="37"/>
      <c r="VFD53" s="37"/>
      <c r="VFE53" s="37"/>
      <c r="VFF53" s="37"/>
      <c r="VFG53" s="37"/>
      <c r="VFH53" s="37"/>
      <c r="VFI53" s="37"/>
      <c r="VFJ53" s="37"/>
      <c r="VFK53" s="37"/>
      <c r="VFL53" s="37"/>
      <c r="VFM53" s="37"/>
      <c r="VFN53" s="37"/>
      <c r="VFO53" s="37"/>
      <c r="VFP53" s="37"/>
      <c r="VFQ53" s="37"/>
      <c r="VFR53" s="37"/>
      <c r="VFS53" s="37"/>
      <c r="VFT53" s="37"/>
      <c r="VFU53" s="37"/>
      <c r="VFV53" s="37"/>
      <c r="VFW53" s="37"/>
      <c r="VFX53" s="37"/>
      <c r="VFY53" s="37"/>
      <c r="VFZ53" s="37"/>
      <c r="VGA53" s="37"/>
      <c r="VGB53" s="37"/>
      <c r="VGC53" s="37"/>
      <c r="VGD53" s="37"/>
      <c r="VGE53" s="37"/>
      <c r="VGF53" s="37"/>
      <c r="VGG53" s="37"/>
      <c r="VGH53" s="37"/>
      <c r="VGI53" s="37"/>
      <c r="VGJ53" s="37"/>
      <c r="VGK53" s="37"/>
      <c r="VGL53" s="37"/>
      <c r="VGM53" s="37"/>
      <c r="VGN53" s="37"/>
      <c r="VGO53" s="37"/>
      <c r="VGP53" s="37"/>
      <c r="VGQ53" s="37"/>
      <c r="VGR53" s="37"/>
      <c r="VGS53" s="37"/>
      <c r="VGT53" s="37"/>
      <c r="VGU53" s="37"/>
      <c r="VGV53" s="37"/>
      <c r="VGW53" s="37"/>
      <c r="VGX53" s="37"/>
      <c r="VGY53" s="37"/>
      <c r="VGZ53" s="37"/>
      <c r="VHA53" s="37"/>
      <c r="VHB53" s="37"/>
      <c r="VHC53" s="37"/>
      <c r="VHD53" s="37"/>
      <c r="VHE53" s="37"/>
      <c r="VHF53" s="37"/>
      <c r="VHG53" s="37"/>
      <c r="VHH53" s="37"/>
      <c r="VHI53" s="37"/>
      <c r="VHJ53" s="37"/>
      <c r="VHK53" s="37"/>
      <c r="VHL53" s="37"/>
      <c r="VHM53" s="37"/>
      <c r="VHN53" s="37"/>
      <c r="VHO53" s="37"/>
      <c r="VHP53" s="37"/>
      <c r="VHQ53" s="37"/>
      <c r="VHR53" s="37"/>
      <c r="VHS53" s="37"/>
      <c r="VHT53" s="37"/>
      <c r="VHU53" s="37"/>
      <c r="VHV53" s="37"/>
      <c r="VHW53" s="37"/>
      <c r="VHX53" s="37"/>
      <c r="VHY53" s="37"/>
      <c r="VHZ53" s="37"/>
      <c r="VIA53" s="37"/>
      <c r="VIB53" s="37"/>
      <c r="VIC53" s="37"/>
      <c r="VID53" s="37"/>
      <c r="VIE53" s="37"/>
      <c r="VIF53" s="37"/>
      <c r="VIG53" s="37"/>
      <c r="VIH53" s="37"/>
      <c r="VII53" s="37"/>
      <c r="VIJ53" s="37"/>
      <c r="VIK53" s="37"/>
      <c r="VIL53" s="37"/>
      <c r="VIM53" s="37"/>
      <c r="VIN53" s="37"/>
      <c r="VIO53" s="37"/>
      <c r="VIP53" s="37"/>
      <c r="VIQ53" s="37"/>
      <c r="VIR53" s="37"/>
      <c r="VIS53" s="37"/>
      <c r="VIT53" s="37"/>
      <c r="VIU53" s="37"/>
      <c r="VIV53" s="37"/>
      <c r="VIW53" s="37"/>
      <c r="VIX53" s="37"/>
      <c r="VIY53" s="37"/>
      <c r="VIZ53" s="37"/>
      <c r="VJA53" s="37"/>
      <c r="VJB53" s="37"/>
      <c r="VJC53" s="37"/>
      <c r="VJD53" s="37"/>
      <c r="VJE53" s="37"/>
      <c r="VJF53" s="37"/>
      <c r="VJG53" s="37"/>
      <c r="VJH53" s="37"/>
      <c r="VJI53" s="37"/>
      <c r="VJJ53" s="37"/>
      <c r="VJK53" s="37"/>
      <c r="VJL53" s="37"/>
      <c r="VJM53" s="37"/>
      <c r="VJN53" s="37"/>
      <c r="VJO53" s="37"/>
      <c r="VJP53" s="37"/>
      <c r="VJQ53" s="37"/>
      <c r="VJR53" s="37"/>
      <c r="VJS53" s="37"/>
      <c r="VJT53" s="37"/>
      <c r="VJU53" s="37"/>
      <c r="VJV53" s="37"/>
      <c r="VJW53" s="37"/>
      <c r="VJX53" s="37"/>
      <c r="VJY53" s="37"/>
      <c r="VJZ53" s="37"/>
      <c r="VKA53" s="37"/>
      <c r="VKB53" s="37"/>
      <c r="VKC53" s="37"/>
      <c r="VKD53" s="37"/>
      <c r="VKE53" s="37"/>
      <c r="VKF53" s="37"/>
      <c r="VKG53" s="37"/>
      <c r="VKH53" s="37"/>
      <c r="VKI53" s="37"/>
      <c r="VKJ53" s="37"/>
      <c r="VKK53" s="37"/>
      <c r="VKL53" s="37"/>
      <c r="VKM53" s="37"/>
      <c r="VKN53" s="37"/>
      <c r="VKO53" s="37"/>
      <c r="VKP53" s="37"/>
      <c r="VKQ53" s="37"/>
      <c r="VKR53" s="37"/>
      <c r="VKS53" s="37"/>
      <c r="VKT53" s="37"/>
      <c r="VKU53" s="37"/>
      <c r="VKV53" s="37"/>
      <c r="VKW53" s="37"/>
      <c r="VKX53" s="37"/>
      <c r="VKY53" s="37"/>
      <c r="VKZ53" s="37"/>
      <c r="VLA53" s="37"/>
      <c r="VLB53" s="37"/>
      <c r="VLC53" s="37"/>
      <c r="VLD53" s="37"/>
      <c r="VLE53" s="37"/>
      <c r="VLF53" s="37"/>
      <c r="VLG53" s="37"/>
      <c r="VLH53" s="37"/>
      <c r="VLI53" s="37"/>
      <c r="VLJ53" s="37"/>
      <c r="VLK53" s="37"/>
      <c r="VLL53" s="37"/>
      <c r="VLM53" s="37"/>
      <c r="VLN53" s="37"/>
      <c r="VLO53" s="37"/>
      <c r="VLP53" s="37"/>
      <c r="VLQ53" s="37"/>
      <c r="VLR53" s="37"/>
      <c r="VLS53" s="37"/>
      <c r="VLT53" s="37"/>
      <c r="VLU53" s="37"/>
      <c r="VLV53" s="37"/>
      <c r="VLW53" s="37"/>
      <c r="VLX53" s="37"/>
      <c r="VLY53" s="37"/>
      <c r="VLZ53" s="37"/>
      <c r="VMA53" s="37"/>
      <c r="VMB53" s="37"/>
      <c r="VMC53" s="37"/>
      <c r="VMD53" s="37"/>
      <c r="VME53" s="37"/>
      <c r="VMF53" s="37"/>
      <c r="VMG53" s="37"/>
      <c r="VMH53" s="37"/>
      <c r="VMI53" s="37"/>
      <c r="VMJ53" s="37"/>
      <c r="VMK53" s="37"/>
      <c r="VML53" s="37"/>
      <c r="VMM53" s="37"/>
      <c r="VMN53" s="37"/>
      <c r="VMO53" s="37"/>
      <c r="VMP53" s="37"/>
      <c r="VMQ53" s="37"/>
      <c r="VMR53" s="37"/>
      <c r="VMS53" s="37"/>
      <c r="VMT53" s="37"/>
      <c r="VMU53" s="37"/>
      <c r="VMV53" s="37"/>
      <c r="VMW53" s="37"/>
      <c r="VMX53" s="37"/>
      <c r="VMY53" s="37"/>
      <c r="VMZ53" s="37"/>
      <c r="VNA53" s="37"/>
      <c r="VNB53" s="37"/>
      <c r="VNC53" s="37"/>
      <c r="VND53" s="37"/>
      <c r="VNE53" s="37"/>
      <c r="VNF53" s="37"/>
      <c r="VNG53" s="37"/>
      <c r="VNH53" s="37"/>
      <c r="VNI53" s="37"/>
      <c r="VNJ53" s="37"/>
      <c r="VNK53" s="37"/>
      <c r="VNL53" s="37"/>
      <c r="VNM53" s="37"/>
      <c r="VNN53" s="37"/>
      <c r="VNO53" s="37"/>
      <c r="VNP53" s="37"/>
      <c r="VNQ53" s="37"/>
      <c r="VNR53" s="37"/>
      <c r="VNS53" s="37"/>
      <c r="VNT53" s="37"/>
      <c r="VNU53" s="37"/>
      <c r="VNV53" s="37"/>
      <c r="VNW53" s="37"/>
      <c r="VNX53" s="37"/>
      <c r="VNY53" s="37"/>
      <c r="VNZ53" s="37"/>
      <c r="VOA53" s="37"/>
      <c r="VOB53" s="37"/>
      <c r="VOC53" s="37"/>
      <c r="VOD53" s="37"/>
      <c r="VOE53" s="37"/>
      <c r="VOF53" s="37"/>
      <c r="VOG53" s="37"/>
      <c r="VOH53" s="37"/>
      <c r="VOI53" s="37"/>
      <c r="VOJ53" s="37"/>
      <c r="VOK53" s="37"/>
      <c r="VOL53" s="37"/>
      <c r="VOM53" s="37"/>
      <c r="VON53" s="37"/>
      <c r="VOO53" s="37"/>
      <c r="VOP53" s="37"/>
      <c r="VOQ53" s="37"/>
      <c r="VOR53" s="37"/>
      <c r="VOS53" s="37"/>
      <c r="VOT53" s="37"/>
      <c r="VOU53" s="37"/>
      <c r="VOV53" s="37"/>
      <c r="VOW53" s="37"/>
      <c r="VOX53" s="37"/>
      <c r="VOY53" s="37"/>
      <c r="VOZ53" s="37"/>
      <c r="VPA53" s="37"/>
      <c r="VPB53" s="37"/>
      <c r="VPC53" s="37"/>
      <c r="VPD53" s="37"/>
      <c r="VPE53" s="37"/>
      <c r="VPF53" s="37"/>
      <c r="VPG53" s="37"/>
      <c r="VPH53" s="37"/>
      <c r="VPI53" s="37"/>
      <c r="VPJ53" s="37"/>
      <c r="VPK53" s="37"/>
      <c r="VPL53" s="37"/>
      <c r="VPM53" s="37"/>
      <c r="VPN53" s="37"/>
      <c r="VPO53" s="37"/>
      <c r="VPP53" s="37"/>
      <c r="VPQ53" s="37"/>
      <c r="VPR53" s="37"/>
      <c r="VPS53" s="37"/>
      <c r="VPT53" s="37"/>
      <c r="VPU53" s="37"/>
      <c r="VPV53" s="37"/>
      <c r="VPW53" s="37"/>
      <c r="VPX53" s="37"/>
      <c r="VPY53" s="37"/>
      <c r="VPZ53" s="37"/>
      <c r="VQA53" s="37"/>
      <c r="VQB53" s="37"/>
      <c r="VQC53" s="37"/>
      <c r="VQD53" s="37"/>
      <c r="VQE53" s="37"/>
      <c r="VQF53" s="37"/>
      <c r="VQG53" s="37"/>
      <c r="VQH53" s="37"/>
      <c r="VQI53" s="37"/>
      <c r="VQJ53" s="37"/>
      <c r="VQK53" s="37"/>
      <c r="VQL53" s="37"/>
      <c r="VQM53" s="37"/>
      <c r="VQN53" s="37"/>
      <c r="VQO53" s="37"/>
      <c r="VQP53" s="37"/>
      <c r="VQQ53" s="37"/>
      <c r="VQR53" s="37"/>
      <c r="VQS53" s="37"/>
      <c r="VQT53" s="37"/>
      <c r="VQU53" s="37"/>
      <c r="VQV53" s="37"/>
      <c r="VQW53" s="37"/>
      <c r="VQX53" s="37"/>
      <c r="VQY53" s="37"/>
      <c r="VQZ53" s="37"/>
      <c r="VRA53" s="37"/>
      <c r="VRB53" s="37"/>
      <c r="VRC53" s="37"/>
      <c r="VRD53" s="37"/>
      <c r="VRE53" s="37"/>
      <c r="VRF53" s="37"/>
      <c r="VRG53" s="37"/>
      <c r="VRH53" s="37"/>
      <c r="VRI53" s="37"/>
      <c r="VRJ53" s="37"/>
      <c r="VRK53" s="37"/>
      <c r="VRL53" s="37"/>
      <c r="VRM53" s="37"/>
      <c r="VRN53" s="37"/>
      <c r="VRO53" s="37"/>
      <c r="VRP53" s="37"/>
      <c r="VRQ53" s="37"/>
      <c r="VRR53" s="37"/>
      <c r="VRS53" s="37"/>
      <c r="VRT53" s="37"/>
      <c r="VRU53" s="37"/>
      <c r="VRV53" s="37"/>
      <c r="VRW53" s="37"/>
      <c r="VRX53" s="37"/>
      <c r="VRY53" s="37"/>
      <c r="VRZ53" s="37"/>
      <c r="VSA53" s="37"/>
      <c r="VSB53" s="37"/>
      <c r="VSC53" s="37"/>
      <c r="VSD53" s="37"/>
      <c r="VSE53" s="37"/>
      <c r="VSF53" s="37"/>
      <c r="VSG53" s="37"/>
      <c r="VSH53" s="37"/>
      <c r="VSI53" s="37"/>
      <c r="VSJ53" s="37"/>
      <c r="VSK53" s="37"/>
      <c r="VSL53" s="37"/>
      <c r="VSM53" s="37"/>
      <c r="VSN53" s="37"/>
      <c r="VSO53" s="37"/>
      <c r="VSP53" s="37"/>
      <c r="VSQ53" s="37"/>
      <c r="VSR53" s="37"/>
      <c r="VSS53" s="37"/>
      <c r="VST53" s="37"/>
      <c r="VSU53" s="37"/>
      <c r="VSV53" s="37"/>
      <c r="VSW53" s="37"/>
      <c r="VSX53" s="37"/>
      <c r="VSY53" s="37"/>
      <c r="VSZ53" s="37"/>
      <c r="VTA53" s="37"/>
      <c r="VTB53" s="37"/>
      <c r="VTC53" s="37"/>
      <c r="VTD53" s="37"/>
      <c r="VTE53" s="37"/>
      <c r="VTF53" s="37"/>
      <c r="VTG53" s="37"/>
      <c r="VTH53" s="37"/>
      <c r="VTI53" s="37"/>
      <c r="VTJ53" s="37"/>
      <c r="VTK53" s="37"/>
      <c r="VTL53" s="37"/>
      <c r="VTM53" s="37"/>
      <c r="VTN53" s="37"/>
      <c r="VTO53" s="37"/>
      <c r="VTP53" s="37"/>
      <c r="VTQ53" s="37"/>
      <c r="VTR53" s="37"/>
      <c r="VTS53" s="37"/>
      <c r="VTT53" s="37"/>
      <c r="VTU53" s="37"/>
      <c r="VTV53" s="37"/>
      <c r="VTW53" s="37"/>
      <c r="VTX53" s="37"/>
      <c r="VTY53" s="37"/>
      <c r="VTZ53" s="37"/>
      <c r="VUA53" s="37"/>
      <c r="VUB53" s="37"/>
      <c r="VUC53" s="37"/>
      <c r="VUD53" s="37"/>
      <c r="VUE53" s="37"/>
      <c r="VUF53" s="37"/>
      <c r="VUG53" s="37"/>
      <c r="VUH53" s="37"/>
      <c r="VUI53" s="37"/>
      <c r="VUJ53" s="37"/>
      <c r="VUK53" s="37"/>
      <c r="VUL53" s="37"/>
      <c r="VUM53" s="37"/>
      <c r="VUN53" s="37"/>
      <c r="VUO53" s="37"/>
      <c r="VUP53" s="37"/>
      <c r="VUQ53" s="37"/>
      <c r="VUR53" s="37"/>
      <c r="VUS53" s="37"/>
      <c r="VUT53" s="37"/>
      <c r="VUU53" s="37"/>
      <c r="VUV53" s="37"/>
      <c r="VUW53" s="37"/>
      <c r="VUX53" s="37"/>
      <c r="VUY53" s="37"/>
      <c r="VUZ53" s="37"/>
      <c r="VVA53" s="37"/>
      <c r="VVB53" s="37"/>
      <c r="VVC53" s="37"/>
      <c r="VVD53" s="37"/>
      <c r="VVE53" s="37"/>
      <c r="VVF53" s="37"/>
      <c r="VVG53" s="37"/>
      <c r="VVH53" s="37"/>
      <c r="VVI53" s="37"/>
      <c r="VVJ53" s="37"/>
      <c r="VVK53" s="37"/>
      <c r="VVL53" s="37"/>
      <c r="VVM53" s="37"/>
      <c r="VVN53" s="37"/>
      <c r="VVO53" s="37"/>
      <c r="VVP53" s="37"/>
      <c r="VVQ53" s="37"/>
      <c r="VVR53" s="37"/>
      <c r="VVS53" s="37"/>
      <c r="VVT53" s="37"/>
      <c r="VVU53" s="37"/>
      <c r="VVV53" s="37"/>
      <c r="VVW53" s="37"/>
      <c r="VVX53" s="37"/>
      <c r="VVY53" s="37"/>
      <c r="VVZ53" s="37"/>
      <c r="VWA53" s="37"/>
      <c r="VWB53" s="37"/>
      <c r="VWC53" s="37"/>
      <c r="VWD53" s="37"/>
      <c r="VWE53" s="37"/>
      <c r="VWF53" s="37"/>
      <c r="VWG53" s="37"/>
      <c r="VWH53" s="37"/>
      <c r="VWI53" s="37"/>
      <c r="VWJ53" s="37"/>
      <c r="VWK53" s="37"/>
      <c r="VWL53" s="37"/>
      <c r="VWM53" s="37"/>
      <c r="VWN53" s="37"/>
      <c r="VWO53" s="37"/>
      <c r="VWP53" s="37"/>
      <c r="VWQ53" s="37"/>
      <c r="VWR53" s="37"/>
      <c r="VWS53" s="37"/>
      <c r="VWT53" s="37"/>
      <c r="VWU53" s="37"/>
      <c r="VWV53" s="37"/>
      <c r="VWW53" s="37"/>
      <c r="VWX53" s="37"/>
      <c r="VWY53" s="37"/>
      <c r="VWZ53" s="37"/>
      <c r="VXA53" s="37"/>
      <c r="VXB53" s="37"/>
      <c r="VXC53" s="37"/>
      <c r="VXD53" s="37"/>
      <c r="VXE53" s="37"/>
      <c r="VXF53" s="37"/>
      <c r="VXG53" s="37"/>
      <c r="VXH53" s="37"/>
      <c r="VXI53" s="37"/>
      <c r="VXJ53" s="37"/>
      <c r="VXK53" s="37"/>
      <c r="VXL53" s="37"/>
      <c r="VXM53" s="37"/>
      <c r="VXN53" s="37"/>
      <c r="VXO53" s="37"/>
      <c r="VXP53" s="37"/>
      <c r="VXQ53" s="37"/>
      <c r="VXR53" s="37"/>
      <c r="VXS53" s="37"/>
      <c r="VXT53" s="37"/>
      <c r="VXU53" s="37"/>
      <c r="VXV53" s="37"/>
      <c r="VXW53" s="37"/>
      <c r="VXX53" s="37"/>
      <c r="VXY53" s="37"/>
      <c r="VXZ53" s="37"/>
      <c r="VYA53" s="37"/>
      <c r="VYB53" s="37"/>
      <c r="VYC53" s="37"/>
      <c r="VYD53" s="37"/>
      <c r="VYE53" s="37"/>
      <c r="VYF53" s="37"/>
      <c r="VYG53" s="37"/>
      <c r="VYH53" s="37"/>
      <c r="VYI53" s="37"/>
      <c r="VYJ53" s="37"/>
      <c r="VYK53" s="37"/>
      <c r="VYL53" s="37"/>
      <c r="VYM53" s="37"/>
      <c r="VYN53" s="37"/>
      <c r="VYO53" s="37"/>
      <c r="VYP53" s="37"/>
      <c r="VYQ53" s="37"/>
      <c r="VYR53" s="37"/>
      <c r="VYS53" s="37"/>
      <c r="VYT53" s="37"/>
      <c r="VYU53" s="37"/>
      <c r="VYV53" s="37"/>
      <c r="VYW53" s="37"/>
      <c r="VYX53" s="37"/>
      <c r="VYY53" s="37"/>
      <c r="VYZ53" s="37"/>
      <c r="VZA53" s="37"/>
      <c r="VZB53" s="37"/>
      <c r="VZC53" s="37"/>
      <c r="VZD53" s="37"/>
      <c r="VZE53" s="37"/>
      <c r="VZF53" s="37"/>
      <c r="VZG53" s="37"/>
      <c r="VZH53" s="37"/>
      <c r="VZI53" s="37"/>
      <c r="VZJ53" s="37"/>
      <c r="VZK53" s="37"/>
      <c r="VZL53" s="37"/>
      <c r="VZM53" s="37"/>
      <c r="VZN53" s="37"/>
      <c r="VZO53" s="37"/>
      <c r="VZP53" s="37"/>
      <c r="VZQ53" s="37"/>
      <c r="VZR53" s="37"/>
      <c r="VZS53" s="37"/>
      <c r="VZT53" s="37"/>
      <c r="VZU53" s="37"/>
      <c r="VZV53" s="37"/>
      <c r="VZW53" s="37"/>
      <c r="VZX53" s="37"/>
      <c r="VZY53" s="37"/>
      <c r="VZZ53" s="37"/>
      <c r="WAA53" s="37"/>
      <c r="WAB53" s="37"/>
      <c r="WAC53" s="37"/>
      <c r="WAD53" s="37"/>
      <c r="WAE53" s="37"/>
      <c r="WAF53" s="37"/>
      <c r="WAG53" s="37"/>
      <c r="WAH53" s="37"/>
      <c r="WAI53" s="37"/>
      <c r="WAJ53" s="37"/>
      <c r="WAK53" s="37"/>
      <c r="WAL53" s="37"/>
      <c r="WAM53" s="37"/>
      <c r="WAN53" s="37"/>
      <c r="WAO53" s="37"/>
      <c r="WAP53" s="37"/>
      <c r="WAQ53" s="37"/>
      <c r="WAR53" s="37"/>
      <c r="WAS53" s="37"/>
      <c r="WAT53" s="37"/>
      <c r="WAU53" s="37"/>
      <c r="WAV53" s="37"/>
      <c r="WAW53" s="37"/>
      <c r="WAX53" s="37"/>
      <c r="WAY53" s="37"/>
      <c r="WAZ53" s="37"/>
      <c r="WBA53" s="37"/>
      <c r="WBB53" s="37"/>
      <c r="WBC53" s="37"/>
      <c r="WBD53" s="37"/>
      <c r="WBE53" s="37"/>
      <c r="WBF53" s="37"/>
      <c r="WBG53" s="37"/>
      <c r="WBH53" s="37"/>
      <c r="WBI53" s="37"/>
      <c r="WBJ53" s="37"/>
      <c r="WBK53" s="37"/>
      <c r="WBL53" s="37"/>
      <c r="WBM53" s="37"/>
      <c r="WBN53" s="37"/>
      <c r="WBO53" s="37"/>
      <c r="WBP53" s="37"/>
      <c r="WBQ53" s="37"/>
      <c r="WBR53" s="37"/>
      <c r="WBS53" s="37"/>
      <c r="WBT53" s="37"/>
      <c r="WBU53" s="37"/>
      <c r="WBV53" s="37"/>
      <c r="WBW53" s="37"/>
      <c r="WBX53" s="37"/>
      <c r="WBY53" s="37"/>
      <c r="WBZ53" s="37"/>
      <c r="WCA53" s="37"/>
      <c r="WCB53" s="37"/>
      <c r="WCC53" s="37"/>
      <c r="WCD53" s="37"/>
      <c r="WCE53" s="37"/>
      <c r="WCF53" s="37"/>
      <c r="WCG53" s="37"/>
      <c r="WCH53" s="37"/>
      <c r="WCI53" s="37"/>
      <c r="WCJ53" s="37"/>
      <c r="WCK53" s="37"/>
      <c r="WCL53" s="37"/>
      <c r="WCM53" s="37"/>
      <c r="WCN53" s="37"/>
      <c r="WCO53" s="37"/>
      <c r="WCP53" s="37"/>
      <c r="WCQ53" s="37"/>
      <c r="WCR53" s="37"/>
      <c r="WCS53" s="37"/>
      <c r="WCT53" s="37"/>
      <c r="WCU53" s="37"/>
      <c r="WCV53" s="37"/>
      <c r="WCW53" s="37"/>
      <c r="WCX53" s="37"/>
      <c r="WCY53" s="37"/>
      <c r="WCZ53" s="37"/>
      <c r="WDA53" s="37"/>
      <c r="WDB53" s="37"/>
      <c r="WDC53" s="37"/>
      <c r="WDD53" s="37"/>
      <c r="WDE53" s="37"/>
      <c r="WDF53" s="37"/>
      <c r="WDG53" s="37"/>
      <c r="WDH53" s="37"/>
      <c r="WDI53" s="37"/>
      <c r="WDJ53" s="37"/>
      <c r="WDK53" s="37"/>
      <c r="WDL53" s="37"/>
      <c r="WDM53" s="37"/>
      <c r="WDN53" s="37"/>
      <c r="WDO53" s="37"/>
      <c r="WDP53" s="37"/>
      <c r="WDQ53" s="37"/>
      <c r="WDR53" s="37"/>
      <c r="WDS53" s="37"/>
      <c r="WDT53" s="37"/>
      <c r="WDU53" s="37"/>
      <c r="WDV53" s="37"/>
      <c r="WDW53" s="37"/>
      <c r="WDX53" s="37"/>
      <c r="WDY53" s="37"/>
      <c r="WDZ53" s="37"/>
      <c r="WEA53" s="37"/>
      <c r="WEB53" s="37"/>
      <c r="WEC53" s="37"/>
      <c r="WED53" s="37"/>
      <c r="WEE53" s="37"/>
      <c r="WEF53" s="37"/>
      <c r="WEG53" s="37"/>
      <c r="WEH53" s="37"/>
      <c r="WEI53" s="37"/>
      <c r="WEJ53" s="37"/>
      <c r="WEK53" s="37"/>
      <c r="WEL53" s="37"/>
      <c r="WEM53" s="37"/>
      <c r="WEN53" s="37"/>
      <c r="WEO53" s="37"/>
      <c r="WEP53" s="37"/>
      <c r="WEQ53" s="37"/>
      <c r="WER53" s="37"/>
      <c r="WES53" s="37"/>
      <c r="WET53" s="37"/>
      <c r="WEU53" s="37"/>
      <c r="WEV53" s="37"/>
      <c r="WEW53" s="37"/>
      <c r="WEX53" s="37"/>
      <c r="WEY53" s="37"/>
      <c r="WEZ53" s="37"/>
      <c r="WFA53" s="37"/>
      <c r="WFB53" s="37"/>
      <c r="WFC53" s="37"/>
      <c r="WFD53" s="37"/>
      <c r="WFE53" s="37"/>
      <c r="WFF53" s="37"/>
      <c r="WFG53" s="37"/>
      <c r="WFH53" s="37"/>
      <c r="WFI53" s="37"/>
      <c r="WFJ53" s="37"/>
      <c r="WFK53" s="37"/>
      <c r="WFL53" s="37"/>
      <c r="WFM53" s="37"/>
      <c r="WFN53" s="37"/>
      <c r="WFO53" s="37"/>
      <c r="WFP53" s="37"/>
      <c r="WFQ53" s="37"/>
      <c r="WFR53" s="37"/>
      <c r="WFS53" s="37"/>
      <c r="WFT53" s="37"/>
      <c r="WFU53" s="37"/>
      <c r="WFV53" s="37"/>
      <c r="WFW53" s="37"/>
      <c r="WFX53" s="37"/>
      <c r="WFY53" s="37"/>
      <c r="WFZ53" s="37"/>
      <c r="WGA53" s="37"/>
      <c r="WGB53" s="37"/>
      <c r="WGC53" s="37"/>
      <c r="WGD53" s="37"/>
      <c r="WGE53" s="37"/>
      <c r="WGF53" s="37"/>
      <c r="WGG53" s="37"/>
      <c r="WGH53" s="37"/>
      <c r="WGI53" s="37"/>
      <c r="WGJ53" s="37"/>
      <c r="WGK53" s="37"/>
      <c r="WGL53" s="37"/>
      <c r="WGM53" s="37"/>
      <c r="WGN53" s="37"/>
      <c r="WGO53" s="37"/>
      <c r="WGP53" s="37"/>
      <c r="WGQ53" s="37"/>
      <c r="WGR53" s="37"/>
      <c r="WGS53" s="37"/>
      <c r="WGT53" s="37"/>
      <c r="WGU53" s="37"/>
      <c r="WGV53" s="37"/>
      <c r="WGW53" s="37"/>
      <c r="WGX53" s="37"/>
      <c r="WGY53" s="37"/>
      <c r="WGZ53" s="37"/>
      <c r="WHA53" s="37"/>
      <c r="WHB53" s="37"/>
      <c r="WHC53" s="37"/>
      <c r="WHD53" s="37"/>
      <c r="WHE53" s="37"/>
      <c r="WHF53" s="37"/>
      <c r="WHG53" s="37"/>
      <c r="WHH53" s="37"/>
      <c r="WHI53" s="37"/>
      <c r="WHJ53" s="37"/>
      <c r="WHK53" s="37"/>
      <c r="WHL53" s="37"/>
      <c r="WHM53" s="37"/>
      <c r="WHN53" s="37"/>
      <c r="WHO53" s="37"/>
      <c r="WHP53" s="37"/>
      <c r="WHQ53" s="37"/>
      <c r="WHR53" s="37"/>
      <c r="WHS53" s="37"/>
      <c r="WHT53" s="37"/>
      <c r="WHU53" s="37"/>
      <c r="WHV53" s="37"/>
      <c r="WHW53" s="37"/>
      <c r="WHX53" s="37"/>
      <c r="WHY53" s="37"/>
      <c r="WHZ53" s="37"/>
      <c r="WIA53" s="37"/>
      <c r="WIB53" s="37"/>
      <c r="WIC53" s="37"/>
      <c r="WID53" s="37"/>
      <c r="WIE53" s="37"/>
      <c r="WIF53" s="37"/>
      <c r="WIG53" s="37"/>
      <c r="WIH53" s="37"/>
      <c r="WII53" s="37"/>
      <c r="WIJ53" s="37"/>
      <c r="WIK53" s="37"/>
      <c r="WIL53" s="37"/>
      <c r="WIM53" s="37"/>
      <c r="WIN53" s="37"/>
      <c r="WIO53" s="37"/>
      <c r="WIP53" s="37"/>
      <c r="WIQ53" s="37"/>
      <c r="WIR53" s="37"/>
      <c r="WIS53" s="37"/>
      <c r="WIT53" s="37"/>
      <c r="WIU53" s="37"/>
      <c r="WIV53" s="37"/>
      <c r="WIW53" s="37"/>
      <c r="WIX53" s="37"/>
      <c r="WIY53" s="37"/>
      <c r="WIZ53" s="37"/>
      <c r="WJA53" s="37"/>
      <c r="WJB53" s="37"/>
      <c r="WJC53" s="37"/>
      <c r="WJD53" s="37"/>
      <c r="WJE53" s="37"/>
      <c r="WJF53" s="37"/>
      <c r="WJG53" s="37"/>
      <c r="WJH53" s="37"/>
      <c r="WJI53" s="37"/>
      <c r="WJJ53" s="37"/>
      <c r="WJK53" s="37"/>
      <c r="WJL53" s="37"/>
      <c r="WJM53" s="37"/>
      <c r="WJN53" s="37"/>
      <c r="WJO53" s="37"/>
      <c r="WJP53" s="37"/>
      <c r="WJQ53" s="37"/>
      <c r="WJR53" s="37"/>
      <c r="WJS53" s="37"/>
      <c r="WJT53" s="37"/>
      <c r="WJU53" s="37"/>
      <c r="WJV53" s="37"/>
      <c r="WJW53" s="37"/>
      <c r="WJX53" s="37"/>
      <c r="WJY53" s="37"/>
      <c r="WJZ53" s="37"/>
      <c r="WKA53" s="37"/>
      <c r="WKB53" s="37"/>
      <c r="WKC53" s="37"/>
      <c r="WKD53" s="37"/>
      <c r="WKE53" s="37"/>
      <c r="WKF53" s="37"/>
      <c r="WKG53" s="37"/>
      <c r="WKH53" s="37"/>
      <c r="WKI53" s="37"/>
      <c r="WKJ53" s="37"/>
      <c r="WKK53" s="37"/>
      <c r="WKL53" s="37"/>
      <c r="WKM53" s="37"/>
      <c r="WKN53" s="37"/>
      <c r="WKO53" s="37"/>
      <c r="WKP53" s="37"/>
      <c r="WKQ53" s="37"/>
      <c r="WKR53" s="37"/>
      <c r="WKS53" s="37"/>
      <c r="WKT53" s="37"/>
      <c r="WKU53" s="37"/>
      <c r="WKV53" s="37"/>
      <c r="WKW53" s="37"/>
      <c r="WKX53" s="37"/>
      <c r="WKY53" s="37"/>
      <c r="WKZ53" s="37"/>
      <c r="WLA53" s="37"/>
      <c r="WLB53" s="37"/>
      <c r="WLC53" s="37"/>
      <c r="WLD53" s="37"/>
      <c r="WLE53" s="37"/>
      <c r="WLF53" s="37"/>
      <c r="WLG53" s="37"/>
      <c r="WLH53" s="37"/>
      <c r="WLI53" s="37"/>
      <c r="WLJ53" s="37"/>
      <c r="WLK53" s="37"/>
      <c r="WLL53" s="37"/>
      <c r="WLM53" s="37"/>
      <c r="WLN53" s="37"/>
      <c r="WLO53" s="37"/>
      <c r="WLP53" s="37"/>
      <c r="WLQ53" s="37"/>
      <c r="WLR53" s="37"/>
      <c r="WLS53" s="37"/>
      <c r="WLT53" s="37"/>
      <c r="WLU53" s="37"/>
      <c r="WLV53" s="37"/>
      <c r="WLW53" s="37"/>
      <c r="WLX53" s="37"/>
      <c r="WLY53" s="37"/>
      <c r="WLZ53" s="37"/>
      <c r="WMA53" s="37"/>
      <c r="WMB53" s="37"/>
      <c r="WMC53" s="37"/>
      <c r="WMD53" s="37"/>
      <c r="WME53" s="37"/>
      <c r="WMF53" s="37"/>
      <c r="WMG53" s="37"/>
      <c r="WMH53" s="37"/>
      <c r="WMI53" s="37"/>
      <c r="WMJ53" s="37"/>
      <c r="WMK53" s="37"/>
      <c r="WML53" s="37"/>
      <c r="WMM53" s="37"/>
      <c r="WMN53" s="37"/>
      <c r="WMO53" s="37"/>
      <c r="WMP53" s="37"/>
      <c r="WMQ53" s="37"/>
      <c r="WMR53" s="37"/>
      <c r="WMS53" s="37"/>
      <c r="WMT53" s="37"/>
      <c r="WMU53" s="37"/>
      <c r="WMV53" s="37"/>
      <c r="WMW53" s="37"/>
      <c r="WMX53" s="37"/>
      <c r="WMY53" s="37"/>
      <c r="WMZ53" s="37"/>
      <c r="WNA53" s="37"/>
      <c r="WNB53" s="37"/>
      <c r="WNC53" s="37"/>
      <c r="WND53" s="37"/>
      <c r="WNE53" s="37"/>
      <c r="WNF53" s="37"/>
      <c r="WNG53" s="37"/>
      <c r="WNH53" s="37"/>
      <c r="WNI53" s="37"/>
      <c r="WNJ53" s="37"/>
      <c r="WNK53" s="37"/>
      <c r="WNL53" s="37"/>
      <c r="WNM53" s="37"/>
      <c r="WNN53" s="37"/>
      <c r="WNO53" s="37"/>
      <c r="WNP53" s="37"/>
      <c r="WNQ53" s="37"/>
      <c r="WNR53" s="37"/>
      <c r="WNS53" s="37"/>
      <c r="WNT53" s="37"/>
      <c r="WNU53" s="37"/>
      <c r="WNV53" s="37"/>
      <c r="WNW53" s="37"/>
      <c r="WNX53" s="37"/>
      <c r="WNY53" s="37"/>
      <c r="WNZ53" s="37"/>
      <c r="WOA53" s="37"/>
      <c r="WOB53" s="37"/>
      <c r="WOC53" s="37"/>
      <c r="WOD53" s="37"/>
      <c r="WOE53" s="37"/>
      <c r="WOF53" s="37"/>
      <c r="WOG53" s="37"/>
      <c r="WOH53" s="37"/>
      <c r="WOI53" s="37"/>
      <c r="WOJ53" s="37"/>
      <c r="WOK53" s="37"/>
      <c r="WOL53" s="37"/>
      <c r="WOM53" s="37"/>
      <c r="WON53" s="37"/>
      <c r="WOO53" s="37"/>
      <c r="WOP53" s="37"/>
      <c r="WOQ53" s="37"/>
      <c r="WOR53" s="37"/>
      <c r="WOS53" s="37"/>
      <c r="WOT53" s="37"/>
      <c r="WOU53" s="37"/>
      <c r="WOV53" s="37"/>
      <c r="WOW53" s="37"/>
      <c r="WOX53" s="37"/>
      <c r="WOY53" s="37"/>
      <c r="WOZ53" s="37"/>
      <c r="WPA53" s="37"/>
      <c r="WPB53" s="37"/>
      <c r="WPC53" s="37"/>
      <c r="WPD53" s="37"/>
      <c r="WPE53" s="37"/>
      <c r="WPF53" s="37"/>
      <c r="WPG53" s="37"/>
      <c r="WPH53" s="37"/>
      <c r="WPI53" s="37"/>
      <c r="WPJ53" s="37"/>
      <c r="WPK53" s="37"/>
      <c r="WPL53" s="37"/>
      <c r="WPM53" s="37"/>
      <c r="WPN53" s="37"/>
      <c r="WPO53" s="37"/>
      <c r="WPP53" s="37"/>
      <c r="WPQ53" s="37"/>
      <c r="WPR53" s="37"/>
      <c r="WPS53" s="37"/>
      <c r="WPT53" s="37"/>
      <c r="WPU53" s="37"/>
      <c r="WPV53" s="37"/>
      <c r="WPW53" s="37"/>
      <c r="WPX53" s="37"/>
      <c r="WPY53" s="37"/>
      <c r="WPZ53" s="37"/>
      <c r="WQA53" s="37"/>
      <c r="WQB53" s="37"/>
      <c r="WQC53" s="37"/>
      <c r="WQD53" s="37"/>
      <c r="WQE53" s="37"/>
      <c r="WQF53" s="37"/>
      <c r="WQG53" s="37"/>
      <c r="WQH53" s="37"/>
      <c r="WQI53" s="37"/>
      <c r="WQJ53" s="37"/>
      <c r="WQK53" s="37"/>
      <c r="WQL53" s="37"/>
      <c r="WQM53" s="37"/>
      <c r="WQN53" s="37"/>
      <c r="WQO53" s="37"/>
      <c r="WQP53" s="37"/>
      <c r="WQQ53" s="37"/>
      <c r="WQR53" s="37"/>
      <c r="WQS53" s="37"/>
      <c r="WQT53" s="37"/>
      <c r="WQU53" s="37"/>
      <c r="WQV53" s="37"/>
      <c r="WQW53" s="37"/>
      <c r="WQX53" s="37"/>
      <c r="WQY53" s="37"/>
      <c r="WQZ53" s="37"/>
      <c r="WRA53" s="37"/>
      <c r="WRB53" s="37"/>
      <c r="WRC53" s="37"/>
      <c r="WRD53" s="37"/>
      <c r="WRE53" s="37"/>
      <c r="WRF53" s="37"/>
      <c r="WRG53" s="37"/>
      <c r="WRH53" s="37"/>
      <c r="WRI53" s="37"/>
      <c r="WRJ53" s="37"/>
      <c r="WRK53" s="37"/>
      <c r="WRL53" s="37"/>
      <c r="WRM53" s="37"/>
      <c r="WRN53" s="37"/>
      <c r="WRO53" s="37"/>
      <c r="WRP53" s="37"/>
      <c r="WRQ53" s="37"/>
      <c r="WRR53" s="37"/>
      <c r="WRS53" s="37"/>
      <c r="WRT53" s="37"/>
      <c r="WRU53" s="37"/>
      <c r="WRV53" s="37"/>
      <c r="WRW53" s="37"/>
      <c r="WRX53" s="37"/>
      <c r="WRY53" s="37"/>
      <c r="WRZ53" s="37"/>
      <c r="WSA53" s="37"/>
      <c r="WSB53" s="37"/>
      <c r="WSC53" s="37"/>
      <c r="WSD53" s="37"/>
      <c r="WSE53" s="37"/>
      <c r="WSF53" s="37"/>
      <c r="WSG53" s="37"/>
      <c r="WSH53" s="37"/>
      <c r="WSI53" s="37"/>
      <c r="WSJ53" s="37"/>
      <c r="WSK53" s="37"/>
      <c r="WSL53" s="37"/>
      <c r="WSM53" s="37"/>
      <c r="WSN53" s="37"/>
      <c r="WSO53" s="37"/>
      <c r="WSP53" s="37"/>
      <c r="WSQ53" s="37"/>
      <c r="WSR53" s="37"/>
      <c r="WSS53" s="37"/>
      <c r="WST53" s="37"/>
      <c r="WSU53" s="37"/>
      <c r="WSV53" s="37"/>
      <c r="WSW53" s="37"/>
      <c r="WSX53" s="37"/>
      <c r="WSY53" s="37"/>
      <c r="WSZ53" s="37"/>
      <c r="WTA53" s="37"/>
      <c r="WTB53" s="37"/>
      <c r="WTC53" s="37"/>
      <c r="WTD53" s="37"/>
      <c r="WTE53" s="37"/>
      <c r="WTF53" s="37"/>
      <c r="WTG53" s="37"/>
      <c r="WTH53" s="37"/>
      <c r="WTI53" s="37"/>
      <c r="WTJ53" s="37"/>
      <c r="WTK53" s="37"/>
      <c r="WTL53" s="37"/>
      <c r="WTM53" s="37"/>
      <c r="WTN53" s="37"/>
      <c r="WTO53" s="37"/>
      <c r="WTP53" s="37"/>
      <c r="WTQ53" s="37"/>
      <c r="WTR53" s="37"/>
      <c r="WTS53" s="37"/>
      <c r="WTT53" s="37"/>
      <c r="WTU53" s="37"/>
      <c r="WTV53" s="37"/>
      <c r="WTW53" s="37"/>
      <c r="WTX53" s="37"/>
      <c r="WTY53" s="37"/>
      <c r="WTZ53" s="37"/>
      <c r="WUA53" s="37"/>
      <c r="WUB53" s="37"/>
      <c r="WUC53" s="37"/>
      <c r="WUD53" s="37"/>
      <c r="WUE53" s="37"/>
      <c r="WUF53" s="37"/>
      <c r="WUG53" s="37"/>
      <c r="WUH53" s="37"/>
      <c r="WUI53" s="37"/>
      <c r="WUJ53" s="37"/>
      <c r="WUK53" s="37"/>
      <c r="WUL53" s="37"/>
      <c r="WUM53" s="37"/>
      <c r="WUN53" s="37"/>
      <c r="WUO53" s="37"/>
      <c r="WUP53" s="37"/>
      <c r="WUQ53" s="37"/>
      <c r="WUR53" s="37"/>
      <c r="WUS53" s="37"/>
      <c r="WUT53" s="37"/>
      <c r="WUU53" s="37"/>
      <c r="WUV53" s="37"/>
      <c r="WUW53" s="37"/>
      <c r="WUX53" s="37"/>
      <c r="WUY53" s="37"/>
      <c r="WUZ53" s="37"/>
      <c r="WVA53" s="37"/>
      <c r="WVB53" s="37"/>
      <c r="WVC53" s="37"/>
      <c r="WVD53" s="37"/>
      <c r="WVE53" s="37"/>
      <c r="WVF53" s="37"/>
      <c r="WVG53" s="37"/>
      <c r="WVH53" s="37"/>
      <c r="WVI53" s="37"/>
      <c r="WVJ53" s="37"/>
      <c r="WVK53" s="37"/>
      <c r="WVL53" s="37"/>
      <c r="WVM53" s="37"/>
      <c r="WVN53" s="37"/>
      <c r="WVO53" s="37"/>
      <c r="WVP53" s="37"/>
      <c r="WVQ53" s="37"/>
      <c r="WVR53" s="37"/>
      <c r="WVS53" s="37"/>
      <c r="WVT53" s="37"/>
      <c r="WVU53" s="37"/>
      <c r="WVV53" s="37"/>
      <c r="WVW53" s="37"/>
      <c r="WVX53" s="37"/>
      <c r="WVY53" s="37"/>
      <c r="WVZ53" s="37"/>
      <c r="WWA53" s="37"/>
      <c r="WWB53" s="37"/>
      <c r="WWC53" s="37"/>
      <c r="WWD53" s="37"/>
      <c r="WWE53" s="37"/>
      <c r="WWF53" s="37"/>
      <c r="WWG53" s="37"/>
      <c r="WWH53" s="37"/>
      <c r="WWI53" s="37"/>
      <c r="WWJ53" s="37"/>
      <c r="WWK53" s="37"/>
      <c r="WWL53" s="37"/>
      <c r="WWM53" s="37"/>
      <c r="WWN53" s="37"/>
      <c r="WWO53" s="37"/>
      <c r="WWP53" s="37"/>
      <c r="WWQ53" s="37"/>
      <c r="WWR53" s="37"/>
      <c r="WWS53" s="37"/>
      <c r="WWT53" s="37"/>
      <c r="WWU53" s="37"/>
      <c r="WWV53" s="37"/>
      <c r="WWW53" s="37"/>
      <c r="WWX53" s="37"/>
      <c r="WWY53" s="37"/>
      <c r="WWZ53" s="37"/>
      <c r="WXA53" s="37"/>
      <c r="WXB53" s="37"/>
      <c r="WXC53" s="37"/>
      <c r="WXD53" s="37"/>
      <c r="WXE53" s="37"/>
      <c r="WXF53" s="37"/>
      <c r="WXG53" s="37"/>
      <c r="WXH53" s="37"/>
      <c r="WXI53" s="37"/>
      <c r="WXJ53" s="37"/>
      <c r="WXK53" s="37"/>
      <c r="WXL53" s="37"/>
      <c r="WXM53" s="37"/>
      <c r="WXN53" s="37"/>
      <c r="WXO53" s="37"/>
      <c r="WXP53" s="37"/>
      <c r="WXQ53" s="37"/>
      <c r="WXR53" s="37"/>
      <c r="WXS53" s="37"/>
      <c r="WXT53" s="37"/>
      <c r="WXU53" s="37"/>
      <c r="WXV53" s="37"/>
      <c r="WXW53" s="37"/>
      <c r="WXX53" s="37"/>
      <c r="WXY53" s="37"/>
      <c r="WXZ53" s="37"/>
      <c r="WYA53" s="37"/>
      <c r="WYB53" s="37"/>
      <c r="WYC53" s="37"/>
      <c r="WYD53" s="37"/>
      <c r="WYE53" s="37"/>
      <c r="WYF53" s="37"/>
      <c r="WYG53" s="37"/>
      <c r="WYH53" s="37"/>
      <c r="WYI53" s="37"/>
      <c r="WYJ53" s="37"/>
      <c r="WYK53" s="37"/>
      <c r="WYL53" s="37"/>
      <c r="WYM53" s="37"/>
      <c r="WYN53" s="37"/>
      <c r="WYO53" s="37"/>
      <c r="WYP53" s="37"/>
      <c r="WYQ53" s="37"/>
      <c r="WYR53" s="37"/>
      <c r="WYS53" s="37"/>
      <c r="WYT53" s="37"/>
      <c r="WYU53" s="37"/>
      <c r="WYV53" s="37"/>
      <c r="WYW53" s="37"/>
      <c r="WYX53" s="37"/>
      <c r="WYY53" s="37"/>
      <c r="WYZ53" s="37"/>
      <c r="WZA53" s="37"/>
      <c r="WZB53" s="37"/>
      <c r="WZC53" s="37"/>
      <c r="WZD53" s="37"/>
      <c r="WZE53" s="37"/>
      <c r="WZF53" s="37"/>
      <c r="WZG53" s="37"/>
      <c r="WZH53" s="37"/>
      <c r="WZI53" s="37"/>
      <c r="WZJ53" s="37"/>
      <c r="WZK53" s="37"/>
      <c r="WZL53" s="37"/>
      <c r="WZM53" s="37"/>
      <c r="WZN53" s="37"/>
      <c r="WZO53" s="37"/>
      <c r="WZP53" s="37"/>
      <c r="WZQ53" s="37"/>
      <c r="WZR53" s="37"/>
      <c r="WZS53" s="37"/>
      <c r="WZT53" s="37"/>
      <c r="WZU53" s="37"/>
      <c r="WZV53" s="37"/>
      <c r="WZW53" s="37"/>
      <c r="WZX53" s="37"/>
      <c r="WZY53" s="37"/>
      <c r="WZZ53" s="37"/>
      <c r="XAA53" s="37"/>
      <c r="XAB53" s="37"/>
      <c r="XAC53" s="37"/>
      <c r="XAD53" s="37"/>
      <c r="XAE53" s="37"/>
      <c r="XAF53" s="37"/>
      <c r="XAG53" s="37"/>
      <c r="XAH53" s="37"/>
      <c r="XAI53" s="37"/>
      <c r="XAJ53" s="37"/>
      <c r="XAK53" s="37"/>
      <c r="XAL53" s="37"/>
      <c r="XAM53" s="37"/>
      <c r="XAN53" s="37"/>
      <c r="XAO53" s="37"/>
      <c r="XAP53" s="37"/>
      <c r="XAQ53" s="37"/>
      <c r="XAR53" s="37"/>
      <c r="XAS53" s="37"/>
      <c r="XAT53" s="37"/>
      <c r="XAU53" s="37"/>
      <c r="XAV53" s="37"/>
      <c r="XAW53" s="37"/>
      <c r="XAX53" s="37"/>
      <c r="XAY53" s="37"/>
      <c r="XAZ53" s="37"/>
      <c r="XBA53" s="37"/>
      <c r="XBB53" s="37"/>
      <c r="XBC53" s="37"/>
      <c r="XBD53" s="37"/>
      <c r="XBE53" s="37"/>
      <c r="XBF53" s="37"/>
      <c r="XBG53" s="37"/>
      <c r="XBH53" s="37"/>
      <c r="XBI53" s="37"/>
      <c r="XBJ53" s="37"/>
      <c r="XBK53" s="37"/>
      <c r="XBL53" s="37"/>
      <c r="XBM53" s="37"/>
      <c r="XBN53" s="37"/>
      <c r="XBO53" s="37"/>
      <c r="XBP53" s="37"/>
      <c r="XBQ53" s="37"/>
      <c r="XBR53" s="37"/>
      <c r="XBS53" s="37"/>
      <c r="XBT53" s="37"/>
      <c r="XBU53" s="37"/>
      <c r="XBV53" s="37"/>
      <c r="XBW53" s="37"/>
      <c r="XBX53" s="37"/>
      <c r="XBY53" s="37"/>
      <c r="XBZ53" s="37"/>
      <c r="XCA53" s="37"/>
      <c r="XCB53" s="37"/>
      <c r="XCC53" s="37"/>
      <c r="XCD53" s="37"/>
      <c r="XCE53" s="37"/>
      <c r="XCF53" s="37"/>
      <c r="XCG53" s="37"/>
      <c r="XCH53" s="37"/>
      <c r="XCI53" s="37"/>
      <c r="XCJ53" s="37"/>
      <c r="XCK53" s="37"/>
      <c r="XCL53" s="37"/>
      <c r="XCM53" s="37"/>
      <c r="XCN53" s="37"/>
      <c r="XCO53" s="37"/>
      <c r="XCP53" s="37"/>
      <c r="XCQ53" s="37"/>
      <c r="XCR53" s="37"/>
      <c r="XCS53" s="37"/>
      <c r="XCT53" s="37"/>
      <c r="XCU53" s="37"/>
      <c r="XCV53" s="37"/>
      <c r="XCW53" s="37"/>
      <c r="XCX53" s="37"/>
      <c r="XCY53" s="37"/>
      <c r="XCZ53" s="37"/>
      <c r="XDA53" s="37"/>
      <c r="XDB53" s="37"/>
      <c r="XDC53" s="37"/>
      <c r="XDD53" s="37"/>
      <c r="XDE53" s="37"/>
      <c r="XDF53" s="37"/>
      <c r="XDG53" s="37"/>
      <c r="XDH53" s="37"/>
      <c r="XDI53" s="37"/>
      <c r="XDJ53" s="37"/>
      <c r="XDK53" s="37"/>
      <c r="XDL53" s="37"/>
      <c r="XDM53" s="37"/>
      <c r="XDN53" s="37"/>
      <c r="XDO53" s="37"/>
      <c r="XDP53" s="37"/>
      <c r="XDQ53" s="37"/>
      <c r="XDR53" s="37"/>
      <c r="XDS53" s="37"/>
      <c r="XDT53" s="37"/>
      <c r="XDU53" s="37"/>
      <c r="XDV53" s="37"/>
      <c r="XDW53" s="37"/>
      <c r="XDX53" s="37"/>
      <c r="XDY53" s="37"/>
      <c r="XDZ53" s="37"/>
      <c r="XEA53" s="37"/>
      <c r="XEB53" s="37"/>
      <c r="XEC53" s="37"/>
      <c r="XED53" s="37"/>
      <c r="XEE53" s="37"/>
      <c r="XEF53" s="37"/>
      <c r="XEG53" s="37"/>
      <c r="XEH53" s="37"/>
      <c r="XEI53" s="37"/>
      <c r="XEJ53" s="37"/>
      <c r="XEK53" s="37"/>
      <c r="XEL53" s="37"/>
      <c r="XEM53" s="37"/>
      <c r="XEN53" s="37"/>
      <c r="XEO53" s="37"/>
      <c r="XEP53" s="37"/>
      <c r="XEQ53" s="37"/>
      <c r="XER53" s="37"/>
      <c r="XES53" s="37"/>
      <c r="XET53" s="37"/>
      <c r="XEU53" s="37"/>
      <c r="XEV53" s="37"/>
      <c r="XEW53" s="37"/>
      <c r="XEX53" s="37"/>
      <c r="XEY53" s="37"/>
      <c r="XEZ53" s="37"/>
      <c r="XFA53" s="37"/>
    </row>
    <row r="54" spans="1:16381" ht="12.75" customHeight="1" x14ac:dyDescent="0.2">
      <c r="A54" s="37" t="s">
        <v>316</v>
      </c>
    </row>
    <row r="55" spans="1:16381" ht="12.75" customHeight="1" x14ac:dyDescent="0.2">
      <c r="A55" s="37" t="s">
        <v>963</v>
      </c>
    </row>
    <row r="56" spans="1:16381" x14ac:dyDescent="0.2">
      <c r="A56" s="254" t="s">
        <v>886</v>
      </c>
      <c r="B56" s="3"/>
      <c r="C56" s="3"/>
      <c r="D56" s="3"/>
      <c r="G56" s="185"/>
      <c r="J56" s="185"/>
    </row>
    <row r="58" spans="1:16381" ht="17.25" customHeight="1" x14ac:dyDescent="0.25">
      <c r="A58" s="10" t="s">
        <v>887</v>
      </c>
    </row>
    <row r="59" spans="1:16381" ht="12.75" customHeight="1" thickBot="1" x14ac:dyDescent="0.25">
      <c r="O59" s="25" t="s">
        <v>99</v>
      </c>
    </row>
    <row r="60" spans="1:16381" ht="13.5" customHeight="1" x14ac:dyDescent="0.2">
      <c r="A60" s="19" t="s">
        <v>885</v>
      </c>
      <c r="B60" s="20" t="s">
        <v>35</v>
      </c>
      <c r="C60" s="20" t="s">
        <v>121</v>
      </c>
      <c r="D60" s="20" t="s">
        <v>123</v>
      </c>
      <c r="E60" s="20" t="s">
        <v>36</v>
      </c>
      <c r="F60" s="20" t="s">
        <v>37</v>
      </c>
      <c r="G60" s="20" t="s">
        <v>38</v>
      </c>
      <c r="H60" s="20" t="s">
        <v>39</v>
      </c>
      <c r="I60" s="20" t="s">
        <v>125</v>
      </c>
      <c r="J60" s="20" t="s">
        <v>126</v>
      </c>
      <c r="K60" s="20" t="s">
        <v>127</v>
      </c>
      <c r="L60" s="216">
        <v>100000</v>
      </c>
      <c r="M60" s="21" t="s">
        <v>228</v>
      </c>
      <c r="N60" s="21" t="s">
        <v>228</v>
      </c>
      <c r="O60" s="21" t="s">
        <v>77</v>
      </c>
    </row>
    <row r="61" spans="1:16381" ht="13.5" customHeight="1" x14ac:dyDescent="0.2">
      <c r="A61" s="18" t="s">
        <v>198</v>
      </c>
      <c r="B61" s="22" t="s">
        <v>120</v>
      </c>
      <c r="C61" s="22" t="s">
        <v>40</v>
      </c>
      <c r="D61" s="22" t="s">
        <v>40</v>
      </c>
      <c r="E61" s="22" t="s">
        <v>40</v>
      </c>
      <c r="F61" s="22" t="s">
        <v>40</v>
      </c>
      <c r="G61" s="22" t="s">
        <v>40</v>
      </c>
      <c r="H61" s="22" t="s">
        <v>40</v>
      </c>
      <c r="I61" s="22" t="s">
        <v>40</v>
      </c>
      <c r="J61" s="22" t="s">
        <v>40</v>
      </c>
      <c r="K61" s="22" t="s">
        <v>40</v>
      </c>
      <c r="L61" s="22" t="s">
        <v>43</v>
      </c>
      <c r="M61" s="12" t="s">
        <v>230</v>
      </c>
      <c r="N61" s="12" t="s">
        <v>138</v>
      </c>
      <c r="O61" s="12" t="s">
        <v>137</v>
      </c>
    </row>
    <row r="62" spans="1:16381" ht="13.5" customHeight="1" thickBot="1" x14ac:dyDescent="0.25">
      <c r="A62" s="220" t="s">
        <v>81</v>
      </c>
      <c r="B62" s="23" t="s">
        <v>43</v>
      </c>
      <c r="C62" s="23" t="s">
        <v>122</v>
      </c>
      <c r="D62" s="23" t="s">
        <v>124</v>
      </c>
      <c r="E62" s="23" t="s">
        <v>44</v>
      </c>
      <c r="F62" s="23" t="s">
        <v>45</v>
      </c>
      <c r="G62" s="23" t="s">
        <v>46</v>
      </c>
      <c r="H62" s="23" t="s">
        <v>42</v>
      </c>
      <c r="I62" s="23" t="s">
        <v>128</v>
      </c>
      <c r="J62" s="23" t="s">
        <v>129</v>
      </c>
      <c r="K62" s="23" t="s">
        <v>130</v>
      </c>
      <c r="L62" s="23" t="s">
        <v>131</v>
      </c>
      <c r="M62" s="183" t="s">
        <v>138</v>
      </c>
      <c r="N62" s="183" t="s">
        <v>131</v>
      </c>
      <c r="O62" s="183" t="s">
        <v>41</v>
      </c>
    </row>
    <row r="63" spans="1:16381" ht="12.75" customHeight="1" x14ac:dyDescent="0.2">
      <c r="A63" s="222" t="s">
        <v>200</v>
      </c>
      <c r="B63" s="192"/>
      <c r="C63" s="192"/>
      <c r="D63" s="192"/>
      <c r="E63" s="192"/>
      <c r="F63" s="192"/>
      <c r="G63" s="192"/>
      <c r="H63" s="192"/>
      <c r="I63" s="192"/>
      <c r="J63" s="192"/>
      <c r="K63" s="192"/>
      <c r="L63" s="192"/>
      <c r="M63" s="192"/>
      <c r="N63" s="192"/>
      <c r="O63" s="192"/>
    </row>
    <row r="64" spans="1:16381" ht="13.5" customHeight="1" x14ac:dyDescent="0.25">
      <c r="A64" s="487" t="s">
        <v>160</v>
      </c>
      <c r="B64" s="488">
        <f>B7/B$7</f>
        <v>1</v>
      </c>
      <c r="C64" s="488">
        <f t="shared" ref="C64:O64" si="0">C7/C$7</f>
        <v>1</v>
      </c>
      <c r="D64" s="488">
        <f t="shared" si="0"/>
        <v>1</v>
      </c>
      <c r="E64" s="488">
        <f t="shared" si="0"/>
        <v>1</v>
      </c>
      <c r="F64" s="488">
        <f t="shared" si="0"/>
        <v>1</v>
      </c>
      <c r="G64" s="488">
        <f t="shared" si="0"/>
        <v>1</v>
      </c>
      <c r="H64" s="488">
        <f t="shared" si="0"/>
        <v>1</v>
      </c>
      <c r="I64" s="488">
        <f t="shared" si="0"/>
        <v>1</v>
      </c>
      <c r="J64" s="488">
        <f t="shared" si="0"/>
        <v>1</v>
      </c>
      <c r="K64" s="488">
        <f t="shared" si="0"/>
        <v>1</v>
      </c>
      <c r="L64" s="488">
        <f t="shared" si="0"/>
        <v>1</v>
      </c>
      <c r="M64" s="489">
        <f t="shared" si="0"/>
        <v>1</v>
      </c>
      <c r="N64" s="489">
        <f t="shared" si="0"/>
        <v>1</v>
      </c>
      <c r="O64" s="489">
        <f t="shared" si="0"/>
        <v>1</v>
      </c>
    </row>
    <row r="65" spans="1:15" ht="13.5" customHeight="1" x14ac:dyDescent="0.2">
      <c r="A65" s="490" t="s">
        <v>161</v>
      </c>
      <c r="B65" s="491">
        <f t="shared" ref="B65:O65" si="1">B8/B$7</f>
        <v>0.40321621348231346</v>
      </c>
      <c r="C65" s="491">
        <f t="shared" si="1"/>
        <v>0.38634260802765469</v>
      </c>
      <c r="D65" s="491">
        <f t="shared" si="1"/>
        <v>0.36277066852409029</v>
      </c>
      <c r="E65" s="491">
        <f t="shared" si="1"/>
        <v>0.34622893542700078</v>
      </c>
      <c r="F65" s="491">
        <f t="shared" si="1"/>
        <v>0.33225355537872875</v>
      </c>
      <c r="G65" s="491">
        <f t="shared" si="1"/>
        <v>0.31141395497003777</v>
      </c>
      <c r="H65" s="491">
        <f t="shared" si="1"/>
        <v>0.28667948299149004</v>
      </c>
      <c r="I65" s="491">
        <f t="shared" si="1"/>
        <v>0.2610342056072375</v>
      </c>
      <c r="J65" s="491">
        <f t="shared" si="1"/>
        <v>0.24814499812361479</v>
      </c>
      <c r="K65" s="491">
        <f t="shared" si="1"/>
        <v>0.22702346429099124</v>
      </c>
      <c r="L65" s="491">
        <f t="shared" si="1"/>
        <v>0.18453701763348992</v>
      </c>
      <c r="M65" s="484">
        <f t="shared" si="1"/>
        <v>0.32306716190835538</v>
      </c>
      <c r="N65" s="484">
        <f t="shared" si="1"/>
        <v>0.22441394921002653</v>
      </c>
      <c r="O65" s="484">
        <f t="shared" si="1"/>
        <v>0.26063564804442058</v>
      </c>
    </row>
    <row r="66" spans="1:15" ht="13.5" customHeight="1" x14ac:dyDescent="0.2">
      <c r="A66" s="492" t="s">
        <v>162</v>
      </c>
      <c r="B66" s="493">
        <f t="shared" ref="B66:O66" si="2">B9/B$7</f>
        <v>0.22848218624687114</v>
      </c>
      <c r="C66" s="493">
        <f t="shared" si="2"/>
        <v>0.27958000744040845</v>
      </c>
      <c r="D66" s="493">
        <f t="shared" si="2"/>
        <v>0.3485605593056425</v>
      </c>
      <c r="E66" s="493">
        <f t="shared" si="2"/>
        <v>0.44295470477450211</v>
      </c>
      <c r="F66" s="493">
        <f t="shared" si="2"/>
        <v>0.50569780265071473</v>
      </c>
      <c r="G66" s="493">
        <f t="shared" si="2"/>
        <v>0.53692362664625515</v>
      </c>
      <c r="H66" s="493">
        <f t="shared" si="2"/>
        <v>0.56857523379775687</v>
      </c>
      <c r="I66" s="493">
        <f t="shared" si="2"/>
        <v>0.59397139981566238</v>
      </c>
      <c r="J66" s="493">
        <f t="shared" si="2"/>
        <v>0.6076851109463518</v>
      </c>
      <c r="K66" s="493">
        <f t="shared" si="2"/>
        <v>0.60394704553556089</v>
      </c>
      <c r="L66" s="493">
        <f t="shared" si="2"/>
        <v>0.49776739144413351</v>
      </c>
      <c r="M66" s="494">
        <f t="shared" si="2"/>
        <v>0.49357600852446815</v>
      </c>
      <c r="N66" s="494">
        <f t="shared" si="2"/>
        <v>0.56596799963516409</v>
      </c>
      <c r="O66" s="494">
        <f t="shared" si="2"/>
        <v>0.53938842023462241</v>
      </c>
    </row>
    <row r="67" spans="1:15" ht="13.5" customHeight="1" x14ac:dyDescent="0.2">
      <c r="A67" s="490" t="s">
        <v>163</v>
      </c>
      <c r="B67" s="491">
        <f t="shared" ref="B67:O67" si="3">B10/B$7</f>
        <v>1.4574006765965208E-2</v>
      </c>
      <c r="C67" s="491">
        <f t="shared" si="3"/>
        <v>1.6692315641111188E-2</v>
      </c>
      <c r="D67" s="491">
        <f t="shared" si="3"/>
        <v>1.73194319328033E-2</v>
      </c>
      <c r="E67" s="491">
        <f t="shared" si="3"/>
        <v>1.925149667455325E-2</v>
      </c>
      <c r="F67" s="491">
        <f t="shared" si="3"/>
        <v>1.9486995867827182E-2</v>
      </c>
      <c r="G67" s="491">
        <f t="shared" si="3"/>
        <v>1.8153522228416291E-2</v>
      </c>
      <c r="H67" s="491">
        <f t="shared" si="3"/>
        <v>1.8092500809731252E-2</v>
      </c>
      <c r="I67" s="491">
        <f t="shared" si="3"/>
        <v>1.7290977539786912E-2</v>
      </c>
      <c r="J67" s="491">
        <f t="shared" si="3"/>
        <v>1.9672557811518381E-2</v>
      </c>
      <c r="K67" s="491">
        <f t="shared" si="3"/>
        <v>2.5967153145379316E-2</v>
      </c>
      <c r="L67" s="491">
        <f t="shared" si="3"/>
        <v>2.4307194123161978E-2</v>
      </c>
      <c r="M67" s="484">
        <f t="shared" si="3"/>
        <v>1.8548811281929964E-2</v>
      </c>
      <c r="N67" s="484">
        <f t="shared" si="3"/>
        <v>2.1980458777759032E-2</v>
      </c>
      <c r="O67" s="484">
        <f t="shared" si="3"/>
        <v>2.0720488638927167E-2</v>
      </c>
    </row>
    <row r="68" spans="1:15" ht="13.5" customHeight="1" x14ac:dyDescent="0.2">
      <c r="A68" s="492" t="s">
        <v>164</v>
      </c>
      <c r="B68" s="493">
        <f t="shared" ref="B68:O68" si="4">B11/B$7</f>
        <v>0.1250437519525664</v>
      </c>
      <c r="C68" s="493">
        <f t="shared" si="4"/>
        <v>0.13879150934397255</v>
      </c>
      <c r="D68" s="493">
        <f t="shared" si="4"/>
        <v>0.15334067867207579</v>
      </c>
      <c r="E68" s="493">
        <f t="shared" si="4"/>
        <v>0.10715366648152783</v>
      </c>
      <c r="F68" s="493">
        <f t="shared" si="4"/>
        <v>8.8518107417729766E-2</v>
      </c>
      <c r="G68" s="493">
        <f t="shared" si="4"/>
        <v>8.8161937163071954E-2</v>
      </c>
      <c r="H68" s="493">
        <f t="shared" si="4"/>
        <v>9.246692397091047E-2</v>
      </c>
      <c r="I68" s="493">
        <f t="shared" si="4"/>
        <v>9.9735100269448485E-2</v>
      </c>
      <c r="J68" s="493">
        <f t="shared" si="4"/>
        <v>0.10043110958158305</v>
      </c>
      <c r="K68" s="493">
        <f t="shared" si="4"/>
        <v>0.11625140428278241</v>
      </c>
      <c r="L68" s="493">
        <f t="shared" si="4"/>
        <v>0.26981613368007068</v>
      </c>
      <c r="M68" s="494">
        <f t="shared" si="4"/>
        <v>0.10098067342453204</v>
      </c>
      <c r="N68" s="494">
        <f t="shared" si="4"/>
        <v>0.16255722641741654</v>
      </c>
      <c r="O68" s="494">
        <f t="shared" si="4"/>
        <v>0.13994866358643485</v>
      </c>
    </row>
    <row r="69" spans="1:15" ht="13.5" customHeight="1" x14ac:dyDescent="0.2">
      <c r="A69" s="495" t="s">
        <v>165</v>
      </c>
      <c r="B69" s="496">
        <f t="shared" ref="B69:O69" si="5">B12/B$7</f>
        <v>0.22868384155228377</v>
      </c>
      <c r="C69" s="496">
        <f t="shared" si="5"/>
        <v>0.17859355954685313</v>
      </c>
      <c r="D69" s="496">
        <f t="shared" si="5"/>
        <v>0.11800866156538817</v>
      </c>
      <c r="E69" s="496">
        <f t="shared" si="5"/>
        <v>8.4411196642416156E-2</v>
      </c>
      <c r="F69" s="496">
        <f t="shared" si="5"/>
        <v>5.4043538684999538E-2</v>
      </c>
      <c r="G69" s="496">
        <f t="shared" si="5"/>
        <v>4.53469589922188E-2</v>
      </c>
      <c r="H69" s="496">
        <f t="shared" si="5"/>
        <v>3.4185858430111321E-2</v>
      </c>
      <c r="I69" s="496">
        <f t="shared" si="5"/>
        <v>2.7968316767864806E-2</v>
      </c>
      <c r="J69" s="496">
        <f t="shared" si="5"/>
        <v>2.4066223536932028E-2</v>
      </c>
      <c r="K69" s="496">
        <f t="shared" si="5"/>
        <v>2.6810932745286172E-2</v>
      </c>
      <c r="L69" s="496">
        <f t="shared" si="5"/>
        <v>2.3572263119144028E-2</v>
      </c>
      <c r="M69" s="497">
        <f t="shared" si="5"/>
        <v>6.3827344860714452E-2</v>
      </c>
      <c r="N69" s="497">
        <f t="shared" si="5"/>
        <v>2.5080365959633828E-2</v>
      </c>
      <c r="O69" s="497">
        <f t="shared" si="5"/>
        <v>3.9306779495595003E-2</v>
      </c>
    </row>
    <row r="70" spans="1:15" ht="13.5" customHeight="1" x14ac:dyDescent="0.25">
      <c r="A70" s="498" t="s">
        <v>166</v>
      </c>
      <c r="B70" s="499">
        <f>B13/B$13</f>
        <v>1</v>
      </c>
      <c r="C70" s="499">
        <f t="shared" ref="C70:O70" si="6">C13/C$13</f>
        <v>1</v>
      </c>
      <c r="D70" s="499">
        <f t="shared" si="6"/>
        <v>1</v>
      </c>
      <c r="E70" s="499">
        <f t="shared" si="6"/>
        <v>1</v>
      </c>
      <c r="F70" s="499">
        <f t="shared" si="6"/>
        <v>1</v>
      </c>
      <c r="G70" s="499">
        <f t="shared" si="6"/>
        <v>1</v>
      </c>
      <c r="H70" s="499">
        <f t="shared" si="6"/>
        <v>1</v>
      </c>
      <c r="I70" s="499">
        <f t="shared" si="6"/>
        <v>1</v>
      </c>
      <c r="J70" s="499">
        <f t="shared" si="6"/>
        <v>1</v>
      </c>
      <c r="K70" s="499">
        <f t="shared" si="6"/>
        <v>1</v>
      </c>
      <c r="L70" s="499">
        <f t="shared" si="6"/>
        <v>1</v>
      </c>
      <c r="M70" s="500">
        <f t="shared" si="6"/>
        <v>1</v>
      </c>
      <c r="N70" s="500">
        <f t="shared" si="6"/>
        <v>1</v>
      </c>
      <c r="O70" s="500">
        <f t="shared" si="6"/>
        <v>1</v>
      </c>
    </row>
    <row r="71" spans="1:15" ht="13.5" customHeight="1" x14ac:dyDescent="0.2">
      <c r="A71" s="490" t="s">
        <v>79</v>
      </c>
      <c r="B71" s="491">
        <f t="shared" ref="B71:O71" si="7">B14/B$13</f>
        <v>0.4272206385836535</v>
      </c>
      <c r="C71" s="491">
        <f t="shared" si="7"/>
        <v>0.46207769244119951</v>
      </c>
      <c r="D71" s="491">
        <f t="shared" si="7"/>
        <v>0.50886547872362398</v>
      </c>
      <c r="E71" s="491">
        <f t="shared" si="7"/>
        <v>0.57469126210634736</v>
      </c>
      <c r="F71" s="491">
        <f t="shared" si="7"/>
        <v>0.6270856302115102</v>
      </c>
      <c r="G71" s="491">
        <f t="shared" si="7"/>
        <v>0.64996767095628905</v>
      </c>
      <c r="H71" s="491">
        <f t="shared" si="7"/>
        <v>0.66896520388712533</v>
      </c>
      <c r="I71" s="491">
        <f t="shared" si="7"/>
        <v>0.67926771069429337</v>
      </c>
      <c r="J71" s="491">
        <f t="shared" si="7"/>
        <v>0.68820656096565413</v>
      </c>
      <c r="K71" s="491">
        <f t="shared" si="7"/>
        <v>0.68715437695398662</v>
      </c>
      <c r="L71" s="491">
        <f t="shared" si="7"/>
        <v>0.72522226861757788</v>
      </c>
      <c r="M71" s="484">
        <f t="shared" si="7"/>
        <v>0.61334234905838225</v>
      </c>
      <c r="N71" s="484">
        <f t="shared" si="7"/>
        <v>0.69900035216815481</v>
      </c>
      <c r="O71" s="484">
        <f t="shared" si="7"/>
        <v>0.66594528737137249</v>
      </c>
    </row>
    <row r="72" spans="1:15" ht="13.5" customHeight="1" x14ac:dyDescent="0.2">
      <c r="A72" s="492" t="s">
        <v>167</v>
      </c>
      <c r="B72" s="493">
        <f t="shared" ref="B72:O72" si="8">B15/B$13</f>
        <v>0.29482156134467458</v>
      </c>
      <c r="C72" s="493">
        <f t="shared" si="8"/>
        <v>0.35508609492835086</v>
      </c>
      <c r="D72" s="493">
        <f t="shared" si="8"/>
        <v>0.42091440707538691</v>
      </c>
      <c r="E72" s="493">
        <f t="shared" si="8"/>
        <v>0.50842940724465224</v>
      </c>
      <c r="F72" s="493">
        <f t="shared" si="8"/>
        <v>0.56537672404314399</v>
      </c>
      <c r="G72" s="493">
        <f t="shared" si="8"/>
        <v>0.57783600572210858</v>
      </c>
      <c r="H72" s="493">
        <f t="shared" si="8"/>
        <v>0.59053005618544518</v>
      </c>
      <c r="I72" s="493">
        <f t="shared" si="8"/>
        <v>0.59847872901800048</v>
      </c>
      <c r="J72" s="493">
        <f t="shared" si="8"/>
        <v>0.62520401930776071</v>
      </c>
      <c r="K72" s="493">
        <f t="shared" si="8"/>
        <v>0.61134852059317457</v>
      </c>
      <c r="L72" s="493">
        <f t="shared" si="8"/>
        <v>0.5154980561471344</v>
      </c>
      <c r="M72" s="494">
        <f t="shared" si="8"/>
        <v>0.54021268146677337</v>
      </c>
      <c r="N72" s="494">
        <f t="shared" si="8"/>
        <v>0.58036787587346805</v>
      </c>
      <c r="O72" s="494">
        <f t="shared" si="8"/>
        <v>0.56487215445979111</v>
      </c>
    </row>
    <row r="73" spans="1:15" ht="13.5" customHeight="1" x14ac:dyDescent="0.2">
      <c r="A73" s="490" t="s">
        <v>199</v>
      </c>
      <c r="B73" s="491">
        <f t="shared" ref="B73:O73" si="9">B16/B$13</f>
        <v>4.7863490497540372E-2</v>
      </c>
      <c r="C73" s="491">
        <f t="shared" si="9"/>
        <v>4.3524313854038793E-2</v>
      </c>
      <c r="D73" s="491">
        <f t="shared" si="9"/>
        <v>4.9677992577863608E-2</v>
      </c>
      <c r="E73" s="491">
        <f t="shared" si="9"/>
        <v>8.2218963590755936E-2</v>
      </c>
      <c r="F73" s="491">
        <f t="shared" si="9"/>
        <v>0.10617301164638851</v>
      </c>
      <c r="G73" s="491">
        <f t="shared" si="9"/>
        <v>0.11518091813506075</v>
      </c>
      <c r="H73" s="491">
        <f t="shared" si="9"/>
        <v>0.12521002597552755</v>
      </c>
      <c r="I73" s="491">
        <f t="shared" si="9"/>
        <v>0.1327787435856938</v>
      </c>
      <c r="J73" s="491">
        <f t="shared" si="9"/>
        <v>0.12679736465204278</v>
      </c>
      <c r="K73" s="491">
        <f t="shared" si="9"/>
        <v>0.13798956077226848</v>
      </c>
      <c r="L73" s="491">
        <f t="shared" si="9"/>
        <v>9.997842931095495E-2</v>
      </c>
      <c r="M73" s="484">
        <f t="shared" si="9"/>
        <v>0.10006196171984408</v>
      </c>
      <c r="N73" s="484">
        <f t="shared" si="9"/>
        <v>0.12075651718899012</v>
      </c>
      <c r="O73" s="484">
        <f t="shared" si="9"/>
        <v>0.11277057487024908</v>
      </c>
    </row>
    <row r="74" spans="1:15" ht="13.5" customHeight="1" x14ac:dyDescent="0.2">
      <c r="A74" s="492" t="s">
        <v>168</v>
      </c>
      <c r="B74" s="493">
        <f t="shared" ref="B74:O74" si="10">B17/B$13</f>
        <v>0.13239907723897892</v>
      </c>
      <c r="C74" s="493">
        <f t="shared" si="10"/>
        <v>0.10699159751284865</v>
      </c>
      <c r="D74" s="493">
        <f t="shared" si="10"/>
        <v>8.7951071648236956E-2</v>
      </c>
      <c r="E74" s="493">
        <f t="shared" si="10"/>
        <v>6.6261854861695224E-2</v>
      </c>
      <c r="F74" s="493">
        <f t="shared" si="10"/>
        <v>6.1708906168366218E-2</v>
      </c>
      <c r="G74" s="493">
        <f t="shared" si="10"/>
        <v>7.2131665234180548E-2</v>
      </c>
      <c r="H74" s="493">
        <f t="shared" si="10"/>
        <v>7.84351477016801E-2</v>
      </c>
      <c r="I74" s="493">
        <f t="shared" si="10"/>
        <v>8.0788981676292879E-2</v>
      </c>
      <c r="J74" s="493">
        <f t="shared" si="10"/>
        <v>6.3002541657893429E-2</v>
      </c>
      <c r="K74" s="493">
        <f t="shared" si="10"/>
        <v>7.5805856360812024E-2</v>
      </c>
      <c r="L74" s="493">
        <f t="shared" si="10"/>
        <v>0.20972421247044357</v>
      </c>
      <c r="M74" s="494">
        <f t="shared" si="10"/>
        <v>7.3129667591608855E-2</v>
      </c>
      <c r="N74" s="494">
        <f t="shared" si="10"/>
        <v>0.11863247629468668</v>
      </c>
      <c r="O74" s="494">
        <f t="shared" si="10"/>
        <v>0.10107313291158133</v>
      </c>
    </row>
    <row r="75" spans="1:15" ht="13.5" customHeight="1" x14ac:dyDescent="0.2">
      <c r="A75" s="490" t="s">
        <v>169</v>
      </c>
      <c r="B75" s="491">
        <f t="shared" ref="B75:O75" si="11">B18/B$13</f>
        <v>0.335710023073099</v>
      </c>
      <c r="C75" s="491">
        <f t="shared" si="11"/>
        <v>0.30402371252595251</v>
      </c>
      <c r="D75" s="491">
        <f t="shared" si="11"/>
        <v>0.27656029033702989</v>
      </c>
      <c r="E75" s="491">
        <f t="shared" si="11"/>
        <v>0.23826704735899482</v>
      </c>
      <c r="F75" s="491">
        <f t="shared" si="11"/>
        <v>0.20141066528760679</v>
      </c>
      <c r="G75" s="491">
        <f t="shared" si="11"/>
        <v>0.18261866818552294</v>
      </c>
      <c r="H75" s="491">
        <f t="shared" si="11"/>
        <v>0.17026610396713995</v>
      </c>
      <c r="I75" s="491">
        <f t="shared" si="11"/>
        <v>0.16501331399600128</v>
      </c>
      <c r="J75" s="491">
        <f t="shared" si="11"/>
        <v>0.15595683004070532</v>
      </c>
      <c r="K75" s="491">
        <f t="shared" si="11"/>
        <v>0.15693889275163403</v>
      </c>
      <c r="L75" s="491">
        <f t="shared" si="11"/>
        <v>0.10669102183458382</v>
      </c>
      <c r="M75" s="484">
        <f t="shared" si="11"/>
        <v>0.20922012725915445</v>
      </c>
      <c r="N75" s="484">
        <f t="shared" si="11"/>
        <v>0.14099270495210819</v>
      </c>
      <c r="O75" s="484">
        <f t="shared" si="11"/>
        <v>0.16732138158943369</v>
      </c>
    </row>
    <row r="76" spans="1:15" ht="13.5" customHeight="1" x14ac:dyDescent="0.2">
      <c r="A76" s="492" t="s">
        <v>170</v>
      </c>
      <c r="B76" s="493">
        <f t="shared" ref="B76:O76" si="12">B19/B$13</f>
        <v>0.17901283739709731</v>
      </c>
      <c r="C76" s="493">
        <f t="shared" si="12"/>
        <v>0.19319434311483141</v>
      </c>
      <c r="D76" s="493">
        <f t="shared" si="12"/>
        <v>0.186151733160172</v>
      </c>
      <c r="E76" s="493">
        <f t="shared" si="12"/>
        <v>0.17202945086936852</v>
      </c>
      <c r="F76" s="493">
        <f t="shared" si="12"/>
        <v>0.14959581179668885</v>
      </c>
      <c r="G76" s="493">
        <f t="shared" si="12"/>
        <v>0.13405727866520822</v>
      </c>
      <c r="H76" s="493">
        <f t="shared" si="12"/>
        <v>0.12351604362414208</v>
      </c>
      <c r="I76" s="493">
        <f t="shared" si="12"/>
        <v>0.1249134336587548</v>
      </c>
      <c r="J76" s="493">
        <f t="shared" si="12"/>
        <v>0.12753034949386902</v>
      </c>
      <c r="K76" s="493">
        <f t="shared" si="12"/>
        <v>0.13119600441178231</v>
      </c>
      <c r="L76" s="493">
        <f t="shared" si="12"/>
        <v>8.9414682667539269E-2</v>
      </c>
      <c r="M76" s="494">
        <f t="shared" si="12"/>
        <v>0.15004504830160281</v>
      </c>
      <c r="N76" s="494">
        <f t="shared" si="12"/>
        <v>0.11470177670289593</v>
      </c>
      <c r="O76" s="494">
        <f t="shared" si="12"/>
        <v>0.12834059724985644</v>
      </c>
    </row>
    <row r="77" spans="1:15" ht="13.5" customHeight="1" x14ac:dyDescent="0.2">
      <c r="A77" s="490" t="s">
        <v>171</v>
      </c>
      <c r="B77" s="491">
        <f t="shared" ref="B77:O77" si="13">B20/B$13</f>
        <v>7.0801292614344119E-2</v>
      </c>
      <c r="C77" s="491">
        <f t="shared" si="13"/>
        <v>4.575724204837181E-2</v>
      </c>
      <c r="D77" s="491">
        <f t="shared" si="13"/>
        <v>2.1762276119866818E-2</v>
      </c>
      <c r="E77" s="491">
        <f t="shared" si="13"/>
        <v>6.0442131591370071E-3</v>
      </c>
      <c r="F77" s="491">
        <f t="shared" si="13"/>
        <v>3.0190217592192059E-3</v>
      </c>
      <c r="G77" s="491">
        <f t="shared" si="13"/>
        <v>2.4548332162064091E-3</v>
      </c>
      <c r="H77" s="491">
        <f t="shared" si="13"/>
        <v>2.0484069244914257E-3</v>
      </c>
      <c r="I77" s="491">
        <f t="shared" si="13"/>
        <v>1.6777332772382157E-3</v>
      </c>
      <c r="J77" s="491">
        <f t="shared" si="13"/>
        <v>2.4615328255058284E-3</v>
      </c>
      <c r="K77" s="491">
        <f t="shared" si="13"/>
        <v>3.6861225474567006E-3</v>
      </c>
      <c r="L77" s="491">
        <f t="shared" si="13"/>
        <v>4.2229477981704285E-3</v>
      </c>
      <c r="M77" s="484">
        <f t="shared" si="13"/>
        <v>6.5382228556269319E-3</v>
      </c>
      <c r="N77" s="484">
        <f t="shared" si="13"/>
        <v>3.1377748504911891E-3</v>
      </c>
      <c r="O77" s="484">
        <f t="shared" si="13"/>
        <v>4.4499934998540281E-3</v>
      </c>
    </row>
    <row r="78" spans="1:15" ht="13.5" customHeight="1" x14ac:dyDescent="0.2">
      <c r="A78" s="693" t="s">
        <v>607</v>
      </c>
      <c r="B78" s="493">
        <f t="shared" ref="B78:O78" si="14">B21/B$13</f>
        <v>8.5895893061657555E-2</v>
      </c>
      <c r="C78" s="493">
        <f t="shared" si="14"/>
        <v>6.5072127362749338E-2</v>
      </c>
      <c r="D78" s="493">
        <f t="shared" si="14"/>
        <v>6.8646281056991082E-2</v>
      </c>
      <c r="E78" s="493">
        <f t="shared" si="14"/>
        <v>6.0193383330489271E-2</v>
      </c>
      <c r="F78" s="493">
        <f t="shared" si="14"/>
        <v>4.8795831731698713E-2</v>
      </c>
      <c r="G78" s="493">
        <f t="shared" si="14"/>
        <v>4.6106556304108315E-2</v>
      </c>
      <c r="H78" s="493">
        <f t="shared" si="14"/>
        <v>4.4701653418506432E-2</v>
      </c>
      <c r="I78" s="493">
        <f t="shared" si="14"/>
        <v>3.8422147060008231E-2</v>
      </c>
      <c r="J78" s="493">
        <f t="shared" si="14"/>
        <v>2.5964947721330497E-2</v>
      </c>
      <c r="K78" s="493">
        <f t="shared" si="14"/>
        <v>2.2056765792395013E-2</v>
      </c>
      <c r="L78" s="493">
        <f t="shared" si="14"/>
        <v>1.3053391368874123E-2</v>
      </c>
      <c r="M78" s="494">
        <f t="shared" si="14"/>
        <v>5.2636856101924687E-2</v>
      </c>
      <c r="N78" s="494">
        <f t="shared" si="14"/>
        <v>2.3153153398721087E-2</v>
      </c>
      <c r="O78" s="494">
        <f t="shared" si="14"/>
        <v>3.4530790839723227E-2</v>
      </c>
    </row>
    <row r="79" spans="1:15" ht="13.5" customHeight="1" x14ac:dyDescent="0.2">
      <c r="A79" s="490" t="s">
        <v>172</v>
      </c>
      <c r="B79" s="491">
        <f t="shared" ref="B79:O79" si="15">B22/B$13</f>
        <v>2.0879479436061638E-2</v>
      </c>
      <c r="C79" s="491">
        <f t="shared" si="15"/>
        <v>2.1170592933971073E-2</v>
      </c>
      <c r="D79" s="491">
        <f t="shared" si="15"/>
        <v>2.2339896312537296E-2</v>
      </c>
      <c r="E79" s="491">
        <f t="shared" si="15"/>
        <v>2.8287005387470199E-2</v>
      </c>
      <c r="F79" s="491">
        <f t="shared" si="15"/>
        <v>3.5655690081296418E-2</v>
      </c>
      <c r="G79" s="491">
        <f t="shared" si="15"/>
        <v>3.9792493961953009E-2</v>
      </c>
      <c r="H79" s="491">
        <f t="shared" si="15"/>
        <v>4.7382258491389266E-2</v>
      </c>
      <c r="I79" s="491">
        <f t="shared" si="15"/>
        <v>4.9918563895622679E-2</v>
      </c>
      <c r="J79" s="491">
        <f t="shared" si="15"/>
        <v>5.211759858953155E-2</v>
      </c>
      <c r="K79" s="491">
        <f t="shared" si="15"/>
        <v>4.8186327902171096E-2</v>
      </c>
      <c r="L79" s="491">
        <f t="shared" si="15"/>
        <v>3.9938512562234629E-2</v>
      </c>
      <c r="M79" s="484">
        <f t="shared" si="15"/>
        <v>3.6179525547446113E-2</v>
      </c>
      <c r="N79" s="484">
        <f t="shared" si="15"/>
        <v>4.6852272836402233E-2</v>
      </c>
      <c r="O79" s="484">
        <f t="shared" si="15"/>
        <v>4.2733704338558713E-2</v>
      </c>
    </row>
    <row r="80" spans="1:15" ht="13.5" customHeight="1" x14ac:dyDescent="0.2">
      <c r="A80" s="492" t="s">
        <v>173</v>
      </c>
      <c r="B80" s="493">
        <f t="shared" ref="B80:O80" si="16">B23/B$13</f>
        <v>9.8391308980035119E-2</v>
      </c>
      <c r="C80" s="493">
        <f t="shared" si="16"/>
        <v>9.2224018735631616E-2</v>
      </c>
      <c r="D80" s="493">
        <f t="shared" si="16"/>
        <v>8.3726407060099498E-2</v>
      </c>
      <c r="E80" s="493">
        <f t="shared" si="16"/>
        <v>8.2291446804226023E-2</v>
      </c>
      <c r="F80" s="493">
        <f t="shared" si="16"/>
        <v>7.7780000780523162E-2</v>
      </c>
      <c r="G80" s="493">
        <f t="shared" si="16"/>
        <v>8.1841865353754456E-2</v>
      </c>
      <c r="H80" s="493">
        <f t="shared" si="16"/>
        <v>7.5754111546698671E-2</v>
      </c>
      <c r="I80" s="493">
        <f t="shared" si="16"/>
        <v>7.4246979192692311E-2</v>
      </c>
      <c r="J80" s="493">
        <f t="shared" si="16"/>
        <v>7.7973420552171713E-2</v>
      </c>
      <c r="K80" s="493">
        <f t="shared" si="16"/>
        <v>7.666945777208066E-2</v>
      </c>
      <c r="L80" s="493">
        <f t="shared" si="16"/>
        <v>8.3129950153901538E-2</v>
      </c>
      <c r="M80" s="494">
        <f t="shared" si="16"/>
        <v>7.9963827933119402E-2</v>
      </c>
      <c r="N80" s="494">
        <f t="shared" si="16"/>
        <v>7.8812501007800989E-2</v>
      </c>
      <c r="O80" s="494">
        <f t="shared" si="16"/>
        <v>7.9256793248303398E-2</v>
      </c>
    </row>
    <row r="81" spans="1:15" ht="13.5" customHeight="1" x14ac:dyDescent="0.2">
      <c r="A81" s="495" t="s">
        <v>174</v>
      </c>
      <c r="B81" s="496">
        <f t="shared" ref="B81:O81" si="17">B24/B$13</f>
        <v>0.11779854992715069</v>
      </c>
      <c r="C81" s="496">
        <f t="shared" si="17"/>
        <v>0.12050398336324528</v>
      </c>
      <c r="D81" s="496">
        <f t="shared" si="17"/>
        <v>0.10850792756670938</v>
      </c>
      <c r="E81" s="496">
        <f t="shared" si="17"/>
        <v>7.6463238342961495E-2</v>
      </c>
      <c r="F81" s="496">
        <f t="shared" si="17"/>
        <v>5.8068013639063491E-2</v>
      </c>
      <c r="G81" s="496">
        <f t="shared" si="17"/>
        <v>4.5779301542480444E-2</v>
      </c>
      <c r="H81" s="496">
        <f t="shared" si="17"/>
        <v>3.7632322107646866E-2</v>
      </c>
      <c r="I81" s="496">
        <f t="shared" si="17"/>
        <v>3.1553432221390426E-2</v>
      </c>
      <c r="J81" s="496">
        <f t="shared" si="17"/>
        <v>2.5745589851937218E-2</v>
      </c>
      <c r="K81" s="496">
        <f t="shared" si="17"/>
        <v>3.105094462012753E-2</v>
      </c>
      <c r="L81" s="496">
        <f t="shared" si="17"/>
        <v>4.5018246831702136E-2</v>
      </c>
      <c r="M81" s="497">
        <f t="shared" si="17"/>
        <v>6.1294170201897855E-2</v>
      </c>
      <c r="N81" s="497">
        <f t="shared" si="17"/>
        <v>3.4342169035533845E-2</v>
      </c>
      <c r="O81" s="497">
        <f t="shared" si="17"/>
        <v>4.4742833452321391E-2</v>
      </c>
    </row>
    <row r="82" spans="1:15" ht="13.5" customHeight="1" x14ac:dyDescent="0.25">
      <c r="A82" s="501" t="s">
        <v>201</v>
      </c>
      <c r="B82" s="502"/>
      <c r="C82" s="502"/>
      <c r="D82" s="502"/>
      <c r="E82" s="502"/>
      <c r="F82" s="502"/>
      <c r="G82" s="502"/>
      <c r="H82" s="502"/>
      <c r="I82" s="502"/>
      <c r="J82" s="502"/>
      <c r="K82" s="502"/>
      <c r="L82" s="502"/>
      <c r="M82" s="503"/>
      <c r="N82" s="503"/>
      <c r="O82" s="503"/>
    </row>
    <row r="83" spans="1:15" ht="13.5" customHeight="1" x14ac:dyDescent="0.25">
      <c r="A83" s="504" t="s">
        <v>177</v>
      </c>
      <c r="B83" s="505">
        <f>B27/B$27</f>
        <v>1</v>
      </c>
      <c r="C83" s="505">
        <f t="shared" ref="C83:O83" si="18">C27/C$27</f>
        <v>1</v>
      </c>
      <c r="D83" s="505">
        <f t="shared" si="18"/>
        <v>1</v>
      </c>
      <c r="E83" s="505">
        <f t="shared" si="18"/>
        <v>1</v>
      </c>
      <c r="F83" s="505">
        <f t="shared" si="18"/>
        <v>1</v>
      </c>
      <c r="G83" s="505">
        <f t="shared" si="18"/>
        <v>1</v>
      </c>
      <c r="H83" s="505">
        <f t="shared" si="18"/>
        <v>1</v>
      </c>
      <c r="I83" s="505">
        <f t="shared" si="18"/>
        <v>1</v>
      </c>
      <c r="J83" s="505">
        <f t="shared" si="18"/>
        <v>1</v>
      </c>
      <c r="K83" s="505">
        <f t="shared" si="18"/>
        <v>1</v>
      </c>
      <c r="L83" s="505">
        <f t="shared" si="18"/>
        <v>1</v>
      </c>
      <c r="M83" s="506">
        <f t="shared" si="18"/>
        <v>1</v>
      </c>
      <c r="N83" s="506">
        <f t="shared" si="18"/>
        <v>1</v>
      </c>
      <c r="O83" s="506">
        <f t="shared" si="18"/>
        <v>1</v>
      </c>
    </row>
    <row r="84" spans="1:15" ht="13.5" customHeight="1" x14ac:dyDescent="0.2">
      <c r="A84" s="507" t="s">
        <v>178</v>
      </c>
      <c r="B84" s="508">
        <f t="shared" ref="B84:O84" si="19">B28/B$27</f>
        <v>0.95516331524967535</v>
      </c>
      <c r="C84" s="508">
        <f t="shared" si="19"/>
        <v>0.94945820284385141</v>
      </c>
      <c r="D84" s="508">
        <f t="shared" si="19"/>
        <v>0.94000067022719336</v>
      </c>
      <c r="E84" s="508">
        <f t="shared" si="19"/>
        <v>0.9459054475429659</v>
      </c>
      <c r="F84" s="508">
        <f t="shared" si="19"/>
        <v>0.9412039766461473</v>
      </c>
      <c r="G84" s="508">
        <f t="shared" si="19"/>
        <v>0.93971219520591898</v>
      </c>
      <c r="H84" s="508">
        <f t="shared" si="19"/>
        <v>0.93964706342011617</v>
      </c>
      <c r="I84" s="508">
        <f t="shared" si="19"/>
        <v>0.92994220413357753</v>
      </c>
      <c r="J84" s="508">
        <f t="shared" si="19"/>
        <v>0.91381935310883788</v>
      </c>
      <c r="K84" s="508">
        <f t="shared" si="19"/>
        <v>0.90291805386495583</v>
      </c>
      <c r="L84" s="508">
        <f t="shared" si="19"/>
        <v>0.80458988997992564</v>
      </c>
      <c r="M84" s="509">
        <f t="shared" si="19"/>
        <v>0.94233726448885313</v>
      </c>
      <c r="N84" s="509">
        <f t="shared" si="19"/>
        <v>0.8810381708995032</v>
      </c>
      <c r="O84" s="509">
        <f t="shared" si="19"/>
        <v>0.91043911168642366</v>
      </c>
    </row>
    <row r="85" spans="1:15" ht="13.5" customHeight="1" x14ac:dyDescent="0.2">
      <c r="A85" s="490" t="s">
        <v>179</v>
      </c>
      <c r="B85" s="491">
        <f t="shared" ref="B85:O85" si="20">B29/B$27</f>
        <v>2.8313016471346854E-2</v>
      </c>
      <c r="C85" s="491">
        <f t="shared" si="20"/>
        <v>3.4543499833325046E-2</v>
      </c>
      <c r="D85" s="491">
        <f t="shared" si="20"/>
        <v>3.4496788303922693E-2</v>
      </c>
      <c r="E85" s="491">
        <f t="shared" si="20"/>
        <v>3.0064399459829295E-2</v>
      </c>
      <c r="F85" s="491">
        <f t="shared" si="20"/>
        <v>3.1212510832030159E-2</v>
      </c>
      <c r="G85" s="491">
        <f t="shared" si="20"/>
        <v>3.525143174393023E-2</v>
      </c>
      <c r="H85" s="491">
        <f t="shared" si="20"/>
        <v>3.7521365210698827E-2</v>
      </c>
      <c r="I85" s="491">
        <f t="shared" si="20"/>
        <v>4.0599682966217993E-2</v>
      </c>
      <c r="J85" s="491">
        <f t="shared" si="20"/>
        <v>4.4243761867209803E-2</v>
      </c>
      <c r="K85" s="491">
        <f t="shared" si="20"/>
        <v>4.4921012442125222E-2</v>
      </c>
      <c r="L85" s="491">
        <f t="shared" si="20"/>
        <v>0.15492105262543798</v>
      </c>
      <c r="M85" s="484">
        <f t="shared" si="20"/>
        <v>3.3366548661023669E-2</v>
      </c>
      <c r="N85" s="484">
        <f t="shared" si="20"/>
        <v>7.8024531288514762E-2</v>
      </c>
      <c r="O85" s="484">
        <f t="shared" si="20"/>
        <v>5.6605181898292993E-2</v>
      </c>
    </row>
    <row r="86" spans="1:15" ht="13.5" customHeight="1" x14ac:dyDescent="0.2">
      <c r="A86" s="510" t="s">
        <v>180</v>
      </c>
      <c r="B86" s="511">
        <f t="shared" ref="B86:O86" si="21">B30/B$27</f>
        <v>1.6523668278977888E-2</v>
      </c>
      <c r="C86" s="511">
        <f t="shared" si="21"/>
        <v>1.5998297322823575E-2</v>
      </c>
      <c r="D86" s="511">
        <f t="shared" si="21"/>
        <v>2.5502541468883887E-2</v>
      </c>
      <c r="E86" s="511">
        <f t="shared" si="21"/>
        <v>2.4030152997204755E-2</v>
      </c>
      <c r="F86" s="511">
        <f t="shared" si="21"/>
        <v>2.7583512521822517E-2</v>
      </c>
      <c r="G86" s="511">
        <f t="shared" si="21"/>
        <v>2.5036373050150738E-2</v>
      </c>
      <c r="H86" s="511">
        <f t="shared" si="21"/>
        <v>2.2831571369185073E-2</v>
      </c>
      <c r="I86" s="511">
        <f t="shared" si="21"/>
        <v>2.945811290020442E-2</v>
      </c>
      <c r="J86" s="511">
        <f t="shared" si="21"/>
        <v>4.1936885023952326E-2</v>
      </c>
      <c r="K86" s="511">
        <f t="shared" si="21"/>
        <v>5.2160933692918833E-2</v>
      </c>
      <c r="L86" s="511">
        <f t="shared" si="21"/>
        <v>4.0489057394636326E-2</v>
      </c>
      <c r="M86" s="512">
        <f t="shared" si="21"/>
        <v>2.4296186850123271E-2</v>
      </c>
      <c r="N86" s="512">
        <f t="shared" si="21"/>
        <v>4.0937297811982028E-2</v>
      </c>
      <c r="O86" s="512">
        <f t="shared" si="21"/>
        <v>3.2955706415283344E-2</v>
      </c>
    </row>
    <row r="87" spans="1:15" ht="13.5" customHeight="1" x14ac:dyDescent="0.25">
      <c r="A87" s="504" t="s">
        <v>181</v>
      </c>
      <c r="B87" s="505">
        <f>B31/B$31</f>
        <v>1</v>
      </c>
      <c r="C87" s="505">
        <f t="shared" ref="C87:O87" si="22">C31/C$31</f>
        <v>1</v>
      </c>
      <c r="D87" s="505">
        <f t="shared" si="22"/>
        <v>1</v>
      </c>
      <c r="E87" s="505">
        <f t="shared" si="22"/>
        <v>1</v>
      </c>
      <c r="F87" s="505">
        <f t="shared" si="22"/>
        <v>1</v>
      </c>
      <c r="G87" s="505">
        <f t="shared" si="22"/>
        <v>1</v>
      </c>
      <c r="H87" s="505">
        <f t="shared" si="22"/>
        <v>1</v>
      </c>
      <c r="I87" s="505">
        <f t="shared" si="22"/>
        <v>1</v>
      </c>
      <c r="J87" s="505">
        <f t="shared" si="22"/>
        <v>1</v>
      </c>
      <c r="K87" s="505">
        <f t="shared" si="22"/>
        <v>1</v>
      </c>
      <c r="L87" s="505">
        <f t="shared" si="22"/>
        <v>1</v>
      </c>
      <c r="M87" s="506">
        <f t="shared" si="22"/>
        <v>1</v>
      </c>
      <c r="N87" s="506">
        <f t="shared" si="22"/>
        <v>1</v>
      </c>
      <c r="O87" s="506">
        <f t="shared" si="22"/>
        <v>1</v>
      </c>
    </row>
    <row r="88" spans="1:15" ht="13.5" customHeight="1" x14ac:dyDescent="0.2">
      <c r="A88" s="507" t="s">
        <v>182</v>
      </c>
      <c r="B88" s="508">
        <f t="shared" ref="B88:O88" si="23">B32/B$31</f>
        <v>0.22422613107672199</v>
      </c>
      <c r="C88" s="508">
        <f t="shared" si="23"/>
        <v>0.21292028979055877</v>
      </c>
      <c r="D88" s="508">
        <f t="shared" si="23"/>
        <v>0.21015329119471748</v>
      </c>
      <c r="E88" s="508">
        <f t="shared" si="23"/>
        <v>0.21977504445367815</v>
      </c>
      <c r="F88" s="508">
        <f t="shared" si="23"/>
        <v>0.21718226158427842</v>
      </c>
      <c r="G88" s="508">
        <f t="shared" si="23"/>
        <v>0.24380386817789687</v>
      </c>
      <c r="H88" s="508">
        <f t="shared" si="23"/>
        <v>0.24317365210048039</v>
      </c>
      <c r="I88" s="508">
        <f t="shared" si="23"/>
        <v>0.24893691079894303</v>
      </c>
      <c r="J88" s="508">
        <f t="shared" si="23"/>
        <v>0.24454983801367675</v>
      </c>
      <c r="K88" s="508">
        <f t="shared" si="23"/>
        <v>0.2310533416891894</v>
      </c>
      <c r="L88" s="508">
        <f t="shared" si="23"/>
        <v>0.33072071807686332</v>
      </c>
      <c r="M88" s="509">
        <f t="shared" si="23"/>
        <v>0.22670418965050951</v>
      </c>
      <c r="N88" s="509">
        <f t="shared" si="23"/>
        <v>0.26065808162807341</v>
      </c>
      <c r="O88" s="509">
        <f t="shared" si="23"/>
        <v>0.24243793181626963</v>
      </c>
    </row>
    <row r="89" spans="1:15" ht="13.5" customHeight="1" x14ac:dyDescent="0.2">
      <c r="A89" s="490" t="s">
        <v>183</v>
      </c>
      <c r="B89" s="491">
        <f t="shared" ref="B89:O89" si="24">B33/B$31</f>
        <v>0.71682619583446705</v>
      </c>
      <c r="C89" s="491">
        <f t="shared" si="24"/>
        <v>0.70039565409276205</v>
      </c>
      <c r="D89" s="491">
        <f t="shared" si="24"/>
        <v>0.67461508285300975</v>
      </c>
      <c r="E89" s="491">
        <f t="shared" si="24"/>
        <v>0.65074178326803966</v>
      </c>
      <c r="F89" s="491">
        <f t="shared" si="24"/>
        <v>0.57262418166832452</v>
      </c>
      <c r="G89" s="491">
        <f t="shared" si="24"/>
        <v>0.58235042484682853</v>
      </c>
      <c r="H89" s="491">
        <f t="shared" si="24"/>
        <v>0.58626544871389175</v>
      </c>
      <c r="I89" s="491">
        <f t="shared" si="24"/>
        <v>0.59174548708625285</v>
      </c>
      <c r="J89" s="491">
        <f t="shared" si="24"/>
        <v>0.53752645732741167</v>
      </c>
      <c r="K89" s="491">
        <f t="shared" si="24"/>
        <v>0.49959688176468803</v>
      </c>
      <c r="L89" s="491">
        <f t="shared" si="24"/>
        <v>0.42725570090417186</v>
      </c>
      <c r="M89" s="484">
        <f t="shared" si="24"/>
        <v>0.6173518175151318</v>
      </c>
      <c r="N89" s="484">
        <f t="shared" si="24"/>
        <v>0.51802735382544229</v>
      </c>
      <c r="O89" s="484">
        <f t="shared" si="24"/>
        <v>0.57132629845302818</v>
      </c>
    </row>
    <row r="90" spans="1:15" ht="13.5" customHeight="1" x14ac:dyDescent="0.2">
      <c r="A90" s="513" t="s">
        <v>184</v>
      </c>
      <c r="B90" s="514">
        <f t="shared" ref="B90:O90" si="25">B34/B$31</f>
        <v>5.8947673088811006E-2</v>
      </c>
      <c r="C90" s="514">
        <f t="shared" si="25"/>
        <v>8.668405611667912E-2</v>
      </c>
      <c r="D90" s="514">
        <f t="shared" si="25"/>
        <v>0.11523162595227282</v>
      </c>
      <c r="E90" s="514">
        <f t="shared" si="25"/>
        <v>0.12948317227828213</v>
      </c>
      <c r="F90" s="514">
        <f t="shared" si="25"/>
        <v>0.21019355674739709</v>
      </c>
      <c r="G90" s="514">
        <f t="shared" si="25"/>
        <v>0.17384570697527466</v>
      </c>
      <c r="H90" s="514">
        <f t="shared" si="25"/>
        <v>0.17056089918562792</v>
      </c>
      <c r="I90" s="514">
        <f t="shared" si="25"/>
        <v>0.15931760211480417</v>
      </c>
      <c r="J90" s="514">
        <f t="shared" si="25"/>
        <v>0.21792370465891162</v>
      </c>
      <c r="K90" s="514">
        <f t="shared" si="25"/>
        <v>0.26934977654612252</v>
      </c>
      <c r="L90" s="514">
        <f t="shared" si="25"/>
        <v>0.24202358101896485</v>
      </c>
      <c r="M90" s="515">
        <f t="shared" si="25"/>
        <v>0.15594399283435864</v>
      </c>
      <c r="N90" s="515">
        <f t="shared" si="25"/>
        <v>0.22131456454648432</v>
      </c>
      <c r="O90" s="515">
        <f t="shared" si="25"/>
        <v>0.18623576973070224</v>
      </c>
    </row>
    <row r="91" spans="1:15" ht="12.75" customHeight="1" x14ac:dyDescent="0.2">
      <c r="A91" s="516" t="s">
        <v>316</v>
      </c>
      <c r="B91" s="517"/>
      <c r="C91" s="517"/>
      <c r="D91" s="517"/>
      <c r="E91" s="465"/>
      <c r="F91" s="465"/>
      <c r="G91" s="518"/>
      <c r="H91" s="465"/>
      <c r="I91" s="465"/>
      <c r="J91" s="518"/>
      <c r="K91" s="465"/>
      <c r="L91" s="465"/>
      <c r="M91" s="519"/>
      <c r="N91" s="519"/>
      <c r="O91" s="519"/>
    </row>
    <row r="92" spans="1:15" ht="12.75" customHeight="1" x14ac:dyDescent="0.2">
      <c r="A92" s="254" t="s">
        <v>964</v>
      </c>
      <c r="B92" s="3"/>
      <c r="C92" s="3"/>
      <c r="D92" s="3"/>
      <c r="G92" s="185"/>
      <c r="J92" s="185"/>
    </row>
    <row r="93" spans="1:15" x14ac:dyDescent="0.2">
      <c r="A93" s="254" t="s">
        <v>202</v>
      </c>
      <c r="B93" s="3"/>
      <c r="C93" s="3"/>
      <c r="D93" s="3"/>
      <c r="G93" s="185"/>
      <c r="J93" s="185"/>
    </row>
    <row r="96" spans="1:15" ht="12.75" customHeight="1" x14ac:dyDescent="0.2">
      <c r="A96" s="938" t="s">
        <v>206</v>
      </c>
      <c r="B96" s="932"/>
      <c r="C96" s="932"/>
      <c r="D96" s="932"/>
      <c r="E96" s="932"/>
      <c r="F96" s="932"/>
    </row>
    <row r="97" spans="1:15" ht="51" customHeight="1" x14ac:dyDescent="0.2">
      <c r="A97" s="1021" t="s">
        <v>207</v>
      </c>
      <c r="B97" s="1021"/>
      <c r="C97" s="1021"/>
      <c r="D97" s="1021"/>
      <c r="E97" s="1021"/>
      <c r="F97" s="1021"/>
      <c r="G97" s="1021"/>
      <c r="H97" s="1021"/>
      <c r="I97" s="1021"/>
      <c r="J97" s="1021"/>
      <c r="K97" s="1021"/>
      <c r="L97" s="1021"/>
      <c r="M97" s="1021"/>
      <c r="N97" s="1021"/>
      <c r="O97" s="1021"/>
    </row>
    <row r="98" spans="1:15" ht="12.75" customHeight="1" x14ac:dyDescent="0.3">
      <c r="A98" s="307"/>
      <c r="B98" s="932"/>
      <c r="C98" s="932"/>
      <c r="D98" s="932"/>
      <c r="E98" s="932"/>
      <c r="F98" s="932"/>
    </row>
    <row r="99" spans="1:15" ht="24.75" customHeight="1" x14ac:dyDescent="0.2">
      <c r="A99" s="1022" t="s">
        <v>658</v>
      </c>
      <c r="B99" s="1022"/>
      <c r="C99" s="1022"/>
      <c r="D99" s="1022"/>
      <c r="E99" s="1022"/>
      <c r="F99" s="1022"/>
      <c r="G99" s="1022"/>
      <c r="H99" s="1022"/>
      <c r="I99" s="1022"/>
      <c r="J99" s="1022"/>
      <c r="K99" s="1022"/>
      <c r="L99" s="1022"/>
      <c r="M99" s="1022"/>
      <c r="N99" s="1022"/>
      <c r="O99" s="1022"/>
    </row>
    <row r="100" spans="1:15" ht="12.75" customHeight="1" x14ac:dyDescent="0.3">
      <c r="A100" s="307"/>
      <c r="B100" s="932"/>
      <c r="C100" s="932"/>
      <c r="D100" s="932"/>
      <c r="E100" s="932"/>
      <c r="F100" s="932"/>
    </row>
    <row r="101" spans="1:15" ht="26.25" customHeight="1" x14ac:dyDescent="0.2">
      <c r="A101" s="1023" t="s">
        <v>659</v>
      </c>
      <c r="B101" s="1023"/>
      <c r="C101" s="1023"/>
      <c r="D101" s="1023"/>
      <c r="E101" s="1023"/>
      <c r="F101" s="1023"/>
      <c r="G101" s="1023"/>
      <c r="H101" s="1023"/>
      <c r="I101" s="1023"/>
      <c r="J101" s="1023"/>
      <c r="K101" s="1023"/>
      <c r="L101" s="1023"/>
      <c r="M101" s="1023"/>
      <c r="N101" s="1023"/>
      <c r="O101" s="1023"/>
    </row>
    <row r="102" spans="1:15" ht="12.75" customHeight="1" x14ac:dyDescent="0.2">
      <c r="A102" s="939"/>
      <c r="B102" s="932"/>
      <c r="C102" s="932"/>
      <c r="D102" s="932"/>
      <c r="E102" s="932"/>
      <c r="F102" s="932"/>
    </row>
    <row r="103" spans="1:15" ht="12.75" customHeight="1" x14ac:dyDescent="0.2">
      <c r="A103" s="1023" t="s">
        <v>660</v>
      </c>
      <c r="B103" s="1023"/>
      <c r="C103" s="1023"/>
      <c r="D103" s="1023"/>
      <c r="E103" s="1023"/>
      <c r="F103" s="1023"/>
      <c r="G103" s="1023"/>
      <c r="H103" s="1023"/>
      <c r="I103" s="1023"/>
      <c r="J103" s="1023"/>
      <c r="K103" s="1023"/>
      <c r="L103" s="1023"/>
      <c r="M103" s="1023"/>
      <c r="N103" s="1023"/>
      <c r="O103" s="1023"/>
    </row>
    <row r="104" spans="1:15" ht="12.75" customHeight="1" x14ac:dyDescent="0.2">
      <c r="A104" s="933"/>
      <c r="B104" s="933"/>
      <c r="C104" s="933"/>
      <c r="D104" s="933"/>
      <c r="E104" s="933"/>
      <c r="F104" s="933"/>
    </row>
    <row r="105" spans="1:15" ht="24.75" customHeight="1" x14ac:dyDescent="0.2">
      <c r="A105" s="1023" t="s">
        <v>661</v>
      </c>
      <c r="B105" s="1023"/>
      <c r="C105" s="1023"/>
      <c r="D105" s="1023"/>
      <c r="E105" s="1023"/>
      <c r="F105" s="1023"/>
      <c r="G105" s="1023"/>
      <c r="H105" s="1023"/>
      <c r="I105" s="1023"/>
      <c r="J105" s="1023"/>
      <c r="K105" s="1023"/>
      <c r="L105" s="1023"/>
      <c r="M105" s="1023"/>
      <c r="N105" s="1023"/>
      <c r="O105" s="1023"/>
    </row>
    <row r="106" spans="1:15" ht="12.75" customHeight="1" x14ac:dyDescent="0.2">
      <c r="A106" s="932"/>
      <c r="B106" s="932"/>
      <c r="C106" s="932"/>
      <c r="D106" s="932"/>
      <c r="E106" s="932"/>
      <c r="F106" s="932"/>
    </row>
    <row r="107" spans="1:15" ht="21" customHeight="1" x14ac:dyDescent="0.2">
      <c r="A107" s="1023" t="s">
        <v>662</v>
      </c>
      <c r="B107" s="1023"/>
      <c r="C107" s="1023"/>
      <c r="D107" s="1023"/>
      <c r="E107" s="1023"/>
      <c r="F107" s="1023"/>
      <c r="G107" s="1023"/>
      <c r="H107" s="1023"/>
      <c r="I107" s="1023"/>
      <c r="J107" s="1023"/>
      <c r="K107" s="1023"/>
      <c r="L107" s="1023"/>
      <c r="M107" s="1023"/>
      <c r="N107" s="1023"/>
      <c r="O107" s="1023"/>
    </row>
    <row r="108" spans="1:15" ht="12.75" customHeight="1" x14ac:dyDescent="0.2">
      <c r="A108" s="932"/>
      <c r="B108" s="932"/>
      <c r="C108" s="932"/>
      <c r="D108" s="932"/>
      <c r="E108" s="932"/>
      <c r="F108" s="932"/>
    </row>
    <row r="109" spans="1:15" ht="48.75" customHeight="1" x14ac:dyDescent="0.2">
      <c r="A109" s="1023" t="s">
        <v>708</v>
      </c>
      <c r="B109" s="1023"/>
      <c r="C109" s="1023"/>
      <c r="D109" s="1023"/>
      <c r="E109" s="1023"/>
      <c r="F109" s="1023"/>
      <c r="G109" s="1023"/>
      <c r="H109" s="1023"/>
      <c r="I109" s="1023"/>
      <c r="J109" s="1023"/>
      <c r="K109" s="1023"/>
      <c r="L109" s="1023"/>
      <c r="M109" s="1023"/>
      <c r="N109" s="1023"/>
      <c r="O109" s="1023"/>
    </row>
    <row r="110" spans="1:15" ht="12.75" customHeight="1" x14ac:dyDescent="0.2">
      <c r="A110" s="939"/>
      <c r="B110" s="932"/>
      <c r="C110" s="932"/>
      <c r="D110" s="932"/>
      <c r="E110" s="932"/>
      <c r="F110" s="932"/>
    </row>
    <row r="111" spans="1:15" ht="27" customHeight="1" x14ac:dyDescent="0.2">
      <c r="A111" s="1023" t="s">
        <v>663</v>
      </c>
      <c r="B111" s="1023"/>
      <c r="C111" s="1023"/>
      <c r="D111" s="1023"/>
      <c r="E111" s="1023"/>
      <c r="F111" s="1023"/>
      <c r="G111" s="1023"/>
      <c r="H111" s="1023"/>
      <c r="I111" s="1023"/>
      <c r="J111" s="1023"/>
      <c r="K111" s="1023"/>
      <c r="L111" s="1023"/>
      <c r="M111" s="1023"/>
      <c r="N111" s="1023"/>
      <c r="O111" s="1023"/>
    </row>
    <row r="112" spans="1:15" ht="12.75" customHeight="1" x14ac:dyDescent="0.2">
      <c r="A112" s="940"/>
      <c r="B112" s="932"/>
      <c r="C112" s="932"/>
      <c r="D112" s="932"/>
      <c r="E112" s="932"/>
      <c r="F112" s="932"/>
    </row>
    <row r="113" spans="1:15" ht="19.5" customHeight="1" x14ac:dyDescent="0.2">
      <c r="A113" s="1023" t="s">
        <v>664</v>
      </c>
      <c r="B113" s="1023"/>
      <c r="C113" s="1023"/>
      <c r="D113" s="1023"/>
      <c r="E113" s="1023"/>
      <c r="F113" s="1023"/>
      <c r="G113" s="1023"/>
      <c r="H113" s="1023"/>
      <c r="I113" s="1023"/>
      <c r="J113" s="1023"/>
      <c r="K113" s="1023"/>
      <c r="L113" s="1023"/>
      <c r="M113" s="1023"/>
      <c r="N113" s="1023"/>
      <c r="O113" s="1023"/>
    </row>
    <row r="114" spans="1:15" ht="12.75" customHeight="1" x14ac:dyDescent="0.2">
      <c r="A114" s="940"/>
      <c r="B114" s="932"/>
      <c r="C114" s="932"/>
      <c r="D114" s="932"/>
      <c r="E114" s="932"/>
      <c r="F114" s="932"/>
    </row>
    <row r="115" spans="1:15" ht="22.5" customHeight="1" x14ac:dyDescent="0.2">
      <c r="A115" s="1023" t="s">
        <v>665</v>
      </c>
      <c r="B115" s="1023"/>
      <c r="C115" s="1023"/>
      <c r="D115" s="1023"/>
      <c r="E115" s="1023"/>
      <c r="F115" s="1023"/>
      <c r="G115" s="1023"/>
      <c r="H115" s="1023"/>
      <c r="I115" s="1023"/>
      <c r="J115" s="1023"/>
      <c r="K115" s="1023"/>
      <c r="L115" s="1023"/>
      <c r="M115" s="1023"/>
      <c r="N115" s="1023"/>
      <c r="O115" s="1023"/>
    </row>
    <row r="116" spans="1:15" ht="34.5" customHeight="1" x14ac:dyDescent="0.2">
      <c r="A116" s="1023" t="s">
        <v>666</v>
      </c>
      <c r="B116" s="1023"/>
      <c r="C116" s="1023"/>
      <c r="D116" s="1023"/>
      <c r="E116" s="1023"/>
      <c r="F116" s="1023"/>
      <c r="G116" s="1023"/>
      <c r="H116" s="1023"/>
      <c r="I116" s="1023"/>
      <c r="J116" s="1023"/>
      <c r="K116" s="1023"/>
      <c r="L116" s="1023"/>
      <c r="M116" s="1023"/>
      <c r="N116" s="1023"/>
      <c r="O116" s="1023"/>
    </row>
    <row r="117" spans="1:15" ht="12.75" customHeight="1" x14ac:dyDescent="0.2">
      <c r="A117" s="940"/>
      <c r="B117" s="932"/>
      <c r="C117" s="932"/>
      <c r="D117" s="932"/>
      <c r="E117" s="932"/>
      <c r="F117" s="932"/>
    </row>
    <row r="118" spans="1:15" ht="33.75" customHeight="1" x14ac:dyDescent="0.2">
      <c r="A118" s="1023" t="s">
        <v>667</v>
      </c>
      <c r="B118" s="1023"/>
      <c r="C118" s="1023"/>
      <c r="D118" s="1023"/>
      <c r="E118" s="1023"/>
      <c r="F118" s="1023"/>
      <c r="G118" s="1023"/>
      <c r="H118" s="1023"/>
      <c r="I118" s="1023"/>
      <c r="J118" s="1023"/>
      <c r="K118" s="1023"/>
      <c r="L118" s="1023"/>
      <c r="M118" s="1023"/>
      <c r="N118" s="1023"/>
      <c r="O118" s="1023"/>
    </row>
    <row r="119" spans="1:15" ht="12.75" customHeight="1" x14ac:dyDescent="0.2">
      <c r="A119" s="940"/>
      <c r="B119" s="932"/>
      <c r="C119" s="932"/>
      <c r="D119" s="932"/>
      <c r="E119" s="932"/>
      <c r="F119" s="932"/>
    </row>
    <row r="120" spans="1:15" ht="21" customHeight="1" x14ac:dyDescent="0.2">
      <c r="A120" s="1023" t="s">
        <v>668</v>
      </c>
      <c r="B120" s="1023"/>
      <c r="C120" s="1023"/>
      <c r="D120" s="1023"/>
      <c r="E120" s="1023"/>
      <c r="F120" s="1023"/>
      <c r="G120" s="1023"/>
      <c r="H120" s="1023"/>
      <c r="I120" s="1023"/>
      <c r="J120" s="1023"/>
      <c r="K120" s="1023"/>
      <c r="L120" s="1023"/>
      <c r="M120" s="1023"/>
      <c r="N120" s="1023"/>
      <c r="O120" s="1023"/>
    </row>
    <row r="121" spans="1:15" ht="12.75" customHeight="1" x14ac:dyDescent="0.2">
      <c r="A121" s="934"/>
      <c r="B121" s="932"/>
      <c r="C121" s="932"/>
      <c r="D121" s="932"/>
      <c r="E121" s="932"/>
      <c r="F121" s="932"/>
    </row>
    <row r="122" spans="1:15" ht="21.75" customHeight="1" x14ac:dyDescent="0.2">
      <c r="A122" s="1020" t="s">
        <v>208</v>
      </c>
      <c r="B122" s="1020"/>
      <c r="C122" s="1020"/>
      <c r="D122" s="1020"/>
      <c r="E122" s="1020"/>
      <c r="F122" s="1020"/>
      <c r="G122" s="1020"/>
      <c r="H122" s="1020"/>
      <c r="I122" s="1020"/>
      <c r="J122" s="1020"/>
      <c r="K122" s="1020"/>
      <c r="L122" s="1020"/>
      <c r="M122" s="1020"/>
      <c r="N122" s="1020"/>
      <c r="O122" s="1020"/>
    </row>
    <row r="123" spans="1:15" ht="12.75" customHeight="1" x14ac:dyDescent="0.2">
      <c r="A123" s="1020" t="s">
        <v>209</v>
      </c>
      <c r="B123" s="1020"/>
      <c r="C123" s="1020"/>
      <c r="D123" s="1020"/>
      <c r="E123" s="1020"/>
      <c r="F123" s="1020"/>
      <c r="G123" s="1020"/>
      <c r="H123" s="1020"/>
      <c r="I123" s="1020"/>
      <c r="J123" s="1020"/>
      <c r="K123" s="1020"/>
      <c r="L123" s="1020"/>
      <c r="M123" s="1020"/>
      <c r="N123" s="1020"/>
      <c r="O123" s="1020"/>
    </row>
  </sheetData>
  <mergeCells count="15">
    <mergeCell ref="A122:O122"/>
    <mergeCell ref="A123:O123"/>
    <mergeCell ref="A97:O97"/>
    <mergeCell ref="A99:O99"/>
    <mergeCell ref="A101:O101"/>
    <mergeCell ref="A103:O103"/>
    <mergeCell ref="A105:O105"/>
    <mergeCell ref="A107:O107"/>
    <mergeCell ref="A109:O109"/>
    <mergeCell ref="A111:O111"/>
    <mergeCell ref="A113:O113"/>
    <mergeCell ref="A115:O115"/>
    <mergeCell ref="A116:O116"/>
    <mergeCell ref="A118:O118"/>
    <mergeCell ref="A120:O120"/>
  </mergeCells>
  <phoneticPr fontId="2" type="noConversion"/>
  <pageMargins left="0.59055118110236227" right="0.59055118110236227" top="1.0236220472440944" bottom="0.98425196850393704" header="0.51181102362204722" footer="0.51181102362204722"/>
  <pageSetup paperSize="9" scale="50" firstPageNumber="11" fitToHeight="0" orientation="landscape" useFirstPageNumber="1" r:id="rId1"/>
  <headerFooter alignWithMargins="0">
    <oddHeader>&amp;R&amp;12Les finances des communes en 2024</oddHeader>
    <oddFooter>&amp;L&amp;12Direction Générale des Collectivités Locales / DESL&amp;C&amp;12 &amp;P&amp;R&amp;12Mise en ligne : janvier 2026</oddFooter>
    <evenFooter>&amp;C11</evenFooter>
  </headerFooter>
  <rowBreaks count="2" manualBreakCount="2">
    <brk id="57" max="14" man="1"/>
    <brk id="95" max="14" man="1"/>
  </rowBreaks>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O86"/>
  <sheetViews>
    <sheetView view="pageBreakPreview" zoomScale="60" zoomScaleNormal="85" workbookViewId="0">
      <selection activeCell="N7" sqref="N7"/>
    </sheetView>
  </sheetViews>
  <sheetFormatPr baseColWidth="10" defaultRowHeight="12.75" x14ac:dyDescent="0.2"/>
  <cols>
    <col min="1" max="1" width="73.140625" customWidth="1"/>
    <col min="2" max="12" width="12.7109375" customWidth="1"/>
    <col min="13" max="14" width="16.28515625" customWidth="1"/>
    <col min="15" max="15" width="12.7109375" customWidth="1"/>
  </cols>
  <sheetData>
    <row r="1" spans="1:15" ht="19.5" customHeight="1" x14ac:dyDescent="0.25">
      <c r="A1" s="10" t="s">
        <v>889</v>
      </c>
    </row>
    <row r="2" spans="1:15" ht="12.75" customHeight="1" thickBot="1" x14ac:dyDescent="0.25">
      <c r="A2" s="228"/>
      <c r="O2" s="25" t="s">
        <v>203</v>
      </c>
    </row>
    <row r="3" spans="1:15" ht="12.75" customHeight="1" x14ac:dyDescent="0.2">
      <c r="A3" s="19" t="s">
        <v>885</v>
      </c>
      <c r="B3" s="20" t="s">
        <v>35</v>
      </c>
      <c r="C3" s="20" t="s">
        <v>121</v>
      </c>
      <c r="D3" s="20" t="s">
        <v>123</v>
      </c>
      <c r="E3" s="20" t="s">
        <v>36</v>
      </c>
      <c r="F3" s="20" t="s">
        <v>37</v>
      </c>
      <c r="G3" s="20" t="s">
        <v>38</v>
      </c>
      <c r="H3" s="20" t="s">
        <v>39</v>
      </c>
      <c r="I3" s="20" t="s">
        <v>125</v>
      </c>
      <c r="J3" s="20" t="s">
        <v>126</v>
      </c>
      <c r="K3" s="20" t="s">
        <v>127</v>
      </c>
      <c r="L3" s="216">
        <v>100000</v>
      </c>
      <c r="M3" s="21" t="s">
        <v>228</v>
      </c>
      <c r="N3" s="21" t="s">
        <v>228</v>
      </c>
      <c r="O3" s="21" t="s">
        <v>77</v>
      </c>
    </row>
    <row r="4" spans="1:15" ht="12.75" customHeight="1" x14ac:dyDescent="0.2">
      <c r="A4" s="18" t="s">
        <v>198</v>
      </c>
      <c r="B4" s="22" t="s">
        <v>120</v>
      </c>
      <c r="C4" s="22" t="s">
        <v>40</v>
      </c>
      <c r="D4" s="22" t="s">
        <v>40</v>
      </c>
      <c r="E4" s="22" t="s">
        <v>40</v>
      </c>
      <c r="F4" s="22" t="s">
        <v>40</v>
      </c>
      <c r="G4" s="22" t="s">
        <v>40</v>
      </c>
      <c r="H4" s="22" t="s">
        <v>40</v>
      </c>
      <c r="I4" s="22" t="s">
        <v>40</v>
      </c>
      <c r="J4" s="22" t="s">
        <v>40</v>
      </c>
      <c r="K4" s="22" t="s">
        <v>40</v>
      </c>
      <c r="L4" s="22" t="s">
        <v>43</v>
      </c>
      <c r="M4" s="12" t="s">
        <v>230</v>
      </c>
      <c r="N4" s="12" t="s">
        <v>138</v>
      </c>
      <c r="O4" s="12" t="s">
        <v>137</v>
      </c>
    </row>
    <row r="5" spans="1:15" ht="12.75" customHeight="1" thickBot="1" x14ac:dyDescent="0.25">
      <c r="A5" s="220" t="s">
        <v>81</v>
      </c>
      <c r="B5" s="23" t="s">
        <v>43</v>
      </c>
      <c r="C5" s="23" t="s">
        <v>122</v>
      </c>
      <c r="D5" s="23" t="s">
        <v>124</v>
      </c>
      <c r="E5" s="23" t="s">
        <v>44</v>
      </c>
      <c r="F5" s="23" t="s">
        <v>45</v>
      </c>
      <c r="G5" s="23" t="s">
        <v>46</v>
      </c>
      <c r="H5" s="23" t="s">
        <v>42</v>
      </c>
      <c r="I5" s="23" t="s">
        <v>128</v>
      </c>
      <c r="J5" s="23" t="s">
        <v>129</v>
      </c>
      <c r="K5" s="23" t="s">
        <v>130</v>
      </c>
      <c r="L5" s="23" t="s">
        <v>131</v>
      </c>
      <c r="M5" s="183" t="s">
        <v>138</v>
      </c>
      <c r="N5" s="183" t="s">
        <v>131</v>
      </c>
      <c r="O5" s="183" t="s">
        <v>41</v>
      </c>
    </row>
    <row r="6" spans="1:15" ht="12.75" customHeight="1" x14ac:dyDescent="0.2">
      <c r="A6" s="227"/>
    </row>
    <row r="7" spans="1:15" ht="13.5" customHeight="1" x14ac:dyDescent="0.25">
      <c r="A7" s="474" t="s">
        <v>160</v>
      </c>
      <c r="B7" s="466">
        <v>1108.0961136139999</v>
      </c>
      <c r="C7" s="466">
        <v>830.71594280299996</v>
      </c>
      <c r="D7" s="466">
        <v>723.82328287300004</v>
      </c>
      <c r="E7" s="466">
        <v>757.29400554799997</v>
      </c>
      <c r="F7" s="466">
        <v>874.85198297099998</v>
      </c>
      <c r="G7" s="466">
        <v>999.24050272500006</v>
      </c>
      <c r="H7" s="466">
        <v>1108.4013983259999</v>
      </c>
      <c r="I7" s="466">
        <v>1251.8403320909999</v>
      </c>
      <c r="J7" s="466">
        <v>1397.6981484170001</v>
      </c>
      <c r="K7" s="466">
        <v>1506.6052295740001</v>
      </c>
      <c r="L7" s="466">
        <v>1776.8178894709999</v>
      </c>
      <c r="M7" s="479">
        <v>897.02359150699999</v>
      </c>
      <c r="N7" s="479">
        <v>1497.504103063</v>
      </c>
      <c r="O7" s="479">
        <v>1202.0581138110001</v>
      </c>
    </row>
    <row r="8" spans="1:15" ht="13.5" customHeight="1" x14ac:dyDescent="0.2">
      <c r="A8" s="465" t="s">
        <v>161</v>
      </c>
      <c r="B8" s="467">
        <v>446.80231910600003</v>
      </c>
      <c r="C8" s="467">
        <v>320.94096387299999</v>
      </c>
      <c r="D8" s="467">
        <v>262.58185622100001</v>
      </c>
      <c r="E8" s="467">
        <v>262.19709734600002</v>
      </c>
      <c r="F8" s="467">
        <v>290.67268177199998</v>
      </c>
      <c r="G8" s="467">
        <v>311.17743691999999</v>
      </c>
      <c r="H8" s="467">
        <v>317.75593981899999</v>
      </c>
      <c r="I8" s="467">
        <v>326.77314663499999</v>
      </c>
      <c r="J8" s="467">
        <v>346.83180441600001</v>
      </c>
      <c r="K8" s="467">
        <v>342.03473853700001</v>
      </c>
      <c r="L8" s="467">
        <v>327.88867420100001</v>
      </c>
      <c r="M8" s="480">
        <v>289.79886587300001</v>
      </c>
      <c r="N8" s="480">
        <v>336.06080972699999</v>
      </c>
      <c r="O8" s="480">
        <v>313.29919547999998</v>
      </c>
    </row>
    <row r="9" spans="1:15" ht="13.5" customHeight="1" x14ac:dyDescent="0.2">
      <c r="A9" s="465" t="s">
        <v>162</v>
      </c>
      <c r="B9" s="467">
        <v>253.18022260999999</v>
      </c>
      <c r="C9" s="467">
        <v>232.25156946999999</v>
      </c>
      <c r="D9" s="467">
        <v>252.29624831699999</v>
      </c>
      <c r="E9" s="467">
        <v>335.44694265499999</v>
      </c>
      <c r="F9" s="467">
        <v>442.41072543299998</v>
      </c>
      <c r="G9" s="467">
        <v>536.51583461500002</v>
      </c>
      <c r="H9" s="467">
        <v>630.20958419500005</v>
      </c>
      <c r="I9" s="467">
        <v>743.55735439800003</v>
      </c>
      <c r="J9" s="467">
        <v>849.36035439099999</v>
      </c>
      <c r="K9" s="467">
        <v>909.90977719</v>
      </c>
      <c r="L9" s="467">
        <v>884.442005913</v>
      </c>
      <c r="M9" s="480">
        <v>442.74932384800002</v>
      </c>
      <c r="N9" s="480">
        <v>847.539401656</v>
      </c>
      <c r="O9" s="480">
        <v>648.37622703900001</v>
      </c>
    </row>
    <row r="10" spans="1:15" ht="13.5" customHeight="1" x14ac:dyDescent="0.2">
      <c r="A10" s="465" t="s">
        <v>163</v>
      </c>
      <c r="B10" s="467">
        <v>16.149400257</v>
      </c>
      <c r="C10" s="467">
        <v>13.866572724999999</v>
      </c>
      <c r="D10" s="467">
        <v>12.536208079</v>
      </c>
      <c r="E10" s="467">
        <v>14.579043028999999</v>
      </c>
      <c r="F10" s="467">
        <v>17.048236976999998</v>
      </c>
      <c r="G10" s="467">
        <v>18.139734678</v>
      </c>
      <c r="H10" s="467">
        <v>20.053753196999999</v>
      </c>
      <c r="I10" s="467">
        <v>21.645543065999998</v>
      </c>
      <c r="J10" s="467">
        <v>27.496297628000001</v>
      </c>
      <c r="K10" s="467">
        <v>39.122248726000002</v>
      </c>
      <c r="L10" s="467">
        <v>43.189457361000002</v>
      </c>
      <c r="M10" s="480">
        <v>16.638721314000001</v>
      </c>
      <c r="N10" s="480">
        <v>32.915827207</v>
      </c>
      <c r="O10" s="480">
        <v>24.907231491000001</v>
      </c>
    </row>
    <row r="11" spans="1:15" ht="13.5" customHeight="1" x14ac:dyDescent="0.2">
      <c r="A11" s="465" t="s">
        <v>164</v>
      </c>
      <c r="B11" s="467">
        <v>138.56049557</v>
      </c>
      <c r="C11" s="467">
        <v>115.29631953800001</v>
      </c>
      <c r="D11" s="467">
        <v>110.991553434</v>
      </c>
      <c r="E11" s="467">
        <v>81.146829299000004</v>
      </c>
      <c r="F11" s="467">
        <v>77.440241803000006</v>
      </c>
      <c r="G11" s="467">
        <v>88.094978412000003</v>
      </c>
      <c r="H11" s="467">
        <v>102.49046782800001</v>
      </c>
      <c r="I11" s="467">
        <v>124.852421042</v>
      </c>
      <c r="J11" s="467">
        <v>140.372375906</v>
      </c>
      <c r="K11" s="467">
        <v>175.14497363800001</v>
      </c>
      <c r="L11" s="467">
        <v>479.41413319100002</v>
      </c>
      <c r="M11" s="480">
        <v>90.582046348000006</v>
      </c>
      <c r="N11" s="480">
        <v>243.430113543</v>
      </c>
      <c r="O11" s="480">
        <v>168.226426581</v>
      </c>
    </row>
    <row r="12" spans="1:15" ht="13.5" customHeight="1" x14ac:dyDescent="0.2">
      <c r="A12" s="465" t="s">
        <v>165</v>
      </c>
      <c r="B12" s="467">
        <v>253.40367606999999</v>
      </c>
      <c r="C12" s="467">
        <v>148.360517198</v>
      </c>
      <c r="D12" s="467">
        <v>85.417416822000007</v>
      </c>
      <c r="E12" s="467">
        <v>63.924093218000003</v>
      </c>
      <c r="F12" s="467">
        <v>47.280096985</v>
      </c>
      <c r="G12" s="467">
        <v>45.312518099999998</v>
      </c>
      <c r="H12" s="467">
        <v>37.891653286999997</v>
      </c>
      <c r="I12" s="467">
        <v>35.011866951000002</v>
      </c>
      <c r="J12" s="467">
        <v>33.637316077000001</v>
      </c>
      <c r="K12" s="467">
        <v>40.393491484000002</v>
      </c>
      <c r="L12" s="467">
        <v>41.883618804999998</v>
      </c>
      <c r="M12" s="480">
        <v>57.254634123000002</v>
      </c>
      <c r="N12" s="480">
        <v>37.557950931000001</v>
      </c>
      <c r="O12" s="480">
        <v>47.249033220000001</v>
      </c>
    </row>
    <row r="13" spans="1:15" ht="13.5" customHeight="1" x14ac:dyDescent="0.25">
      <c r="A13" s="474" t="s">
        <v>166</v>
      </c>
      <c r="B13" s="466">
        <v>1536.0129128420001</v>
      </c>
      <c r="C13" s="466">
        <v>1111.831066837</v>
      </c>
      <c r="D13" s="466">
        <v>933.40548349000005</v>
      </c>
      <c r="E13" s="466">
        <v>947.57304754300003</v>
      </c>
      <c r="F13" s="466">
        <v>1079.896860135</v>
      </c>
      <c r="G13" s="466">
        <v>1219.4898774820001</v>
      </c>
      <c r="H13" s="466">
        <v>1321.00646089</v>
      </c>
      <c r="I13" s="466">
        <v>1454.0912074549999</v>
      </c>
      <c r="J13" s="466">
        <v>1605.2795771650001</v>
      </c>
      <c r="K13" s="466">
        <v>1741.823047891</v>
      </c>
      <c r="L13" s="466">
        <v>1963.325444132</v>
      </c>
      <c r="M13" s="479">
        <v>1104.581718312</v>
      </c>
      <c r="N13" s="479">
        <v>1702.5463630459999</v>
      </c>
      <c r="O13" s="479">
        <v>1408.338220398</v>
      </c>
    </row>
    <row r="14" spans="1:15" ht="13.5" customHeight="1" x14ac:dyDescent="0.2">
      <c r="A14" s="465" t="s">
        <v>79</v>
      </c>
      <c r="B14" s="467">
        <v>656.21641749699995</v>
      </c>
      <c r="C14" s="467">
        <v>513.75233374799996</v>
      </c>
      <c r="D14" s="467">
        <v>474.97782819999998</v>
      </c>
      <c r="E14" s="467">
        <v>544.56195063099995</v>
      </c>
      <c r="F14" s="467">
        <v>677.18780310099999</v>
      </c>
      <c r="G14" s="467">
        <v>792.628995422</v>
      </c>
      <c r="H14" s="467">
        <v>883.70735644599995</v>
      </c>
      <c r="I14" s="467">
        <v>987.71720562799999</v>
      </c>
      <c r="J14" s="467">
        <v>1104.763937189</v>
      </c>
      <c r="K14" s="467">
        <v>1196.901331238</v>
      </c>
      <c r="L14" s="467">
        <v>1423.847332628</v>
      </c>
      <c r="M14" s="480">
        <v>677.48674583599995</v>
      </c>
      <c r="N14" s="480">
        <v>1190.080507352</v>
      </c>
      <c r="O14" s="480">
        <v>937.87620089899997</v>
      </c>
    </row>
    <row r="15" spans="1:15" ht="13.5" customHeight="1" x14ac:dyDescent="0.2">
      <c r="A15" s="465" t="s">
        <v>167</v>
      </c>
      <c r="B15" s="467">
        <v>452.84972520999997</v>
      </c>
      <c r="C15" s="467">
        <v>394.79575174299998</v>
      </c>
      <c r="D15" s="467">
        <v>392.88381564399998</v>
      </c>
      <c r="E15" s="467">
        <v>481.77400288400003</v>
      </c>
      <c r="F15" s="467">
        <v>610.54854908799996</v>
      </c>
      <c r="G15" s="467">
        <v>704.66515982299995</v>
      </c>
      <c r="H15" s="467">
        <v>780.09401957099999</v>
      </c>
      <c r="I15" s="467">
        <v>870.24265771399996</v>
      </c>
      <c r="J15" s="467">
        <v>1003.627243756</v>
      </c>
      <c r="K15" s="467">
        <v>1064.860943463</v>
      </c>
      <c r="L15" s="467">
        <v>1012.090450034</v>
      </c>
      <c r="M15" s="480">
        <v>596.70905194800002</v>
      </c>
      <c r="N15" s="480">
        <v>988.10321629700002</v>
      </c>
      <c r="O15" s="480">
        <v>795.53104476399994</v>
      </c>
    </row>
    <row r="16" spans="1:15" ht="13.5" customHeight="1" x14ac:dyDescent="0.2">
      <c r="A16" s="465" t="s">
        <v>199</v>
      </c>
      <c r="B16" s="467">
        <v>73.518939458000006</v>
      </c>
      <c r="C16" s="467">
        <v>48.391684306000002</v>
      </c>
      <c r="D16" s="467">
        <v>46.369710681000001</v>
      </c>
      <c r="E16" s="467">
        <v>77.908473896000004</v>
      </c>
      <c r="F16" s="467">
        <v>114.655901908</v>
      </c>
      <c r="G16" s="467">
        <v>140.46196374499999</v>
      </c>
      <c r="H16" s="467">
        <v>165.40325328200001</v>
      </c>
      <c r="I16" s="467">
        <v>193.07240358499999</v>
      </c>
      <c r="J16" s="467">
        <v>203.545219914</v>
      </c>
      <c r="K16" s="467">
        <v>240.35339732200001</v>
      </c>
      <c r="L16" s="467">
        <v>196.29019413099999</v>
      </c>
      <c r="M16" s="480">
        <v>110.526613614</v>
      </c>
      <c r="N16" s="480">
        <v>205.59356915399999</v>
      </c>
      <c r="O16" s="480">
        <v>158.81911072599999</v>
      </c>
    </row>
    <row r="17" spans="1:15" ht="13.5" customHeight="1" x14ac:dyDescent="0.2">
      <c r="A17" s="465" t="s">
        <v>168</v>
      </c>
      <c r="B17" s="467">
        <v>203.36669228700001</v>
      </c>
      <c r="C17" s="467">
        <v>118.956582005</v>
      </c>
      <c r="D17" s="467">
        <v>82.094012555000006</v>
      </c>
      <c r="E17" s="467">
        <v>62.787947746999997</v>
      </c>
      <c r="F17" s="467">
        <v>66.639254014000002</v>
      </c>
      <c r="G17" s="467">
        <v>87.963835599000006</v>
      </c>
      <c r="H17" s="467">
        <v>103.613336875</v>
      </c>
      <c r="I17" s="467">
        <v>117.474547915</v>
      </c>
      <c r="J17" s="467">
        <v>101.136693433</v>
      </c>
      <c r="K17" s="467">
        <v>132.04038777400001</v>
      </c>
      <c r="L17" s="467">
        <v>411.75688259399999</v>
      </c>
      <c r="M17" s="480">
        <v>80.777693888000002</v>
      </c>
      <c r="N17" s="480">
        <v>201.97729105499999</v>
      </c>
      <c r="O17" s="480">
        <v>142.345156135</v>
      </c>
    </row>
    <row r="18" spans="1:15" ht="13.5" customHeight="1" x14ac:dyDescent="0.2">
      <c r="A18" s="465" t="s">
        <v>169</v>
      </c>
      <c r="B18" s="467">
        <v>515.65493041100001</v>
      </c>
      <c r="C18" s="467">
        <v>338.02300864099999</v>
      </c>
      <c r="D18" s="467">
        <v>258.14289151600002</v>
      </c>
      <c r="E18" s="467">
        <v>225.77543219500001</v>
      </c>
      <c r="F18" s="467">
        <v>217.50274504199999</v>
      </c>
      <c r="G18" s="467">
        <v>222.70161729200001</v>
      </c>
      <c r="H18" s="467">
        <v>224.92262341099999</v>
      </c>
      <c r="I18" s="467">
        <v>239.944408995</v>
      </c>
      <c r="J18" s="467">
        <v>250.354314184</v>
      </c>
      <c r="K18" s="467">
        <v>273.359780505</v>
      </c>
      <c r="L18" s="467">
        <v>209.46919782800001</v>
      </c>
      <c r="M18" s="480">
        <v>231.10072767299999</v>
      </c>
      <c r="N18" s="480">
        <v>240.046617032</v>
      </c>
      <c r="O18" s="480">
        <v>235.645096782</v>
      </c>
    </row>
    <row r="19" spans="1:15" ht="13.5" customHeight="1" x14ac:dyDescent="0.2">
      <c r="A19" s="465" t="s">
        <v>170</v>
      </c>
      <c r="B19" s="467">
        <v>274.96602980599999</v>
      </c>
      <c r="C19" s="467">
        <v>214.79947261199999</v>
      </c>
      <c r="D19" s="467">
        <v>173.755048493</v>
      </c>
      <c r="E19" s="467">
        <v>163.01047102800001</v>
      </c>
      <c r="F19" s="467">
        <v>161.54804744899999</v>
      </c>
      <c r="G19" s="467">
        <v>163.48149433500001</v>
      </c>
      <c r="H19" s="467">
        <v>163.165491651</v>
      </c>
      <c r="I19" s="467">
        <v>181.63552557599999</v>
      </c>
      <c r="J19" s="467">
        <v>204.721865511</v>
      </c>
      <c r="K19" s="467">
        <v>228.52022427599999</v>
      </c>
      <c r="L19" s="467">
        <v>175.55012156000001</v>
      </c>
      <c r="M19" s="480">
        <v>165.73701727700001</v>
      </c>
      <c r="N19" s="480">
        <v>195.28509276</v>
      </c>
      <c r="O19" s="480">
        <v>180.74696833600001</v>
      </c>
    </row>
    <row r="20" spans="1:15" ht="13.5" customHeight="1" x14ac:dyDescent="0.2">
      <c r="A20" s="465" t="s">
        <v>171</v>
      </c>
      <c r="B20" s="467">
        <v>108.751699702</v>
      </c>
      <c r="C20" s="467">
        <v>50.874323242000003</v>
      </c>
      <c r="D20" s="467">
        <v>20.313027863999999</v>
      </c>
      <c r="E20" s="467">
        <v>5.7273334829999998</v>
      </c>
      <c r="F20" s="467">
        <v>3.2602321179999998</v>
      </c>
      <c r="G20" s="467">
        <v>2.9936442579999998</v>
      </c>
      <c r="H20" s="467">
        <v>2.7059587820000002</v>
      </c>
      <c r="I20" s="467">
        <v>2.4395772070000001</v>
      </c>
      <c r="J20" s="467">
        <v>3.9514483729999998</v>
      </c>
      <c r="K20" s="467">
        <v>6.4205732109999998</v>
      </c>
      <c r="L20" s="467">
        <v>8.2910208609999998</v>
      </c>
      <c r="M20" s="480">
        <v>7.2220014370000003</v>
      </c>
      <c r="N20" s="480">
        <v>5.3422071600000001</v>
      </c>
      <c r="O20" s="480">
        <v>6.2670959259999997</v>
      </c>
    </row>
    <row r="21" spans="1:15" ht="13.5" customHeight="1" x14ac:dyDescent="0.2">
      <c r="A21" s="687" t="s">
        <v>607</v>
      </c>
      <c r="B21" s="467">
        <v>131.93720090299999</v>
      </c>
      <c r="C21" s="467">
        <v>72.349212786999999</v>
      </c>
      <c r="D21" s="467">
        <v>64.07481516</v>
      </c>
      <c r="E21" s="467">
        <v>57.037627684</v>
      </c>
      <c r="F21" s="467">
        <v>52.694465475000001</v>
      </c>
      <c r="G21" s="467">
        <v>56.226478698000001</v>
      </c>
      <c r="H21" s="467">
        <v>59.051172977999997</v>
      </c>
      <c r="I21" s="467">
        <v>55.869306211000001</v>
      </c>
      <c r="J21" s="467">
        <v>41.681000298999997</v>
      </c>
      <c r="K21" s="467">
        <v>38.418983019000002</v>
      </c>
      <c r="L21" s="467">
        <v>25.628055407000002</v>
      </c>
      <c r="M21" s="480">
        <v>58.141708960000003</v>
      </c>
      <c r="N21" s="480">
        <v>39.419317112000002</v>
      </c>
      <c r="O21" s="480">
        <v>48.631032519999998</v>
      </c>
    </row>
    <row r="22" spans="1:15" ht="13.5" customHeight="1" x14ac:dyDescent="0.2">
      <c r="A22" s="465" t="s">
        <v>172</v>
      </c>
      <c r="B22" s="467">
        <v>32.071150027000002</v>
      </c>
      <c r="C22" s="467">
        <v>23.538122927</v>
      </c>
      <c r="D22" s="467">
        <v>20.852181719000001</v>
      </c>
      <c r="E22" s="467">
        <v>26.804003901000002</v>
      </c>
      <c r="F22" s="467">
        <v>38.504467765000001</v>
      </c>
      <c r="G22" s="467">
        <v>48.526543586000003</v>
      </c>
      <c r="H22" s="467">
        <v>62.592269598999998</v>
      </c>
      <c r="I22" s="467">
        <v>72.586144848999993</v>
      </c>
      <c r="J22" s="467">
        <v>83.663316627</v>
      </c>
      <c r="K22" s="467">
        <v>83.932056532999994</v>
      </c>
      <c r="L22" s="467">
        <v>78.412297914000007</v>
      </c>
      <c r="M22" s="480">
        <v>39.963242497000003</v>
      </c>
      <c r="N22" s="480">
        <v>79.768166718000003</v>
      </c>
      <c r="O22" s="480">
        <v>60.183509119</v>
      </c>
    </row>
    <row r="23" spans="1:15" ht="13.5" customHeight="1" x14ac:dyDescent="0.2">
      <c r="A23" s="465" t="s">
        <v>173</v>
      </c>
      <c r="B23" s="467">
        <v>151.13032110500001</v>
      </c>
      <c r="C23" s="467">
        <v>102.537529139</v>
      </c>
      <c r="D23" s="467">
        <v>78.150687462999997</v>
      </c>
      <c r="E23" s="467">
        <v>77.977157035000005</v>
      </c>
      <c r="F23" s="467">
        <v>83.994378624000007</v>
      </c>
      <c r="G23" s="467">
        <v>99.805326352999998</v>
      </c>
      <c r="H23" s="467">
        <v>100.07167079200001</v>
      </c>
      <c r="I23" s="467">
        <v>107.96187962400001</v>
      </c>
      <c r="J23" s="467">
        <v>125.169139574</v>
      </c>
      <c r="K23" s="467">
        <v>133.544628617</v>
      </c>
      <c r="L23" s="467">
        <v>163.21114630700001</v>
      </c>
      <c r="M23" s="480">
        <v>88.326582461000001</v>
      </c>
      <c r="N23" s="480">
        <v>134.18193695299999</v>
      </c>
      <c r="O23" s="480">
        <v>111.620371158</v>
      </c>
    </row>
    <row r="24" spans="1:15" ht="13.5" customHeight="1" x14ac:dyDescent="0.2">
      <c r="A24" s="475" t="s">
        <v>174</v>
      </c>
      <c r="B24" s="468">
        <v>180.94009380200001</v>
      </c>
      <c r="C24" s="468">
        <v>133.98007238100001</v>
      </c>
      <c r="D24" s="468">
        <v>101.281894593</v>
      </c>
      <c r="E24" s="468">
        <v>72.454503782000003</v>
      </c>
      <c r="F24" s="468">
        <v>62.707465603000003</v>
      </c>
      <c r="G24" s="468">
        <v>55.827394828999999</v>
      </c>
      <c r="H24" s="468">
        <v>49.712540642999997</v>
      </c>
      <c r="I24" s="468">
        <v>45.881568358000003</v>
      </c>
      <c r="J24" s="468">
        <v>41.328869591</v>
      </c>
      <c r="K24" s="468">
        <v>54.085250997999999</v>
      </c>
      <c r="L24" s="468">
        <v>88.385469455000006</v>
      </c>
      <c r="M24" s="481">
        <v>67.704419844</v>
      </c>
      <c r="N24" s="481">
        <v>58.469134990999997</v>
      </c>
      <c r="O24" s="481">
        <v>63.01304244</v>
      </c>
    </row>
    <row r="25" spans="1:15" ht="13.5" customHeight="1" x14ac:dyDescent="0.25">
      <c r="A25" s="474" t="s">
        <v>175</v>
      </c>
      <c r="B25" s="466">
        <v>427.91679922899999</v>
      </c>
      <c r="C25" s="466">
        <v>281.11512403400002</v>
      </c>
      <c r="D25" s="466">
        <v>209.582200618</v>
      </c>
      <c r="E25" s="466">
        <v>190.27904199599999</v>
      </c>
      <c r="F25" s="466">
        <v>205.044877165</v>
      </c>
      <c r="G25" s="466">
        <v>220.249374757</v>
      </c>
      <c r="H25" s="466">
        <v>212.60506256400001</v>
      </c>
      <c r="I25" s="466">
        <v>202.25087536300001</v>
      </c>
      <c r="J25" s="466">
        <v>207.58142874800001</v>
      </c>
      <c r="K25" s="466">
        <v>235.217818317</v>
      </c>
      <c r="L25" s="466">
        <v>186.507554661</v>
      </c>
      <c r="M25" s="479">
        <v>207.558126805</v>
      </c>
      <c r="N25" s="479">
        <v>205.04225998300001</v>
      </c>
      <c r="O25" s="479">
        <v>206.28010658700001</v>
      </c>
    </row>
    <row r="26" spans="1:15" ht="13.5" customHeight="1" x14ac:dyDescent="0.25">
      <c r="A26" s="476" t="s">
        <v>176</v>
      </c>
      <c r="B26" s="469">
        <v>305.88620230100003</v>
      </c>
      <c r="C26" s="469">
        <v>186.011635087</v>
      </c>
      <c r="D26" s="469">
        <v>131.73184883299999</v>
      </c>
      <c r="E26" s="469">
        <v>114.317165425</v>
      </c>
      <c r="F26" s="469">
        <v>130.71550259599999</v>
      </c>
      <c r="G26" s="469">
        <v>143.44385627700001</v>
      </c>
      <c r="H26" s="469">
        <v>129.44450465599999</v>
      </c>
      <c r="I26" s="469">
        <v>117.80004424400001</v>
      </c>
      <c r="J26" s="469">
        <v>105.95430340999999</v>
      </c>
      <c r="K26" s="469">
        <v>101.275535381</v>
      </c>
      <c r="L26" s="469">
        <v>69.039988187000006</v>
      </c>
      <c r="M26" s="482">
        <v>129.063274283</v>
      </c>
      <c r="N26" s="482">
        <v>96.767077971000006</v>
      </c>
      <c r="O26" s="482">
        <v>112.65732167500001</v>
      </c>
    </row>
    <row r="27" spans="1:15" ht="13.5" customHeight="1" x14ac:dyDescent="0.25">
      <c r="A27" s="474" t="s">
        <v>177</v>
      </c>
      <c r="B27" s="466">
        <v>739.56456580700001</v>
      </c>
      <c r="C27" s="466">
        <v>519.116999083</v>
      </c>
      <c r="D27" s="466">
        <v>404.76145150399998</v>
      </c>
      <c r="E27" s="466">
        <v>395.68383532799999</v>
      </c>
      <c r="F27" s="466">
        <v>424.86370531199998</v>
      </c>
      <c r="G27" s="466">
        <v>439.10439106400003</v>
      </c>
      <c r="H27" s="466">
        <v>437.23066426899999</v>
      </c>
      <c r="I27" s="466">
        <v>407.40831900199998</v>
      </c>
      <c r="J27" s="466">
        <v>430.69382777300001</v>
      </c>
      <c r="K27" s="466">
        <v>475.41252969499999</v>
      </c>
      <c r="L27" s="466">
        <v>466.083261978</v>
      </c>
      <c r="M27" s="479">
        <v>422.50584286499998</v>
      </c>
      <c r="N27" s="479">
        <v>443.9827851</v>
      </c>
      <c r="O27" s="479">
        <v>433.41578696699997</v>
      </c>
    </row>
    <row r="28" spans="1:15" ht="13.5" customHeight="1" x14ac:dyDescent="0.2">
      <c r="A28" s="465" t="s">
        <v>178</v>
      </c>
      <c r="B28" s="467">
        <v>706.40494251699999</v>
      </c>
      <c r="C28" s="467">
        <v>492.87989301499999</v>
      </c>
      <c r="D28" s="467">
        <v>380.476035696</v>
      </c>
      <c r="E28" s="467">
        <v>374.27949534099997</v>
      </c>
      <c r="F28" s="467">
        <v>399.88340897199998</v>
      </c>
      <c r="G28" s="467">
        <v>412.63175125100003</v>
      </c>
      <c r="H28" s="467">
        <v>410.84250971799997</v>
      </c>
      <c r="I28" s="467">
        <v>378.86619015500003</v>
      </c>
      <c r="J28" s="467">
        <v>393.576355084</v>
      </c>
      <c r="K28" s="467">
        <v>429.25855609500002</v>
      </c>
      <c r="L28" s="467">
        <v>375.00588047600002</v>
      </c>
      <c r="M28" s="480">
        <v>398.143000196</v>
      </c>
      <c r="N28" s="480">
        <v>391.16578089500001</v>
      </c>
      <c r="O28" s="480">
        <v>394.59868407699997</v>
      </c>
    </row>
    <row r="29" spans="1:15" ht="13.5" customHeight="1" x14ac:dyDescent="0.2">
      <c r="A29" s="465" t="s">
        <v>179</v>
      </c>
      <c r="B29" s="467">
        <v>20.939303732999999</v>
      </c>
      <c r="C29" s="467">
        <v>17.932117971</v>
      </c>
      <c r="D29" s="467">
        <v>13.962970106</v>
      </c>
      <c r="E29" s="467">
        <v>11.895996885000001</v>
      </c>
      <c r="F29" s="467">
        <v>13.261063004</v>
      </c>
      <c r="G29" s="467">
        <v>15.47905847</v>
      </c>
      <c r="H29" s="467">
        <v>16.405491434999998</v>
      </c>
      <c r="I29" s="467">
        <v>16.540648589</v>
      </c>
      <c r="J29" s="467">
        <v>19.055515153999998</v>
      </c>
      <c r="K29" s="467">
        <v>21.356012161999999</v>
      </c>
      <c r="L29" s="467">
        <v>72.206109557000005</v>
      </c>
      <c r="M29" s="480">
        <v>14.097561766</v>
      </c>
      <c r="N29" s="480">
        <v>34.641548708000002</v>
      </c>
      <c r="O29" s="480">
        <v>24.533579458999998</v>
      </c>
    </row>
    <row r="30" spans="1:15" ht="13.5" customHeight="1" x14ac:dyDescent="0.2">
      <c r="A30" s="465" t="s">
        <v>180</v>
      </c>
      <c r="B30" s="467">
        <v>12.220319556</v>
      </c>
      <c r="C30" s="467">
        <v>8.3049880970000007</v>
      </c>
      <c r="D30" s="467">
        <v>10.322445702</v>
      </c>
      <c r="E30" s="467">
        <v>9.5083431009999995</v>
      </c>
      <c r="F30" s="467">
        <v>11.719233336</v>
      </c>
      <c r="G30" s="467">
        <v>10.993581343000001</v>
      </c>
      <c r="H30" s="467">
        <v>9.9826631159999994</v>
      </c>
      <c r="I30" s="467">
        <v>12.001480258000001</v>
      </c>
      <c r="J30" s="467">
        <v>18.061957536000001</v>
      </c>
      <c r="K30" s="467">
        <v>24.797961438000002</v>
      </c>
      <c r="L30" s="467">
        <v>18.871271945</v>
      </c>
      <c r="M30" s="480">
        <v>10.265280904000001</v>
      </c>
      <c r="N30" s="480">
        <v>18.175455497000002</v>
      </c>
      <c r="O30" s="480">
        <v>14.283523431000001</v>
      </c>
    </row>
    <row r="31" spans="1:15" ht="13.5" customHeight="1" x14ac:dyDescent="0.25">
      <c r="A31" s="474" t="s">
        <v>181</v>
      </c>
      <c r="B31" s="466">
        <v>409.317457956</v>
      </c>
      <c r="C31" s="466">
        <v>280.468730838</v>
      </c>
      <c r="D31" s="466">
        <v>213.739046766</v>
      </c>
      <c r="E31" s="466">
        <v>202.51667298800001</v>
      </c>
      <c r="F31" s="466">
        <v>215.784282381</v>
      </c>
      <c r="G31" s="466">
        <v>201.46834429699999</v>
      </c>
      <c r="H31" s="466">
        <v>198.25758977300001</v>
      </c>
      <c r="I31" s="466">
        <v>182.51177938999999</v>
      </c>
      <c r="J31" s="466">
        <v>187.38324288300001</v>
      </c>
      <c r="K31" s="466">
        <v>223.31628252600001</v>
      </c>
      <c r="L31" s="466">
        <v>123.775780735</v>
      </c>
      <c r="M31" s="479">
        <v>207.814052922</v>
      </c>
      <c r="N31" s="479">
        <v>173.813739395</v>
      </c>
      <c r="O31" s="479">
        <v>190.54243595</v>
      </c>
    </row>
    <row r="32" spans="1:15" ht="13.5" customHeight="1" x14ac:dyDescent="0.2">
      <c r="A32" s="465" t="s">
        <v>182</v>
      </c>
      <c r="B32" s="467">
        <v>91.779669979999994</v>
      </c>
      <c r="C32" s="467">
        <v>59.717483446999999</v>
      </c>
      <c r="D32" s="467">
        <v>44.917964134999998</v>
      </c>
      <c r="E32" s="467">
        <v>44.508110809000001</v>
      </c>
      <c r="F32" s="467">
        <v>46.864518461999999</v>
      </c>
      <c r="G32" s="467">
        <v>49.118761655</v>
      </c>
      <c r="H32" s="467">
        <v>48.211022161999999</v>
      </c>
      <c r="I32" s="467">
        <v>45.433918546000001</v>
      </c>
      <c r="J32" s="467">
        <v>45.824541693</v>
      </c>
      <c r="K32" s="467">
        <v>51.597973330999999</v>
      </c>
      <c r="L32" s="467">
        <v>40.935215085000003</v>
      </c>
      <c r="M32" s="480">
        <v>47.112316466000003</v>
      </c>
      <c r="N32" s="480">
        <v>45.305955871000002</v>
      </c>
      <c r="O32" s="480">
        <v>46.194714095000002</v>
      </c>
    </row>
    <row r="33" spans="1:15" ht="13.5" customHeight="1" x14ac:dyDescent="0.2">
      <c r="A33" s="465" t="s">
        <v>183</v>
      </c>
      <c r="B33" s="467">
        <v>293.40947627499997</v>
      </c>
      <c r="C33" s="467">
        <v>196.43908018799999</v>
      </c>
      <c r="D33" s="467">
        <v>144.19158474299999</v>
      </c>
      <c r="E33" s="467">
        <v>131.78606092199999</v>
      </c>
      <c r="F33" s="467">
        <v>123.56329811499999</v>
      </c>
      <c r="G33" s="467">
        <v>117.325175895</v>
      </c>
      <c r="H33" s="467">
        <v>116.231574829</v>
      </c>
      <c r="I33" s="467">
        <v>108.00052179399999</v>
      </c>
      <c r="J33" s="467">
        <v>100.72345070900001</v>
      </c>
      <c r="K33" s="467">
        <v>111.56811839700001</v>
      </c>
      <c r="L33" s="467">
        <v>52.883907952999998</v>
      </c>
      <c r="M33" s="480">
        <v>128.29438327700001</v>
      </c>
      <c r="N33" s="480">
        <v>90.040271477999994</v>
      </c>
      <c r="O33" s="480">
        <v>108.86190463</v>
      </c>
    </row>
    <row r="34" spans="1:15" ht="13.5" customHeight="1" x14ac:dyDescent="0.2">
      <c r="A34" s="475" t="s">
        <v>184</v>
      </c>
      <c r="B34" s="468">
        <v>24.128311701000001</v>
      </c>
      <c r="C34" s="468">
        <v>24.312167203000001</v>
      </c>
      <c r="D34" s="468">
        <v>24.629497888</v>
      </c>
      <c r="E34" s="468">
        <v>26.222501258000001</v>
      </c>
      <c r="F34" s="468">
        <v>45.356465804000003</v>
      </c>
      <c r="G34" s="468">
        <v>35.024406747999997</v>
      </c>
      <c r="H34" s="468">
        <v>33.814992781999997</v>
      </c>
      <c r="I34" s="468">
        <v>29.077339049999999</v>
      </c>
      <c r="J34" s="468">
        <v>40.835250479999999</v>
      </c>
      <c r="K34" s="468">
        <v>60.150190797</v>
      </c>
      <c r="L34" s="468">
        <v>29.956657697000001</v>
      </c>
      <c r="M34" s="481">
        <v>32.407353180000001</v>
      </c>
      <c r="N34" s="481">
        <v>38.467512046000003</v>
      </c>
      <c r="O34" s="481">
        <v>35.485817224999998</v>
      </c>
    </row>
    <row r="35" spans="1:15" ht="13.5" customHeight="1" x14ac:dyDescent="0.25">
      <c r="A35" s="477" t="s">
        <v>185</v>
      </c>
      <c r="B35" s="466">
        <v>1847.6606794209999</v>
      </c>
      <c r="C35" s="466">
        <v>1349.8329418870001</v>
      </c>
      <c r="D35" s="466">
        <v>1128.5847343769999</v>
      </c>
      <c r="E35" s="466">
        <v>1152.9778408750001</v>
      </c>
      <c r="F35" s="466">
        <v>1299.715688282</v>
      </c>
      <c r="G35" s="466">
        <v>1438.344893789</v>
      </c>
      <c r="H35" s="466">
        <v>1545.632062595</v>
      </c>
      <c r="I35" s="466">
        <v>1659.248651093</v>
      </c>
      <c r="J35" s="466">
        <v>1828.3919761899999</v>
      </c>
      <c r="K35" s="466">
        <v>1982.017759269</v>
      </c>
      <c r="L35" s="466">
        <v>2242.9011514489998</v>
      </c>
      <c r="M35" s="479">
        <v>1319.529434372</v>
      </c>
      <c r="N35" s="479">
        <v>1941.486888163</v>
      </c>
      <c r="O35" s="479">
        <v>1635.4739007779999</v>
      </c>
    </row>
    <row r="36" spans="1:15" ht="13.5" customHeight="1" x14ac:dyDescent="0.25">
      <c r="A36" s="477" t="s">
        <v>186</v>
      </c>
      <c r="B36" s="466">
        <v>1945.3303707980001</v>
      </c>
      <c r="C36" s="466">
        <v>1392.299797675</v>
      </c>
      <c r="D36" s="466">
        <v>1147.1445302560001</v>
      </c>
      <c r="E36" s="466">
        <v>1150.089720532</v>
      </c>
      <c r="F36" s="466">
        <v>1295.6811425159999</v>
      </c>
      <c r="G36" s="466">
        <v>1420.95822178</v>
      </c>
      <c r="H36" s="466">
        <v>1519.264050663</v>
      </c>
      <c r="I36" s="466">
        <v>1636.602986844</v>
      </c>
      <c r="J36" s="466">
        <v>1792.662820048</v>
      </c>
      <c r="K36" s="466">
        <v>1965.1393304170001</v>
      </c>
      <c r="L36" s="466">
        <v>2087.1012248669999</v>
      </c>
      <c r="M36" s="479">
        <v>1312.395771234</v>
      </c>
      <c r="N36" s="479">
        <v>1876.360102441</v>
      </c>
      <c r="O36" s="479">
        <v>1598.880656348</v>
      </c>
    </row>
    <row r="37" spans="1:15" ht="13.5" customHeight="1" x14ac:dyDescent="0.25">
      <c r="A37" s="476" t="s">
        <v>187</v>
      </c>
      <c r="B37" s="469">
        <v>97.669691377000007</v>
      </c>
      <c r="C37" s="469">
        <v>42.466855787999997</v>
      </c>
      <c r="D37" s="469">
        <v>18.559795879999999</v>
      </c>
      <c r="E37" s="469">
        <v>-2.8881203439999998</v>
      </c>
      <c r="F37" s="469">
        <v>-4.0345457659999999</v>
      </c>
      <c r="G37" s="469">
        <v>-17.386672009000002</v>
      </c>
      <c r="H37" s="469">
        <v>-26.368011932000002</v>
      </c>
      <c r="I37" s="469">
        <v>-22.645664248999999</v>
      </c>
      <c r="J37" s="469">
        <v>-35.729156142999997</v>
      </c>
      <c r="K37" s="469">
        <v>-16.878428852999999</v>
      </c>
      <c r="L37" s="469">
        <v>-155.79992658200001</v>
      </c>
      <c r="M37" s="482">
        <v>-7.1336631390000003</v>
      </c>
      <c r="N37" s="482">
        <v>-65.126785721999994</v>
      </c>
      <c r="O37" s="482">
        <v>-36.593244429999999</v>
      </c>
    </row>
    <row r="38" spans="1:15" ht="13.5" customHeight="1" x14ac:dyDescent="0.2">
      <c r="A38" s="465" t="s">
        <v>188</v>
      </c>
      <c r="B38" s="467">
        <v>122.030596927</v>
      </c>
      <c r="C38" s="467">
        <v>95.103488947000002</v>
      </c>
      <c r="D38" s="467">
        <v>77.850351783999997</v>
      </c>
      <c r="E38" s="467">
        <v>75.961876571000005</v>
      </c>
      <c r="F38" s="467">
        <v>74.329374568000006</v>
      </c>
      <c r="G38" s="467">
        <v>76.805518480000003</v>
      </c>
      <c r="H38" s="467">
        <v>83.160557908000001</v>
      </c>
      <c r="I38" s="467">
        <v>84.450831120000004</v>
      </c>
      <c r="J38" s="467">
        <v>101.627125338</v>
      </c>
      <c r="K38" s="467">
        <v>133.942282936</v>
      </c>
      <c r="L38" s="467">
        <v>117.46756647399999</v>
      </c>
      <c r="M38" s="480">
        <v>78.494852522000002</v>
      </c>
      <c r="N38" s="480">
        <v>108.275182012</v>
      </c>
      <c r="O38" s="480">
        <v>93.622784912</v>
      </c>
    </row>
    <row r="39" spans="1:15" ht="13.5" customHeight="1" x14ac:dyDescent="0.2">
      <c r="A39" s="465" t="s">
        <v>189</v>
      </c>
      <c r="B39" s="467">
        <v>97.918104858000007</v>
      </c>
      <c r="C39" s="467">
        <v>74.028654247000006</v>
      </c>
      <c r="D39" s="467">
        <v>58.908339159000001</v>
      </c>
      <c r="E39" s="467">
        <v>60.989784653999997</v>
      </c>
      <c r="F39" s="467">
        <v>65.366738986000001</v>
      </c>
      <c r="G39" s="467">
        <v>74.910361437999995</v>
      </c>
      <c r="H39" s="467">
        <v>73.795225697999996</v>
      </c>
      <c r="I39" s="467">
        <v>82.336180734999999</v>
      </c>
      <c r="J39" s="467">
        <v>110.881232153</v>
      </c>
      <c r="K39" s="467">
        <v>152.06649890400001</v>
      </c>
      <c r="L39" s="467">
        <v>220.195554735</v>
      </c>
      <c r="M39" s="480">
        <v>67.040708653999999</v>
      </c>
      <c r="N39" s="480">
        <v>144.28779121400001</v>
      </c>
      <c r="O39" s="480">
        <v>106.28099451600001</v>
      </c>
    </row>
    <row r="40" spans="1:15" ht="13.5" customHeight="1" x14ac:dyDescent="0.2">
      <c r="A40" s="475" t="s">
        <v>190</v>
      </c>
      <c r="B40" s="468">
        <v>-24.112492069999998</v>
      </c>
      <c r="C40" s="468">
        <v>-21.0748347</v>
      </c>
      <c r="D40" s="468">
        <v>-18.942012625</v>
      </c>
      <c r="E40" s="468">
        <v>-14.972091917</v>
      </c>
      <c r="F40" s="468">
        <v>-8.9626355820000008</v>
      </c>
      <c r="G40" s="468">
        <v>-1.895157043</v>
      </c>
      <c r="H40" s="468">
        <v>-9.36533221</v>
      </c>
      <c r="I40" s="468">
        <v>-2.114650385</v>
      </c>
      <c r="J40" s="468">
        <v>9.2541068150000001</v>
      </c>
      <c r="K40" s="468">
        <v>18.124215968000001</v>
      </c>
      <c r="L40" s="468">
        <v>102.72798826099999</v>
      </c>
      <c r="M40" s="481">
        <v>-11.454143867999999</v>
      </c>
      <c r="N40" s="481">
        <v>36.012609202</v>
      </c>
      <c r="O40" s="481">
        <v>12.658209605</v>
      </c>
    </row>
    <row r="41" spans="1:15" ht="13.5" customHeight="1" x14ac:dyDescent="0.25">
      <c r="A41" s="477" t="s">
        <v>191</v>
      </c>
      <c r="B41" s="466">
        <v>1969.691276348</v>
      </c>
      <c r="C41" s="466">
        <v>1444.936430834</v>
      </c>
      <c r="D41" s="466">
        <v>1206.4350861610001</v>
      </c>
      <c r="E41" s="466">
        <v>1228.939717446</v>
      </c>
      <c r="F41" s="466">
        <v>1374.04506285</v>
      </c>
      <c r="G41" s="466">
        <v>1515.1504122700001</v>
      </c>
      <c r="H41" s="466">
        <v>1628.7926205040001</v>
      </c>
      <c r="I41" s="466">
        <v>1743.699482212</v>
      </c>
      <c r="J41" s="466">
        <v>1930.019101529</v>
      </c>
      <c r="K41" s="466">
        <v>2115.9600422059998</v>
      </c>
      <c r="L41" s="466">
        <v>2360.3687179230001</v>
      </c>
      <c r="M41" s="479">
        <v>1398.0242868939999</v>
      </c>
      <c r="N41" s="479">
        <v>2049.7620701750002</v>
      </c>
      <c r="O41" s="479">
        <v>1729.096685689</v>
      </c>
    </row>
    <row r="42" spans="1:15" ht="13.5" customHeight="1" x14ac:dyDescent="0.25">
      <c r="A42" s="477" t="s">
        <v>192</v>
      </c>
      <c r="B42" s="466">
        <v>2043.248475656</v>
      </c>
      <c r="C42" s="466">
        <v>1466.3284519220001</v>
      </c>
      <c r="D42" s="466">
        <v>1206.052869415</v>
      </c>
      <c r="E42" s="466">
        <v>1211.079505185</v>
      </c>
      <c r="F42" s="466">
        <v>1361.0478815030001</v>
      </c>
      <c r="G42" s="466">
        <v>1495.8685832169999</v>
      </c>
      <c r="H42" s="466">
        <v>1593.059276361</v>
      </c>
      <c r="I42" s="466">
        <v>1718.939167579</v>
      </c>
      <c r="J42" s="466">
        <v>1903.5440522010001</v>
      </c>
      <c r="K42" s="466">
        <v>2117.2058293209998</v>
      </c>
      <c r="L42" s="466">
        <v>2307.2967796019998</v>
      </c>
      <c r="M42" s="479">
        <v>1379.4364798879999</v>
      </c>
      <c r="N42" s="479">
        <v>2020.647893656</v>
      </c>
      <c r="O42" s="479">
        <v>1705.161650864</v>
      </c>
    </row>
    <row r="43" spans="1:15" ht="13.5" customHeight="1" x14ac:dyDescent="0.2">
      <c r="A43" s="475" t="s">
        <v>193</v>
      </c>
      <c r="B43" s="468">
        <v>73.557199307000005</v>
      </c>
      <c r="C43" s="468">
        <v>21.392021088</v>
      </c>
      <c r="D43" s="468">
        <v>-0.382216746</v>
      </c>
      <c r="E43" s="468">
        <v>-17.860212261000001</v>
      </c>
      <c r="F43" s="468">
        <v>-12.997181348</v>
      </c>
      <c r="G43" s="468">
        <v>-19.281829051999999</v>
      </c>
      <c r="H43" s="468">
        <v>-35.733344142999997</v>
      </c>
      <c r="I43" s="468">
        <v>-24.760314633</v>
      </c>
      <c r="J43" s="468">
        <v>-26.475049327000001</v>
      </c>
      <c r="K43" s="468">
        <v>1.2457871149999999</v>
      </c>
      <c r="L43" s="468">
        <v>-53.071938320999998</v>
      </c>
      <c r="M43" s="481">
        <v>-18.587807005999998</v>
      </c>
      <c r="N43" s="481">
        <v>-29.114176519000001</v>
      </c>
      <c r="O43" s="481">
        <v>-23.935034824999999</v>
      </c>
    </row>
    <row r="44" spans="1:15" s="8" customFormat="1" ht="13.5" customHeight="1" x14ac:dyDescent="0.25">
      <c r="A44" s="478" t="s">
        <v>283</v>
      </c>
      <c r="B44" s="469">
        <v>646.56187275900004</v>
      </c>
      <c r="C44" s="469">
        <v>582.367668224</v>
      </c>
      <c r="D44" s="469">
        <v>507.75018349200002</v>
      </c>
      <c r="E44" s="469">
        <v>571.03214787800005</v>
      </c>
      <c r="F44" s="469">
        <v>651.68738223800005</v>
      </c>
      <c r="G44" s="469">
        <v>720.89919200999998</v>
      </c>
      <c r="H44" s="469">
        <v>762.92481619099999</v>
      </c>
      <c r="I44" s="469">
        <v>804.21550143900004</v>
      </c>
      <c r="J44" s="469">
        <v>986.26993405500002</v>
      </c>
      <c r="K44" s="469">
        <v>1322.4659715549999</v>
      </c>
      <c r="L44" s="469">
        <v>1894.7108138359999</v>
      </c>
      <c r="M44" s="482">
        <v>646.97805079800003</v>
      </c>
      <c r="N44" s="482">
        <v>1274.7223891240001</v>
      </c>
      <c r="O44" s="482">
        <v>965.862162248</v>
      </c>
    </row>
    <row r="45" spans="1:15" ht="13.5" customHeight="1" x14ac:dyDescent="0.25">
      <c r="A45" s="474" t="s">
        <v>442</v>
      </c>
      <c r="B45" s="467"/>
      <c r="C45" s="467"/>
      <c r="D45" s="467"/>
      <c r="E45" s="467"/>
      <c r="F45" s="467"/>
      <c r="G45" s="467"/>
      <c r="H45" s="467"/>
      <c r="I45" s="467"/>
      <c r="J45" s="467"/>
      <c r="K45" s="467"/>
      <c r="L45" s="467"/>
      <c r="M45" s="483"/>
      <c r="N45" s="483"/>
      <c r="O45" s="483"/>
    </row>
    <row r="46" spans="1:15" ht="17.25" customHeight="1" x14ac:dyDescent="0.25">
      <c r="A46" s="465" t="s">
        <v>454</v>
      </c>
      <c r="B46" s="467">
        <v>1107.3287317229999</v>
      </c>
      <c r="C46" s="467">
        <v>830.37899799599995</v>
      </c>
      <c r="D46" s="467">
        <v>723.30617119600004</v>
      </c>
      <c r="E46" s="467">
        <v>756.30937627100002</v>
      </c>
      <c r="F46" s="467">
        <v>872.51852763099998</v>
      </c>
      <c r="G46" s="467">
        <v>995.29116385999998</v>
      </c>
      <c r="H46" s="467">
        <v>1103.4453810739999</v>
      </c>
      <c r="I46" s="467">
        <v>1247.454889269</v>
      </c>
      <c r="J46" s="467">
        <v>1394.2565767179999</v>
      </c>
      <c r="K46" s="467">
        <v>1503.963394503</v>
      </c>
      <c r="L46" s="467">
        <v>1775.100087607</v>
      </c>
      <c r="M46" s="480">
        <v>894.49607496900001</v>
      </c>
      <c r="N46" s="480">
        <v>1494.5091929329999</v>
      </c>
      <c r="O46" s="480">
        <v>1199.2931687830001</v>
      </c>
    </row>
    <row r="47" spans="1:15" ht="13.5" customHeight="1" x14ac:dyDescent="0.25">
      <c r="A47" s="465" t="s">
        <v>394</v>
      </c>
      <c r="B47" s="467">
        <v>439.65873580499999</v>
      </c>
      <c r="C47" s="467">
        <v>374.846594901</v>
      </c>
      <c r="D47" s="467">
        <v>376.48396479399997</v>
      </c>
      <c r="E47" s="467">
        <v>419.33634400199998</v>
      </c>
      <c r="F47" s="467">
        <v>495.05395150599998</v>
      </c>
      <c r="G47" s="467">
        <v>562.32374973399999</v>
      </c>
      <c r="H47" s="467">
        <v>613.43065474599996</v>
      </c>
      <c r="I47" s="467">
        <v>674.810971956</v>
      </c>
      <c r="J47" s="467">
        <v>796.755942033</v>
      </c>
      <c r="K47" s="467">
        <v>830.04872917900002</v>
      </c>
      <c r="L47" s="467">
        <v>898.25901087</v>
      </c>
      <c r="M47" s="480">
        <v>494.32517272299998</v>
      </c>
      <c r="N47" s="480">
        <v>806.32677557099998</v>
      </c>
      <c r="O47" s="480">
        <v>652.81701059500006</v>
      </c>
    </row>
    <row r="48" spans="1:15" ht="13.5" customHeight="1" x14ac:dyDescent="0.25">
      <c r="A48" s="465" t="s">
        <v>395</v>
      </c>
      <c r="B48" s="467">
        <v>452.84972520999997</v>
      </c>
      <c r="C48" s="467">
        <v>394.79575174299998</v>
      </c>
      <c r="D48" s="467">
        <v>392.88381564399998</v>
      </c>
      <c r="E48" s="467">
        <v>481.77400288400003</v>
      </c>
      <c r="F48" s="467">
        <v>610.54854908799996</v>
      </c>
      <c r="G48" s="467">
        <v>704.66515982299995</v>
      </c>
      <c r="H48" s="467">
        <v>780.09401957099999</v>
      </c>
      <c r="I48" s="467">
        <v>870.24265771399996</v>
      </c>
      <c r="J48" s="467">
        <v>1003.627243756</v>
      </c>
      <c r="K48" s="467">
        <v>1064.860943463</v>
      </c>
      <c r="L48" s="467">
        <v>1012.090450034</v>
      </c>
      <c r="M48" s="480">
        <v>596.70905194800002</v>
      </c>
      <c r="N48" s="480">
        <v>988.10321629700002</v>
      </c>
      <c r="O48" s="480">
        <v>795.53104476399994</v>
      </c>
    </row>
    <row r="49" spans="1:15" ht="13.5" customHeight="1" x14ac:dyDescent="0.25">
      <c r="A49" s="465" t="s">
        <v>396</v>
      </c>
      <c r="B49" s="467">
        <v>1536.0129128420001</v>
      </c>
      <c r="C49" s="467">
        <v>1111.831066837</v>
      </c>
      <c r="D49" s="467">
        <v>933.40548349000005</v>
      </c>
      <c r="E49" s="467">
        <v>947.57304754300003</v>
      </c>
      <c r="F49" s="467">
        <v>1079.896860135</v>
      </c>
      <c r="G49" s="467">
        <v>1219.4898774820001</v>
      </c>
      <c r="H49" s="467">
        <v>1321.00646089</v>
      </c>
      <c r="I49" s="467">
        <v>1454.0912074549999</v>
      </c>
      <c r="J49" s="467">
        <v>1605.2795771650001</v>
      </c>
      <c r="K49" s="467">
        <v>1741.823047891</v>
      </c>
      <c r="L49" s="467">
        <v>1963.325444132</v>
      </c>
      <c r="M49" s="480">
        <v>1104.581718312</v>
      </c>
      <c r="N49" s="480">
        <v>1702.5463630459999</v>
      </c>
      <c r="O49" s="480">
        <v>1408.338220398</v>
      </c>
    </row>
    <row r="50" spans="1:15" ht="15" customHeight="1" x14ac:dyDescent="0.25">
      <c r="A50" s="465" t="s">
        <v>453</v>
      </c>
      <c r="B50" s="467">
        <v>709.53127766199998</v>
      </c>
      <c r="C50" s="467">
        <v>496.16267079699998</v>
      </c>
      <c r="D50" s="467">
        <v>384.48944261600002</v>
      </c>
      <c r="E50" s="467">
        <v>377.78502812900001</v>
      </c>
      <c r="F50" s="467">
        <v>405.42179208499999</v>
      </c>
      <c r="G50" s="467">
        <v>421.17887659600001</v>
      </c>
      <c r="H50" s="467">
        <v>420.18482082600002</v>
      </c>
      <c r="I50" s="467">
        <v>388.351531755</v>
      </c>
      <c r="J50" s="467">
        <v>402.55259360600002</v>
      </c>
      <c r="K50" s="467">
        <v>441.11601892499999</v>
      </c>
      <c r="L50" s="467">
        <v>382.35309194899997</v>
      </c>
      <c r="M50" s="480">
        <v>404.13414410500002</v>
      </c>
      <c r="N50" s="480">
        <v>400.27497796400002</v>
      </c>
      <c r="O50" s="480">
        <v>402.17374925899998</v>
      </c>
    </row>
    <row r="51" spans="1:15" ht="13.5" customHeight="1" x14ac:dyDescent="0.25">
      <c r="A51" s="465" t="s">
        <v>397</v>
      </c>
      <c r="B51" s="467">
        <v>646.56187275900004</v>
      </c>
      <c r="C51" s="467">
        <v>582.367668224</v>
      </c>
      <c r="D51" s="467">
        <v>507.75018349200002</v>
      </c>
      <c r="E51" s="467">
        <v>571.03214787800005</v>
      </c>
      <c r="F51" s="467">
        <v>651.68738223800005</v>
      </c>
      <c r="G51" s="467">
        <v>720.89919200999998</v>
      </c>
      <c r="H51" s="467">
        <v>762.92481619099999</v>
      </c>
      <c r="I51" s="467">
        <v>804.21550143900004</v>
      </c>
      <c r="J51" s="467">
        <v>986.26993405500002</v>
      </c>
      <c r="K51" s="467">
        <v>1322.4659715549999</v>
      </c>
      <c r="L51" s="467">
        <v>1894.7108138359999</v>
      </c>
      <c r="M51" s="480">
        <v>646.97805079800003</v>
      </c>
      <c r="N51" s="480">
        <v>1274.7223891240001</v>
      </c>
      <c r="O51" s="480">
        <v>965.862162248</v>
      </c>
    </row>
    <row r="52" spans="1:15" ht="13.5" customHeight="1" x14ac:dyDescent="0.25">
      <c r="A52" s="465" t="s">
        <v>398</v>
      </c>
      <c r="B52" s="467">
        <v>274.96602980599999</v>
      </c>
      <c r="C52" s="467">
        <v>214.79947261199999</v>
      </c>
      <c r="D52" s="467">
        <v>173.755048493</v>
      </c>
      <c r="E52" s="467">
        <v>163.01047102800001</v>
      </c>
      <c r="F52" s="467">
        <v>161.54804744899999</v>
      </c>
      <c r="G52" s="467">
        <v>163.48149433500001</v>
      </c>
      <c r="H52" s="467">
        <v>163.165491651</v>
      </c>
      <c r="I52" s="467">
        <v>181.63552557599999</v>
      </c>
      <c r="J52" s="467">
        <v>204.721865511</v>
      </c>
      <c r="K52" s="467">
        <v>228.52022427599999</v>
      </c>
      <c r="L52" s="467">
        <v>175.55012156000001</v>
      </c>
      <c r="M52" s="480">
        <v>165.73701727700001</v>
      </c>
      <c r="N52" s="480">
        <v>195.28509276</v>
      </c>
      <c r="O52" s="480">
        <v>180.74696833600001</v>
      </c>
    </row>
    <row r="53" spans="1:15" ht="12.75" customHeight="1" x14ac:dyDescent="0.2">
      <c r="A53" s="37" t="s">
        <v>296</v>
      </c>
    </row>
    <row r="54" spans="1:15" ht="12.75" customHeight="1" x14ac:dyDescent="0.2">
      <c r="A54" s="37" t="s">
        <v>452</v>
      </c>
    </row>
    <row r="55" spans="1:15" ht="12.75" customHeight="1" x14ac:dyDescent="0.2">
      <c r="A55" s="37" t="s">
        <v>552</v>
      </c>
    </row>
    <row r="56" spans="1:15" ht="12.75" customHeight="1" x14ac:dyDescent="0.2">
      <c r="A56" s="37" t="s">
        <v>316</v>
      </c>
    </row>
    <row r="57" spans="1:15" x14ac:dyDescent="0.2">
      <c r="A57" s="286" t="s">
        <v>888</v>
      </c>
      <c r="B57" s="3"/>
      <c r="C57" s="3"/>
      <c r="D57" s="3"/>
      <c r="E57" s="3"/>
      <c r="F57" s="3"/>
      <c r="G57" s="245"/>
      <c r="H57" s="3"/>
      <c r="I57" s="3"/>
      <c r="J57" s="245"/>
      <c r="K57" s="3"/>
      <c r="L57" s="3"/>
      <c r="M57" s="3"/>
      <c r="N57" s="3"/>
      <c r="O57" s="3"/>
    </row>
    <row r="59" spans="1:15" ht="12.75" customHeight="1" x14ac:dyDescent="0.2">
      <c r="A59" s="938" t="s">
        <v>206</v>
      </c>
      <c r="B59" s="932"/>
      <c r="C59" s="932"/>
      <c r="D59" s="932"/>
      <c r="E59" s="932"/>
      <c r="F59" s="932"/>
    </row>
    <row r="60" spans="1:15" ht="51" customHeight="1" x14ac:dyDescent="0.2">
      <c r="A60" s="1021" t="s">
        <v>207</v>
      </c>
      <c r="B60" s="1021"/>
      <c r="C60" s="1021"/>
      <c r="D60" s="1021"/>
      <c r="E60" s="1021"/>
      <c r="F60" s="1021"/>
      <c r="G60" s="1021"/>
      <c r="H60" s="1021"/>
      <c r="I60" s="1021"/>
      <c r="J60" s="1021"/>
      <c r="K60" s="1021"/>
      <c r="L60" s="1021"/>
      <c r="M60" s="1021"/>
      <c r="N60" s="1021"/>
      <c r="O60" s="1021"/>
    </row>
    <row r="61" spans="1:15" ht="12.75" customHeight="1" x14ac:dyDescent="0.3">
      <c r="A61" s="307"/>
      <c r="B61" s="932"/>
      <c r="C61" s="932"/>
      <c r="D61" s="932"/>
      <c r="E61" s="932"/>
      <c r="F61" s="932"/>
    </row>
    <row r="62" spans="1:15" ht="24.75" customHeight="1" x14ac:dyDescent="0.2">
      <c r="A62" s="1022" t="s">
        <v>658</v>
      </c>
      <c r="B62" s="1022"/>
      <c r="C62" s="1022"/>
      <c r="D62" s="1022"/>
      <c r="E62" s="1022"/>
      <c r="F62" s="1022"/>
      <c r="G62" s="1022"/>
      <c r="H62" s="1022"/>
      <c r="I62" s="1022"/>
      <c r="J62" s="1022"/>
      <c r="K62" s="1022"/>
      <c r="L62" s="1022"/>
      <c r="M62" s="1022"/>
      <c r="N62" s="1022"/>
      <c r="O62" s="1022"/>
    </row>
    <row r="63" spans="1:15" ht="12.75" customHeight="1" x14ac:dyDescent="0.3">
      <c r="A63" s="307"/>
      <c r="B63" s="932"/>
      <c r="C63" s="932"/>
      <c r="D63" s="932"/>
      <c r="E63" s="932"/>
      <c r="F63" s="932"/>
    </row>
    <row r="64" spans="1:15" ht="26.25" customHeight="1" x14ac:dyDescent="0.2">
      <c r="A64" s="1023" t="s">
        <v>659</v>
      </c>
      <c r="B64" s="1023"/>
      <c r="C64" s="1023"/>
      <c r="D64" s="1023"/>
      <c r="E64" s="1023"/>
      <c r="F64" s="1023"/>
      <c r="G64" s="1023"/>
      <c r="H64" s="1023"/>
      <c r="I64" s="1023"/>
      <c r="J64" s="1023"/>
      <c r="K64" s="1023"/>
      <c r="L64" s="1023"/>
      <c r="M64" s="1023"/>
      <c r="N64" s="1023"/>
      <c r="O64" s="1023"/>
    </row>
    <row r="65" spans="1:15" ht="12.75" customHeight="1" x14ac:dyDescent="0.2">
      <c r="A65" s="939"/>
      <c r="B65" s="932"/>
      <c r="C65" s="932"/>
      <c r="D65" s="932"/>
      <c r="E65" s="932"/>
      <c r="F65" s="932"/>
    </row>
    <row r="66" spans="1:15" ht="12.75" customHeight="1" x14ac:dyDescent="0.2">
      <c r="A66" s="1023" t="s">
        <v>660</v>
      </c>
      <c r="B66" s="1023"/>
      <c r="C66" s="1023"/>
      <c r="D66" s="1023"/>
      <c r="E66" s="1023"/>
      <c r="F66" s="1023"/>
      <c r="G66" s="1023"/>
      <c r="H66" s="1023"/>
      <c r="I66" s="1023"/>
      <c r="J66" s="1023"/>
      <c r="K66" s="1023"/>
      <c r="L66" s="1023"/>
      <c r="M66" s="1023"/>
      <c r="N66" s="1023"/>
      <c r="O66" s="1023"/>
    </row>
    <row r="67" spans="1:15" ht="12.75" customHeight="1" x14ac:dyDescent="0.2">
      <c r="A67" s="933"/>
      <c r="B67" s="933"/>
      <c r="C67" s="933"/>
      <c r="D67" s="933"/>
      <c r="E67" s="933"/>
      <c r="F67" s="933"/>
    </row>
    <row r="68" spans="1:15" ht="24.75" customHeight="1" x14ac:dyDescent="0.2">
      <c r="A68" s="1023" t="s">
        <v>661</v>
      </c>
      <c r="B68" s="1023"/>
      <c r="C68" s="1023"/>
      <c r="D68" s="1023"/>
      <c r="E68" s="1023"/>
      <c r="F68" s="1023"/>
      <c r="G68" s="1023"/>
      <c r="H68" s="1023"/>
      <c r="I68" s="1023"/>
      <c r="J68" s="1023"/>
      <c r="K68" s="1023"/>
      <c r="L68" s="1023"/>
      <c r="M68" s="1023"/>
      <c r="N68" s="1023"/>
      <c r="O68" s="1023"/>
    </row>
    <row r="69" spans="1:15" ht="12.75" customHeight="1" x14ac:dyDescent="0.2">
      <c r="A69" s="932"/>
      <c r="B69" s="932"/>
      <c r="C69" s="932"/>
      <c r="D69" s="932"/>
      <c r="E69" s="932"/>
      <c r="F69" s="932"/>
    </row>
    <row r="70" spans="1:15" ht="21" customHeight="1" x14ac:dyDescent="0.2">
      <c r="A70" s="1023" t="s">
        <v>662</v>
      </c>
      <c r="B70" s="1023"/>
      <c r="C70" s="1023"/>
      <c r="D70" s="1023"/>
      <c r="E70" s="1023"/>
      <c r="F70" s="1023"/>
      <c r="G70" s="1023"/>
      <c r="H70" s="1023"/>
      <c r="I70" s="1023"/>
      <c r="J70" s="1023"/>
      <c r="K70" s="1023"/>
      <c r="L70" s="1023"/>
      <c r="M70" s="1023"/>
      <c r="N70" s="1023"/>
      <c r="O70" s="1023"/>
    </row>
    <row r="71" spans="1:15" ht="12.75" customHeight="1" x14ac:dyDescent="0.2">
      <c r="A71" s="932"/>
      <c r="B71" s="932"/>
      <c r="C71" s="932"/>
      <c r="D71" s="932"/>
      <c r="E71" s="932"/>
      <c r="F71" s="932"/>
    </row>
    <row r="72" spans="1:15" ht="48.75" customHeight="1" x14ac:dyDescent="0.2">
      <c r="A72" s="1023" t="s">
        <v>708</v>
      </c>
      <c r="B72" s="1023"/>
      <c r="C72" s="1023"/>
      <c r="D72" s="1023"/>
      <c r="E72" s="1023"/>
      <c r="F72" s="1023"/>
      <c r="G72" s="1023"/>
      <c r="H72" s="1023"/>
      <c r="I72" s="1023"/>
      <c r="J72" s="1023"/>
      <c r="K72" s="1023"/>
      <c r="L72" s="1023"/>
      <c r="M72" s="1023"/>
      <c r="N72" s="1023"/>
      <c r="O72" s="1023"/>
    </row>
    <row r="73" spans="1:15" ht="12.75" customHeight="1" x14ac:dyDescent="0.2">
      <c r="A73" s="939"/>
      <c r="B73" s="932"/>
      <c r="C73" s="932"/>
      <c r="D73" s="932"/>
      <c r="E73" s="932"/>
      <c r="F73" s="932"/>
    </row>
    <row r="74" spans="1:15" ht="27" customHeight="1" x14ac:dyDescent="0.2">
      <c r="A74" s="1023" t="s">
        <v>663</v>
      </c>
      <c r="B74" s="1023"/>
      <c r="C74" s="1023"/>
      <c r="D74" s="1023"/>
      <c r="E74" s="1023"/>
      <c r="F74" s="1023"/>
      <c r="G74" s="1023"/>
      <c r="H74" s="1023"/>
      <c r="I74" s="1023"/>
      <c r="J74" s="1023"/>
      <c r="K74" s="1023"/>
      <c r="L74" s="1023"/>
      <c r="M74" s="1023"/>
      <c r="N74" s="1023"/>
      <c r="O74" s="1023"/>
    </row>
    <row r="75" spans="1:15" ht="12.75" customHeight="1" x14ac:dyDescent="0.2">
      <c r="A75" s="940"/>
      <c r="B75" s="932"/>
      <c r="C75" s="932"/>
      <c r="D75" s="932"/>
      <c r="E75" s="932"/>
      <c r="F75" s="932"/>
    </row>
    <row r="76" spans="1:15" ht="19.5" customHeight="1" x14ac:dyDescent="0.2">
      <c r="A76" s="1023" t="s">
        <v>664</v>
      </c>
      <c r="B76" s="1023"/>
      <c r="C76" s="1023"/>
      <c r="D76" s="1023"/>
      <c r="E76" s="1023"/>
      <c r="F76" s="1023"/>
      <c r="G76" s="1023"/>
      <c r="H76" s="1023"/>
      <c r="I76" s="1023"/>
      <c r="J76" s="1023"/>
      <c r="K76" s="1023"/>
      <c r="L76" s="1023"/>
      <c r="M76" s="1023"/>
      <c r="N76" s="1023"/>
      <c r="O76" s="1023"/>
    </row>
    <row r="77" spans="1:15" ht="12.75" customHeight="1" x14ac:dyDescent="0.2">
      <c r="A77" s="940"/>
      <c r="B77" s="932"/>
      <c r="C77" s="932"/>
      <c r="D77" s="932"/>
      <c r="E77" s="932"/>
      <c r="F77" s="932"/>
    </row>
    <row r="78" spans="1:15" ht="22.5" customHeight="1" x14ac:dyDescent="0.2">
      <c r="A78" s="1023" t="s">
        <v>665</v>
      </c>
      <c r="B78" s="1023"/>
      <c r="C78" s="1023"/>
      <c r="D78" s="1023"/>
      <c r="E78" s="1023"/>
      <c r="F78" s="1023"/>
      <c r="G78" s="1023"/>
      <c r="H78" s="1023"/>
      <c r="I78" s="1023"/>
      <c r="J78" s="1023"/>
      <c r="K78" s="1023"/>
      <c r="L78" s="1023"/>
      <c r="M78" s="1023"/>
      <c r="N78" s="1023"/>
      <c r="O78" s="1023"/>
    </row>
    <row r="79" spans="1:15" ht="34.5" customHeight="1" x14ac:dyDescent="0.2">
      <c r="A79" s="1023" t="s">
        <v>666</v>
      </c>
      <c r="B79" s="1023"/>
      <c r="C79" s="1023"/>
      <c r="D79" s="1023"/>
      <c r="E79" s="1023"/>
      <c r="F79" s="1023"/>
      <c r="G79" s="1023"/>
      <c r="H79" s="1023"/>
      <c r="I79" s="1023"/>
      <c r="J79" s="1023"/>
      <c r="K79" s="1023"/>
      <c r="L79" s="1023"/>
      <c r="M79" s="1023"/>
      <c r="N79" s="1023"/>
      <c r="O79" s="1023"/>
    </row>
    <row r="80" spans="1:15" ht="12.75" customHeight="1" x14ac:dyDescent="0.2">
      <c r="A80" s="940"/>
      <c r="B80" s="932"/>
      <c r="C80" s="932"/>
      <c r="D80" s="932"/>
      <c r="E80" s="932"/>
      <c r="F80" s="932"/>
    </row>
    <row r="81" spans="1:15" ht="33.75" customHeight="1" x14ac:dyDescent="0.2">
      <c r="A81" s="1023" t="s">
        <v>667</v>
      </c>
      <c r="B81" s="1023"/>
      <c r="C81" s="1023"/>
      <c r="D81" s="1023"/>
      <c r="E81" s="1023"/>
      <c r="F81" s="1023"/>
      <c r="G81" s="1023"/>
      <c r="H81" s="1023"/>
      <c r="I81" s="1023"/>
      <c r="J81" s="1023"/>
      <c r="K81" s="1023"/>
      <c r="L81" s="1023"/>
      <c r="M81" s="1023"/>
      <c r="N81" s="1023"/>
      <c r="O81" s="1023"/>
    </row>
    <row r="82" spans="1:15" ht="12.75" customHeight="1" x14ac:dyDescent="0.2">
      <c r="A82" s="940"/>
      <c r="B82" s="932"/>
      <c r="C82" s="932"/>
      <c r="D82" s="932"/>
      <c r="E82" s="932"/>
      <c r="F82" s="932"/>
    </row>
    <row r="83" spans="1:15" ht="21" customHeight="1" x14ac:dyDescent="0.2">
      <c r="A83" s="1023" t="s">
        <v>668</v>
      </c>
      <c r="B83" s="1023"/>
      <c r="C83" s="1023"/>
      <c r="D83" s="1023"/>
      <c r="E83" s="1023"/>
      <c r="F83" s="1023"/>
      <c r="G83" s="1023"/>
      <c r="H83" s="1023"/>
      <c r="I83" s="1023"/>
      <c r="J83" s="1023"/>
      <c r="K83" s="1023"/>
      <c r="L83" s="1023"/>
      <c r="M83" s="1023"/>
      <c r="N83" s="1023"/>
      <c r="O83" s="1023"/>
    </row>
    <row r="84" spans="1:15" ht="12.75" customHeight="1" x14ac:dyDescent="0.2">
      <c r="A84" s="934"/>
      <c r="B84" s="932"/>
      <c r="C84" s="932"/>
      <c r="D84" s="932"/>
      <c r="E84" s="932"/>
      <c r="F84" s="932"/>
    </row>
    <row r="85" spans="1:15" ht="21.75" customHeight="1" x14ac:dyDescent="0.2">
      <c r="A85" s="1020" t="s">
        <v>208</v>
      </c>
      <c r="B85" s="1020"/>
      <c r="C85" s="1020"/>
      <c r="D85" s="1020"/>
      <c r="E85" s="1020"/>
      <c r="F85" s="1020"/>
      <c r="G85" s="1020"/>
      <c r="H85" s="1020"/>
      <c r="I85" s="1020"/>
      <c r="J85" s="1020"/>
      <c r="K85" s="1020"/>
      <c r="L85" s="1020"/>
      <c r="M85" s="1020"/>
      <c r="N85" s="1020"/>
      <c r="O85" s="1020"/>
    </row>
    <row r="86" spans="1:15" ht="12.75" customHeight="1" x14ac:dyDescent="0.2">
      <c r="A86" s="1020" t="s">
        <v>209</v>
      </c>
      <c r="B86" s="1020"/>
      <c r="C86" s="1020"/>
      <c r="D86" s="1020"/>
      <c r="E86" s="1020"/>
      <c r="F86" s="1020"/>
      <c r="G86" s="1020"/>
      <c r="H86" s="1020"/>
      <c r="I86" s="1020"/>
      <c r="J86" s="1020"/>
      <c r="K86" s="1020"/>
      <c r="L86" s="1020"/>
      <c r="M86" s="1020"/>
      <c r="N86" s="1020"/>
      <c r="O86" s="1020"/>
    </row>
  </sheetData>
  <mergeCells count="15">
    <mergeCell ref="A85:O85"/>
    <mergeCell ref="A86:O86"/>
    <mergeCell ref="A60:O60"/>
    <mergeCell ref="A62:O62"/>
    <mergeCell ref="A64:O64"/>
    <mergeCell ref="A66:O66"/>
    <mergeCell ref="A68:O68"/>
    <mergeCell ref="A70:O70"/>
    <mergeCell ref="A72:O72"/>
    <mergeCell ref="A74:O74"/>
    <mergeCell ref="A76:O76"/>
    <mergeCell ref="A78:O78"/>
    <mergeCell ref="A79:O79"/>
    <mergeCell ref="A81:O81"/>
    <mergeCell ref="A83:O83"/>
  </mergeCells>
  <phoneticPr fontId="2" type="noConversion"/>
  <pageMargins left="0.59055118110236227" right="0.59055118110236227" top="0.78740157480314965" bottom="0.59055118110236227" header="0.39370078740157483" footer="0.39370078740157483"/>
  <pageSetup paperSize="9" scale="53" firstPageNumber="14" fitToHeight="2" orientation="landscape" useFirstPageNumber="1" r:id="rId1"/>
  <headerFooter alignWithMargins="0">
    <oddHeader>&amp;R&amp;12Les finances des communes en 2024</oddHeader>
    <oddFooter>&amp;L&amp;12Direction Générale des Collectivités Locales / DESL&amp;C&amp;12 &amp;P&amp;R&amp;12Mise en ligne : janvier 2026</oddFooter>
  </headerFooter>
  <rowBreaks count="1" manualBreakCount="1">
    <brk id="57" max="14" man="1"/>
  </rowBreak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Q96"/>
  <sheetViews>
    <sheetView showGridLines="0" view="pageBreakPreview" zoomScale="55" zoomScaleNormal="85" zoomScaleSheetLayoutView="55" zoomScalePageLayoutView="55" workbookViewId="0">
      <selection activeCell="O50" sqref="O50"/>
    </sheetView>
  </sheetViews>
  <sheetFormatPr baseColWidth="10" defaultRowHeight="12.75" x14ac:dyDescent="0.2"/>
  <cols>
    <col min="1" max="1" width="85" customWidth="1"/>
    <col min="2" max="12" width="12.7109375" customWidth="1"/>
    <col min="13" max="14" width="16" customWidth="1"/>
    <col min="15" max="15" width="12.7109375" customWidth="1"/>
  </cols>
  <sheetData>
    <row r="1" spans="1:17" ht="21" x14ac:dyDescent="0.25">
      <c r="A1" s="10" t="s">
        <v>707</v>
      </c>
      <c r="B1" s="3"/>
      <c r="C1" s="3"/>
      <c r="D1" s="3"/>
      <c r="E1" s="3"/>
      <c r="F1" s="3"/>
      <c r="G1" s="245"/>
      <c r="H1" s="3"/>
      <c r="I1" s="3"/>
      <c r="J1" s="245"/>
      <c r="K1" s="3"/>
      <c r="L1" s="3"/>
      <c r="M1" s="3"/>
      <c r="N1" s="3"/>
      <c r="O1" s="3"/>
    </row>
    <row r="2" spans="1:17" ht="13.5" thickBot="1" x14ac:dyDescent="0.25">
      <c r="A2" s="231"/>
      <c r="O2" s="53" t="s">
        <v>23</v>
      </c>
    </row>
    <row r="3" spans="1:17" ht="12.75" customHeight="1" x14ac:dyDescent="0.2">
      <c r="A3" s="230" t="s">
        <v>890</v>
      </c>
      <c r="B3" s="20" t="s">
        <v>35</v>
      </c>
      <c r="C3" s="20" t="s">
        <v>121</v>
      </c>
      <c r="D3" s="20" t="s">
        <v>123</v>
      </c>
      <c r="E3" s="20" t="s">
        <v>36</v>
      </c>
      <c r="F3" s="20" t="s">
        <v>37</v>
      </c>
      <c r="G3" s="20" t="s">
        <v>38</v>
      </c>
      <c r="H3" s="20" t="s">
        <v>39</v>
      </c>
      <c r="I3" s="20" t="s">
        <v>125</v>
      </c>
      <c r="J3" s="20" t="s">
        <v>126</v>
      </c>
      <c r="K3" s="20" t="s">
        <v>127</v>
      </c>
      <c r="L3" s="216">
        <v>100000</v>
      </c>
      <c r="M3" s="21" t="s">
        <v>228</v>
      </c>
      <c r="N3" s="21" t="s">
        <v>228</v>
      </c>
      <c r="O3" s="21" t="s">
        <v>77</v>
      </c>
    </row>
    <row r="4" spans="1:17" ht="12.75" customHeight="1" x14ac:dyDescent="0.2">
      <c r="A4" s="229"/>
      <c r="B4" s="22" t="s">
        <v>120</v>
      </c>
      <c r="C4" s="22" t="s">
        <v>40</v>
      </c>
      <c r="D4" s="22" t="s">
        <v>40</v>
      </c>
      <c r="E4" s="22" t="s">
        <v>40</v>
      </c>
      <c r="F4" s="22" t="s">
        <v>40</v>
      </c>
      <c r="G4" s="22" t="s">
        <v>40</v>
      </c>
      <c r="H4" s="22" t="s">
        <v>40</v>
      </c>
      <c r="I4" s="22" t="s">
        <v>40</v>
      </c>
      <c r="J4" s="22" t="s">
        <v>40</v>
      </c>
      <c r="K4" s="22" t="s">
        <v>40</v>
      </c>
      <c r="L4" s="22" t="s">
        <v>43</v>
      </c>
      <c r="M4" s="12" t="s">
        <v>230</v>
      </c>
      <c r="N4" s="12" t="s">
        <v>138</v>
      </c>
      <c r="O4" s="12" t="s">
        <v>137</v>
      </c>
    </row>
    <row r="5" spans="1:17" ht="12.75" customHeight="1" thickBot="1" x14ac:dyDescent="0.25">
      <c r="A5" s="232" t="s">
        <v>81</v>
      </c>
      <c r="B5" s="23" t="s">
        <v>43</v>
      </c>
      <c r="C5" s="23" t="s">
        <v>122</v>
      </c>
      <c r="D5" s="23" t="s">
        <v>124</v>
      </c>
      <c r="E5" s="23" t="s">
        <v>44</v>
      </c>
      <c r="F5" s="23" t="s">
        <v>45</v>
      </c>
      <c r="G5" s="23" t="s">
        <v>46</v>
      </c>
      <c r="H5" s="23" t="s">
        <v>42</v>
      </c>
      <c r="I5" s="23" t="s">
        <v>128</v>
      </c>
      <c r="J5" s="23" t="s">
        <v>129</v>
      </c>
      <c r="K5" s="23" t="s">
        <v>130</v>
      </c>
      <c r="L5" s="23" t="s">
        <v>131</v>
      </c>
      <c r="M5" s="183" t="s">
        <v>138</v>
      </c>
      <c r="N5" s="183" t="s">
        <v>131</v>
      </c>
      <c r="O5" s="183" t="s">
        <v>41</v>
      </c>
    </row>
    <row r="6" spans="1:17" ht="12.75" customHeight="1" x14ac:dyDescent="0.2">
      <c r="P6" s="3"/>
    </row>
    <row r="7" spans="1:17" ht="14.25" customHeight="1" x14ac:dyDescent="0.25">
      <c r="A7" s="474" t="s">
        <v>160</v>
      </c>
      <c r="B7" s="705">
        <v>4.6100855579999998</v>
      </c>
      <c r="C7" s="705">
        <v>4.8977878400000003</v>
      </c>
      <c r="D7" s="705">
        <v>5.0125776039999996</v>
      </c>
      <c r="E7" s="705">
        <v>4.6936128760000004</v>
      </c>
      <c r="F7" s="705">
        <v>4.4424634459999996</v>
      </c>
      <c r="G7" s="705">
        <v>3.5155403600000001</v>
      </c>
      <c r="H7" s="705">
        <v>3.9889943809999999</v>
      </c>
      <c r="I7" s="705">
        <v>3.646634632</v>
      </c>
      <c r="J7" s="705">
        <v>3.1540938139999999</v>
      </c>
      <c r="K7" s="705">
        <v>3.627243988</v>
      </c>
      <c r="L7" s="705">
        <v>5.335996529</v>
      </c>
      <c r="M7" s="706">
        <v>4.2955539050000002</v>
      </c>
      <c r="N7" s="706">
        <v>4.0847469350000001</v>
      </c>
      <c r="O7" s="706">
        <v>4.1620652739999997</v>
      </c>
      <c r="P7" s="929"/>
      <c r="Q7" s="923"/>
    </row>
    <row r="8" spans="1:17" ht="14.25" customHeight="1" x14ac:dyDescent="0.2">
      <c r="A8" s="465" t="s">
        <v>161</v>
      </c>
      <c r="B8" s="707">
        <v>6.4336699179999997</v>
      </c>
      <c r="C8" s="707">
        <v>7.0924198729999999</v>
      </c>
      <c r="D8" s="707">
        <v>7.1713983959999998</v>
      </c>
      <c r="E8" s="707">
        <v>6.0000482719999999</v>
      </c>
      <c r="F8" s="707">
        <v>4.6404007790000001</v>
      </c>
      <c r="G8" s="707">
        <v>3.3533620430000002</v>
      </c>
      <c r="H8" s="707">
        <v>3.4067719510000001</v>
      </c>
      <c r="I8" s="707">
        <v>3.4393185530000001</v>
      </c>
      <c r="J8" s="707">
        <v>2.324743502</v>
      </c>
      <c r="K8" s="707">
        <v>3.3255517860000001</v>
      </c>
      <c r="L8" s="707">
        <v>5.222394553</v>
      </c>
      <c r="M8" s="575">
        <v>4.8055308749999996</v>
      </c>
      <c r="N8" s="575">
        <v>3.5620750160000001</v>
      </c>
      <c r="O8" s="575">
        <v>4.1244060170000001</v>
      </c>
      <c r="P8" s="927"/>
      <c r="Q8" s="923"/>
    </row>
    <row r="9" spans="1:17" ht="14.25" customHeight="1" x14ac:dyDescent="0.2">
      <c r="A9" s="465" t="s">
        <v>162</v>
      </c>
      <c r="B9" s="707">
        <v>3.8836793100000002</v>
      </c>
      <c r="C9" s="707">
        <v>4.4745245669999996</v>
      </c>
      <c r="D9" s="707">
        <v>4.3903661380000001</v>
      </c>
      <c r="E9" s="707">
        <v>4.8849370739999998</v>
      </c>
      <c r="F9" s="707">
        <v>5.1499874889999999</v>
      </c>
      <c r="G9" s="707">
        <v>4.9081525490000004</v>
      </c>
      <c r="H9" s="707">
        <v>4.3891232569999996</v>
      </c>
      <c r="I9" s="707">
        <v>3.9405646490000001</v>
      </c>
      <c r="J9" s="707">
        <v>3.5330309390000001</v>
      </c>
      <c r="K9" s="707">
        <v>3.077196523</v>
      </c>
      <c r="L9" s="707">
        <v>5.46321952</v>
      </c>
      <c r="M9" s="575">
        <v>4.7225523809999999</v>
      </c>
      <c r="N9" s="575">
        <v>4.1124520850000001</v>
      </c>
      <c r="O9" s="575">
        <v>4.3167059109999997</v>
      </c>
      <c r="P9" s="927"/>
      <c r="Q9" s="923"/>
    </row>
    <row r="10" spans="1:17" ht="14.25" customHeight="1" x14ac:dyDescent="0.2">
      <c r="A10" s="465" t="s">
        <v>163</v>
      </c>
      <c r="B10" s="707">
        <v>17.125086511999999</v>
      </c>
      <c r="C10" s="707">
        <v>12.038509625</v>
      </c>
      <c r="D10" s="707">
        <v>11.353643287000001</v>
      </c>
      <c r="E10" s="707">
        <v>6.9606477900000003</v>
      </c>
      <c r="F10" s="707">
        <v>5.4956332330000004</v>
      </c>
      <c r="G10" s="707">
        <v>5.4575541169999999</v>
      </c>
      <c r="H10" s="707">
        <v>3.9433643620000001</v>
      </c>
      <c r="I10" s="707">
        <v>8.0313273830000007</v>
      </c>
      <c r="J10" s="707">
        <v>6.8154594990000001</v>
      </c>
      <c r="K10" s="707">
        <v>12.233176846999999</v>
      </c>
      <c r="L10" s="707">
        <v>14.822677948999999</v>
      </c>
      <c r="M10" s="575">
        <v>5.9939664730000004</v>
      </c>
      <c r="N10" s="575">
        <v>11.122900599999999</v>
      </c>
      <c r="O10" s="575">
        <v>9.3827758180000007</v>
      </c>
      <c r="P10" s="927"/>
      <c r="Q10" s="923"/>
    </row>
    <row r="11" spans="1:17" ht="14.25" customHeight="1" x14ac:dyDescent="0.2">
      <c r="A11" s="465" t="s">
        <v>164</v>
      </c>
      <c r="B11" s="707">
        <v>6.7800081959999998</v>
      </c>
      <c r="C11" s="707">
        <v>4.120562359</v>
      </c>
      <c r="D11" s="707">
        <v>3.7492181370000002</v>
      </c>
      <c r="E11" s="707">
        <v>5.3032025989999996</v>
      </c>
      <c r="F11" s="707">
        <v>5.745618404</v>
      </c>
      <c r="G11" s="707">
        <v>4.6125999640000002</v>
      </c>
      <c r="H11" s="707">
        <v>4.4322039799999997</v>
      </c>
      <c r="I11" s="707">
        <v>3.5667759370000001</v>
      </c>
      <c r="J11" s="707">
        <v>4.7742123190000001</v>
      </c>
      <c r="K11" s="707">
        <v>4.6279635969999999</v>
      </c>
      <c r="L11" s="707">
        <v>4.9963777340000002</v>
      </c>
      <c r="M11" s="575">
        <v>4.8416545280000003</v>
      </c>
      <c r="N11" s="575">
        <v>4.7498038280000001</v>
      </c>
      <c r="O11" s="575">
        <v>4.774120527</v>
      </c>
      <c r="P11" s="927"/>
      <c r="Q11" s="923"/>
    </row>
    <row r="12" spans="1:17" ht="14.25" customHeight="1" x14ac:dyDescent="0.2">
      <c r="A12" s="465" t="s">
        <v>165</v>
      </c>
      <c r="B12" s="707">
        <v>0.47600773600000001</v>
      </c>
      <c r="C12" s="707">
        <v>1.0434907659999999</v>
      </c>
      <c r="D12" s="707">
        <v>1.279935413</v>
      </c>
      <c r="E12" s="707">
        <v>-2.3663845179999998</v>
      </c>
      <c r="F12" s="707">
        <v>-4.9161009890000003</v>
      </c>
      <c r="G12" s="707">
        <v>-11.842070262</v>
      </c>
      <c r="H12" s="707">
        <v>1.1780929389999999</v>
      </c>
      <c r="I12" s="707">
        <v>-2.559641665</v>
      </c>
      <c r="J12" s="707">
        <v>-6.3327060030000002</v>
      </c>
      <c r="K12" s="707">
        <v>6.7432820009999999</v>
      </c>
      <c r="L12" s="707">
        <v>-1.1109459749999999</v>
      </c>
      <c r="M12" s="575">
        <v>-2.4424304960000001</v>
      </c>
      <c r="N12" s="575">
        <v>-1.575006868</v>
      </c>
      <c r="O12" s="575">
        <v>-2.0940267050000001</v>
      </c>
      <c r="P12" s="927"/>
      <c r="Q12" s="923"/>
    </row>
    <row r="13" spans="1:17" ht="14.25" customHeight="1" x14ac:dyDescent="0.25">
      <c r="A13" s="474" t="s">
        <v>166</v>
      </c>
      <c r="B13" s="705">
        <v>0.47449449799999999</v>
      </c>
      <c r="C13" s="705">
        <v>2.1725028119999998</v>
      </c>
      <c r="D13" s="705">
        <v>3.2587559910000001</v>
      </c>
      <c r="E13" s="705">
        <v>3.7016362530000002</v>
      </c>
      <c r="F13" s="705">
        <v>4.1117774770000004</v>
      </c>
      <c r="G13" s="705">
        <v>3.4790005279999998</v>
      </c>
      <c r="H13" s="705">
        <v>3.698383303</v>
      </c>
      <c r="I13" s="705">
        <v>3.1171784699999998</v>
      </c>
      <c r="J13" s="705">
        <v>2.7172115360000002</v>
      </c>
      <c r="K13" s="705">
        <v>3.8322214809999999</v>
      </c>
      <c r="L13" s="705">
        <v>1.783763118</v>
      </c>
      <c r="M13" s="706">
        <v>3.6416293679999998</v>
      </c>
      <c r="N13" s="706">
        <v>2.667026066</v>
      </c>
      <c r="O13" s="706">
        <v>3.0409965190000001</v>
      </c>
      <c r="P13" s="927"/>
      <c r="Q13" s="923"/>
    </row>
    <row r="14" spans="1:17" ht="14.25" customHeight="1" x14ac:dyDescent="0.2">
      <c r="A14" s="465" t="s">
        <v>517</v>
      </c>
      <c r="B14" s="707">
        <v>-1.2853549630000001</v>
      </c>
      <c r="C14" s="707">
        <v>0.75634969699999999</v>
      </c>
      <c r="D14" s="707">
        <v>2.7827501460000001</v>
      </c>
      <c r="E14" s="707">
        <v>4.0785022529999999</v>
      </c>
      <c r="F14" s="707">
        <v>4.1513334740000003</v>
      </c>
      <c r="G14" s="707">
        <v>4.2077727009999997</v>
      </c>
      <c r="H14" s="707">
        <v>3.4230463279999999</v>
      </c>
      <c r="I14" s="707">
        <v>2.9979261789999998</v>
      </c>
      <c r="J14" s="707">
        <v>2.534254147</v>
      </c>
      <c r="K14" s="707">
        <v>2.4361694250000001</v>
      </c>
      <c r="L14" s="707">
        <v>0.76346247300000003</v>
      </c>
      <c r="M14" s="575">
        <v>3.7155911540000002</v>
      </c>
      <c r="N14" s="575">
        <v>1.9644064489999999</v>
      </c>
      <c r="O14" s="575">
        <v>2.5801110770000002</v>
      </c>
      <c r="P14" s="927"/>
      <c r="Q14" s="923"/>
    </row>
    <row r="15" spans="1:17" ht="14.25" customHeight="1" x14ac:dyDescent="0.2">
      <c r="A15" s="687" t="s">
        <v>518</v>
      </c>
      <c r="B15" s="707">
        <v>6.044066945</v>
      </c>
      <c r="C15" s="707">
        <v>5.3809798219999996</v>
      </c>
      <c r="D15" s="707">
        <v>6.217042534</v>
      </c>
      <c r="E15" s="707">
        <v>6.0609412369999998</v>
      </c>
      <c r="F15" s="707">
        <v>5.8364997609999998</v>
      </c>
      <c r="G15" s="707">
        <v>6.0530796779999996</v>
      </c>
      <c r="H15" s="707">
        <v>4.8485255699999996</v>
      </c>
      <c r="I15" s="707">
        <v>4.2480123230000002</v>
      </c>
      <c r="J15" s="707">
        <v>3.7521005199999999</v>
      </c>
      <c r="K15" s="707">
        <v>3.34669704</v>
      </c>
      <c r="L15" s="707">
        <v>3.3018951759999999</v>
      </c>
      <c r="M15" s="575">
        <v>5.6157562519999997</v>
      </c>
      <c r="N15" s="575">
        <v>3.6319343750000002</v>
      </c>
      <c r="O15" s="575">
        <v>4.3555070819999999</v>
      </c>
      <c r="P15" s="927"/>
      <c r="Q15" s="923"/>
    </row>
    <row r="16" spans="1:17" ht="14.25" customHeight="1" x14ac:dyDescent="0.2">
      <c r="A16" s="465" t="s">
        <v>520</v>
      </c>
      <c r="B16" s="707">
        <v>4.7301983669999998</v>
      </c>
      <c r="C16" s="707">
        <v>2.8238101379999998</v>
      </c>
      <c r="D16" s="707">
        <v>3.6477088110000002</v>
      </c>
      <c r="E16" s="707">
        <v>1.7691971740000001</v>
      </c>
      <c r="F16" s="707">
        <v>1.7676998580000001</v>
      </c>
      <c r="G16" s="707">
        <v>1.674469413</v>
      </c>
      <c r="H16" s="707">
        <v>-0.21604583699999999</v>
      </c>
      <c r="I16" s="707">
        <v>0.46899089999999999</v>
      </c>
      <c r="J16" s="707">
        <v>3.7405331999999999E-2</v>
      </c>
      <c r="K16" s="707">
        <v>-0.90880117000000005</v>
      </c>
      <c r="L16" s="707">
        <v>3.0503433549999999</v>
      </c>
      <c r="M16" s="575">
        <v>1.088373963</v>
      </c>
      <c r="N16" s="575">
        <v>0.76071334800000001</v>
      </c>
      <c r="O16" s="575">
        <v>0.872639779</v>
      </c>
      <c r="P16" s="927"/>
      <c r="Q16" s="923"/>
    </row>
    <row r="17" spans="1:17" ht="14.25" customHeight="1" x14ac:dyDescent="0.2">
      <c r="A17" s="465" t="s">
        <v>168</v>
      </c>
      <c r="B17" s="707">
        <v>-14.451799367</v>
      </c>
      <c r="C17" s="707">
        <v>-12.052812392</v>
      </c>
      <c r="D17" s="707">
        <v>-10.990042555</v>
      </c>
      <c r="E17" s="707">
        <v>-8.9721285030000004</v>
      </c>
      <c r="F17" s="707">
        <v>-9.106764729</v>
      </c>
      <c r="G17" s="707">
        <v>-8.5341333370000001</v>
      </c>
      <c r="H17" s="707">
        <v>-6.1803262119999998</v>
      </c>
      <c r="I17" s="707">
        <v>-5.4051133220000001</v>
      </c>
      <c r="J17" s="707">
        <v>-8.1529418749999998</v>
      </c>
      <c r="K17" s="707">
        <v>-4.3593863580000001</v>
      </c>
      <c r="L17" s="707">
        <v>-4.9759739779999999</v>
      </c>
      <c r="M17" s="575">
        <v>-8.4488048300000003</v>
      </c>
      <c r="N17" s="575">
        <v>-5.4717670329999999</v>
      </c>
      <c r="O17" s="575">
        <v>-6.3222694539999997</v>
      </c>
      <c r="P17" s="927"/>
      <c r="Q17" s="923"/>
    </row>
    <row r="18" spans="1:17" ht="14.25" customHeight="1" x14ac:dyDescent="0.2">
      <c r="A18" s="465" t="s">
        <v>169</v>
      </c>
      <c r="B18" s="707">
        <v>9.1733601989999993</v>
      </c>
      <c r="C18" s="707">
        <v>6.3094659389999999</v>
      </c>
      <c r="D18" s="707">
        <v>4.3808851129999997</v>
      </c>
      <c r="E18" s="707">
        <v>3.389566662</v>
      </c>
      <c r="F18" s="707">
        <v>3.3743759799999999</v>
      </c>
      <c r="G18" s="707">
        <v>3.1720260709999999</v>
      </c>
      <c r="H18" s="707">
        <v>3.9873709060000002</v>
      </c>
      <c r="I18" s="707">
        <v>2.3285736250000002</v>
      </c>
      <c r="J18" s="707">
        <v>2.8129218150000002</v>
      </c>
      <c r="K18" s="707">
        <v>3.8138888710000001</v>
      </c>
      <c r="L18" s="707">
        <v>2.6579564229999999</v>
      </c>
      <c r="M18" s="575">
        <v>3.7822837040000001</v>
      </c>
      <c r="N18" s="575">
        <v>2.8659345840000001</v>
      </c>
      <c r="O18" s="575">
        <v>3.3060133010000001</v>
      </c>
      <c r="P18" s="927"/>
      <c r="Q18" s="923"/>
    </row>
    <row r="19" spans="1:17" ht="14.25" customHeight="1" x14ac:dyDescent="0.2">
      <c r="A19" s="687" t="s">
        <v>521</v>
      </c>
      <c r="B19" s="707">
        <v>-0.47020603500000002</v>
      </c>
      <c r="C19" s="707">
        <v>1.0263013000000001</v>
      </c>
      <c r="D19" s="707">
        <v>1.3087110040000001</v>
      </c>
      <c r="E19" s="707">
        <v>1.370511048</v>
      </c>
      <c r="F19" s="707">
        <v>1.8070057319999999</v>
      </c>
      <c r="G19" s="707">
        <v>1.3340789500000001</v>
      </c>
      <c r="H19" s="707">
        <v>2.0959038130000001</v>
      </c>
      <c r="I19" s="707">
        <v>1.325456347</v>
      </c>
      <c r="J19" s="707">
        <v>2.7828717890000001</v>
      </c>
      <c r="K19" s="707">
        <v>3.076658997</v>
      </c>
      <c r="L19" s="707">
        <v>1.9634679070000001</v>
      </c>
      <c r="M19" s="575">
        <v>1.5843565500000001</v>
      </c>
      <c r="N19" s="575">
        <v>2.3285417289999999</v>
      </c>
      <c r="O19" s="575">
        <v>1.991452765</v>
      </c>
      <c r="P19" s="927"/>
      <c r="Q19" s="923"/>
    </row>
    <row r="20" spans="1:17" ht="14.25" customHeight="1" x14ac:dyDescent="0.2">
      <c r="A20" s="465" t="s">
        <v>171</v>
      </c>
      <c r="B20" s="707">
        <v>22.223151095999999</v>
      </c>
      <c r="C20" s="707">
        <v>12.834879419</v>
      </c>
      <c r="D20" s="707">
        <v>9.5201766479999996</v>
      </c>
      <c r="E20" s="707">
        <v>6.3351568829999998</v>
      </c>
      <c r="F20" s="707">
        <v>2.635698401</v>
      </c>
      <c r="G20" s="707">
        <v>12.494677955</v>
      </c>
      <c r="H20" s="707">
        <v>8.9649295329999994</v>
      </c>
      <c r="I20" s="707">
        <v>1.776649157</v>
      </c>
      <c r="J20" s="707">
        <v>-4.9247944490000002</v>
      </c>
      <c r="K20" s="707">
        <v>-0.97633376999999999</v>
      </c>
      <c r="L20" s="707">
        <v>0.523759329</v>
      </c>
      <c r="M20" s="575">
        <v>9.7829827829999996</v>
      </c>
      <c r="N20" s="575">
        <v>-0.98457625100000001</v>
      </c>
      <c r="O20" s="575">
        <v>4.8452199709999997</v>
      </c>
      <c r="P20" s="927"/>
      <c r="Q20" s="923"/>
    </row>
    <row r="21" spans="1:17" ht="14.25" customHeight="1" x14ac:dyDescent="0.2">
      <c r="A21" s="687" t="s">
        <v>607</v>
      </c>
      <c r="B21" s="707">
        <v>23.209451273999999</v>
      </c>
      <c r="C21" s="707">
        <v>20.068609089999999</v>
      </c>
      <c r="D21" s="707">
        <v>11.920302031</v>
      </c>
      <c r="E21" s="707">
        <v>9.3183494899999992</v>
      </c>
      <c r="F21" s="707">
        <v>8.5526525549999999</v>
      </c>
      <c r="G21" s="707">
        <v>8.4355323749999993</v>
      </c>
      <c r="H21" s="707">
        <v>9.3564843460000002</v>
      </c>
      <c r="I21" s="707">
        <v>5.7574768809999997</v>
      </c>
      <c r="J21" s="707">
        <v>3.7633952719999999</v>
      </c>
      <c r="K21" s="707">
        <v>9.3499119499999992</v>
      </c>
      <c r="L21" s="707">
        <v>8.4633801070000008</v>
      </c>
      <c r="M21" s="575">
        <v>9.8173997009999994</v>
      </c>
      <c r="N21" s="575">
        <v>6.1898785580000002</v>
      </c>
      <c r="O21" s="575">
        <v>8.2934490230000009</v>
      </c>
      <c r="P21" s="927"/>
      <c r="Q21" s="923"/>
    </row>
    <row r="22" spans="1:17" ht="14.25" customHeight="1" x14ac:dyDescent="0.2">
      <c r="A22" s="465" t="s">
        <v>172</v>
      </c>
      <c r="B22" s="707">
        <v>-34.993913436</v>
      </c>
      <c r="C22" s="707">
        <v>-13.321200989999999</v>
      </c>
      <c r="D22" s="707">
        <v>-10.451224348</v>
      </c>
      <c r="E22" s="707">
        <v>-7.6594797960000003</v>
      </c>
      <c r="F22" s="707">
        <v>-3.5286989219999998</v>
      </c>
      <c r="G22" s="707">
        <v>-6.2578185670000002</v>
      </c>
      <c r="H22" s="707">
        <v>-0.30893947399999999</v>
      </c>
      <c r="I22" s="707">
        <v>-0.57979373700000003</v>
      </c>
      <c r="J22" s="707">
        <v>-0.38806471799999998</v>
      </c>
      <c r="K22" s="707">
        <v>4.5800604519999997</v>
      </c>
      <c r="L22" s="707">
        <v>3.7216026069999999</v>
      </c>
      <c r="M22" s="575">
        <v>-4.3976458440000004</v>
      </c>
      <c r="N22" s="575">
        <v>1.638653779</v>
      </c>
      <c r="O22" s="575">
        <v>-0.41747921700000001</v>
      </c>
      <c r="P22" s="927"/>
      <c r="Q22" s="923"/>
    </row>
    <row r="23" spans="1:17" ht="14.25" customHeight="1" x14ac:dyDescent="0.2">
      <c r="A23" s="465" t="s">
        <v>173</v>
      </c>
      <c r="B23" s="707">
        <v>-5.5227795930000001</v>
      </c>
      <c r="C23" s="707">
        <v>-1.680642577</v>
      </c>
      <c r="D23" s="707">
        <v>1.453409569</v>
      </c>
      <c r="E23" s="707">
        <v>5.0166755199999997</v>
      </c>
      <c r="F23" s="707">
        <v>5.4249332629999998</v>
      </c>
      <c r="G23" s="707">
        <v>5.0229396949999998</v>
      </c>
      <c r="H23" s="707">
        <v>5.1666485639999999</v>
      </c>
      <c r="I23" s="707">
        <v>7.4982755000000001</v>
      </c>
      <c r="J23" s="707">
        <v>6.1683212970000003</v>
      </c>
      <c r="K23" s="707">
        <v>9.2512787440000004</v>
      </c>
      <c r="L23" s="707">
        <v>6.1885633640000002</v>
      </c>
      <c r="M23" s="575">
        <v>4.5144394630000004</v>
      </c>
      <c r="N23" s="575">
        <v>6.9323278970000004</v>
      </c>
      <c r="O23" s="575">
        <v>5.9775590489999999</v>
      </c>
      <c r="P23" s="927"/>
      <c r="Q23" s="923"/>
    </row>
    <row r="24" spans="1:17" ht="14.25" customHeight="1" x14ac:dyDescent="0.2">
      <c r="A24" s="475" t="s">
        <v>174</v>
      </c>
      <c r="B24" s="708">
        <v>-0.78458132199999997</v>
      </c>
      <c r="C24" s="708">
        <v>3.9514389140000001</v>
      </c>
      <c r="D24" s="708">
        <v>7.5131290000000002</v>
      </c>
      <c r="E24" s="708">
        <v>5.2007492749999997</v>
      </c>
      <c r="F24" s="708">
        <v>9.900026531</v>
      </c>
      <c r="G24" s="708">
        <v>1.111604319</v>
      </c>
      <c r="H24" s="708">
        <v>9.9966622180000009</v>
      </c>
      <c r="I24" s="708">
        <v>6.1047851680000003</v>
      </c>
      <c r="J24" s="708">
        <v>3.3953583570000001</v>
      </c>
      <c r="K24" s="708">
        <v>24.936306006999999</v>
      </c>
      <c r="L24" s="708">
        <v>7.1143843269999998</v>
      </c>
      <c r="M24" s="580">
        <v>6.5176537440000004</v>
      </c>
      <c r="N24" s="580">
        <v>8.5897082680000008</v>
      </c>
      <c r="O24" s="580">
        <v>7.484514302</v>
      </c>
      <c r="P24" s="927"/>
      <c r="Q24" s="923"/>
    </row>
    <row r="25" spans="1:17" ht="14.25" customHeight="1" x14ac:dyDescent="0.25">
      <c r="A25" s="474" t="s">
        <v>175</v>
      </c>
      <c r="B25" s="705">
        <v>-8.8561081460000004</v>
      </c>
      <c r="C25" s="705">
        <v>-5.1123943079999998</v>
      </c>
      <c r="D25" s="705">
        <v>-2.3717261550000002</v>
      </c>
      <c r="E25" s="705">
        <v>-6.9594887999999994E-2</v>
      </c>
      <c r="F25" s="705">
        <v>2.7229443</v>
      </c>
      <c r="G25" s="705">
        <v>3.313448502</v>
      </c>
      <c r="H25" s="705">
        <v>2.2092335200000002</v>
      </c>
      <c r="I25" s="705">
        <v>-4.3246429000000003E-2</v>
      </c>
      <c r="J25" s="705">
        <v>-0.128220368</v>
      </c>
      <c r="K25" s="705">
        <v>5.1646106730000003</v>
      </c>
      <c r="L25" s="705">
        <v>-22.965248632000002</v>
      </c>
      <c r="M25" s="706">
        <v>0.90609601900000003</v>
      </c>
      <c r="N25" s="706">
        <v>-6.6202394550000001</v>
      </c>
      <c r="O25" s="706">
        <v>-3.040533527</v>
      </c>
      <c r="P25" s="192"/>
    </row>
    <row r="26" spans="1:17" ht="14.25" customHeight="1" x14ac:dyDescent="0.25">
      <c r="A26" s="476" t="s">
        <v>771</v>
      </c>
      <c r="B26" s="709">
        <v>-14.626700903</v>
      </c>
      <c r="C26" s="709">
        <v>-7.9321114919999998</v>
      </c>
      <c r="D26" s="709">
        <v>-3.1670698270000002</v>
      </c>
      <c r="E26" s="709">
        <v>-1.7100425640000001</v>
      </c>
      <c r="F26" s="709">
        <v>4.8360839599999998</v>
      </c>
      <c r="G26" s="709">
        <v>5.1438982879999999</v>
      </c>
      <c r="H26" s="709">
        <v>3.0151995980000001</v>
      </c>
      <c r="I26" s="709">
        <v>5.2700790999999997E-2</v>
      </c>
      <c r="J26" s="709">
        <v>-0.229645077</v>
      </c>
      <c r="K26" s="709">
        <v>16.871655133000001</v>
      </c>
      <c r="L26" s="709">
        <v>-41.786821537000002</v>
      </c>
      <c r="M26" s="710">
        <v>0.88699256299999996</v>
      </c>
      <c r="N26" s="710">
        <v>-11.170032386000001</v>
      </c>
      <c r="O26" s="710">
        <v>-4.7563527570000002</v>
      </c>
      <c r="P26" s="192"/>
    </row>
    <row r="27" spans="1:17" ht="14.25" customHeight="1" x14ac:dyDescent="0.25">
      <c r="A27" s="474" t="s">
        <v>177</v>
      </c>
      <c r="B27" s="705">
        <v>2.594829249</v>
      </c>
      <c r="C27" s="705">
        <v>6.4533634119999999</v>
      </c>
      <c r="D27" s="705">
        <v>8.4962686739999995</v>
      </c>
      <c r="E27" s="705">
        <v>9.7705000080000008</v>
      </c>
      <c r="F27" s="705">
        <v>13.450900702</v>
      </c>
      <c r="G27" s="705">
        <v>11.72681339</v>
      </c>
      <c r="H27" s="705">
        <v>12.273777057</v>
      </c>
      <c r="I27" s="705">
        <v>4.2461774449999998</v>
      </c>
      <c r="J27" s="705">
        <v>10.179999205</v>
      </c>
      <c r="K27" s="705">
        <v>6.5158762619999999</v>
      </c>
      <c r="L27" s="705">
        <v>10.147721717</v>
      </c>
      <c r="M27" s="706">
        <v>11.006473851999999</v>
      </c>
      <c r="N27" s="706">
        <v>8.2510051010000005</v>
      </c>
      <c r="O27" s="706">
        <v>9.5551566920000006</v>
      </c>
      <c r="P27" s="192"/>
    </row>
    <row r="28" spans="1:17" ht="14.25" customHeight="1" x14ac:dyDescent="0.2">
      <c r="A28" s="465" t="s">
        <v>178</v>
      </c>
      <c r="B28" s="707">
        <v>2.9001473459999998</v>
      </c>
      <c r="C28" s="707">
        <v>6.6568427120000004</v>
      </c>
      <c r="D28" s="707">
        <v>9.6193897550000003</v>
      </c>
      <c r="E28" s="707">
        <v>10.317631077</v>
      </c>
      <c r="F28" s="707">
        <v>13.429811204</v>
      </c>
      <c r="G28" s="707">
        <v>11.450936476000001</v>
      </c>
      <c r="H28" s="707">
        <v>12.906973544</v>
      </c>
      <c r="I28" s="707">
        <v>5.0407543559999999</v>
      </c>
      <c r="J28" s="707">
        <v>10.425728358000001</v>
      </c>
      <c r="K28" s="707">
        <v>7.1386837700000001</v>
      </c>
      <c r="L28" s="707">
        <v>10.993675333000001</v>
      </c>
      <c r="M28" s="575">
        <v>11.407890045</v>
      </c>
      <c r="N28" s="575">
        <v>8.7761433889999996</v>
      </c>
      <c r="O28" s="575">
        <v>10.066763818</v>
      </c>
      <c r="P28" s="192"/>
    </row>
    <row r="29" spans="1:17" ht="14.25" customHeight="1" x14ac:dyDescent="0.2">
      <c r="A29" s="465" t="s">
        <v>179</v>
      </c>
      <c r="B29" s="707">
        <v>-17.602787427999999</v>
      </c>
      <c r="C29" s="707">
        <v>7.1967263419999998</v>
      </c>
      <c r="D29" s="707">
        <v>-3.030440537</v>
      </c>
      <c r="E29" s="707">
        <v>0.72663913800000002</v>
      </c>
      <c r="F29" s="707">
        <v>2.1382168300000002</v>
      </c>
      <c r="G29" s="707">
        <v>13.352302943</v>
      </c>
      <c r="H29" s="707">
        <v>6.2447209900000002</v>
      </c>
      <c r="I29" s="707">
        <v>-8.6081333779999998</v>
      </c>
      <c r="J29" s="707">
        <v>-0.47996038099999999</v>
      </c>
      <c r="K29" s="707">
        <v>-5.6319523260000004</v>
      </c>
      <c r="L29" s="707">
        <v>4.3169992800000001</v>
      </c>
      <c r="M29" s="575">
        <v>3.7043743099999999</v>
      </c>
      <c r="N29" s="575">
        <v>0.86226737600000003</v>
      </c>
      <c r="O29" s="575">
        <v>1.650074292</v>
      </c>
      <c r="P29" s="192"/>
    </row>
    <row r="30" spans="1:17" ht="14.25" customHeight="1" x14ac:dyDescent="0.2">
      <c r="A30" s="465" t="s">
        <v>180</v>
      </c>
      <c r="B30" s="707">
        <v>36.520098697999998</v>
      </c>
      <c r="C30" s="707">
        <v>-5.6428321720000003</v>
      </c>
      <c r="D30" s="707">
        <v>-10.839910713</v>
      </c>
      <c r="E30" s="707">
        <v>1.371917345</v>
      </c>
      <c r="F30" s="707">
        <v>30.890736477000001</v>
      </c>
      <c r="G30" s="707">
        <v>20.479251610999999</v>
      </c>
      <c r="H30" s="707">
        <v>-1.301948858</v>
      </c>
      <c r="I30" s="707">
        <v>-0.23813857799999999</v>
      </c>
      <c r="J30" s="707">
        <v>17.736899493999999</v>
      </c>
      <c r="K30" s="707">
        <v>7.6173063409999999</v>
      </c>
      <c r="L30" s="707">
        <v>17.479575748999999</v>
      </c>
      <c r="M30" s="575">
        <v>6.4194526390000002</v>
      </c>
      <c r="N30" s="575">
        <v>12.256364048</v>
      </c>
      <c r="O30" s="575">
        <v>10.124321709</v>
      </c>
      <c r="P30" s="192"/>
    </row>
    <row r="31" spans="1:17" ht="14.25" customHeight="1" x14ac:dyDescent="0.25">
      <c r="A31" s="474" t="s">
        <v>181</v>
      </c>
      <c r="B31" s="705">
        <v>3.7975758979999998</v>
      </c>
      <c r="C31" s="705">
        <v>6.4160550799999996</v>
      </c>
      <c r="D31" s="705">
        <v>3.2714363880000001</v>
      </c>
      <c r="E31" s="705">
        <v>2.8947061779999999</v>
      </c>
      <c r="F31" s="705">
        <v>11.428922440999999</v>
      </c>
      <c r="G31" s="705">
        <v>6.1985410999999999</v>
      </c>
      <c r="H31" s="705">
        <v>9.1995911620000008</v>
      </c>
      <c r="I31" s="705">
        <v>-1.187846473</v>
      </c>
      <c r="J31" s="705">
        <v>-0.63151231600000002</v>
      </c>
      <c r="K31" s="705">
        <v>6.1817529699999998</v>
      </c>
      <c r="L31" s="705">
        <v>7.3617773580000003</v>
      </c>
      <c r="M31" s="706">
        <v>6.4245300820000004</v>
      </c>
      <c r="N31" s="706">
        <v>2.3229082380000001</v>
      </c>
      <c r="O31" s="706">
        <v>4.4835123899999996</v>
      </c>
      <c r="P31" s="192"/>
    </row>
    <row r="32" spans="1:17" ht="14.25" customHeight="1" x14ac:dyDescent="0.2">
      <c r="A32" s="465" t="s">
        <v>182</v>
      </c>
      <c r="B32" s="707">
        <v>12.233632602</v>
      </c>
      <c r="C32" s="707">
        <v>6.0849926060000001</v>
      </c>
      <c r="D32" s="707">
        <v>5.7601796319999998</v>
      </c>
      <c r="E32" s="707">
        <v>8.7390134049999997</v>
      </c>
      <c r="F32" s="707">
        <v>8.1349905709999994</v>
      </c>
      <c r="G32" s="707">
        <v>10.080834815999999</v>
      </c>
      <c r="H32" s="707">
        <v>14.589011929</v>
      </c>
      <c r="I32" s="707">
        <v>7.5962110999999997</v>
      </c>
      <c r="J32" s="707">
        <v>3.6179122129999999</v>
      </c>
      <c r="K32" s="707">
        <v>16.945941212000001</v>
      </c>
      <c r="L32" s="707">
        <v>24.780777954000001</v>
      </c>
      <c r="M32" s="575">
        <v>9.9403065569999995</v>
      </c>
      <c r="N32" s="575">
        <v>12.159444659</v>
      </c>
      <c r="O32" s="575">
        <v>11.034858795</v>
      </c>
      <c r="P32" s="192"/>
    </row>
    <row r="33" spans="1:16" ht="14.25" customHeight="1" x14ac:dyDescent="0.2">
      <c r="A33" s="465" t="s">
        <v>183</v>
      </c>
      <c r="B33" s="707">
        <v>2.7469069500000001</v>
      </c>
      <c r="C33" s="707">
        <v>7.4129255690000004</v>
      </c>
      <c r="D33" s="707">
        <v>5.8949040720000001</v>
      </c>
      <c r="E33" s="707">
        <v>3.8624506580000002</v>
      </c>
      <c r="F33" s="707">
        <v>6.9293005619999999</v>
      </c>
      <c r="G33" s="707">
        <v>3.938465587</v>
      </c>
      <c r="H33" s="707">
        <v>10.61677094</v>
      </c>
      <c r="I33" s="707">
        <v>6.8260321340000001</v>
      </c>
      <c r="J33" s="707">
        <v>4.7995621760000002</v>
      </c>
      <c r="K33" s="707">
        <v>9.4143352450000002</v>
      </c>
      <c r="L33" s="707">
        <v>2.7013848619999998</v>
      </c>
      <c r="M33" s="575">
        <v>6.1882241609999999</v>
      </c>
      <c r="N33" s="575">
        <v>5.9138462299999999</v>
      </c>
      <c r="O33" s="575">
        <v>6.0727480229999999</v>
      </c>
      <c r="P33" s="192"/>
    </row>
    <row r="34" spans="1:16" ht="14.25" customHeight="1" x14ac:dyDescent="0.2">
      <c r="A34" s="475" t="s">
        <v>184</v>
      </c>
      <c r="B34" s="708">
        <v>-10.639875898</v>
      </c>
      <c r="C34" s="708">
        <v>-0.29617513400000001</v>
      </c>
      <c r="D34" s="708">
        <v>-13.067754012</v>
      </c>
      <c r="E34" s="708">
        <v>-9.5874937849999995</v>
      </c>
      <c r="F34" s="708">
        <v>30.456587055</v>
      </c>
      <c r="G34" s="708">
        <v>8.745541416</v>
      </c>
      <c r="H34" s="708">
        <v>-1.7187552530000001</v>
      </c>
      <c r="I34" s="708">
        <v>-29.731004778999999</v>
      </c>
      <c r="J34" s="708">
        <v>-15.334728978999999</v>
      </c>
      <c r="K34" s="708">
        <v>-6.3452233720000004</v>
      </c>
      <c r="L34" s="708">
        <v>-3.3341426190000001</v>
      </c>
      <c r="M34" s="580">
        <v>2.5630401200000001</v>
      </c>
      <c r="N34" s="580">
        <v>-13.472524909000001</v>
      </c>
      <c r="O34" s="580">
        <v>-6.9354846710000002</v>
      </c>
      <c r="P34" s="192"/>
    </row>
    <row r="35" spans="1:16" ht="14.25" customHeight="1" x14ac:dyDescent="0.25">
      <c r="A35" s="477" t="s">
        <v>185</v>
      </c>
      <c r="B35" s="705">
        <v>3.7940088529999998</v>
      </c>
      <c r="C35" s="705">
        <v>5.4906186879999996</v>
      </c>
      <c r="D35" s="705">
        <v>6.236095401</v>
      </c>
      <c r="E35" s="705">
        <v>6.3823834789999996</v>
      </c>
      <c r="F35" s="705">
        <v>7.2236172869999997</v>
      </c>
      <c r="G35" s="705">
        <v>5.8913449609999997</v>
      </c>
      <c r="H35" s="705">
        <v>6.2059454690000004</v>
      </c>
      <c r="I35" s="705">
        <v>3.7932054150000001</v>
      </c>
      <c r="J35" s="705">
        <v>4.7292701629999998</v>
      </c>
      <c r="K35" s="705">
        <v>4.3057429970000003</v>
      </c>
      <c r="L35" s="705">
        <v>6.3009711729999998</v>
      </c>
      <c r="M35" s="706">
        <v>6.3541091219999997</v>
      </c>
      <c r="N35" s="706">
        <v>5.0093048380000003</v>
      </c>
      <c r="O35" s="706">
        <v>5.5391204800000002</v>
      </c>
      <c r="P35" s="192"/>
    </row>
    <row r="36" spans="1:16" ht="14.25" customHeight="1" x14ac:dyDescent="0.25">
      <c r="A36" s="477" t="s">
        <v>186</v>
      </c>
      <c r="B36" s="705">
        <v>1.155909877</v>
      </c>
      <c r="C36" s="705">
        <v>2.9998939550000001</v>
      </c>
      <c r="D36" s="705">
        <v>3.2611186929999998</v>
      </c>
      <c r="E36" s="705">
        <v>3.5586033850000001</v>
      </c>
      <c r="F36" s="705">
        <v>5.2629935550000004</v>
      </c>
      <c r="G36" s="705">
        <v>3.8561201230000002</v>
      </c>
      <c r="H36" s="705">
        <v>4.3846139219999998</v>
      </c>
      <c r="I36" s="705">
        <v>2.6185937930000001</v>
      </c>
      <c r="J36" s="705">
        <v>2.356007339</v>
      </c>
      <c r="K36" s="705">
        <v>4.0939698550000001</v>
      </c>
      <c r="L36" s="705">
        <v>2.0983501470000001</v>
      </c>
      <c r="M36" s="706">
        <v>4.0725801769999999</v>
      </c>
      <c r="N36" s="706">
        <v>2.6350360410000002</v>
      </c>
      <c r="O36" s="706">
        <v>3.2108597350000001</v>
      </c>
      <c r="P36" s="192"/>
    </row>
    <row r="37" spans="1:16" ht="14.25" customHeight="1" x14ac:dyDescent="0.25">
      <c r="A37" s="476"/>
      <c r="B37" s="709"/>
      <c r="C37" s="709"/>
      <c r="D37" s="709"/>
      <c r="E37" s="709"/>
      <c r="F37" s="709"/>
      <c r="G37" s="709"/>
      <c r="H37" s="709"/>
      <c r="I37" s="709"/>
      <c r="J37" s="709"/>
      <c r="K37" s="709"/>
      <c r="L37" s="709"/>
      <c r="M37" s="710"/>
      <c r="N37" s="710"/>
      <c r="O37" s="710"/>
      <c r="P37" s="192"/>
    </row>
    <row r="38" spans="1:16" ht="14.25" customHeight="1" x14ac:dyDescent="0.2">
      <c r="A38" s="465" t="s">
        <v>188</v>
      </c>
      <c r="B38" s="707">
        <v>9.7365155720000001</v>
      </c>
      <c r="C38" s="707">
        <v>0.93373413900000002</v>
      </c>
      <c r="D38" s="707">
        <v>-0.99575972300000004</v>
      </c>
      <c r="E38" s="707">
        <v>2.5010440730000001</v>
      </c>
      <c r="F38" s="707">
        <v>-0.78859739900000003</v>
      </c>
      <c r="G38" s="707">
        <v>6.3857185999999996E-2</v>
      </c>
      <c r="H38" s="707">
        <v>0.97948913800000004</v>
      </c>
      <c r="I38" s="707">
        <v>-0.176775766</v>
      </c>
      <c r="J38" s="707">
        <v>-2.2115603000000001E-2</v>
      </c>
      <c r="K38" s="707">
        <v>-2.2397446429999999</v>
      </c>
      <c r="L38" s="707">
        <v>-4.8920943169999997</v>
      </c>
      <c r="M38" s="575">
        <v>0.93749448599999996</v>
      </c>
      <c r="N38" s="575">
        <v>-2.1392023290000002</v>
      </c>
      <c r="O38" s="575">
        <v>-0.89275939000000004</v>
      </c>
      <c r="P38" s="192"/>
    </row>
    <row r="39" spans="1:16" ht="14.25" customHeight="1" x14ac:dyDescent="0.2">
      <c r="A39" s="465" t="s">
        <v>189</v>
      </c>
      <c r="B39" s="707">
        <v>-5.0538141230000004</v>
      </c>
      <c r="C39" s="707">
        <v>-2.7377607629999998</v>
      </c>
      <c r="D39" s="707">
        <v>-5.6518104320000004</v>
      </c>
      <c r="E39" s="707">
        <v>0.71028411400000002</v>
      </c>
      <c r="F39" s="707">
        <v>11.216385094</v>
      </c>
      <c r="G39" s="707">
        <v>16.91091982</v>
      </c>
      <c r="H39" s="707">
        <v>0.238500924</v>
      </c>
      <c r="I39" s="707">
        <v>3.4438491390000001</v>
      </c>
      <c r="J39" s="707">
        <v>12.15257401</v>
      </c>
      <c r="K39" s="707">
        <v>11.791237076</v>
      </c>
      <c r="L39" s="707">
        <v>27.663142098000002</v>
      </c>
      <c r="M39" s="575">
        <v>3.5206582179999999</v>
      </c>
      <c r="N39" s="575">
        <v>17.302031975999999</v>
      </c>
      <c r="O39" s="575">
        <v>12.647795545999999</v>
      </c>
      <c r="P39" s="192"/>
    </row>
    <row r="40" spans="1:16" ht="14.25" customHeight="1" x14ac:dyDescent="0.2">
      <c r="A40" s="475"/>
      <c r="B40" s="708"/>
      <c r="C40" s="708"/>
      <c r="D40" s="708"/>
      <c r="E40" s="708"/>
      <c r="F40" s="708"/>
      <c r="G40" s="708"/>
      <c r="H40" s="708"/>
      <c r="I40" s="708"/>
      <c r="J40" s="708"/>
      <c r="K40" s="708"/>
      <c r="L40" s="708"/>
      <c r="M40" s="580"/>
      <c r="N40" s="580"/>
      <c r="O40" s="580"/>
      <c r="P40" s="192"/>
    </row>
    <row r="41" spans="1:16" ht="14.25" customHeight="1" x14ac:dyDescent="0.25">
      <c r="A41" s="477" t="s">
        <v>191</v>
      </c>
      <c r="B41" s="705">
        <v>4.1434072210000004</v>
      </c>
      <c r="C41" s="705">
        <v>5.1780793919999999</v>
      </c>
      <c r="D41" s="705">
        <v>5.7376581670000002</v>
      </c>
      <c r="E41" s="705">
        <v>6.1339546289999998</v>
      </c>
      <c r="F41" s="705">
        <v>6.757022321</v>
      </c>
      <c r="G41" s="705">
        <v>5.5796051440000003</v>
      </c>
      <c r="H41" s="705">
        <v>5.9260290009999999</v>
      </c>
      <c r="I41" s="705">
        <v>3.593668911</v>
      </c>
      <c r="J41" s="705">
        <v>4.4678861479999998</v>
      </c>
      <c r="K41" s="705">
        <v>3.8655315190000001</v>
      </c>
      <c r="L41" s="705">
        <v>5.681998374</v>
      </c>
      <c r="M41" s="706">
        <v>6.0345849630000004</v>
      </c>
      <c r="N41" s="706">
        <v>4.605688765</v>
      </c>
      <c r="O41" s="706">
        <v>5.1695498620000002</v>
      </c>
      <c r="P41" s="192"/>
    </row>
    <row r="42" spans="1:16" ht="14.25" customHeight="1" x14ac:dyDescent="0.25">
      <c r="A42" s="477" t="s">
        <v>192</v>
      </c>
      <c r="B42" s="705">
        <v>0.83985042399999998</v>
      </c>
      <c r="C42" s="705">
        <v>2.6940471079999999</v>
      </c>
      <c r="D42" s="705">
        <v>2.7867783350000002</v>
      </c>
      <c r="E42" s="705">
        <v>3.411215023</v>
      </c>
      <c r="F42" s="705">
        <v>5.534726322</v>
      </c>
      <c r="G42" s="705">
        <v>4.440587678</v>
      </c>
      <c r="H42" s="705">
        <v>4.1849920779999996</v>
      </c>
      <c r="I42" s="705">
        <v>2.6578226759999999</v>
      </c>
      <c r="J42" s="705">
        <v>2.880817102</v>
      </c>
      <c r="K42" s="705">
        <v>4.6113120690000002</v>
      </c>
      <c r="L42" s="705">
        <v>4.0875602200000003</v>
      </c>
      <c r="M42" s="706">
        <v>4.0456051869999996</v>
      </c>
      <c r="N42" s="706">
        <v>3.5603618159999999</v>
      </c>
      <c r="O42" s="706">
        <v>3.7529795039999998</v>
      </c>
      <c r="P42" s="192"/>
    </row>
    <row r="43" spans="1:16" ht="14.25" customHeight="1" x14ac:dyDescent="0.2">
      <c r="A43" s="475"/>
      <c r="B43" s="708"/>
      <c r="C43" s="708"/>
      <c r="D43" s="708"/>
      <c r="E43" s="708"/>
      <c r="F43" s="708"/>
      <c r="G43" s="708"/>
      <c r="H43" s="708"/>
      <c r="I43" s="708"/>
      <c r="J43" s="708"/>
      <c r="K43" s="708"/>
      <c r="L43" s="708"/>
      <c r="M43" s="580"/>
      <c r="N43" s="580"/>
      <c r="O43" s="580"/>
      <c r="P43" s="192"/>
    </row>
    <row r="44" spans="1:16" s="8" customFormat="1" ht="14.25" customHeight="1" x14ac:dyDescent="0.25">
      <c r="A44" s="478" t="s">
        <v>283</v>
      </c>
      <c r="B44" s="709">
        <v>-4.2609713789999999</v>
      </c>
      <c r="C44" s="709">
        <v>-3.6299315390000002</v>
      </c>
      <c r="D44" s="709">
        <v>-3.3352027280000001</v>
      </c>
      <c r="E44" s="709">
        <v>-2.6330599590000001</v>
      </c>
      <c r="F44" s="709">
        <v>-1.1601223679999999</v>
      </c>
      <c r="G44" s="709">
        <v>-0.11215563100000001</v>
      </c>
      <c r="H44" s="709">
        <v>-1.00762638</v>
      </c>
      <c r="I44" s="709">
        <v>0.20439600699999999</v>
      </c>
      <c r="J44" s="709">
        <v>0.94414026699999998</v>
      </c>
      <c r="K44" s="709">
        <v>1.205104148</v>
      </c>
      <c r="L44" s="709">
        <v>5.785049141</v>
      </c>
      <c r="M44" s="710">
        <v>-1.635898836</v>
      </c>
      <c r="N44" s="710">
        <v>2.963098531</v>
      </c>
      <c r="O44" s="710">
        <v>1.4001105549999999</v>
      </c>
      <c r="P44" s="928"/>
    </row>
    <row r="45" spans="1:16" ht="14.25" customHeight="1" x14ac:dyDescent="0.25">
      <c r="A45" s="474" t="s">
        <v>442</v>
      </c>
      <c r="B45" s="707"/>
      <c r="C45" s="707"/>
      <c r="D45" s="707"/>
      <c r="E45" s="707"/>
      <c r="F45" s="707"/>
      <c r="G45" s="707"/>
      <c r="H45" s="707"/>
      <c r="I45" s="707"/>
      <c r="J45" s="707"/>
      <c r="K45" s="707"/>
      <c r="L45" s="707"/>
      <c r="M45" s="575"/>
      <c r="N45" s="575"/>
      <c r="O45" s="575"/>
      <c r="P45" s="192"/>
    </row>
    <row r="46" spans="1:16" ht="15.75" customHeight="1" x14ac:dyDescent="0.2">
      <c r="A46" s="465" t="s">
        <v>772</v>
      </c>
      <c r="B46" s="707">
        <v>-2.851980787</v>
      </c>
      <c r="C46" s="707">
        <v>-1.9411510940000001</v>
      </c>
      <c r="D46" s="707">
        <v>-1.2950739309999999</v>
      </c>
      <c r="E46" s="707">
        <v>-0.75735492699999996</v>
      </c>
      <c r="F46" s="707">
        <v>-0.256542294</v>
      </c>
      <c r="G46" s="707">
        <v>-2.8926773999999999E-2</v>
      </c>
      <c r="H46" s="707">
        <v>-0.234485996</v>
      </c>
      <c r="I46" s="707">
        <v>-0.43977657599999997</v>
      </c>
      <c r="J46" s="707">
        <v>-0.36871368300000001</v>
      </c>
      <c r="K46" s="707">
        <v>0.171091198</v>
      </c>
      <c r="L46" s="707">
        <v>-3.0519352099999999</v>
      </c>
      <c r="M46" s="575">
        <v>-0.50921967300000004</v>
      </c>
      <c r="N46" s="575">
        <v>-1.198012895</v>
      </c>
      <c r="O46" s="575">
        <v>-0.91864101399999998</v>
      </c>
      <c r="P46" s="192"/>
    </row>
    <row r="47" spans="1:16" ht="15.75" customHeight="1" x14ac:dyDescent="0.2">
      <c r="A47" s="465" t="s">
        <v>773</v>
      </c>
      <c r="B47" s="707">
        <v>-3.5225266199999998</v>
      </c>
      <c r="C47" s="707">
        <v>-1.8361698980000001</v>
      </c>
      <c r="D47" s="707">
        <v>-0.93662104199999996</v>
      </c>
      <c r="E47" s="707">
        <v>-0.66343018300000001</v>
      </c>
      <c r="F47" s="707">
        <v>8.3527824000000001E-2</v>
      </c>
      <c r="G47" s="707">
        <v>0.186086379</v>
      </c>
      <c r="H47" s="707">
        <v>-6.4985261000000002E-2</v>
      </c>
      <c r="I47" s="707">
        <v>-0.248131243</v>
      </c>
      <c r="J47" s="707">
        <v>-0.195233871</v>
      </c>
      <c r="K47" s="707">
        <v>0.64870918799999999</v>
      </c>
      <c r="L47" s="707">
        <v>-2.6319672949999999</v>
      </c>
      <c r="M47" s="575">
        <v>-0.31880713100000002</v>
      </c>
      <c r="N47" s="575">
        <v>-0.88566254499999997</v>
      </c>
      <c r="O47" s="575">
        <v>-0.65475249099999999</v>
      </c>
      <c r="P47" s="192"/>
    </row>
    <row r="48" spans="1:16" ht="14.25" customHeight="1" x14ac:dyDescent="0.2">
      <c r="A48" s="465" t="s">
        <v>774</v>
      </c>
      <c r="B48" s="707">
        <v>-2.0820392820000002</v>
      </c>
      <c r="C48" s="707">
        <v>-3.1537445929999999</v>
      </c>
      <c r="D48" s="707">
        <v>-3.7111551540000001</v>
      </c>
      <c r="E48" s="707">
        <v>-3.9212828800000001</v>
      </c>
      <c r="F48" s="707">
        <v>-3.2191077610000001</v>
      </c>
      <c r="G48" s="707">
        <v>-2.1255897300000002</v>
      </c>
      <c r="H48" s="707">
        <v>-2.7455406519999999</v>
      </c>
      <c r="I48" s="707">
        <v>-1.607689103</v>
      </c>
      <c r="J48" s="707">
        <v>-1.077776259</v>
      </c>
      <c r="K48" s="707">
        <v>-1.9708679490000001</v>
      </c>
      <c r="L48" s="707">
        <v>3.6502780229999998</v>
      </c>
      <c r="M48" s="575">
        <v>-3.14280955</v>
      </c>
      <c r="N48" s="575">
        <v>0.21526055399999999</v>
      </c>
      <c r="O48" s="575">
        <v>-1.1097036600000001</v>
      </c>
      <c r="P48" s="192"/>
    </row>
    <row r="49" spans="1:16" ht="14.25" customHeight="1" x14ac:dyDescent="0.2">
      <c r="A49" s="465" t="s">
        <v>775</v>
      </c>
      <c r="B49" s="707">
        <v>7.2520398E-2</v>
      </c>
      <c r="C49" s="707">
        <v>3.1867989999999999E-2</v>
      </c>
      <c r="D49" s="707">
        <v>-2.4147905000000001E-2</v>
      </c>
      <c r="E49" s="707">
        <v>-7.9070744999999998E-2</v>
      </c>
      <c r="F49" s="707">
        <v>-0.12495880400000001</v>
      </c>
      <c r="G49" s="707">
        <v>-0.112320744</v>
      </c>
      <c r="H49" s="707">
        <v>-0.116610739</v>
      </c>
      <c r="I49" s="707">
        <v>9.8269859999999994E-3</v>
      </c>
      <c r="J49" s="707">
        <v>5.0368548999999999E-2</v>
      </c>
      <c r="K49" s="707">
        <v>-0.219964672</v>
      </c>
      <c r="L49" s="707">
        <v>2.7609882649999999</v>
      </c>
      <c r="M49" s="575">
        <v>-8.0590083000000007E-2</v>
      </c>
      <c r="N49" s="575">
        <v>0.57843804799999998</v>
      </c>
      <c r="O49" s="575">
        <v>0.20504604300000001</v>
      </c>
      <c r="P49" s="192"/>
    </row>
    <row r="50" spans="1:16" ht="18" customHeight="1" x14ac:dyDescent="0.25">
      <c r="A50" s="465" t="s">
        <v>776</v>
      </c>
      <c r="B50" s="707">
        <v>4.9489483319999996</v>
      </c>
      <c r="C50" s="707">
        <v>5.1792957240000002</v>
      </c>
      <c r="D50" s="707">
        <v>5.1058448509999996</v>
      </c>
      <c r="E50" s="707">
        <v>4.5578547660000002</v>
      </c>
      <c r="F50" s="707">
        <v>4.1533842930000002</v>
      </c>
      <c r="G50" s="707">
        <v>3.165264165</v>
      </c>
      <c r="H50" s="707">
        <v>3.5942260579999998</v>
      </c>
      <c r="I50" s="707">
        <v>3.0884684889999998</v>
      </c>
      <c r="J50" s="707">
        <v>2.586509967</v>
      </c>
      <c r="K50" s="707">
        <v>3.1198092239999999</v>
      </c>
      <c r="L50" s="707">
        <v>5.2125221020000003</v>
      </c>
      <c r="M50" s="575">
        <v>4.0735402440000001</v>
      </c>
      <c r="N50" s="575">
        <v>3.6598294810000001</v>
      </c>
      <c r="O50" s="575">
        <v>3.8359606039999998</v>
      </c>
      <c r="P50" s="192"/>
    </row>
    <row r="51" spans="1:16" ht="14.25" customHeight="1" x14ac:dyDescent="0.25">
      <c r="A51" s="465" t="s">
        <v>399</v>
      </c>
      <c r="B51" s="707">
        <v>6.9626798619999999</v>
      </c>
      <c r="C51" s="707">
        <v>5.9373202809999999</v>
      </c>
      <c r="D51" s="707">
        <v>6.2950004890000004</v>
      </c>
      <c r="E51" s="707">
        <v>6.5147374750000004</v>
      </c>
      <c r="F51" s="707">
        <v>6.3414283180000002</v>
      </c>
      <c r="G51" s="707">
        <v>6.6218386379999998</v>
      </c>
      <c r="H51" s="707">
        <v>5.7935140809999996</v>
      </c>
      <c r="I51" s="707">
        <v>4.8355002530000002</v>
      </c>
      <c r="J51" s="707">
        <v>4.1952683589999999</v>
      </c>
      <c r="K51" s="707">
        <v>4.0194423969999997</v>
      </c>
      <c r="L51" s="707">
        <v>3.2957657579999999</v>
      </c>
      <c r="M51" s="575">
        <v>6.2762595299999999</v>
      </c>
      <c r="N51" s="575">
        <v>3.9632611290000002</v>
      </c>
      <c r="O51" s="575">
        <v>4.8380507379999997</v>
      </c>
      <c r="P51" s="192"/>
    </row>
    <row r="52" spans="1:16" ht="14.25" customHeight="1" x14ac:dyDescent="0.25">
      <c r="A52" s="465" t="s">
        <v>395</v>
      </c>
      <c r="B52" s="707">
        <v>6.3948799940000001</v>
      </c>
      <c r="C52" s="707">
        <v>5.6213314060000004</v>
      </c>
      <c r="D52" s="707">
        <v>6.2874612560000003</v>
      </c>
      <c r="E52" s="707">
        <v>5.8957675949999997</v>
      </c>
      <c r="F52" s="707">
        <v>5.4982005750000003</v>
      </c>
      <c r="G52" s="707">
        <v>5.6436267090000003</v>
      </c>
      <c r="H52" s="707">
        <v>4.4485135329999999</v>
      </c>
      <c r="I52" s="707">
        <v>3.6646229990000001</v>
      </c>
      <c r="J52" s="707">
        <v>3.1648489660000001</v>
      </c>
      <c r="K52" s="707">
        <v>2.830563868</v>
      </c>
      <c r="L52" s="707">
        <v>3.1617188829999998</v>
      </c>
      <c r="M52" s="575">
        <v>5.3647743339999998</v>
      </c>
      <c r="N52" s="575">
        <v>3.190987035</v>
      </c>
      <c r="O52" s="575">
        <v>4.0079572460000001</v>
      </c>
      <c r="P52" s="192"/>
    </row>
    <row r="53" spans="1:16" ht="14.25" customHeight="1" x14ac:dyDescent="0.25">
      <c r="A53" s="465" t="s">
        <v>396</v>
      </c>
      <c r="B53" s="707">
        <v>0.80688238899999998</v>
      </c>
      <c r="C53" s="707">
        <v>2.4055365439999998</v>
      </c>
      <c r="D53" s="707">
        <v>3.3272134580000001</v>
      </c>
      <c r="E53" s="707">
        <v>3.5401368670000002</v>
      </c>
      <c r="F53" s="707">
        <v>3.7789912490000002</v>
      </c>
      <c r="G53" s="707">
        <v>3.0794856429999999</v>
      </c>
      <c r="H53" s="707">
        <v>3.3027592220000002</v>
      </c>
      <c r="I53" s="707">
        <v>2.5401174819999999</v>
      </c>
      <c r="J53" s="707">
        <v>2.1358175990000001</v>
      </c>
      <c r="K53" s="707">
        <v>3.3136635079999999</v>
      </c>
      <c r="L53" s="707">
        <v>1.6456468660000001</v>
      </c>
      <c r="M53" s="575">
        <v>3.3953387020000001</v>
      </c>
      <c r="N53" s="575">
        <v>2.2301843510000001</v>
      </c>
      <c r="O53" s="575">
        <v>2.6978245809999999</v>
      </c>
      <c r="P53" s="192"/>
    </row>
    <row r="54" spans="1:16" ht="15.75" customHeight="1" x14ac:dyDescent="0.25">
      <c r="A54" s="465" t="s">
        <v>777</v>
      </c>
      <c r="B54" s="707">
        <v>2.9544511149999999</v>
      </c>
      <c r="C54" s="707">
        <v>6.6172790570000002</v>
      </c>
      <c r="D54" s="707">
        <v>9.3354331990000006</v>
      </c>
      <c r="E54" s="707">
        <v>10.073416707</v>
      </c>
      <c r="F54" s="707">
        <v>13.155760471000001</v>
      </c>
      <c r="G54" s="707">
        <v>10.940886942000001</v>
      </c>
      <c r="H54" s="707">
        <v>12.472102892000001</v>
      </c>
      <c r="I54" s="707">
        <v>4.6050502</v>
      </c>
      <c r="J54" s="707">
        <v>9.6477544519999991</v>
      </c>
      <c r="K54" s="707">
        <v>7.2736608020000002</v>
      </c>
      <c r="L54" s="707">
        <v>10.756158083000001</v>
      </c>
      <c r="M54" s="575">
        <v>11.087466843</v>
      </c>
      <c r="N54" s="575">
        <v>8.4047394670000006</v>
      </c>
      <c r="O54" s="575">
        <v>9.7153796519999993</v>
      </c>
      <c r="P54" s="192"/>
    </row>
    <row r="55" spans="1:16" ht="14.25" customHeight="1" x14ac:dyDescent="0.25">
      <c r="A55" s="465" t="s">
        <v>397</v>
      </c>
      <c r="B55" s="707">
        <v>-3.9442492699999998</v>
      </c>
      <c r="C55" s="707">
        <v>-3.410131925</v>
      </c>
      <c r="D55" s="707">
        <v>-3.2711168590000002</v>
      </c>
      <c r="E55" s="707">
        <v>-2.7846940280000001</v>
      </c>
      <c r="F55" s="707">
        <v>-1.4760573260000001</v>
      </c>
      <c r="G55" s="707">
        <v>-0.49780567100000001</v>
      </c>
      <c r="H55" s="707">
        <v>-1.385296364</v>
      </c>
      <c r="I55" s="707">
        <v>-0.35636456300000002</v>
      </c>
      <c r="J55" s="707">
        <v>0.37278216400000003</v>
      </c>
      <c r="K55" s="707">
        <v>0.69966650100000005</v>
      </c>
      <c r="L55" s="707">
        <v>5.6415033130000003</v>
      </c>
      <c r="M55" s="575">
        <v>-1.8696481519999999</v>
      </c>
      <c r="N55" s="575">
        <v>2.5249970460000002</v>
      </c>
      <c r="O55" s="575">
        <v>1.062403491</v>
      </c>
      <c r="P55" s="192"/>
    </row>
    <row r="56" spans="1:16" ht="14.25" customHeight="1" x14ac:dyDescent="0.25">
      <c r="A56" s="465" t="s">
        <v>400</v>
      </c>
      <c r="B56" s="707">
        <v>-0.140943385</v>
      </c>
      <c r="C56" s="707">
        <v>1.2567207890000001</v>
      </c>
      <c r="D56" s="707">
        <v>1.3758756480000001</v>
      </c>
      <c r="E56" s="707">
        <v>1.2126420309999999</v>
      </c>
      <c r="F56" s="707">
        <v>1.4815865509999999</v>
      </c>
      <c r="G56" s="707">
        <v>0.94284524300000006</v>
      </c>
      <c r="H56" s="707">
        <v>1.7063934190000001</v>
      </c>
      <c r="I56" s="707">
        <v>0.75842213599999997</v>
      </c>
      <c r="J56" s="707">
        <v>2.201106206</v>
      </c>
      <c r="K56" s="707">
        <v>2.5618744470000001</v>
      </c>
      <c r="L56" s="707">
        <v>1.8251078030000001</v>
      </c>
      <c r="M56" s="575">
        <v>1.342954722</v>
      </c>
      <c r="N56" s="575">
        <v>1.8931402429999999</v>
      </c>
      <c r="O56" s="575">
        <v>1.6517762709999999</v>
      </c>
      <c r="P56" s="192"/>
    </row>
    <row r="57" spans="1:16" ht="14.25" customHeight="1" x14ac:dyDescent="0.25">
      <c r="A57" s="517" t="s">
        <v>778</v>
      </c>
      <c r="B57" s="711">
        <v>-0.159766085</v>
      </c>
      <c r="C57" s="711">
        <v>-0.113267755</v>
      </c>
      <c r="D57" s="711">
        <v>-0.20776031</v>
      </c>
      <c r="E57" s="711">
        <v>8.0808293000000003E-2</v>
      </c>
      <c r="F57" s="711">
        <v>0.340349401</v>
      </c>
      <c r="G57" s="711">
        <v>0.712750942</v>
      </c>
      <c r="H57" s="711">
        <v>0.21793781000000001</v>
      </c>
      <c r="I57" s="711">
        <v>0.167967169</v>
      </c>
      <c r="J57" s="711">
        <v>0.22240581800000001</v>
      </c>
      <c r="K57" s="711">
        <v>-0.322282283</v>
      </c>
      <c r="L57" s="711">
        <v>6.0046958999999997E-2</v>
      </c>
      <c r="M57" s="586">
        <v>0.201266801</v>
      </c>
      <c r="N57" s="586">
        <v>1.5059648E-2</v>
      </c>
      <c r="O57" s="586">
        <v>7.9956586999999996E-2</v>
      </c>
      <c r="P57" s="192"/>
    </row>
    <row r="58" spans="1:16" ht="14.25" customHeight="1" x14ac:dyDescent="0.25">
      <c r="A58" s="517" t="s">
        <v>779</v>
      </c>
      <c r="B58" s="711">
        <v>3.5157970619999999</v>
      </c>
      <c r="C58" s="711">
        <v>1.8646097779999999</v>
      </c>
      <c r="D58" s="711">
        <v>0.95283820399999997</v>
      </c>
      <c r="E58" s="711">
        <v>0.68307981699999998</v>
      </c>
      <c r="F58" s="711">
        <v>-4.9592242000000002E-2</v>
      </c>
      <c r="G58" s="711">
        <v>-0.147145475</v>
      </c>
      <c r="H58" s="711">
        <v>6.5516382999999997E-2</v>
      </c>
      <c r="I58" s="711">
        <v>0.264687544</v>
      </c>
      <c r="J58" s="711">
        <v>0.20804896</v>
      </c>
      <c r="K58" s="711">
        <v>-0.63993593500000001</v>
      </c>
      <c r="L58" s="711">
        <v>2.6451771810000002</v>
      </c>
      <c r="M58" s="586">
        <v>0.33734651500000001</v>
      </c>
      <c r="N58" s="586">
        <v>0.89826285900000002</v>
      </c>
      <c r="O58" s="586">
        <v>0.66951338699999996</v>
      </c>
      <c r="P58" s="192"/>
    </row>
    <row r="59" spans="1:16" ht="14.25" customHeight="1" x14ac:dyDescent="0.25">
      <c r="A59" s="517" t="s">
        <v>780</v>
      </c>
      <c r="B59" s="711">
        <v>0.96355968599999997</v>
      </c>
      <c r="C59" s="711">
        <v>1.7628668030000001</v>
      </c>
      <c r="D59" s="711">
        <v>2.2639375589999999</v>
      </c>
      <c r="E59" s="711">
        <v>2.3671996420000001</v>
      </c>
      <c r="F59" s="711">
        <v>3.1091195699999998</v>
      </c>
      <c r="G59" s="711">
        <v>2.4474874729999998</v>
      </c>
      <c r="H59" s="711">
        <v>2.5931572479999998</v>
      </c>
      <c r="I59" s="711">
        <v>0.52721362699999996</v>
      </c>
      <c r="J59" s="711">
        <v>1.720835881</v>
      </c>
      <c r="K59" s="711">
        <v>0.93486862400000004</v>
      </c>
      <c r="L59" s="711">
        <v>1.6019434319999999</v>
      </c>
      <c r="M59" s="586">
        <v>2.5334267650000002</v>
      </c>
      <c r="N59" s="586">
        <v>1.339728995</v>
      </c>
      <c r="O59" s="586">
        <v>1.826993737</v>
      </c>
      <c r="P59" s="930"/>
    </row>
    <row r="60" spans="1:16" ht="12.75" customHeight="1" x14ac:dyDescent="0.2">
      <c r="A60" s="235" t="s">
        <v>891</v>
      </c>
      <c r="B60" s="472"/>
      <c r="C60" s="472"/>
      <c r="D60" s="472"/>
      <c r="E60" s="472"/>
      <c r="F60" s="472"/>
      <c r="G60" s="472"/>
      <c r="H60" s="472"/>
      <c r="I60" s="472"/>
      <c r="J60" s="472"/>
      <c r="K60" s="472"/>
      <c r="L60" s="472"/>
      <c r="M60" s="485"/>
      <c r="N60" s="485"/>
      <c r="O60" s="485"/>
      <c r="P60" s="3"/>
    </row>
    <row r="61" spans="1:16" ht="12.75" customHeight="1" x14ac:dyDescent="0.2">
      <c r="A61" s="235" t="s">
        <v>832</v>
      </c>
      <c r="B61" s="472"/>
      <c r="C61" s="472"/>
      <c r="D61" s="472"/>
      <c r="E61" s="472"/>
      <c r="F61" s="472"/>
      <c r="G61" s="472"/>
      <c r="H61" s="472"/>
      <c r="I61" s="472"/>
      <c r="J61" s="472"/>
      <c r="K61" s="472"/>
      <c r="L61" s="472"/>
      <c r="M61" s="485"/>
      <c r="N61" s="485"/>
      <c r="O61" s="485"/>
      <c r="P61" s="3"/>
    </row>
    <row r="62" spans="1:16" x14ac:dyDescent="0.2">
      <c r="A62" s="286" t="s">
        <v>892</v>
      </c>
      <c r="B62" s="221"/>
      <c r="C62" s="221"/>
      <c r="D62" s="221"/>
      <c r="E62" s="221"/>
      <c r="F62" s="221"/>
      <c r="G62" s="244"/>
      <c r="H62" s="221"/>
      <c r="I62" s="221"/>
      <c r="J62" s="244"/>
      <c r="K62" s="221"/>
      <c r="L62" s="221"/>
      <c r="M62" s="221"/>
      <c r="N62" s="221"/>
      <c r="O62" s="221"/>
    </row>
    <row r="63" spans="1:16" x14ac:dyDescent="0.2">
      <c r="A63" s="286" t="s">
        <v>768</v>
      </c>
      <c r="B63" s="221"/>
      <c r="C63" s="221"/>
      <c r="D63" s="221"/>
      <c r="E63" s="221"/>
      <c r="F63" s="221"/>
      <c r="G63" s="244"/>
      <c r="H63" s="221"/>
      <c r="I63" s="221"/>
      <c r="J63" s="244"/>
      <c r="K63" s="221"/>
      <c r="L63" s="221"/>
      <c r="M63" s="221"/>
      <c r="N63" s="221"/>
      <c r="O63" s="221"/>
    </row>
    <row r="64" spans="1:16" x14ac:dyDescent="0.2">
      <c r="A64" s="37" t="s">
        <v>769</v>
      </c>
      <c r="B64" s="221"/>
      <c r="C64" s="221"/>
      <c r="D64" s="221"/>
      <c r="E64" s="221"/>
      <c r="F64" s="221"/>
      <c r="G64" s="244"/>
      <c r="H64" s="221"/>
      <c r="I64" s="221"/>
      <c r="J64" s="244"/>
      <c r="K64" s="221"/>
      <c r="L64" s="221"/>
      <c r="M64" s="221"/>
      <c r="N64" s="221"/>
      <c r="O64" s="221"/>
    </row>
    <row r="65" spans="1:15" x14ac:dyDescent="0.2">
      <c r="A65" s="37" t="s">
        <v>770</v>
      </c>
      <c r="B65" s="221"/>
      <c r="C65" s="221"/>
      <c r="D65" s="221"/>
      <c r="E65" s="221"/>
      <c r="F65" s="221"/>
      <c r="G65" s="244"/>
      <c r="H65" s="221"/>
      <c r="I65" s="221"/>
      <c r="J65" s="244"/>
      <c r="K65" s="221"/>
      <c r="L65" s="221"/>
      <c r="M65" s="221"/>
      <c r="N65" s="221"/>
      <c r="O65" s="221"/>
    </row>
    <row r="66" spans="1:15" x14ac:dyDescent="0.2">
      <c r="A66" s="286" t="s">
        <v>316</v>
      </c>
      <c r="B66" s="221"/>
      <c r="C66" s="221"/>
      <c r="D66" s="221"/>
      <c r="E66" s="221"/>
      <c r="F66" s="221"/>
      <c r="G66" s="244"/>
      <c r="H66" s="221"/>
      <c r="I66" s="221"/>
      <c r="J66" s="244"/>
      <c r="K66" s="221"/>
      <c r="L66" s="221"/>
      <c r="M66" s="221"/>
      <c r="N66" s="221"/>
      <c r="O66" s="221"/>
    </row>
    <row r="67" spans="1:15" ht="15" customHeight="1" x14ac:dyDescent="0.2">
      <c r="A67" s="286" t="s">
        <v>888</v>
      </c>
      <c r="B67" s="3"/>
      <c r="C67" s="3"/>
      <c r="D67" s="3"/>
      <c r="E67" s="3"/>
      <c r="F67" s="3"/>
      <c r="G67" s="245"/>
      <c r="H67" s="3"/>
      <c r="I67" s="3"/>
      <c r="J67" s="245"/>
      <c r="K67" s="3"/>
      <c r="L67" s="3"/>
      <c r="M67" s="3"/>
      <c r="N67" s="3"/>
      <c r="O67" s="3"/>
    </row>
    <row r="68" spans="1:15" x14ac:dyDescent="0.2">
      <c r="A68" s="243"/>
      <c r="B68" s="3"/>
      <c r="C68" s="3"/>
      <c r="D68" s="3"/>
      <c r="E68" s="3"/>
      <c r="F68" s="3"/>
      <c r="G68" s="245"/>
      <c r="H68" s="3"/>
      <c r="I68" s="3"/>
      <c r="J68" s="245"/>
      <c r="K68" s="3"/>
      <c r="L68" s="3"/>
      <c r="M68" s="3"/>
      <c r="N68" s="3"/>
      <c r="O68" s="3"/>
    </row>
    <row r="69" spans="1:15" ht="12.75" customHeight="1" x14ac:dyDescent="0.2">
      <c r="A69" s="938" t="s">
        <v>206</v>
      </c>
      <c r="B69" s="932"/>
      <c r="C69" s="932"/>
      <c r="D69" s="932"/>
      <c r="E69" s="932"/>
      <c r="F69" s="932"/>
    </row>
    <row r="70" spans="1:15" ht="51" customHeight="1" x14ac:dyDescent="0.2">
      <c r="A70" s="1021" t="s">
        <v>207</v>
      </c>
      <c r="B70" s="1021"/>
      <c r="C70" s="1021"/>
      <c r="D70" s="1021"/>
      <c r="E70" s="1021"/>
      <c r="F70" s="1021"/>
      <c r="G70" s="1021"/>
      <c r="H70" s="1021"/>
      <c r="I70" s="1021"/>
      <c r="J70" s="1021"/>
      <c r="K70" s="1021"/>
      <c r="L70" s="1021"/>
      <c r="M70" s="1021"/>
      <c r="N70" s="1021"/>
      <c r="O70" s="1021"/>
    </row>
    <row r="71" spans="1:15" ht="12.75" customHeight="1" x14ac:dyDescent="0.3">
      <c r="A71" s="307"/>
      <c r="B71" s="932"/>
      <c r="C71" s="932"/>
      <c r="D71" s="932"/>
      <c r="E71" s="932"/>
      <c r="F71" s="932"/>
    </row>
    <row r="72" spans="1:15" ht="24.75" customHeight="1" x14ac:dyDescent="0.2">
      <c r="A72" s="1022" t="s">
        <v>658</v>
      </c>
      <c r="B72" s="1022"/>
      <c r="C72" s="1022"/>
      <c r="D72" s="1022"/>
      <c r="E72" s="1022"/>
      <c r="F72" s="1022"/>
      <c r="G72" s="1022"/>
      <c r="H72" s="1022"/>
      <c r="I72" s="1022"/>
      <c r="J72" s="1022"/>
      <c r="K72" s="1022"/>
      <c r="L72" s="1022"/>
      <c r="M72" s="1022"/>
      <c r="N72" s="1022"/>
      <c r="O72" s="1022"/>
    </row>
    <row r="73" spans="1:15" ht="12.75" customHeight="1" x14ac:dyDescent="0.3">
      <c r="A73" s="307"/>
      <c r="B73" s="932"/>
      <c r="C73" s="932"/>
      <c r="D73" s="932"/>
      <c r="E73" s="932"/>
      <c r="F73" s="932"/>
    </row>
    <row r="74" spans="1:15" ht="26.25" customHeight="1" x14ac:dyDescent="0.2">
      <c r="A74" s="1023" t="s">
        <v>659</v>
      </c>
      <c r="B74" s="1023"/>
      <c r="C74" s="1023"/>
      <c r="D74" s="1023"/>
      <c r="E74" s="1023"/>
      <c r="F74" s="1023"/>
      <c r="G74" s="1023"/>
      <c r="H74" s="1023"/>
      <c r="I74" s="1023"/>
      <c r="J74" s="1023"/>
      <c r="K74" s="1023"/>
      <c r="L74" s="1023"/>
      <c r="M74" s="1023"/>
      <c r="N74" s="1023"/>
      <c r="O74" s="1023"/>
    </row>
    <row r="75" spans="1:15" ht="12.75" customHeight="1" x14ac:dyDescent="0.2">
      <c r="A75" s="939"/>
      <c r="B75" s="932"/>
      <c r="C75" s="932"/>
      <c r="D75" s="932"/>
      <c r="E75" s="932"/>
      <c r="F75" s="932"/>
    </row>
    <row r="76" spans="1:15" ht="12.75" customHeight="1" x14ac:dyDescent="0.2">
      <c r="A76" s="1023" t="s">
        <v>660</v>
      </c>
      <c r="B76" s="1023"/>
      <c r="C76" s="1023"/>
      <c r="D76" s="1023"/>
      <c r="E76" s="1023"/>
      <c r="F76" s="1023"/>
      <c r="G76" s="1023"/>
      <c r="H76" s="1023"/>
      <c r="I76" s="1023"/>
      <c r="J76" s="1023"/>
      <c r="K76" s="1023"/>
      <c r="L76" s="1023"/>
      <c r="M76" s="1023"/>
      <c r="N76" s="1023"/>
      <c r="O76" s="1023"/>
    </row>
    <row r="77" spans="1:15" ht="12.75" customHeight="1" x14ac:dyDescent="0.2">
      <c r="A77" s="933"/>
      <c r="B77" s="933"/>
      <c r="C77" s="933"/>
      <c r="D77" s="933"/>
      <c r="E77" s="933"/>
      <c r="F77" s="933"/>
    </row>
    <row r="78" spans="1:15" ht="24.75" customHeight="1" x14ac:dyDescent="0.2">
      <c r="A78" s="1023" t="s">
        <v>661</v>
      </c>
      <c r="B78" s="1023"/>
      <c r="C78" s="1023"/>
      <c r="D78" s="1023"/>
      <c r="E78" s="1023"/>
      <c r="F78" s="1023"/>
      <c r="G78" s="1023"/>
      <c r="H78" s="1023"/>
      <c r="I78" s="1023"/>
      <c r="J78" s="1023"/>
      <c r="K78" s="1023"/>
      <c r="L78" s="1023"/>
      <c r="M78" s="1023"/>
      <c r="N78" s="1023"/>
      <c r="O78" s="1023"/>
    </row>
    <row r="79" spans="1:15" ht="12.75" customHeight="1" x14ac:dyDescent="0.2">
      <c r="A79" s="932"/>
      <c r="B79" s="932"/>
      <c r="C79" s="932"/>
      <c r="D79" s="932"/>
      <c r="E79" s="932"/>
      <c r="F79" s="932"/>
    </row>
    <row r="80" spans="1:15" ht="21" customHeight="1" x14ac:dyDescent="0.2">
      <c r="A80" s="1023" t="s">
        <v>662</v>
      </c>
      <c r="B80" s="1023"/>
      <c r="C80" s="1023"/>
      <c r="D80" s="1023"/>
      <c r="E80" s="1023"/>
      <c r="F80" s="1023"/>
      <c r="G80" s="1023"/>
      <c r="H80" s="1023"/>
      <c r="I80" s="1023"/>
      <c r="J80" s="1023"/>
      <c r="K80" s="1023"/>
      <c r="L80" s="1023"/>
      <c r="M80" s="1023"/>
      <c r="N80" s="1023"/>
      <c r="O80" s="1023"/>
    </row>
    <row r="81" spans="1:15" ht="12.75" customHeight="1" x14ac:dyDescent="0.2">
      <c r="A81" s="932"/>
      <c r="B81" s="932"/>
      <c r="C81" s="932"/>
      <c r="D81" s="932"/>
      <c r="E81" s="932"/>
      <c r="F81" s="932"/>
    </row>
    <row r="82" spans="1:15" ht="48.75" customHeight="1" x14ac:dyDescent="0.2">
      <c r="A82" s="1023" t="s">
        <v>708</v>
      </c>
      <c r="B82" s="1023"/>
      <c r="C82" s="1023"/>
      <c r="D82" s="1023"/>
      <c r="E82" s="1023"/>
      <c r="F82" s="1023"/>
      <c r="G82" s="1023"/>
      <c r="H82" s="1023"/>
      <c r="I82" s="1023"/>
      <c r="J82" s="1023"/>
      <c r="K82" s="1023"/>
      <c r="L82" s="1023"/>
      <c r="M82" s="1023"/>
      <c r="N82" s="1023"/>
      <c r="O82" s="1023"/>
    </row>
    <row r="83" spans="1:15" ht="12.75" customHeight="1" x14ac:dyDescent="0.2">
      <c r="A83" s="939"/>
      <c r="B83" s="932"/>
      <c r="C83" s="932"/>
      <c r="D83" s="932"/>
      <c r="E83" s="932"/>
      <c r="F83" s="932"/>
    </row>
    <row r="84" spans="1:15" ht="27" customHeight="1" x14ac:dyDescent="0.2">
      <c r="A84" s="1023" t="s">
        <v>663</v>
      </c>
      <c r="B84" s="1023"/>
      <c r="C84" s="1023"/>
      <c r="D84" s="1023"/>
      <c r="E84" s="1023"/>
      <c r="F84" s="1023"/>
      <c r="G84" s="1023"/>
      <c r="H84" s="1023"/>
      <c r="I84" s="1023"/>
      <c r="J84" s="1023"/>
      <c r="K84" s="1023"/>
      <c r="L84" s="1023"/>
      <c r="M84" s="1023"/>
      <c r="N84" s="1023"/>
      <c r="O84" s="1023"/>
    </row>
    <row r="85" spans="1:15" ht="12.75" customHeight="1" x14ac:dyDescent="0.2">
      <c r="A85" s="940"/>
      <c r="B85" s="932"/>
      <c r="C85" s="932"/>
      <c r="D85" s="932"/>
      <c r="E85" s="932"/>
      <c r="F85" s="932"/>
    </row>
    <row r="86" spans="1:15" ht="19.5" customHeight="1" x14ac:dyDescent="0.2">
      <c r="A86" s="1023" t="s">
        <v>664</v>
      </c>
      <c r="B86" s="1023"/>
      <c r="C86" s="1023"/>
      <c r="D86" s="1023"/>
      <c r="E86" s="1023"/>
      <c r="F86" s="1023"/>
      <c r="G86" s="1023"/>
      <c r="H86" s="1023"/>
      <c r="I86" s="1023"/>
      <c r="J86" s="1023"/>
      <c r="K86" s="1023"/>
      <c r="L86" s="1023"/>
      <c r="M86" s="1023"/>
      <c r="N86" s="1023"/>
      <c r="O86" s="1023"/>
    </row>
    <row r="87" spans="1:15" ht="12.75" customHeight="1" x14ac:dyDescent="0.2">
      <c r="A87" s="940"/>
      <c r="B87" s="932"/>
      <c r="C87" s="932"/>
      <c r="D87" s="932"/>
      <c r="E87" s="932"/>
      <c r="F87" s="932"/>
    </row>
    <row r="88" spans="1:15" ht="22.5" customHeight="1" x14ac:dyDescent="0.2">
      <c r="A88" s="1023" t="s">
        <v>665</v>
      </c>
      <c r="B88" s="1023"/>
      <c r="C88" s="1023"/>
      <c r="D88" s="1023"/>
      <c r="E88" s="1023"/>
      <c r="F88" s="1023"/>
      <c r="G88" s="1023"/>
      <c r="H88" s="1023"/>
      <c r="I88" s="1023"/>
      <c r="J88" s="1023"/>
      <c r="K88" s="1023"/>
      <c r="L88" s="1023"/>
      <c r="M88" s="1023"/>
      <c r="N88" s="1023"/>
      <c r="O88" s="1023"/>
    </row>
    <row r="89" spans="1:15" ht="34.5" customHeight="1" x14ac:dyDescent="0.2">
      <c r="A89" s="1023" t="s">
        <v>666</v>
      </c>
      <c r="B89" s="1023"/>
      <c r="C89" s="1023"/>
      <c r="D89" s="1023"/>
      <c r="E89" s="1023"/>
      <c r="F89" s="1023"/>
      <c r="G89" s="1023"/>
      <c r="H89" s="1023"/>
      <c r="I89" s="1023"/>
      <c r="J89" s="1023"/>
      <c r="K89" s="1023"/>
      <c r="L89" s="1023"/>
      <c r="M89" s="1023"/>
      <c r="N89" s="1023"/>
      <c r="O89" s="1023"/>
    </row>
    <row r="90" spans="1:15" ht="12.75" customHeight="1" x14ac:dyDescent="0.2">
      <c r="A90" s="940"/>
      <c r="B90" s="932"/>
      <c r="C90" s="932"/>
      <c r="D90" s="932"/>
      <c r="E90" s="932"/>
      <c r="F90" s="932"/>
    </row>
    <row r="91" spans="1:15" ht="33.75" customHeight="1" x14ac:dyDescent="0.2">
      <c r="A91" s="1023" t="s">
        <v>667</v>
      </c>
      <c r="B91" s="1023"/>
      <c r="C91" s="1023"/>
      <c r="D91" s="1023"/>
      <c r="E91" s="1023"/>
      <c r="F91" s="1023"/>
      <c r="G91" s="1023"/>
      <c r="H91" s="1023"/>
      <c r="I91" s="1023"/>
      <c r="J91" s="1023"/>
      <c r="K91" s="1023"/>
      <c r="L91" s="1023"/>
      <c r="M91" s="1023"/>
      <c r="N91" s="1023"/>
      <c r="O91" s="1023"/>
    </row>
    <row r="92" spans="1:15" ht="12.75" customHeight="1" x14ac:dyDescent="0.2">
      <c r="A92" s="940"/>
      <c r="B92" s="932"/>
      <c r="C92" s="932"/>
      <c r="D92" s="932"/>
      <c r="E92" s="932"/>
      <c r="F92" s="932"/>
    </row>
    <row r="93" spans="1:15" ht="21" customHeight="1" x14ac:dyDescent="0.2">
      <c r="A93" s="1023" t="s">
        <v>668</v>
      </c>
      <c r="B93" s="1023"/>
      <c r="C93" s="1023"/>
      <c r="D93" s="1023"/>
      <c r="E93" s="1023"/>
      <c r="F93" s="1023"/>
      <c r="G93" s="1023"/>
      <c r="H93" s="1023"/>
      <c r="I93" s="1023"/>
      <c r="J93" s="1023"/>
      <c r="K93" s="1023"/>
      <c r="L93" s="1023"/>
      <c r="M93" s="1023"/>
      <c r="N93" s="1023"/>
      <c r="O93" s="1023"/>
    </row>
    <row r="94" spans="1:15" ht="12.75" customHeight="1" x14ac:dyDescent="0.2">
      <c r="A94" s="934"/>
      <c r="B94" s="932"/>
      <c r="C94" s="932"/>
      <c r="D94" s="932"/>
      <c r="E94" s="932"/>
      <c r="F94" s="932"/>
    </row>
    <row r="95" spans="1:15" ht="21.75" customHeight="1" x14ac:dyDescent="0.2">
      <c r="A95" s="1020" t="s">
        <v>208</v>
      </c>
      <c r="B95" s="1020"/>
      <c r="C95" s="1020"/>
      <c r="D95" s="1020"/>
      <c r="E95" s="1020"/>
      <c r="F95" s="1020"/>
      <c r="G95" s="1020"/>
      <c r="H95" s="1020"/>
      <c r="I95" s="1020"/>
      <c r="J95" s="1020"/>
      <c r="K95" s="1020"/>
      <c r="L95" s="1020"/>
      <c r="M95" s="1020"/>
      <c r="N95" s="1020"/>
      <c r="O95" s="1020"/>
    </row>
    <row r="96" spans="1:15" ht="12.75" customHeight="1" x14ac:dyDescent="0.2">
      <c r="A96" s="1020" t="s">
        <v>209</v>
      </c>
      <c r="B96" s="1020"/>
      <c r="C96" s="1020"/>
      <c r="D96" s="1020"/>
      <c r="E96" s="1020"/>
      <c r="F96" s="1020"/>
      <c r="G96" s="1020"/>
      <c r="H96" s="1020"/>
      <c r="I96" s="1020"/>
      <c r="J96" s="1020"/>
      <c r="K96" s="1020"/>
      <c r="L96" s="1020"/>
      <c r="M96" s="1020"/>
      <c r="N96" s="1020"/>
      <c r="O96" s="1020"/>
    </row>
  </sheetData>
  <mergeCells count="15">
    <mergeCell ref="A70:O70"/>
    <mergeCell ref="A72:O72"/>
    <mergeCell ref="A74:O74"/>
    <mergeCell ref="A76:O76"/>
    <mergeCell ref="A78:O78"/>
    <mergeCell ref="A80:O80"/>
    <mergeCell ref="A82:O82"/>
    <mergeCell ref="A93:O93"/>
    <mergeCell ref="A95:O95"/>
    <mergeCell ref="A96:O96"/>
    <mergeCell ref="A84:O84"/>
    <mergeCell ref="A86:O86"/>
    <mergeCell ref="A88:O88"/>
    <mergeCell ref="A89:O89"/>
    <mergeCell ref="A91:O91"/>
  </mergeCells>
  <phoneticPr fontId="2" type="noConversion"/>
  <pageMargins left="0.59055118110236227" right="0.59055118110236227" top="0.78740157480314965" bottom="0.78740157480314965" header="0.39370078740157483" footer="0.39370078740157483"/>
  <pageSetup paperSize="9" scale="50" firstPageNumber="16" fitToHeight="0" orientation="landscape" useFirstPageNumber="1" r:id="rId1"/>
  <headerFooter alignWithMargins="0">
    <oddHeader>&amp;R&amp;12Les finances des communes en 2024</oddHeader>
    <oddFooter>&amp;L&amp;12Direction Générale des Collectivités Locales / DESL&amp;C&amp;12&amp;P&amp;R&amp;12Mise en ligne : janvier 2026</oddFooter>
  </headerFooter>
  <rowBreaks count="1" manualBreakCount="1">
    <brk id="68" max="14" man="1"/>
  </rowBreaks>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O233"/>
  <sheetViews>
    <sheetView view="pageBreakPreview" zoomScale="70" zoomScaleNormal="100" zoomScaleSheetLayoutView="70" zoomScalePageLayoutView="70" workbookViewId="0">
      <selection activeCell="I134" sqref="I134"/>
    </sheetView>
  </sheetViews>
  <sheetFormatPr baseColWidth="10" defaultRowHeight="12.75" x14ac:dyDescent="0.2"/>
  <cols>
    <col min="1" max="1" width="49" customWidth="1"/>
    <col min="2" max="12" width="12.7109375" customWidth="1"/>
    <col min="13" max="14" width="16.85546875" style="215" customWidth="1"/>
    <col min="15" max="15" width="12.7109375" customWidth="1"/>
  </cols>
  <sheetData>
    <row r="1" spans="1:15" ht="20.25" customHeight="1" x14ac:dyDescent="0.2">
      <c r="A1" s="46" t="s">
        <v>897</v>
      </c>
      <c r="B1" s="234"/>
      <c r="C1" s="234"/>
      <c r="D1" s="234"/>
      <c r="E1" s="234"/>
      <c r="F1" s="234"/>
      <c r="G1" s="234"/>
      <c r="H1" s="234"/>
      <c r="I1" s="234"/>
      <c r="J1" s="234"/>
      <c r="K1" s="234"/>
      <c r="L1" s="234"/>
      <c r="M1" s="241"/>
      <c r="N1" s="241"/>
      <c r="O1" s="234"/>
    </row>
    <row r="2" spans="1:15" ht="3" customHeight="1" x14ac:dyDescent="0.2">
      <c r="A2" s="235"/>
    </row>
    <row r="3" spans="1:15" ht="3.75" customHeight="1" x14ac:dyDescent="0.2"/>
    <row r="4" spans="1:15" ht="14.25" x14ac:dyDescent="0.2">
      <c r="A4" s="15" t="s">
        <v>449</v>
      </c>
      <c r="L4" t="s">
        <v>214</v>
      </c>
      <c r="O4" s="213" t="s">
        <v>213</v>
      </c>
    </row>
    <row r="5" spans="1:15" x14ac:dyDescent="0.2">
      <c r="A5" s="1"/>
      <c r="B5" s="31" t="s">
        <v>35</v>
      </c>
      <c r="C5" s="32" t="s">
        <v>121</v>
      </c>
      <c r="D5" s="32" t="s">
        <v>123</v>
      </c>
      <c r="E5" s="32" t="s">
        <v>36</v>
      </c>
      <c r="F5" s="32" t="s">
        <v>37</v>
      </c>
      <c r="G5" s="32" t="s">
        <v>38</v>
      </c>
      <c r="H5" s="32" t="s">
        <v>39</v>
      </c>
      <c r="I5" s="32" t="s">
        <v>125</v>
      </c>
      <c r="J5" s="32" t="s">
        <v>126</v>
      </c>
      <c r="K5" s="32" t="s">
        <v>127</v>
      </c>
      <c r="L5" s="236">
        <v>100000</v>
      </c>
      <c r="M5" s="238" t="s">
        <v>231</v>
      </c>
      <c r="N5" s="238" t="s">
        <v>228</v>
      </c>
      <c r="O5" s="237" t="s">
        <v>77</v>
      </c>
    </row>
    <row r="6" spans="1:15" x14ac:dyDescent="0.2">
      <c r="A6" s="18" t="s">
        <v>885</v>
      </c>
      <c r="B6" s="33" t="s">
        <v>120</v>
      </c>
      <c r="C6" s="34" t="s">
        <v>40</v>
      </c>
      <c r="D6" s="34" t="s">
        <v>40</v>
      </c>
      <c r="E6" s="34" t="s">
        <v>40</v>
      </c>
      <c r="F6" s="34" t="s">
        <v>40</v>
      </c>
      <c r="G6" s="34" t="s">
        <v>40</v>
      </c>
      <c r="H6" s="34" t="s">
        <v>40</v>
      </c>
      <c r="I6" s="34" t="s">
        <v>40</v>
      </c>
      <c r="J6" s="34" t="s">
        <v>40</v>
      </c>
      <c r="K6" s="34" t="s">
        <v>40</v>
      </c>
      <c r="L6" s="34" t="s">
        <v>43</v>
      </c>
      <c r="M6" s="239" t="s">
        <v>230</v>
      </c>
      <c r="N6" s="239" t="s">
        <v>138</v>
      </c>
      <c r="O6" s="26" t="s">
        <v>137</v>
      </c>
    </row>
    <row r="7" spans="1:15" x14ac:dyDescent="0.2">
      <c r="A7" s="4"/>
      <c r="B7" s="35" t="s">
        <v>43</v>
      </c>
      <c r="C7" s="36" t="s">
        <v>122</v>
      </c>
      <c r="D7" s="36" t="s">
        <v>124</v>
      </c>
      <c r="E7" s="36" t="s">
        <v>44</v>
      </c>
      <c r="F7" s="36" t="s">
        <v>45</v>
      </c>
      <c r="G7" s="36" t="s">
        <v>46</v>
      </c>
      <c r="H7" s="36" t="s">
        <v>42</v>
      </c>
      <c r="I7" s="36" t="s">
        <v>128</v>
      </c>
      <c r="J7" s="36" t="s">
        <v>129</v>
      </c>
      <c r="K7" s="36" t="s">
        <v>130</v>
      </c>
      <c r="L7" s="36" t="s">
        <v>131</v>
      </c>
      <c r="M7" s="240" t="s">
        <v>138</v>
      </c>
      <c r="N7" s="240" t="s">
        <v>131</v>
      </c>
      <c r="O7" s="27" t="s">
        <v>41</v>
      </c>
    </row>
    <row r="8" spans="1:15" ht="14.25" x14ac:dyDescent="0.2">
      <c r="A8" s="37" t="s">
        <v>317</v>
      </c>
      <c r="B8" s="377">
        <v>874.84450000000004</v>
      </c>
      <c r="C8" s="377">
        <v>707.51009999999997</v>
      </c>
      <c r="D8" s="377">
        <v>649.89660000000003</v>
      </c>
      <c r="E8" s="377">
        <v>703.46960000000001</v>
      </c>
      <c r="F8" s="377">
        <v>822.51880000000006</v>
      </c>
      <c r="G8" s="377">
        <v>929.07960000000003</v>
      </c>
      <c r="H8" s="377">
        <v>1055.5555999999999</v>
      </c>
      <c r="I8" s="377">
        <v>1202.0657000000001</v>
      </c>
      <c r="J8" s="377">
        <v>1361.3622</v>
      </c>
      <c r="K8" s="377">
        <v>1459.6215999999999</v>
      </c>
      <c r="L8" s="377">
        <v>1720.4586999999999</v>
      </c>
      <c r="M8" s="378">
        <v>834.98019999999997</v>
      </c>
      <c r="N8" s="378">
        <v>1450.1939</v>
      </c>
      <c r="O8" s="379">
        <v>1141.4131</v>
      </c>
    </row>
    <row r="9" spans="1:15" ht="6" customHeight="1" x14ac:dyDescent="0.2">
      <c r="A9" s="37"/>
      <c r="B9" s="377"/>
      <c r="C9" s="377"/>
      <c r="D9" s="377"/>
      <c r="E9" s="377"/>
      <c r="F9" s="377"/>
      <c r="G9" s="377"/>
      <c r="H9" s="377"/>
      <c r="I9" s="377"/>
      <c r="J9" s="377"/>
      <c r="K9" s="377"/>
      <c r="L9" s="377"/>
      <c r="M9" s="378"/>
      <c r="N9" s="378"/>
      <c r="O9" s="379"/>
    </row>
    <row r="10" spans="1:15" ht="14.25" x14ac:dyDescent="0.2">
      <c r="A10" s="656" t="s">
        <v>318</v>
      </c>
      <c r="B10" s="657">
        <v>992.70090000000005</v>
      </c>
      <c r="C10" s="657">
        <v>1000.6271</v>
      </c>
      <c r="D10" s="657">
        <v>963.96489999999994</v>
      </c>
      <c r="E10" s="657">
        <v>963.60159999999996</v>
      </c>
      <c r="F10" s="657">
        <v>1026.2788</v>
      </c>
      <c r="G10" s="657">
        <v>1100.364</v>
      </c>
      <c r="H10" s="657">
        <v>1121.2226000000001</v>
      </c>
      <c r="I10" s="657">
        <v>1201.6367</v>
      </c>
      <c r="J10" s="657">
        <v>1209.0527</v>
      </c>
      <c r="K10" s="657">
        <v>1323.5060000000001</v>
      </c>
      <c r="L10" s="843" t="s">
        <v>102</v>
      </c>
      <c r="M10" s="659">
        <v>1043.5628999999999</v>
      </c>
      <c r="N10" s="659">
        <v>1219.2184999999999</v>
      </c>
      <c r="O10" s="660">
        <v>1098.3545999999999</v>
      </c>
    </row>
    <row r="11" spans="1:15" x14ac:dyDescent="0.2">
      <c r="A11" s="68" t="s">
        <v>215</v>
      </c>
      <c r="B11" s="315"/>
      <c r="C11" s="315"/>
      <c r="D11" s="315"/>
      <c r="E11" s="315"/>
      <c r="F11" s="315"/>
      <c r="G11" s="315"/>
      <c r="H11" s="315"/>
      <c r="I11" s="315"/>
      <c r="J11" s="315"/>
      <c r="K11" s="315"/>
      <c r="L11" s="380"/>
      <c r="M11" s="316"/>
      <c r="N11" s="316"/>
      <c r="O11" s="317"/>
    </row>
    <row r="12" spans="1:15" ht="14.25" x14ac:dyDescent="0.2">
      <c r="A12" s="661" t="s">
        <v>319</v>
      </c>
      <c r="B12" s="662">
        <v>2590.8553000000002</v>
      </c>
      <c r="C12" s="917">
        <v>1091.0952</v>
      </c>
      <c r="D12" s="662">
        <v>896.45339999999999</v>
      </c>
      <c r="E12" s="662">
        <v>862.48659999999995</v>
      </c>
      <c r="F12" s="662">
        <v>882.22040000000004</v>
      </c>
      <c r="G12" s="662">
        <v>1081.2336</v>
      </c>
      <c r="H12" s="662">
        <v>1107.8833999999999</v>
      </c>
      <c r="I12" s="662">
        <v>1157.7407000000001</v>
      </c>
      <c r="J12" s="662">
        <v>1200.2951</v>
      </c>
      <c r="K12" s="662">
        <v>1323.5060000000001</v>
      </c>
      <c r="L12" s="658" t="s">
        <v>102</v>
      </c>
      <c r="M12" s="663">
        <v>1009.9012</v>
      </c>
      <c r="N12" s="663">
        <v>1199.9032999999999</v>
      </c>
      <c r="O12" s="664">
        <v>1094.5085999999999</v>
      </c>
    </row>
    <row r="13" spans="1:15" x14ac:dyDescent="0.2">
      <c r="A13" t="s">
        <v>22</v>
      </c>
      <c r="B13" s="315">
        <v>1159.2672</v>
      </c>
      <c r="C13" s="315">
        <v>1131.1867</v>
      </c>
      <c r="D13" s="315">
        <v>1219.8739</v>
      </c>
      <c r="E13" s="315">
        <v>1300.6124</v>
      </c>
      <c r="F13" s="315">
        <v>1786.9322</v>
      </c>
      <c r="G13" s="315">
        <v>1288.5497</v>
      </c>
      <c r="H13" s="315">
        <v>1465.7194999999999</v>
      </c>
      <c r="I13" s="315">
        <v>1354.7988</v>
      </c>
      <c r="J13" s="380" t="s">
        <v>102</v>
      </c>
      <c r="K13" s="380" t="s">
        <v>102</v>
      </c>
      <c r="L13" s="380" t="s">
        <v>102</v>
      </c>
      <c r="M13" s="316">
        <v>1393.9987000000001</v>
      </c>
      <c r="N13" s="316">
        <v>1354.7988</v>
      </c>
      <c r="O13" s="317">
        <v>1391.1854000000001</v>
      </c>
    </row>
    <row r="14" spans="1:15" x14ac:dyDescent="0.2">
      <c r="A14" s="661" t="s">
        <v>210</v>
      </c>
      <c r="B14" s="662">
        <v>925.63699999999994</v>
      </c>
      <c r="C14" s="662">
        <v>981.45050000000003</v>
      </c>
      <c r="D14" s="662">
        <v>864.58349999999996</v>
      </c>
      <c r="E14" s="662">
        <v>843.00729999999999</v>
      </c>
      <c r="F14" s="662">
        <v>902.35059999999999</v>
      </c>
      <c r="G14" s="662">
        <v>949.65419999999995</v>
      </c>
      <c r="H14" s="662">
        <v>975.99509999999998</v>
      </c>
      <c r="I14" s="662">
        <v>1846.3358000000001</v>
      </c>
      <c r="J14" s="662">
        <v>1180.3559</v>
      </c>
      <c r="K14" s="658" t="s">
        <v>102</v>
      </c>
      <c r="L14" s="658" t="s">
        <v>102</v>
      </c>
      <c r="M14" s="663">
        <v>888.6028</v>
      </c>
      <c r="N14" s="663">
        <v>1438.8279</v>
      </c>
      <c r="O14" s="664">
        <v>915.32920000000001</v>
      </c>
    </row>
    <row r="15" spans="1:15" x14ac:dyDescent="0.2">
      <c r="A15" s="68" t="s">
        <v>211</v>
      </c>
      <c r="B15" s="315">
        <v>839.89350000000002</v>
      </c>
      <c r="C15" s="315">
        <v>719.68610000000001</v>
      </c>
      <c r="D15" s="315">
        <v>748.34259999999995</v>
      </c>
      <c r="E15" s="315">
        <v>783.32380000000001</v>
      </c>
      <c r="F15" s="315">
        <v>965.22019999999998</v>
      </c>
      <c r="G15" s="315">
        <v>1130.0841</v>
      </c>
      <c r="H15" s="315">
        <v>1086.9711</v>
      </c>
      <c r="I15" s="315">
        <v>1278.1697999999999</v>
      </c>
      <c r="J15" s="315">
        <v>1302.6668</v>
      </c>
      <c r="K15" s="380" t="s">
        <v>102</v>
      </c>
      <c r="L15" s="380" t="s">
        <v>102</v>
      </c>
      <c r="M15" s="316">
        <v>964.17679999999996</v>
      </c>
      <c r="N15" s="316">
        <v>1285.6886</v>
      </c>
      <c r="O15" s="317">
        <v>1034.6709000000001</v>
      </c>
    </row>
    <row r="16" spans="1:15" ht="6" customHeight="1" x14ac:dyDescent="0.2">
      <c r="A16" s="68"/>
      <c r="B16" s="315"/>
      <c r="C16" s="315"/>
      <c r="D16" s="315"/>
      <c r="E16" s="315"/>
      <c r="F16" s="315"/>
      <c r="G16" s="315"/>
      <c r="H16" s="315"/>
      <c r="I16" s="315"/>
      <c r="J16" s="315"/>
      <c r="K16" s="380"/>
      <c r="L16" s="380"/>
      <c r="M16" s="316"/>
      <c r="N16" s="316"/>
      <c r="O16" s="317"/>
    </row>
    <row r="17" spans="1:15" ht="14.25" x14ac:dyDescent="0.2">
      <c r="A17" s="656" t="s">
        <v>366</v>
      </c>
      <c r="B17" s="657">
        <v>866.04110000000003</v>
      </c>
      <c r="C17" s="657">
        <v>688.40869999999995</v>
      </c>
      <c r="D17" s="657">
        <v>626.39639999999997</v>
      </c>
      <c r="E17" s="657">
        <v>672.55380000000002</v>
      </c>
      <c r="F17" s="657">
        <v>780.36990000000003</v>
      </c>
      <c r="G17" s="657">
        <v>881.94560000000001</v>
      </c>
      <c r="H17" s="657">
        <v>1033.3387</v>
      </c>
      <c r="I17" s="657">
        <v>1194.6181999999999</v>
      </c>
      <c r="J17" s="657">
        <v>1366.9864</v>
      </c>
      <c r="K17" s="665">
        <v>1472.0927999999999</v>
      </c>
      <c r="L17" s="665">
        <v>1727.1547</v>
      </c>
      <c r="M17" s="659">
        <v>798.2174</v>
      </c>
      <c r="N17" s="659">
        <v>1466.8632</v>
      </c>
      <c r="O17" s="660">
        <v>1135.7125000000001</v>
      </c>
    </row>
    <row r="18" spans="1:15" ht="6" customHeight="1" x14ac:dyDescent="0.2">
      <c r="A18" s="68"/>
      <c r="B18" s="315"/>
      <c r="C18" s="315"/>
      <c r="D18" s="315"/>
      <c r="E18" s="315"/>
      <c r="F18" s="315"/>
      <c r="G18" s="315"/>
      <c r="H18" s="315"/>
      <c r="I18" s="315"/>
      <c r="J18" s="315"/>
      <c r="K18" s="380"/>
      <c r="L18" s="380"/>
      <c r="M18" s="316"/>
      <c r="N18" s="316"/>
      <c r="O18" s="317"/>
    </row>
    <row r="19" spans="1:15" ht="14.25" x14ac:dyDescent="0.2">
      <c r="A19" s="8" t="s">
        <v>320</v>
      </c>
      <c r="B19" s="315"/>
      <c r="C19" s="315"/>
      <c r="D19" s="315"/>
      <c r="E19" s="315"/>
      <c r="F19" s="315"/>
      <c r="G19" s="315"/>
      <c r="H19" s="315"/>
      <c r="I19" s="315"/>
      <c r="J19" s="315"/>
      <c r="K19" s="315"/>
      <c r="L19" s="315"/>
      <c r="M19" s="316"/>
      <c r="N19" s="316"/>
      <c r="O19" s="317"/>
    </row>
    <row r="20" spans="1:15" ht="6" customHeight="1" x14ac:dyDescent="0.2">
      <c r="A20" s="68"/>
      <c r="B20" s="315"/>
      <c r="C20" s="315"/>
      <c r="D20" s="315"/>
      <c r="E20" s="315"/>
      <c r="F20" s="315"/>
      <c r="G20" s="315"/>
      <c r="H20" s="315"/>
      <c r="I20" s="315"/>
      <c r="J20" s="315"/>
      <c r="K20" s="315"/>
      <c r="L20" s="315"/>
      <c r="M20" s="316"/>
      <c r="N20" s="316"/>
      <c r="O20" s="317"/>
    </row>
    <row r="21" spans="1:15" x14ac:dyDescent="0.2">
      <c r="A21" s="661" t="s">
        <v>212</v>
      </c>
      <c r="B21" s="662">
        <v>874.84450000000004</v>
      </c>
      <c r="C21" s="662">
        <v>707.5729</v>
      </c>
      <c r="D21" s="662">
        <v>650.55880000000002</v>
      </c>
      <c r="E21" s="662">
        <v>704.41899999999998</v>
      </c>
      <c r="F21" s="662">
        <v>826.94069999999999</v>
      </c>
      <c r="G21" s="662">
        <v>918.44119999999998</v>
      </c>
      <c r="H21" s="662">
        <v>968.55600000000004</v>
      </c>
      <c r="I21" s="658">
        <v>1073.8471999999999</v>
      </c>
      <c r="J21" s="658">
        <v>871.3329</v>
      </c>
      <c r="K21" s="658" t="s">
        <v>102</v>
      </c>
      <c r="L21" s="658" t="s">
        <v>102</v>
      </c>
      <c r="M21" s="663">
        <v>765.21720000000005</v>
      </c>
      <c r="N21" s="672">
        <v>1017.9044</v>
      </c>
      <c r="O21" s="664">
        <v>768.73220000000003</v>
      </c>
    </row>
    <row r="22" spans="1:15" x14ac:dyDescent="0.2">
      <c r="A22" s="68" t="s">
        <v>216</v>
      </c>
      <c r="B22" s="315" t="s">
        <v>102</v>
      </c>
      <c r="C22" s="315">
        <v>565.98479999999995</v>
      </c>
      <c r="D22" s="315">
        <v>563.06859999999995</v>
      </c>
      <c r="E22" s="315">
        <v>695.41740000000004</v>
      </c>
      <c r="F22" s="315">
        <v>813.04459999999995</v>
      </c>
      <c r="G22" s="315">
        <v>942.68809999999996</v>
      </c>
      <c r="H22" s="315">
        <v>1080.9709</v>
      </c>
      <c r="I22" s="315">
        <v>1206.2274</v>
      </c>
      <c r="J22" s="315">
        <v>1365.5035</v>
      </c>
      <c r="K22" s="315">
        <v>1459.6215999999999</v>
      </c>
      <c r="L22" s="315">
        <v>1720.4586999999999</v>
      </c>
      <c r="M22" s="316">
        <v>973.18</v>
      </c>
      <c r="N22" s="316">
        <v>1454.3163</v>
      </c>
      <c r="O22" s="317">
        <v>1331.9016999999999</v>
      </c>
    </row>
    <row r="23" spans="1:15" ht="6" customHeight="1" x14ac:dyDescent="0.2">
      <c r="A23" s="68"/>
      <c r="B23" s="315"/>
      <c r="C23" s="315"/>
      <c r="D23" s="315"/>
      <c r="E23" s="315"/>
      <c r="F23" s="315"/>
      <c r="G23" s="315"/>
      <c r="H23" s="315"/>
      <c r="I23" s="315"/>
      <c r="J23" s="315"/>
      <c r="K23" s="315"/>
      <c r="L23" s="315"/>
      <c r="M23" s="316"/>
      <c r="N23" s="316"/>
      <c r="O23" s="317"/>
    </row>
    <row r="24" spans="1:15" ht="14.25" x14ac:dyDescent="0.2">
      <c r="A24" s="656" t="s">
        <v>382</v>
      </c>
      <c r="B24" s="657">
        <v>874.84450000000004</v>
      </c>
      <c r="C24" s="657">
        <v>707.51009999999997</v>
      </c>
      <c r="D24" s="657">
        <v>649.11609999999996</v>
      </c>
      <c r="E24" s="657">
        <v>701.84879999999998</v>
      </c>
      <c r="F24" s="657">
        <v>817.72659999999996</v>
      </c>
      <c r="G24" s="657">
        <v>921.77560000000005</v>
      </c>
      <c r="H24" s="657">
        <v>1044.9263000000001</v>
      </c>
      <c r="I24" s="657">
        <v>1195.5181</v>
      </c>
      <c r="J24" s="657">
        <v>1354.8937000000001</v>
      </c>
      <c r="K24" s="665">
        <v>1465.8664000000001</v>
      </c>
      <c r="L24" s="657">
        <v>1727.1547</v>
      </c>
      <c r="M24" s="659">
        <v>828.34979999999996</v>
      </c>
      <c r="N24" s="659">
        <v>1452.3444</v>
      </c>
      <c r="O24" s="660">
        <v>1132.2924</v>
      </c>
    </row>
    <row r="25" spans="1:15" x14ac:dyDescent="0.2">
      <c r="A25" s="68" t="s">
        <v>215</v>
      </c>
      <c r="B25" s="361"/>
      <c r="C25" s="361"/>
      <c r="D25" s="361"/>
      <c r="E25" s="361"/>
      <c r="F25" s="361"/>
      <c r="G25" s="361"/>
      <c r="H25" s="361"/>
      <c r="I25" s="361"/>
      <c r="J25" s="361"/>
      <c r="K25" s="380"/>
      <c r="L25" s="361"/>
      <c r="M25" s="316"/>
      <c r="N25" s="316"/>
      <c r="O25" s="317"/>
    </row>
    <row r="26" spans="1:15" x14ac:dyDescent="0.2">
      <c r="A26" s="661" t="s">
        <v>218</v>
      </c>
      <c r="B26" s="662">
        <v>951.60260000000005</v>
      </c>
      <c r="C26" s="662">
        <v>1017.2187</v>
      </c>
      <c r="D26" s="662">
        <v>1001.722</v>
      </c>
      <c r="E26" s="662">
        <v>1064.0213000000001</v>
      </c>
      <c r="F26" s="662">
        <v>1249.6967999999999</v>
      </c>
      <c r="G26" s="662">
        <v>1085.9965</v>
      </c>
      <c r="H26" s="662">
        <v>1201.0542</v>
      </c>
      <c r="I26" s="662">
        <v>1405.9023999999999</v>
      </c>
      <c r="J26" s="662">
        <v>1180.3559</v>
      </c>
      <c r="K26" s="658" t="s">
        <v>102</v>
      </c>
      <c r="L26" s="658" t="s">
        <v>102</v>
      </c>
      <c r="M26" s="663">
        <v>1109.8054</v>
      </c>
      <c r="N26" s="663">
        <v>1366.5983000000001</v>
      </c>
      <c r="O26" s="664">
        <v>1128.1503</v>
      </c>
    </row>
    <row r="27" spans="1:15" x14ac:dyDescent="0.2">
      <c r="A27" s="68" t="s">
        <v>219</v>
      </c>
      <c r="B27" s="315">
        <v>992.67740000000003</v>
      </c>
      <c r="C27" s="315">
        <v>817.74120000000005</v>
      </c>
      <c r="D27" s="315">
        <v>751.8922</v>
      </c>
      <c r="E27" s="315">
        <v>708.23350000000005</v>
      </c>
      <c r="F27" s="315">
        <v>780.0856</v>
      </c>
      <c r="G27" s="315">
        <v>897.25980000000004</v>
      </c>
      <c r="H27" s="315">
        <v>1023.4957000000001</v>
      </c>
      <c r="I27" s="315">
        <v>1160.8194000000001</v>
      </c>
      <c r="J27" s="315">
        <v>1247.6306999999999</v>
      </c>
      <c r="K27" s="380" t="s">
        <v>102</v>
      </c>
      <c r="L27" s="380">
        <v>1464.7082</v>
      </c>
      <c r="M27" s="316">
        <v>810.72500000000002</v>
      </c>
      <c r="N27" s="316">
        <v>1282.1891000000001</v>
      </c>
      <c r="O27" s="317">
        <v>913.14909999999998</v>
      </c>
    </row>
    <row r="28" spans="1:15" ht="14.25" x14ac:dyDescent="0.2">
      <c r="A28" s="661" t="s">
        <v>385</v>
      </c>
      <c r="B28" s="662">
        <v>2274.1498999999999</v>
      </c>
      <c r="C28" s="662">
        <v>857.03459999999995</v>
      </c>
      <c r="D28" s="662">
        <v>783.98630000000003</v>
      </c>
      <c r="E28" s="662">
        <v>813.64970000000005</v>
      </c>
      <c r="F28" s="662">
        <v>899.62210000000005</v>
      </c>
      <c r="G28" s="662">
        <v>1106.1971000000001</v>
      </c>
      <c r="H28" s="662">
        <v>1104.9725000000001</v>
      </c>
      <c r="I28" s="662">
        <v>1174.4268</v>
      </c>
      <c r="J28" s="662">
        <v>1209.9032999999999</v>
      </c>
      <c r="K28" s="658">
        <v>1323.5060000000001</v>
      </c>
      <c r="L28" s="658" t="s">
        <v>102</v>
      </c>
      <c r="M28" s="663">
        <v>999.99630000000002</v>
      </c>
      <c r="N28" s="663">
        <v>1208.5788</v>
      </c>
      <c r="O28" s="664">
        <v>1085.9471000000001</v>
      </c>
    </row>
    <row r="29" spans="1:15" x14ac:dyDescent="0.2">
      <c r="A29" s="202" t="s">
        <v>383</v>
      </c>
      <c r="B29" s="376">
        <v>804.65769999999998</v>
      </c>
      <c r="C29" s="376">
        <v>652.08500000000004</v>
      </c>
      <c r="D29" s="376">
        <v>602.34849999999994</v>
      </c>
      <c r="E29" s="376">
        <v>667.80309999999997</v>
      </c>
      <c r="F29" s="376">
        <v>780.39580000000001</v>
      </c>
      <c r="G29" s="376">
        <v>880.73919999999998</v>
      </c>
      <c r="H29" s="376">
        <v>1034.2385999999999</v>
      </c>
      <c r="I29" s="376">
        <v>1196.9444000000001</v>
      </c>
      <c r="J29" s="376">
        <v>1369.5924</v>
      </c>
      <c r="K29" s="381">
        <v>1472.0927999999999</v>
      </c>
      <c r="L29" s="376">
        <v>1735.3653999999999</v>
      </c>
      <c r="M29" s="382">
        <v>796.71230000000003</v>
      </c>
      <c r="N29" s="382">
        <v>1472.4278999999999</v>
      </c>
      <c r="O29" s="383">
        <v>1151.9409000000001</v>
      </c>
    </row>
    <row r="30" spans="1:15" x14ac:dyDescent="0.2">
      <c r="A30" s="37" t="s">
        <v>893</v>
      </c>
      <c r="B30" s="47"/>
      <c r="C30" s="47"/>
      <c r="D30" s="47"/>
      <c r="E30" s="47"/>
      <c r="F30" s="47"/>
      <c r="G30" s="47"/>
      <c r="H30" s="47"/>
      <c r="I30" s="47"/>
      <c r="J30" s="47"/>
      <c r="K30" s="47"/>
      <c r="L30" s="47"/>
      <c r="M30" s="242"/>
      <c r="N30" s="242"/>
      <c r="O30" s="48"/>
    </row>
    <row r="31" spans="1:15" x14ac:dyDescent="0.2">
      <c r="A31" s="37" t="s">
        <v>894</v>
      </c>
      <c r="B31" s="47"/>
      <c r="C31" s="47"/>
      <c r="D31" s="47"/>
      <c r="E31" s="47"/>
      <c r="F31" s="47"/>
      <c r="G31" s="47"/>
      <c r="H31" s="47"/>
      <c r="I31" s="47"/>
      <c r="J31" s="47"/>
      <c r="K31" s="47"/>
      <c r="L31" s="47"/>
      <c r="M31" s="242"/>
      <c r="N31" s="242"/>
      <c r="O31" s="48"/>
    </row>
    <row r="32" spans="1:15" x14ac:dyDescent="0.2">
      <c r="A32" s="249" t="s">
        <v>443</v>
      </c>
      <c r="B32" s="47"/>
      <c r="C32" s="47"/>
      <c r="D32" s="47"/>
      <c r="E32" s="47"/>
      <c r="F32" s="47"/>
      <c r="G32" s="47"/>
      <c r="H32" s="47"/>
      <c r="I32" s="47"/>
      <c r="J32" s="47"/>
      <c r="K32" s="47"/>
      <c r="L32" s="47"/>
      <c r="M32" s="242"/>
      <c r="N32" s="242"/>
      <c r="O32" s="48"/>
    </row>
    <row r="33" spans="1:15" x14ac:dyDescent="0.2">
      <c r="A33" s="37" t="s">
        <v>321</v>
      </c>
      <c r="B33" s="47"/>
      <c r="C33" s="47"/>
      <c r="D33" s="47"/>
      <c r="E33" s="47"/>
      <c r="F33" s="47"/>
      <c r="G33" s="47"/>
      <c r="H33" s="47"/>
      <c r="I33" s="47"/>
      <c r="J33" s="47"/>
      <c r="K33" s="47"/>
      <c r="L33" s="47"/>
      <c r="M33" s="242"/>
      <c r="N33" s="242"/>
      <c r="O33" s="48"/>
    </row>
    <row r="34" spans="1:15" x14ac:dyDescent="0.2">
      <c r="A34" s="249" t="s">
        <v>965</v>
      </c>
    </row>
    <row r="35" spans="1:15" x14ac:dyDescent="0.2">
      <c r="A35" s="249" t="s">
        <v>444</v>
      </c>
    </row>
    <row r="36" spans="1:15" x14ac:dyDescent="0.2">
      <c r="A36" s="243" t="s">
        <v>895</v>
      </c>
      <c r="B36" s="3"/>
      <c r="C36" s="3"/>
      <c r="D36" s="3"/>
      <c r="G36" s="185"/>
      <c r="J36" s="185"/>
      <c r="M36"/>
      <c r="N36"/>
    </row>
    <row r="38" spans="1:15" ht="14.25" x14ac:dyDescent="0.2">
      <c r="A38" s="15" t="s">
        <v>448</v>
      </c>
      <c r="O38" s="213" t="s">
        <v>213</v>
      </c>
    </row>
    <row r="39" spans="1:15" x14ac:dyDescent="0.2">
      <c r="A39" s="1"/>
      <c r="B39" s="31" t="s">
        <v>35</v>
      </c>
      <c r="C39" s="32" t="s">
        <v>121</v>
      </c>
      <c r="D39" s="32" t="s">
        <v>123</v>
      </c>
      <c r="E39" s="32" t="s">
        <v>36</v>
      </c>
      <c r="F39" s="32" t="s">
        <v>37</v>
      </c>
      <c r="G39" s="32" t="s">
        <v>38</v>
      </c>
      <c r="H39" s="32" t="s">
        <v>39</v>
      </c>
      <c r="I39" s="32" t="s">
        <v>125</v>
      </c>
      <c r="J39" s="32" t="s">
        <v>126</v>
      </c>
      <c r="K39" s="32" t="s">
        <v>127</v>
      </c>
      <c r="L39" s="236">
        <v>100000</v>
      </c>
      <c r="M39" s="238" t="s">
        <v>231</v>
      </c>
      <c r="N39" s="238" t="s">
        <v>228</v>
      </c>
      <c r="O39" s="237" t="s">
        <v>77</v>
      </c>
    </row>
    <row r="40" spans="1:15" x14ac:dyDescent="0.2">
      <c r="A40" s="18" t="s">
        <v>885</v>
      </c>
      <c r="B40" s="33" t="s">
        <v>120</v>
      </c>
      <c r="C40" s="34" t="s">
        <v>40</v>
      </c>
      <c r="D40" s="34" t="s">
        <v>40</v>
      </c>
      <c r="E40" s="34" t="s">
        <v>40</v>
      </c>
      <c r="F40" s="34" t="s">
        <v>40</v>
      </c>
      <c r="G40" s="34" t="s">
        <v>40</v>
      </c>
      <c r="H40" s="34" t="s">
        <v>40</v>
      </c>
      <c r="I40" s="34" t="s">
        <v>40</v>
      </c>
      <c r="J40" s="34" t="s">
        <v>40</v>
      </c>
      <c r="K40" s="34" t="s">
        <v>40</v>
      </c>
      <c r="L40" s="34" t="s">
        <v>43</v>
      </c>
      <c r="M40" s="239" t="s">
        <v>230</v>
      </c>
      <c r="N40" s="239" t="s">
        <v>138</v>
      </c>
      <c r="O40" s="26" t="s">
        <v>137</v>
      </c>
    </row>
    <row r="41" spans="1:15" x14ac:dyDescent="0.2">
      <c r="A41" s="4"/>
      <c r="B41" s="35" t="s">
        <v>43</v>
      </c>
      <c r="C41" s="36" t="s">
        <v>122</v>
      </c>
      <c r="D41" s="36" t="s">
        <v>124</v>
      </c>
      <c r="E41" s="36" t="s">
        <v>44</v>
      </c>
      <c r="F41" s="36" t="s">
        <v>45</v>
      </c>
      <c r="G41" s="36" t="s">
        <v>46</v>
      </c>
      <c r="H41" s="36" t="s">
        <v>42</v>
      </c>
      <c r="I41" s="36" t="s">
        <v>128</v>
      </c>
      <c r="J41" s="36" t="s">
        <v>129</v>
      </c>
      <c r="K41" s="36" t="s">
        <v>130</v>
      </c>
      <c r="L41" s="36" t="s">
        <v>131</v>
      </c>
      <c r="M41" s="240" t="s">
        <v>138</v>
      </c>
      <c r="N41" s="240" t="s">
        <v>131</v>
      </c>
      <c r="O41" s="27" t="s">
        <v>41</v>
      </c>
    </row>
    <row r="42" spans="1:15" ht="14.25" x14ac:dyDescent="0.2">
      <c r="A42" s="37" t="s">
        <v>317</v>
      </c>
      <c r="B42" s="377">
        <v>1212.6858</v>
      </c>
      <c r="C42" s="377">
        <v>946.93219999999997</v>
      </c>
      <c r="D42" s="377">
        <v>838.07339999999999</v>
      </c>
      <c r="E42" s="377">
        <v>880.22460000000001</v>
      </c>
      <c r="F42" s="377">
        <v>1015.2979</v>
      </c>
      <c r="G42" s="377">
        <v>1133.8643</v>
      </c>
      <c r="H42" s="377">
        <v>1258.0242000000001</v>
      </c>
      <c r="I42" s="377">
        <v>1396.2748999999999</v>
      </c>
      <c r="J42" s="377">
        <v>1563.5472</v>
      </c>
      <c r="K42" s="377">
        <v>1687.5042000000001</v>
      </c>
      <c r="L42" s="377">
        <v>1901.0504000000001</v>
      </c>
      <c r="M42" s="378">
        <v>1028.1822999999999</v>
      </c>
      <c r="N42" s="378">
        <v>1648.7583</v>
      </c>
      <c r="O42" s="379">
        <v>1337.2861</v>
      </c>
    </row>
    <row r="43" spans="1:15" ht="6" customHeight="1" x14ac:dyDescent="0.2">
      <c r="A43" s="37"/>
      <c r="B43" s="384"/>
      <c r="C43" s="384"/>
      <c r="D43" s="384"/>
      <c r="E43" s="384"/>
      <c r="F43" s="384"/>
      <c r="G43" s="384"/>
      <c r="H43" s="384"/>
      <c r="I43" s="384"/>
      <c r="J43" s="384"/>
      <c r="K43" s="384"/>
      <c r="L43" s="384"/>
      <c r="M43" s="385"/>
      <c r="N43" s="385"/>
      <c r="O43" s="386"/>
    </row>
    <row r="44" spans="1:15" ht="14.25" x14ac:dyDescent="0.2">
      <c r="A44" s="656" t="s">
        <v>318</v>
      </c>
      <c r="B44" s="657">
        <v>1407.2927999999999</v>
      </c>
      <c r="C44" s="657">
        <v>1346.8158000000001</v>
      </c>
      <c r="D44" s="657">
        <v>1261.7148999999999</v>
      </c>
      <c r="E44" s="657">
        <v>1229.877</v>
      </c>
      <c r="F44" s="657">
        <v>1293.9155000000001</v>
      </c>
      <c r="G44" s="657">
        <v>1400.1496999999999</v>
      </c>
      <c r="H44" s="657">
        <v>1406.348</v>
      </c>
      <c r="I44" s="657">
        <v>1459.3622</v>
      </c>
      <c r="J44" s="657">
        <v>1444.8777</v>
      </c>
      <c r="K44" s="657">
        <v>1450.8608999999999</v>
      </c>
      <c r="L44" s="658" t="s">
        <v>102</v>
      </c>
      <c r="M44" s="659">
        <v>1324.3991000000001</v>
      </c>
      <c r="N44" s="659">
        <v>1452.4432999999999</v>
      </c>
      <c r="O44" s="660">
        <v>1364.3395</v>
      </c>
    </row>
    <row r="45" spans="1:15" x14ac:dyDescent="0.2">
      <c r="A45" s="68" t="s">
        <v>215</v>
      </c>
      <c r="B45" s="315"/>
      <c r="C45" s="315"/>
      <c r="D45" s="315"/>
      <c r="E45" s="315"/>
      <c r="F45" s="315"/>
      <c r="G45" s="315"/>
      <c r="H45" s="315"/>
      <c r="I45" s="315"/>
      <c r="J45" s="315"/>
      <c r="K45" s="315"/>
      <c r="L45" s="380"/>
      <c r="M45" s="316"/>
      <c r="N45" s="316"/>
      <c r="O45" s="317"/>
    </row>
    <row r="46" spans="1:15" ht="14.25" x14ac:dyDescent="0.2">
      <c r="A46" s="661" t="s">
        <v>319</v>
      </c>
      <c r="B46" s="662">
        <v>3729.5565000000001</v>
      </c>
      <c r="C46" s="662">
        <v>1212.3181999999999</v>
      </c>
      <c r="D46" s="662">
        <v>1146.4752000000001</v>
      </c>
      <c r="E46" s="662">
        <v>992.47720000000004</v>
      </c>
      <c r="F46" s="662">
        <v>1078.5925999999999</v>
      </c>
      <c r="G46" s="662">
        <v>1301.9031</v>
      </c>
      <c r="H46" s="662">
        <v>1316.9902</v>
      </c>
      <c r="I46" s="662">
        <v>1376.7905000000001</v>
      </c>
      <c r="J46" s="662">
        <v>1412.8633</v>
      </c>
      <c r="K46" s="662">
        <v>1413.5399</v>
      </c>
      <c r="L46" s="658" t="s">
        <v>102</v>
      </c>
      <c r="M46" s="663">
        <v>1207.4780000000001</v>
      </c>
      <c r="N46" s="663">
        <v>1397.6032</v>
      </c>
      <c r="O46" s="664">
        <v>1292.1271999999999</v>
      </c>
    </row>
    <row r="47" spans="1:15" x14ac:dyDescent="0.2">
      <c r="A47" t="s">
        <v>22</v>
      </c>
      <c r="B47" s="315">
        <v>1490.0207</v>
      </c>
      <c r="C47" s="315">
        <v>1436.2599</v>
      </c>
      <c r="D47" s="315">
        <v>1416.0016000000001</v>
      </c>
      <c r="E47" s="315">
        <v>1591.9014</v>
      </c>
      <c r="F47" s="315">
        <v>2018.4966999999999</v>
      </c>
      <c r="G47" s="315">
        <v>1785.2112999999999</v>
      </c>
      <c r="H47" s="315">
        <v>1744.0556999999999</v>
      </c>
      <c r="I47" s="315">
        <v>1585.2418</v>
      </c>
      <c r="J47" s="380" t="s">
        <v>102</v>
      </c>
      <c r="K47" s="380" t="s">
        <v>102</v>
      </c>
      <c r="L47" s="380" t="s">
        <v>102</v>
      </c>
      <c r="M47" s="316">
        <v>1690.0676000000001</v>
      </c>
      <c r="N47" s="316">
        <v>1585.2418</v>
      </c>
      <c r="O47" s="317">
        <v>1682.5210999999999</v>
      </c>
    </row>
    <row r="48" spans="1:15" x14ac:dyDescent="0.2">
      <c r="A48" s="661" t="s">
        <v>210</v>
      </c>
      <c r="B48" s="662">
        <v>1252.4293</v>
      </c>
      <c r="C48" s="662">
        <v>1292.3639000000001</v>
      </c>
      <c r="D48" s="662">
        <v>1096.6448</v>
      </c>
      <c r="E48" s="662">
        <v>1029.3810000000001</v>
      </c>
      <c r="F48" s="662">
        <v>1070.3786</v>
      </c>
      <c r="G48" s="662">
        <v>1099.1369999999999</v>
      </c>
      <c r="H48" s="662">
        <v>1169.4899</v>
      </c>
      <c r="I48" s="662">
        <v>2021.4989</v>
      </c>
      <c r="J48" s="662">
        <v>1322.1394</v>
      </c>
      <c r="K48" s="658" t="s">
        <v>102</v>
      </c>
      <c r="L48" s="658" t="s">
        <v>102</v>
      </c>
      <c r="M48" s="663">
        <v>1083.0081</v>
      </c>
      <c r="N48" s="663">
        <v>1593.2511999999999</v>
      </c>
      <c r="O48" s="664">
        <v>1107.4663</v>
      </c>
    </row>
    <row r="49" spans="1:15" x14ac:dyDescent="0.2">
      <c r="A49" s="68" t="s">
        <v>211</v>
      </c>
      <c r="B49" s="315">
        <v>1084.4292</v>
      </c>
      <c r="C49" s="315">
        <v>889.31100000000004</v>
      </c>
      <c r="D49" s="315">
        <v>907.75959999999998</v>
      </c>
      <c r="E49" s="315">
        <v>940.50379999999996</v>
      </c>
      <c r="F49" s="315">
        <v>1125.3708999999999</v>
      </c>
      <c r="G49" s="315">
        <v>1302.7346</v>
      </c>
      <c r="H49" s="315">
        <v>1292.3308999999999</v>
      </c>
      <c r="I49" s="315">
        <v>1416.0072</v>
      </c>
      <c r="J49" s="315">
        <v>1580.2697000000001</v>
      </c>
      <c r="K49" s="380" t="s">
        <v>102</v>
      </c>
      <c r="L49" s="380" t="s">
        <v>102</v>
      </c>
      <c r="M49" s="316">
        <v>1137.9830999999999</v>
      </c>
      <c r="N49" s="316">
        <v>1468.6403</v>
      </c>
      <c r="O49" s="317">
        <v>1207.0137999999999</v>
      </c>
    </row>
    <row r="50" spans="1:15" ht="6" customHeight="1" x14ac:dyDescent="0.2">
      <c r="A50" s="68"/>
      <c r="B50" s="315"/>
      <c r="C50" s="315"/>
      <c r="D50" s="315"/>
      <c r="E50" s="315"/>
      <c r="F50" s="315"/>
      <c r="G50" s="315"/>
      <c r="H50" s="315"/>
      <c r="I50" s="315"/>
      <c r="J50" s="315"/>
      <c r="K50" s="380"/>
      <c r="L50" s="380"/>
      <c r="M50" s="316"/>
      <c r="N50" s="316"/>
      <c r="O50" s="317"/>
    </row>
    <row r="51" spans="1:15" ht="14.25" x14ac:dyDescent="0.2">
      <c r="A51" s="656" t="s">
        <v>366</v>
      </c>
      <c r="B51" s="657">
        <v>1198.1495</v>
      </c>
      <c r="C51" s="657">
        <v>920.8732</v>
      </c>
      <c r="D51" s="657">
        <v>806.12070000000006</v>
      </c>
      <c r="E51" s="657">
        <v>839.24400000000003</v>
      </c>
      <c r="F51" s="657">
        <v>959.71460000000002</v>
      </c>
      <c r="G51" s="657">
        <v>1066.7406000000001</v>
      </c>
      <c r="H51" s="657">
        <v>1226.6045999999999</v>
      </c>
      <c r="I51" s="657">
        <v>1383.788</v>
      </c>
      <c r="J51" s="657">
        <v>1569.1088999999999</v>
      </c>
      <c r="K51" s="665">
        <v>1710.7443000000001</v>
      </c>
      <c r="L51" s="665">
        <v>1907.1367</v>
      </c>
      <c r="M51" s="659">
        <v>979.92290000000003</v>
      </c>
      <c r="N51" s="659">
        <v>1665.4432999999999</v>
      </c>
      <c r="O51" s="660">
        <v>1325.9353000000001</v>
      </c>
    </row>
    <row r="52" spans="1:15" ht="6" customHeight="1" x14ac:dyDescent="0.2">
      <c r="A52" s="68"/>
      <c r="B52" s="315"/>
      <c r="C52" s="315"/>
      <c r="D52" s="315"/>
      <c r="E52" s="315"/>
      <c r="F52" s="315"/>
      <c r="G52" s="315"/>
      <c r="H52" s="315"/>
      <c r="I52" s="315"/>
      <c r="J52" s="315"/>
      <c r="K52" s="380"/>
      <c r="L52" s="380"/>
      <c r="M52" s="316"/>
      <c r="N52" s="316"/>
      <c r="O52" s="317"/>
    </row>
    <row r="53" spans="1:15" ht="14.25" x14ac:dyDescent="0.2">
      <c r="A53" s="8" t="s">
        <v>320</v>
      </c>
      <c r="B53" s="315"/>
      <c r="C53" s="315"/>
      <c r="D53" s="315"/>
      <c r="E53" s="315"/>
      <c r="F53" s="315"/>
      <c r="G53" s="315"/>
      <c r="H53" s="315"/>
      <c r="I53" s="315"/>
      <c r="J53" s="315"/>
      <c r="K53" s="315"/>
      <c r="L53" s="315"/>
      <c r="M53" s="316"/>
      <c r="N53" s="316"/>
      <c r="O53" s="317"/>
    </row>
    <row r="54" spans="1:15" ht="6" customHeight="1" x14ac:dyDescent="0.2">
      <c r="A54" s="68"/>
      <c r="B54" s="315"/>
      <c r="C54" s="315"/>
      <c r="D54" s="315"/>
      <c r="E54" s="315"/>
      <c r="F54" s="315"/>
      <c r="G54" s="315"/>
      <c r="H54" s="315"/>
      <c r="I54" s="315"/>
      <c r="J54" s="315"/>
      <c r="K54" s="315"/>
      <c r="L54" s="315"/>
      <c r="M54" s="316"/>
      <c r="N54" s="316"/>
      <c r="O54" s="317"/>
    </row>
    <row r="55" spans="1:15" x14ac:dyDescent="0.2">
      <c r="A55" s="661" t="s">
        <v>212</v>
      </c>
      <c r="B55" s="662">
        <v>1212.6858</v>
      </c>
      <c r="C55" s="662">
        <v>946.93910000000005</v>
      </c>
      <c r="D55" s="662">
        <v>838.78510000000006</v>
      </c>
      <c r="E55" s="662">
        <v>882.4366</v>
      </c>
      <c r="F55" s="662">
        <v>1027.3748000000001</v>
      </c>
      <c r="G55" s="662">
        <v>1130.0672999999999</v>
      </c>
      <c r="H55" s="662">
        <v>1172.1638</v>
      </c>
      <c r="I55" s="658">
        <v>1274.0967000000001</v>
      </c>
      <c r="J55" s="658">
        <v>1073.557</v>
      </c>
      <c r="K55" s="658" t="s">
        <v>102</v>
      </c>
      <c r="L55" s="658" t="s">
        <v>102</v>
      </c>
      <c r="M55" s="663">
        <v>958.47310000000004</v>
      </c>
      <c r="N55" s="672">
        <v>1218.6994</v>
      </c>
      <c r="O55" s="664">
        <v>962.09299999999996</v>
      </c>
    </row>
    <row r="56" spans="1:15" x14ac:dyDescent="0.2">
      <c r="A56" s="68" t="s">
        <v>216</v>
      </c>
      <c r="B56" s="315" t="s">
        <v>102</v>
      </c>
      <c r="C56" s="315">
        <v>931.29570000000001</v>
      </c>
      <c r="D56" s="315">
        <v>744.75919999999996</v>
      </c>
      <c r="E56" s="315">
        <v>861.4633</v>
      </c>
      <c r="F56" s="315">
        <v>989.42319999999995</v>
      </c>
      <c r="G56" s="315">
        <v>1138.7213999999999</v>
      </c>
      <c r="H56" s="315">
        <v>1283.1067</v>
      </c>
      <c r="I56" s="315">
        <v>1400.2405000000001</v>
      </c>
      <c r="J56" s="315">
        <v>1567.6881000000001</v>
      </c>
      <c r="K56" s="315">
        <v>1687.5042000000001</v>
      </c>
      <c r="L56" s="315">
        <v>1901.0504000000001</v>
      </c>
      <c r="M56" s="316">
        <v>1166.2757999999999</v>
      </c>
      <c r="N56" s="316">
        <v>1652.8595</v>
      </c>
      <c r="O56" s="317">
        <v>1529.0588</v>
      </c>
    </row>
    <row r="57" spans="1:15" ht="6" customHeight="1" x14ac:dyDescent="0.2">
      <c r="A57" s="68"/>
      <c r="B57" s="315"/>
      <c r="C57" s="315"/>
      <c r="D57" s="315"/>
      <c r="E57" s="315"/>
      <c r="F57" s="315"/>
      <c r="G57" s="315"/>
      <c r="H57" s="315"/>
      <c r="I57" s="315"/>
      <c r="J57" s="315"/>
      <c r="K57" s="315"/>
      <c r="L57" s="315"/>
      <c r="M57" s="316"/>
      <c r="N57" s="316"/>
      <c r="O57" s="317"/>
    </row>
    <row r="58" spans="1:15" ht="14.25" x14ac:dyDescent="0.2">
      <c r="A58" s="656" t="s">
        <v>382</v>
      </c>
      <c r="B58" s="657">
        <v>1212.6858</v>
      </c>
      <c r="C58" s="657">
        <v>946.93219999999997</v>
      </c>
      <c r="D58" s="657">
        <v>836.78409999999997</v>
      </c>
      <c r="E58" s="657">
        <v>878.56269999999995</v>
      </c>
      <c r="F58" s="657">
        <v>1010.4838999999999</v>
      </c>
      <c r="G58" s="657">
        <v>1127.5399</v>
      </c>
      <c r="H58" s="657">
        <v>1250.3039000000001</v>
      </c>
      <c r="I58" s="657">
        <v>1393.4785999999999</v>
      </c>
      <c r="J58" s="657">
        <v>1559.5967000000001</v>
      </c>
      <c r="K58" s="665">
        <v>1699.8541</v>
      </c>
      <c r="L58" s="657">
        <v>1907.1367</v>
      </c>
      <c r="M58" s="659">
        <v>1022.2301</v>
      </c>
      <c r="N58" s="659">
        <v>1652.9556</v>
      </c>
      <c r="O58" s="660">
        <v>1329.4512999999999</v>
      </c>
    </row>
    <row r="59" spans="1:15" x14ac:dyDescent="0.2">
      <c r="A59" s="68" t="s">
        <v>215</v>
      </c>
      <c r="B59" s="361"/>
      <c r="C59" s="361"/>
      <c r="D59" s="361"/>
      <c r="E59" s="361"/>
      <c r="F59" s="361"/>
      <c r="G59" s="361"/>
      <c r="H59" s="361"/>
      <c r="I59" s="361"/>
      <c r="J59" s="361"/>
      <c r="K59" s="380"/>
      <c r="L59" s="361"/>
      <c r="M59" s="316"/>
      <c r="N59" s="316"/>
      <c r="O59" s="317"/>
    </row>
    <row r="60" spans="1:15" x14ac:dyDescent="0.2">
      <c r="A60" s="661" t="s">
        <v>218</v>
      </c>
      <c r="B60" s="662">
        <v>1350.1002000000001</v>
      </c>
      <c r="C60" s="662">
        <v>1358.6433</v>
      </c>
      <c r="D60" s="662">
        <v>1313.6669999999999</v>
      </c>
      <c r="E60" s="662">
        <v>1358.4740999999999</v>
      </c>
      <c r="F60" s="662">
        <v>1570.6549</v>
      </c>
      <c r="G60" s="662">
        <v>1397.7494999999999</v>
      </c>
      <c r="H60" s="662">
        <v>1540.1514</v>
      </c>
      <c r="I60" s="662">
        <v>1700.0715</v>
      </c>
      <c r="J60" s="662">
        <v>1370.6098999999999</v>
      </c>
      <c r="K60" s="658" t="s">
        <v>102</v>
      </c>
      <c r="L60" s="658" t="s">
        <v>102</v>
      </c>
      <c r="M60" s="663">
        <v>1421.1006</v>
      </c>
      <c r="N60" s="663">
        <v>1642.6590000000001</v>
      </c>
      <c r="O60" s="664">
        <v>1436.9283</v>
      </c>
    </row>
    <row r="61" spans="1:15" x14ac:dyDescent="0.2">
      <c r="A61" s="68" t="s">
        <v>219</v>
      </c>
      <c r="B61" s="315">
        <v>1409.6691000000001</v>
      </c>
      <c r="C61" s="315">
        <v>1119.9159</v>
      </c>
      <c r="D61" s="315">
        <v>992.46460000000002</v>
      </c>
      <c r="E61" s="315">
        <v>907.01509999999996</v>
      </c>
      <c r="F61" s="315">
        <v>984.58730000000003</v>
      </c>
      <c r="G61" s="315">
        <v>1096.9525000000001</v>
      </c>
      <c r="H61" s="315">
        <v>1236.3236999999999</v>
      </c>
      <c r="I61" s="315">
        <v>1368.5873999999999</v>
      </c>
      <c r="J61" s="315">
        <v>1461.6772000000001</v>
      </c>
      <c r="K61" s="380" t="s">
        <v>102</v>
      </c>
      <c r="L61" s="380">
        <v>1767.0885000000001</v>
      </c>
      <c r="M61" s="316">
        <v>1030.3742</v>
      </c>
      <c r="N61" s="316">
        <v>1523.1043999999999</v>
      </c>
      <c r="O61" s="317">
        <v>1137.4183</v>
      </c>
    </row>
    <row r="62" spans="1:15" ht="14.25" x14ac:dyDescent="0.2">
      <c r="A62" s="661" t="s">
        <v>385</v>
      </c>
      <c r="B62" s="662">
        <v>3190.5644000000002</v>
      </c>
      <c r="C62" s="662">
        <v>1244.4543000000001</v>
      </c>
      <c r="D62" s="662">
        <v>1014.0724</v>
      </c>
      <c r="E62" s="662">
        <v>1037.8494000000001</v>
      </c>
      <c r="F62" s="662">
        <v>1137.0306</v>
      </c>
      <c r="G62" s="662">
        <v>1401.1242</v>
      </c>
      <c r="H62" s="662">
        <v>1379.1117999999999</v>
      </c>
      <c r="I62" s="662">
        <v>1427.2977000000001</v>
      </c>
      <c r="J62" s="662">
        <v>1447.0791999999999</v>
      </c>
      <c r="K62" s="658">
        <v>1450.8608999999999</v>
      </c>
      <c r="L62" s="658" t="s">
        <v>102</v>
      </c>
      <c r="M62" s="663">
        <v>1260.8001999999999</v>
      </c>
      <c r="N62" s="663">
        <v>1438.7112</v>
      </c>
      <c r="O62" s="664">
        <v>1334.1121000000001</v>
      </c>
    </row>
    <row r="63" spans="1:15" x14ac:dyDescent="0.2">
      <c r="A63" s="202" t="s">
        <v>383</v>
      </c>
      <c r="B63" s="376">
        <v>1095.6213</v>
      </c>
      <c r="C63" s="376">
        <v>864.97119999999995</v>
      </c>
      <c r="D63" s="376">
        <v>770.41300000000001</v>
      </c>
      <c r="E63" s="376">
        <v>830.22040000000004</v>
      </c>
      <c r="F63" s="376">
        <v>957.44960000000003</v>
      </c>
      <c r="G63" s="376">
        <v>1064.3606</v>
      </c>
      <c r="H63" s="376">
        <v>1225.7159999999999</v>
      </c>
      <c r="I63" s="376">
        <v>1384.8342</v>
      </c>
      <c r="J63" s="376">
        <v>1571.4545000000001</v>
      </c>
      <c r="K63" s="381">
        <v>1710.7443000000001</v>
      </c>
      <c r="L63" s="376">
        <v>1911.5181</v>
      </c>
      <c r="M63" s="382">
        <v>973.85170000000005</v>
      </c>
      <c r="N63" s="382">
        <v>1669.7321999999999</v>
      </c>
      <c r="O63" s="383">
        <v>1339.6812</v>
      </c>
    </row>
    <row r="64" spans="1:15" x14ac:dyDescent="0.2">
      <c r="A64" s="37" t="s">
        <v>893</v>
      </c>
      <c r="B64" s="384"/>
      <c r="C64" s="384"/>
      <c r="D64" s="384"/>
      <c r="E64" s="384"/>
      <c r="F64" s="384"/>
      <c r="G64" s="384"/>
      <c r="H64" s="384"/>
      <c r="I64" s="384"/>
      <c r="J64" s="384"/>
      <c r="K64" s="387"/>
      <c r="L64" s="384"/>
      <c r="M64" s="385"/>
      <c r="N64" s="385"/>
      <c r="O64" s="386"/>
    </row>
    <row r="65" spans="1:15" x14ac:dyDescent="0.2">
      <c r="A65" s="37" t="s">
        <v>894</v>
      </c>
      <c r="B65" s="47"/>
      <c r="C65" s="47"/>
      <c r="D65" s="47"/>
      <c r="E65" s="47"/>
      <c r="F65" s="47"/>
      <c r="G65" s="47"/>
      <c r="H65" s="47"/>
      <c r="I65" s="47"/>
      <c r="J65" s="47"/>
      <c r="K65" s="47"/>
      <c r="L65" s="47"/>
      <c r="M65" s="242"/>
      <c r="N65" s="242"/>
      <c r="O65" s="48"/>
    </row>
    <row r="66" spans="1:15" x14ac:dyDescent="0.2">
      <c r="A66" s="249" t="s">
        <v>443</v>
      </c>
    </row>
    <row r="67" spans="1:15" x14ac:dyDescent="0.2">
      <c r="A67" s="37" t="s">
        <v>321</v>
      </c>
    </row>
    <row r="68" spans="1:15" x14ac:dyDescent="0.2">
      <c r="A68" s="249" t="s">
        <v>965</v>
      </c>
    </row>
    <row r="69" spans="1:15" x14ac:dyDescent="0.2">
      <c r="A69" s="249" t="s">
        <v>444</v>
      </c>
      <c r="B69" s="3"/>
      <c r="C69" s="3"/>
      <c r="D69" s="3"/>
      <c r="G69" s="185"/>
      <c r="J69" s="185"/>
      <c r="M69"/>
      <c r="N69"/>
    </row>
    <row r="70" spans="1:15" x14ac:dyDescent="0.2">
      <c r="A70" s="243" t="s">
        <v>895</v>
      </c>
      <c r="B70" s="3"/>
      <c r="C70" s="3"/>
      <c r="D70" s="3"/>
      <c r="G70" s="185"/>
      <c r="J70" s="185"/>
      <c r="M70"/>
      <c r="N70"/>
    </row>
    <row r="71" spans="1:15" x14ac:dyDescent="0.2">
      <c r="A71" s="223"/>
    </row>
    <row r="72" spans="1:15" ht="14.25" x14ac:dyDescent="0.2">
      <c r="A72" s="15" t="s">
        <v>447</v>
      </c>
      <c r="O72" s="213" t="s">
        <v>213</v>
      </c>
    </row>
    <row r="73" spans="1:15" x14ac:dyDescent="0.2">
      <c r="A73" s="1"/>
      <c r="B73" s="31" t="s">
        <v>35</v>
      </c>
      <c r="C73" s="32" t="s">
        <v>121</v>
      </c>
      <c r="D73" s="32" t="s">
        <v>123</v>
      </c>
      <c r="E73" s="32" t="s">
        <v>36</v>
      </c>
      <c r="F73" s="32" t="s">
        <v>37</v>
      </c>
      <c r="G73" s="32" t="s">
        <v>38</v>
      </c>
      <c r="H73" s="32" t="s">
        <v>39</v>
      </c>
      <c r="I73" s="32" t="s">
        <v>125</v>
      </c>
      <c r="J73" s="32" t="s">
        <v>126</v>
      </c>
      <c r="K73" s="32" t="s">
        <v>127</v>
      </c>
      <c r="L73" s="236">
        <v>100000</v>
      </c>
      <c r="M73" s="238" t="s">
        <v>231</v>
      </c>
      <c r="N73" s="238" t="s">
        <v>231</v>
      </c>
      <c r="O73" s="237" t="s">
        <v>77</v>
      </c>
    </row>
    <row r="74" spans="1:15" x14ac:dyDescent="0.2">
      <c r="A74" s="18" t="s">
        <v>885</v>
      </c>
      <c r="B74" s="33" t="s">
        <v>120</v>
      </c>
      <c r="C74" s="34" t="s">
        <v>40</v>
      </c>
      <c r="D74" s="34" t="s">
        <v>40</v>
      </c>
      <c r="E74" s="34" t="s">
        <v>40</v>
      </c>
      <c r="F74" s="34" t="s">
        <v>40</v>
      </c>
      <c r="G74" s="34" t="s">
        <v>40</v>
      </c>
      <c r="H74" s="34" t="s">
        <v>40</v>
      </c>
      <c r="I74" s="34" t="s">
        <v>40</v>
      </c>
      <c r="J74" s="34" t="s">
        <v>40</v>
      </c>
      <c r="K74" s="34" t="s">
        <v>40</v>
      </c>
      <c r="L74" s="34" t="s">
        <v>43</v>
      </c>
      <c r="M74" s="239" t="s">
        <v>230</v>
      </c>
      <c r="N74" s="239" t="s">
        <v>138</v>
      </c>
      <c r="O74" s="26" t="s">
        <v>137</v>
      </c>
    </row>
    <row r="75" spans="1:15" x14ac:dyDescent="0.2">
      <c r="A75" s="4"/>
      <c r="B75" s="35" t="s">
        <v>43</v>
      </c>
      <c r="C75" s="36" t="s">
        <v>122</v>
      </c>
      <c r="D75" s="36" t="s">
        <v>124</v>
      </c>
      <c r="E75" s="36" t="s">
        <v>44</v>
      </c>
      <c r="F75" s="36" t="s">
        <v>45</v>
      </c>
      <c r="G75" s="36" t="s">
        <v>46</v>
      </c>
      <c r="H75" s="36" t="s">
        <v>42</v>
      </c>
      <c r="I75" s="36" t="s">
        <v>128</v>
      </c>
      <c r="J75" s="36" t="s">
        <v>129</v>
      </c>
      <c r="K75" s="36" t="s">
        <v>130</v>
      </c>
      <c r="L75" s="36" t="s">
        <v>131</v>
      </c>
      <c r="M75" s="240" t="s">
        <v>138</v>
      </c>
      <c r="N75" s="240" t="s">
        <v>131</v>
      </c>
      <c r="O75" s="27" t="s">
        <v>41</v>
      </c>
    </row>
    <row r="76" spans="1:15" ht="14.25" x14ac:dyDescent="0.2">
      <c r="A76" s="37" t="s">
        <v>317</v>
      </c>
      <c r="B76" s="377">
        <v>583.88800000000003</v>
      </c>
      <c r="C76" s="377">
        <v>442.12529999999998</v>
      </c>
      <c r="D76" s="377">
        <v>363.42169999999999</v>
      </c>
      <c r="E76" s="377">
        <v>367.5607</v>
      </c>
      <c r="F76" s="377">
        <v>399.4486</v>
      </c>
      <c r="G76" s="377">
        <v>408.27300000000002</v>
      </c>
      <c r="H76" s="377">
        <v>416.38459999999998</v>
      </c>
      <c r="I76" s="377">
        <v>391.20929999999998</v>
      </c>
      <c r="J76" s="377">
        <v>419.49709999999999</v>
      </c>
      <c r="K76" s="377">
        <v>460.58679999999998</v>
      </c>
      <c r="L76" s="377">
        <v>451.29950000000002</v>
      </c>
      <c r="M76" s="378">
        <v>393.28280000000001</v>
      </c>
      <c r="N76" s="378">
        <v>429.95620000000002</v>
      </c>
      <c r="O76" s="379">
        <v>411.54950000000002</v>
      </c>
    </row>
    <row r="77" spans="1:15" ht="6" customHeight="1" x14ac:dyDescent="0.2">
      <c r="A77" s="37"/>
      <c r="B77" s="384"/>
      <c r="C77" s="384"/>
      <c r="D77" s="384"/>
      <c r="E77" s="384"/>
      <c r="F77" s="384"/>
      <c r="G77" s="384"/>
      <c r="H77" s="384"/>
      <c r="I77" s="384"/>
      <c r="J77" s="384"/>
      <c r="K77" s="384"/>
      <c r="L77" s="384"/>
      <c r="M77" s="385"/>
      <c r="N77" s="385"/>
      <c r="O77" s="386"/>
    </row>
    <row r="78" spans="1:15" ht="14.25" x14ac:dyDescent="0.2">
      <c r="A78" s="656" t="s">
        <v>318</v>
      </c>
      <c r="B78" s="657">
        <v>664.71299999999997</v>
      </c>
      <c r="C78" s="657">
        <v>539.22770000000003</v>
      </c>
      <c r="D78" s="657">
        <v>523.17510000000004</v>
      </c>
      <c r="E78" s="657">
        <v>461.62819999999999</v>
      </c>
      <c r="F78" s="657">
        <v>437.79919999999998</v>
      </c>
      <c r="G78" s="657">
        <v>441.86239999999998</v>
      </c>
      <c r="H78" s="657">
        <v>467.69420000000002</v>
      </c>
      <c r="I78" s="657">
        <v>424.50060000000002</v>
      </c>
      <c r="J78" s="657">
        <v>460.7457</v>
      </c>
      <c r="K78" s="657">
        <v>448.47320000000002</v>
      </c>
      <c r="L78" s="658" t="s">
        <v>102</v>
      </c>
      <c r="M78" s="659">
        <v>459.43669999999997</v>
      </c>
      <c r="N78" s="659">
        <v>442.20569999999998</v>
      </c>
      <c r="O78" s="660">
        <v>454.10300000000001</v>
      </c>
    </row>
    <row r="79" spans="1:15" x14ac:dyDescent="0.2">
      <c r="A79" s="68" t="s">
        <v>215</v>
      </c>
      <c r="B79" s="315"/>
      <c r="C79" s="315"/>
      <c r="D79" s="315"/>
      <c r="E79" s="315"/>
      <c r="F79" s="315"/>
      <c r="G79" s="315"/>
      <c r="H79" s="315"/>
      <c r="I79" s="315"/>
      <c r="J79" s="315"/>
      <c r="K79" s="315"/>
      <c r="L79" s="380"/>
      <c r="M79" s="316"/>
      <c r="N79" s="316"/>
      <c r="O79" s="317"/>
    </row>
    <row r="80" spans="1:15" ht="14.25" x14ac:dyDescent="0.2">
      <c r="A80" s="661" t="s">
        <v>319</v>
      </c>
      <c r="B80" s="662">
        <v>1549.4618</v>
      </c>
      <c r="C80" s="662">
        <v>1057.3551</v>
      </c>
      <c r="D80" s="662">
        <v>699.32470000000001</v>
      </c>
      <c r="E80" s="662">
        <v>505.61559999999997</v>
      </c>
      <c r="F80" s="662">
        <v>450.59249999999997</v>
      </c>
      <c r="G80" s="662">
        <v>509.4357</v>
      </c>
      <c r="H80" s="662">
        <v>496.43060000000003</v>
      </c>
      <c r="I80" s="662">
        <v>482.44380000000001</v>
      </c>
      <c r="J80" s="662">
        <v>541.41139999999996</v>
      </c>
      <c r="K80" s="662">
        <v>379.96069999999997</v>
      </c>
      <c r="L80" s="658" t="s">
        <v>102</v>
      </c>
      <c r="M80" s="663">
        <v>494.19319999999999</v>
      </c>
      <c r="N80" s="663">
        <v>493.15289999999999</v>
      </c>
      <c r="O80" s="664">
        <v>493.73</v>
      </c>
    </row>
    <row r="81" spans="1:15" x14ac:dyDescent="0.2">
      <c r="A81" t="s">
        <v>22</v>
      </c>
      <c r="B81" s="315">
        <v>415.93270000000001</v>
      </c>
      <c r="C81" s="315">
        <v>457.7296</v>
      </c>
      <c r="D81" s="315">
        <v>639.71860000000004</v>
      </c>
      <c r="E81" s="315">
        <v>634.05470000000003</v>
      </c>
      <c r="F81" s="315">
        <v>824.46069999999997</v>
      </c>
      <c r="G81" s="315">
        <v>761.39250000000004</v>
      </c>
      <c r="H81" s="315">
        <v>674.69899999999996</v>
      </c>
      <c r="I81" s="315">
        <v>620.94129999999996</v>
      </c>
      <c r="J81" s="380" t="s">
        <v>102</v>
      </c>
      <c r="K81" s="380" t="s">
        <v>102</v>
      </c>
      <c r="L81" s="380" t="s">
        <v>102</v>
      </c>
      <c r="M81" s="316">
        <v>686.48839999999996</v>
      </c>
      <c r="N81" s="316">
        <v>620.94129999999996</v>
      </c>
      <c r="O81" s="317">
        <v>681.78420000000006</v>
      </c>
    </row>
    <row r="82" spans="1:15" x14ac:dyDescent="0.2">
      <c r="A82" s="661" t="s">
        <v>210</v>
      </c>
      <c r="B82" s="662">
        <v>647.7296</v>
      </c>
      <c r="C82" s="662">
        <v>650.75630000000001</v>
      </c>
      <c r="D82" s="662">
        <v>507.18209999999999</v>
      </c>
      <c r="E82" s="662">
        <v>551.00239999999997</v>
      </c>
      <c r="F82" s="662">
        <v>454.08620000000002</v>
      </c>
      <c r="G82" s="662">
        <v>414.5043</v>
      </c>
      <c r="H82" s="662">
        <v>451.1825</v>
      </c>
      <c r="I82" s="662">
        <v>327.89690000000002</v>
      </c>
      <c r="J82" s="662">
        <v>204.80860000000001</v>
      </c>
      <c r="K82" s="658" t="s">
        <v>102</v>
      </c>
      <c r="L82" s="658" t="s">
        <v>102</v>
      </c>
      <c r="M82" s="663">
        <v>509.11810000000003</v>
      </c>
      <c r="N82" s="663">
        <v>252.58019999999999</v>
      </c>
      <c r="O82" s="664">
        <v>496.65710000000001</v>
      </c>
    </row>
    <row r="83" spans="1:15" x14ac:dyDescent="0.2">
      <c r="A83" s="68" t="s">
        <v>211</v>
      </c>
      <c r="B83" s="315">
        <v>155.0658</v>
      </c>
      <c r="C83" s="315">
        <v>301.0378</v>
      </c>
      <c r="D83" s="315">
        <v>328.3931</v>
      </c>
      <c r="E83" s="315">
        <v>406.06819999999999</v>
      </c>
      <c r="F83" s="315">
        <v>512.22720000000004</v>
      </c>
      <c r="G83" s="315">
        <v>453.08710000000002</v>
      </c>
      <c r="H83" s="315">
        <v>478.7432</v>
      </c>
      <c r="I83" s="315">
        <v>481.47030000000001</v>
      </c>
      <c r="J83" s="315">
        <v>637.67190000000005</v>
      </c>
      <c r="K83" s="380" t="s">
        <v>102</v>
      </c>
      <c r="L83" s="380" t="s">
        <v>102</v>
      </c>
      <c r="M83" s="316">
        <v>456.54629999999997</v>
      </c>
      <c r="N83" s="316">
        <v>529.4126</v>
      </c>
      <c r="O83" s="317">
        <v>472.52280000000002</v>
      </c>
    </row>
    <row r="84" spans="1:15" ht="6" customHeight="1" x14ac:dyDescent="0.2">
      <c r="A84" s="68"/>
      <c r="B84" s="315"/>
      <c r="C84" s="315"/>
      <c r="D84" s="315"/>
      <c r="E84" s="315"/>
      <c r="F84" s="315"/>
      <c r="G84" s="315"/>
      <c r="H84" s="315"/>
      <c r="I84" s="315"/>
      <c r="J84" s="315"/>
      <c r="K84" s="380"/>
      <c r="L84" s="380"/>
      <c r="M84" s="316"/>
      <c r="N84" s="316"/>
      <c r="O84" s="317"/>
    </row>
    <row r="85" spans="1:15" ht="14.25" x14ac:dyDescent="0.2">
      <c r="A85" s="656" t="s">
        <v>366</v>
      </c>
      <c r="B85" s="657">
        <v>580.58619999999996</v>
      </c>
      <c r="C85" s="657">
        <v>430.36700000000002</v>
      </c>
      <c r="D85" s="657">
        <v>350.28980000000001</v>
      </c>
      <c r="E85" s="657">
        <v>349.02420000000001</v>
      </c>
      <c r="F85" s="657">
        <v>378.99860000000001</v>
      </c>
      <c r="G85" s="657">
        <v>384.28</v>
      </c>
      <c r="H85" s="657">
        <v>397.67529999999999</v>
      </c>
      <c r="I85" s="657">
        <v>376.90039999999999</v>
      </c>
      <c r="J85" s="657">
        <v>413.70400000000001</v>
      </c>
      <c r="K85" s="665">
        <v>469.5686</v>
      </c>
      <c r="L85" s="665">
        <v>451.1705</v>
      </c>
      <c r="M85" s="659">
        <v>373.98660000000001</v>
      </c>
      <c r="N85" s="659">
        <v>427.95740000000001</v>
      </c>
      <c r="O85" s="660">
        <v>401.22809999999998</v>
      </c>
    </row>
    <row r="86" spans="1:15" ht="6" customHeight="1" x14ac:dyDescent="0.2">
      <c r="A86" s="68"/>
      <c r="B86" s="315"/>
      <c r="C86" s="315"/>
      <c r="D86" s="315"/>
      <c r="E86" s="315"/>
      <c r="F86" s="315"/>
      <c r="G86" s="315"/>
      <c r="H86" s="315"/>
      <c r="I86" s="315"/>
      <c r="J86" s="315"/>
      <c r="K86" s="380"/>
      <c r="L86" s="380"/>
      <c r="M86" s="316"/>
      <c r="N86" s="316"/>
      <c r="O86" s="317"/>
    </row>
    <row r="87" spans="1:15" ht="14.25" x14ac:dyDescent="0.2">
      <c r="A87" s="8" t="s">
        <v>320</v>
      </c>
      <c r="B87" s="315"/>
      <c r="C87" s="315"/>
      <c r="D87" s="315"/>
      <c r="E87" s="315"/>
      <c r="F87" s="315"/>
      <c r="G87" s="315"/>
      <c r="H87" s="315"/>
      <c r="I87" s="315"/>
      <c r="J87" s="315"/>
      <c r="K87" s="315"/>
      <c r="L87" s="315"/>
      <c r="M87" s="316"/>
      <c r="N87" s="316"/>
      <c r="O87" s="317"/>
    </row>
    <row r="88" spans="1:15" ht="6" customHeight="1" x14ac:dyDescent="0.2">
      <c r="A88" s="68"/>
      <c r="B88" s="315"/>
      <c r="C88" s="315"/>
      <c r="D88" s="315"/>
      <c r="E88" s="315"/>
      <c r="F88" s="315"/>
      <c r="G88" s="315"/>
      <c r="H88" s="315"/>
      <c r="I88" s="315"/>
      <c r="J88" s="315"/>
      <c r="K88" s="315"/>
      <c r="L88" s="315"/>
      <c r="M88" s="316"/>
      <c r="N88" s="316"/>
      <c r="O88" s="317"/>
    </row>
    <row r="89" spans="1:15" x14ac:dyDescent="0.2">
      <c r="A89" s="661" t="s">
        <v>212</v>
      </c>
      <c r="B89" s="662">
        <v>583.88800000000003</v>
      </c>
      <c r="C89" s="662">
        <v>442.1302</v>
      </c>
      <c r="D89" s="662">
        <v>362.53680000000003</v>
      </c>
      <c r="E89" s="662">
        <v>370.78149999999999</v>
      </c>
      <c r="F89" s="662">
        <v>410.46629999999999</v>
      </c>
      <c r="G89" s="662">
        <v>415.03969999999998</v>
      </c>
      <c r="H89" s="662">
        <v>415.04199999999997</v>
      </c>
      <c r="I89" s="658">
        <v>388.66539999999998</v>
      </c>
      <c r="J89" s="658">
        <v>352.06689999999998</v>
      </c>
      <c r="K89" s="658" t="s">
        <v>102</v>
      </c>
      <c r="L89" s="658" t="s">
        <v>102</v>
      </c>
      <c r="M89" s="663">
        <v>390.18040000000002</v>
      </c>
      <c r="N89" s="672">
        <v>378.55540000000002</v>
      </c>
      <c r="O89" s="664">
        <v>390.01870000000002</v>
      </c>
    </row>
    <row r="90" spans="1:15" x14ac:dyDescent="0.2">
      <c r="A90" s="68" t="s">
        <v>216</v>
      </c>
      <c r="B90" s="315" t="s">
        <v>102</v>
      </c>
      <c r="C90" s="315">
        <v>431.03489999999999</v>
      </c>
      <c r="D90" s="315">
        <v>479.45620000000002</v>
      </c>
      <c r="E90" s="315">
        <v>340.24310000000003</v>
      </c>
      <c r="F90" s="315">
        <v>375.84300000000002</v>
      </c>
      <c r="G90" s="315">
        <v>399.61709999999999</v>
      </c>
      <c r="H90" s="315">
        <v>416.77679999999998</v>
      </c>
      <c r="I90" s="315">
        <v>391.2919</v>
      </c>
      <c r="J90" s="315">
        <v>420.06700000000001</v>
      </c>
      <c r="K90" s="315">
        <v>460.58679999999998</v>
      </c>
      <c r="L90" s="315">
        <v>451.29950000000002</v>
      </c>
      <c r="M90" s="316">
        <v>399.42880000000002</v>
      </c>
      <c r="N90" s="316">
        <v>430.44630000000001</v>
      </c>
      <c r="O90" s="317">
        <v>422.55459999999999</v>
      </c>
    </row>
    <row r="91" spans="1:15" ht="6" customHeight="1" x14ac:dyDescent="0.2">
      <c r="A91" s="68"/>
      <c r="B91" s="315"/>
      <c r="C91" s="315"/>
      <c r="D91" s="315"/>
      <c r="E91" s="315"/>
      <c r="F91" s="315"/>
      <c r="G91" s="315"/>
      <c r="H91" s="315"/>
      <c r="I91" s="315"/>
      <c r="J91" s="315"/>
      <c r="K91" s="315"/>
      <c r="L91" s="315"/>
      <c r="M91" s="316"/>
      <c r="N91" s="316"/>
      <c r="O91" s="317"/>
    </row>
    <row r="92" spans="1:15" ht="14.25" x14ac:dyDescent="0.2">
      <c r="A92" s="656" t="s">
        <v>382</v>
      </c>
      <c r="B92" s="657">
        <v>583.88800000000003</v>
      </c>
      <c r="C92" s="657">
        <v>442.12529999999998</v>
      </c>
      <c r="D92" s="657">
        <v>363.17329999999998</v>
      </c>
      <c r="E92" s="657">
        <v>367.5154</v>
      </c>
      <c r="F92" s="657">
        <v>399.7285</v>
      </c>
      <c r="G92" s="657">
        <v>409.17320000000001</v>
      </c>
      <c r="H92" s="657">
        <v>411.52530000000002</v>
      </c>
      <c r="I92" s="657">
        <v>391.15440000000001</v>
      </c>
      <c r="J92" s="657">
        <v>423.41219999999998</v>
      </c>
      <c r="K92" s="665">
        <v>465.81360000000001</v>
      </c>
      <c r="L92" s="657">
        <v>451.1705</v>
      </c>
      <c r="M92" s="659">
        <v>392.04759999999999</v>
      </c>
      <c r="N92" s="659">
        <v>431.97699999999998</v>
      </c>
      <c r="O92" s="660">
        <v>411.49689999999998</v>
      </c>
    </row>
    <row r="93" spans="1:15" x14ac:dyDescent="0.2">
      <c r="A93" s="68" t="s">
        <v>215</v>
      </c>
      <c r="B93" s="361"/>
      <c r="C93" s="361"/>
      <c r="D93" s="361"/>
      <c r="E93" s="361"/>
      <c r="F93" s="361"/>
      <c r="G93" s="361"/>
      <c r="H93" s="361"/>
      <c r="I93" s="361"/>
      <c r="J93" s="361"/>
      <c r="K93" s="380"/>
      <c r="L93" s="361"/>
      <c r="M93" s="316"/>
      <c r="N93" s="316"/>
      <c r="O93" s="317"/>
    </row>
    <row r="94" spans="1:15" x14ac:dyDescent="0.2">
      <c r="A94" s="661" t="s">
        <v>218</v>
      </c>
      <c r="B94" s="662">
        <v>636.95519999999999</v>
      </c>
      <c r="C94" s="662">
        <v>648.92679999999996</v>
      </c>
      <c r="D94" s="662">
        <v>563.10270000000003</v>
      </c>
      <c r="E94" s="662">
        <v>591.21130000000005</v>
      </c>
      <c r="F94" s="662">
        <v>615.27440000000001</v>
      </c>
      <c r="G94" s="662">
        <v>595.61540000000002</v>
      </c>
      <c r="H94" s="662">
        <v>629.87490000000003</v>
      </c>
      <c r="I94" s="662">
        <v>596.81020000000001</v>
      </c>
      <c r="J94" s="662">
        <v>204.80860000000001</v>
      </c>
      <c r="K94" s="658" t="s">
        <v>102</v>
      </c>
      <c r="L94" s="658" t="s">
        <v>102</v>
      </c>
      <c r="M94" s="663">
        <v>599.95129999999995</v>
      </c>
      <c r="N94" s="663">
        <v>528.49940000000004</v>
      </c>
      <c r="O94" s="664">
        <v>594.84690000000001</v>
      </c>
    </row>
    <row r="95" spans="1:15" x14ac:dyDescent="0.2">
      <c r="A95" s="68" t="s">
        <v>219</v>
      </c>
      <c r="B95" s="315">
        <v>814.73770000000002</v>
      </c>
      <c r="C95" s="315">
        <v>629.3374</v>
      </c>
      <c r="D95" s="315">
        <v>506.23989999999998</v>
      </c>
      <c r="E95" s="315">
        <v>431.59129999999999</v>
      </c>
      <c r="F95" s="315">
        <v>452.7389</v>
      </c>
      <c r="G95" s="315">
        <v>517.53200000000004</v>
      </c>
      <c r="H95" s="315">
        <v>462.08359999999999</v>
      </c>
      <c r="I95" s="315">
        <v>373.78440000000001</v>
      </c>
      <c r="J95" s="315">
        <v>413.29570000000001</v>
      </c>
      <c r="K95" s="380" t="s">
        <v>102</v>
      </c>
      <c r="L95" s="380">
        <v>358.97480000000002</v>
      </c>
      <c r="M95" s="316">
        <v>478.43950000000001</v>
      </c>
      <c r="N95" s="316">
        <v>377.65089999999998</v>
      </c>
      <c r="O95" s="317">
        <v>456.54349999999999</v>
      </c>
    </row>
    <row r="96" spans="1:15" x14ac:dyDescent="0.2">
      <c r="A96" s="661" t="s">
        <v>816</v>
      </c>
      <c r="B96" s="662">
        <v>351.69499999999999</v>
      </c>
      <c r="C96" s="662">
        <v>394.36759999999998</v>
      </c>
      <c r="D96" s="662">
        <v>439.74160000000001</v>
      </c>
      <c r="E96" s="662">
        <v>445.41489999999999</v>
      </c>
      <c r="F96" s="662">
        <v>458.87150000000003</v>
      </c>
      <c r="G96" s="662">
        <v>490.40879999999999</v>
      </c>
      <c r="H96" s="662">
        <v>476.83550000000002</v>
      </c>
      <c r="I96" s="662">
        <v>473.57740000000001</v>
      </c>
      <c r="J96" s="662">
        <v>550.44600000000003</v>
      </c>
      <c r="K96" s="658">
        <v>379.96069999999997</v>
      </c>
      <c r="L96" s="658" t="s">
        <v>102</v>
      </c>
      <c r="M96" s="663">
        <v>469.14780000000002</v>
      </c>
      <c r="N96" s="663">
        <v>494.2088</v>
      </c>
      <c r="O96" s="664">
        <v>479.47469999999998</v>
      </c>
    </row>
    <row r="97" spans="1:15" x14ac:dyDescent="0.2">
      <c r="A97" s="202" t="s">
        <v>383</v>
      </c>
      <c r="B97" s="376">
        <v>467.08780000000002</v>
      </c>
      <c r="C97" s="376">
        <v>374.48520000000002</v>
      </c>
      <c r="D97" s="376">
        <v>320.40629999999999</v>
      </c>
      <c r="E97" s="376">
        <v>338.03050000000002</v>
      </c>
      <c r="F97" s="376">
        <v>372.28379999999999</v>
      </c>
      <c r="G97" s="376">
        <v>373.7826</v>
      </c>
      <c r="H97" s="376">
        <v>391.78649999999999</v>
      </c>
      <c r="I97" s="376">
        <v>377.11489999999998</v>
      </c>
      <c r="J97" s="376">
        <v>413.71289999999999</v>
      </c>
      <c r="K97" s="381">
        <v>469.5686</v>
      </c>
      <c r="L97" s="376">
        <v>454.05489999999998</v>
      </c>
      <c r="M97" s="382">
        <v>361.41699999999997</v>
      </c>
      <c r="N97" s="382">
        <v>429.47329999999999</v>
      </c>
      <c r="O97" s="383">
        <v>397.19470000000001</v>
      </c>
    </row>
    <row r="98" spans="1:15" x14ac:dyDescent="0.2">
      <c r="A98" s="37" t="s">
        <v>893</v>
      </c>
      <c r="B98" s="384"/>
      <c r="C98" s="384"/>
      <c r="D98" s="384"/>
      <c r="E98" s="384"/>
      <c r="F98" s="384"/>
      <c r="G98" s="384"/>
      <c r="H98" s="384"/>
      <c r="I98" s="384"/>
      <c r="J98" s="384"/>
      <c r="K98" s="387"/>
      <c r="L98" s="384"/>
      <c r="M98" s="385"/>
      <c r="N98" s="385"/>
      <c r="O98" s="386"/>
    </row>
    <row r="99" spans="1:15" x14ac:dyDescent="0.2">
      <c r="A99" s="37" t="s">
        <v>894</v>
      </c>
      <c r="B99" s="47"/>
      <c r="C99" s="47"/>
      <c r="D99" s="47"/>
      <c r="E99" s="47"/>
      <c r="F99" s="47"/>
      <c r="G99" s="47"/>
      <c r="H99" s="47"/>
      <c r="I99" s="47"/>
      <c r="J99" s="47"/>
      <c r="K99" s="47"/>
      <c r="L99" s="47"/>
      <c r="M99" s="242"/>
      <c r="N99" s="242"/>
      <c r="O99" s="48"/>
    </row>
    <row r="100" spans="1:15" x14ac:dyDescent="0.2">
      <c r="A100" s="249" t="s">
        <v>443</v>
      </c>
      <c r="B100" s="47"/>
      <c r="C100" s="47"/>
      <c r="D100" s="47"/>
      <c r="E100" s="47"/>
      <c r="F100" s="47"/>
      <c r="G100" s="47"/>
      <c r="H100" s="47"/>
      <c r="I100" s="47"/>
      <c r="J100" s="47"/>
      <c r="K100" s="47"/>
      <c r="L100" s="47"/>
      <c r="M100" s="242"/>
      <c r="N100" s="242"/>
      <c r="O100" s="48"/>
    </row>
    <row r="101" spans="1:15" x14ac:dyDescent="0.2">
      <c r="A101" s="37" t="s">
        <v>321</v>
      </c>
    </row>
    <row r="102" spans="1:15" x14ac:dyDescent="0.2">
      <c r="A102" s="249" t="s">
        <v>1000</v>
      </c>
    </row>
    <row r="103" spans="1:15" x14ac:dyDescent="0.2">
      <c r="A103" s="249" t="s">
        <v>444</v>
      </c>
    </row>
    <row r="104" spans="1:15" x14ac:dyDescent="0.2">
      <c r="A104" s="243" t="s">
        <v>895</v>
      </c>
      <c r="B104" s="3"/>
      <c r="C104" s="3"/>
      <c r="D104" s="3"/>
      <c r="G104" s="185"/>
      <c r="J104" s="185"/>
      <c r="M104"/>
      <c r="N104"/>
    </row>
    <row r="105" spans="1:15" x14ac:dyDescent="0.2">
      <c r="B105" s="3"/>
      <c r="C105" s="3"/>
      <c r="D105" s="3"/>
      <c r="G105" s="185"/>
      <c r="J105" s="185"/>
      <c r="M105"/>
      <c r="N105"/>
    </row>
    <row r="106" spans="1:15" ht="14.25" x14ac:dyDescent="0.2">
      <c r="A106" s="15" t="s">
        <v>550</v>
      </c>
      <c r="O106" s="213" t="s">
        <v>213</v>
      </c>
    </row>
    <row r="107" spans="1:15" x14ac:dyDescent="0.2">
      <c r="A107" s="1"/>
      <c r="B107" s="31" t="s">
        <v>35</v>
      </c>
      <c r="C107" s="32" t="s">
        <v>121</v>
      </c>
      <c r="D107" s="32" t="s">
        <v>123</v>
      </c>
      <c r="E107" s="32" t="s">
        <v>36</v>
      </c>
      <c r="F107" s="32" t="s">
        <v>37</v>
      </c>
      <c r="G107" s="32" t="s">
        <v>38</v>
      </c>
      <c r="H107" s="32" t="s">
        <v>39</v>
      </c>
      <c r="I107" s="32" t="s">
        <v>125</v>
      </c>
      <c r="J107" s="32" t="s">
        <v>126</v>
      </c>
      <c r="K107" s="32" t="s">
        <v>127</v>
      </c>
      <c r="L107" s="236">
        <v>100000</v>
      </c>
      <c r="M107" s="238" t="s">
        <v>231</v>
      </c>
      <c r="N107" s="238" t="s">
        <v>228</v>
      </c>
      <c r="O107" s="237" t="s">
        <v>77</v>
      </c>
    </row>
    <row r="108" spans="1:15" x14ac:dyDescent="0.2">
      <c r="A108" s="18" t="s">
        <v>885</v>
      </c>
      <c r="B108" s="33" t="s">
        <v>120</v>
      </c>
      <c r="C108" s="34" t="s">
        <v>40</v>
      </c>
      <c r="D108" s="34" t="s">
        <v>40</v>
      </c>
      <c r="E108" s="34" t="s">
        <v>40</v>
      </c>
      <c r="F108" s="34" t="s">
        <v>40</v>
      </c>
      <c r="G108" s="34" t="s">
        <v>40</v>
      </c>
      <c r="H108" s="34" t="s">
        <v>40</v>
      </c>
      <c r="I108" s="34" t="s">
        <v>40</v>
      </c>
      <c r="J108" s="34" t="s">
        <v>40</v>
      </c>
      <c r="K108" s="34" t="s">
        <v>40</v>
      </c>
      <c r="L108" s="34" t="s">
        <v>43</v>
      </c>
      <c r="M108" s="239" t="s">
        <v>230</v>
      </c>
      <c r="N108" s="239" t="s">
        <v>138</v>
      </c>
      <c r="O108" s="26" t="s">
        <v>137</v>
      </c>
    </row>
    <row r="109" spans="1:15" x14ac:dyDescent="0.2">
      <c r="A109" s="4"/>
      <c r="B109" s="35" t="s">
        <v>43</v>
      </c>
      <c r="C109" s="36" t="s">
        <v>122</v>
      </c>
      <c r="D109" s="36" t="s">
        <v>124</v>
      </c>
      <c r="E109" s="36" t="s">
        <v>44</v>
      </c>
      <c r="F109" s="36" t="s">
        <v>45</v>
      </c>
      <c r="G109" s="36" t="s">
        <v>46</v>
      </c>
      <c r="H109" s="36" t="s">
        <v>42</v>
      </c>
      <c r="I109" s="36" t="s">
        <v>128</v>
      </c>
      <c r="J109" s="36" t="s">
        <v>129</v>
      </c>
      <c r="K109" s="36" t="s">
        <v>130</v>
      </c>
      <c r="L109" s="36" t="s">
        <v>131</v>
      </c>
      <c r="M109" s="240" t="s">
        <v>138</v>
      </c>
      <c r="N109" s="240" t="s">
        <v>131</v>
      </c>
      <c r="O109" s="27" t="s">
        <v>41</v>
      </c>
    </row>
    <row r="110" spans="1:15" ht="14.25" x14ac:dyDescent="0.2">
      <c r="A110" s="37" t="s">
        <v>362</v>
      </c>
      <c r="B110" s="377">
        <v>560.17660000000001</v>
      </c>
      <c r="C110" s="377">
        <v>422.57530000000003</v>
      </c>
      <c r="D110" s="377">
        <v>345.22019999999998</v>
      </c>
      <c r="E110" s="377">
        <v>350.9341</v>
      </c>
      <c r="F110" s="377">
        <v>381.16969999999998</v>
      </c>
      <c r="G110" s="377">
        <v>391.60610000000003</v>
      </c>
      <c r="H110" s="377">
        <v>400.1515</v>
      </c>
      <c r="I110" s="377">
        <v>372.91019999999997</v>
      </c>
      <c r="J110" s="377">
        <v>392.0874</v>
      </c>
      <c r="K110" s="377">
        <v>427.35980000000001</v>
      </c>
      <c r="L110" s="377">
        <v>370.22519999999997</v>
      </c>
      <c r="M110" s="378">
        <v>376.18180000000001</v>
      </c>
      <c r="N110" s="378">
        <v>387.62920000000003</v>
      </c>
      <c r="O110" s="379">
        <v>381.88369999999998</v>
      </c>
    </row>
    <row r="111" spans="1:15" ht="6" customHeight="1" x14ac:dyDescent="0.2">
      <c r="A111" s="37"/>
      <c r="B111" s="384"/>
      <c r="C111" s="384"/>
      <c r="D111" s="384"/>
      <c r="E111" s="384"/>
      <c r="F111" s="384"/>
      <c r="G111" s="384"/>
      <c r="H111" s="384"/>
      <c r="I111" s="384"/>
      <c r="J111" s="384"/>
      <c r="K111" s="384"/>
      <c r="L111" s="384"/>
      <c r="M111" s="385"/>
      <c r="N111" s="385"/>
      <c r="O111" s="386"/>
    </row>
    <row r="112" spans="1:15" ht="14.25" x14ac:dyDescent="0.2">
      <c r="A112" s="656" t="s">
        <v>363</v>
      </c>
      <c r="B112" s="657">
        <v>599.6585</v>
      </c>
      <c r="C112" s="657">
        <v>604.82389999999998</v>
      </c>
      <c r="D112" s="657">
        <v>502.4117</v>
      </c>
      <c r="E112" s="657">
        <v>503.32760000000002</v>
      </c>
      <c r="F112" s="657">
        <v>485.47579999999999</v>
      </c>
      <c r="G112" s="657">
        <v>491.68579999999997</v>
      </c>
      <c r="H112" s="657">
        <v>462.1678</v>
      </c>
      <c r="I112" s="657">
        <v>464.97469999999998</v>
      </c>
      <c r="J112" s="657">
        <v>506.81799999999998</v>
      </c>
      <c r="K112" s="657">
        <v>317.2722</v>
      </c>
      <c r="L112" s="658" t="s">
        <v>102</v>
      </c>
      <c r="M112" s="659">
        <v>488.3218</v>
      </c>
      <c r="N112" s="659">
        <v>464.3827</v>
      </c>
      <c r="O112" s="660">
        <v>480.85449999999997</v>
      </c>
    </row>
    <row r="113" spans="1:15" x14ac:dyDescent="0.2">
      <c r="A113" s="68" t="s">
        <v>215</v>
      </c>
      <c r="B113" s="315"/>
      <c r="C113" s="315"/>
      <c r="D113" s="315"/>
      <c r="E113" s="315"/>
      <c r="F113" s="315"/>
      <c r="G113" s="315"/>
      <c r="H113" s="315"/>
      <c r="I113" s="315"/>
      <c r="J113" s="315"/>
      <c r="K113" s="315"/>
      <c r="L113" s="380"/>
      <c r="M113" s="316"/>
      <c r="N113" s="316"/>
      <c r="O113" s="317"/>
    </row>
    <row r="114" spans="1:15" ht="14.25" x14ac:dyDescent="0.2">
      <c r="A114" s="661" t="s">
        <v>364</v>
      </c>
      <c r="B114" s="662">
        <v>1549.4618</v>
      </c>
      <c r="C114" s="662">
        <v>1055.2720999999999</v>
      </c>
      <c r="D114" s="662">
        <v>654.82339999999999</v>
      </c>
      <c r="E114" s="662">
        <v>485.90699999999998</v>
      </c>
      <c r="F114" s="662">
        <v>421.8073</v>
      </c>
      <c r="G114" s="662">
        <v>473.80540000000002</v>
      </c>
      <c r="H114" s="662">
        <v>465.60649999999998</v>
      </c>
      <c r="I114" s="662">
        <v>456.98020000000002</v>
      </c>
      <c r="J114" s="662">
        <v>506.01549999999997</v>
      </c>
      <c r="K114" s="662">
        <v>317.2722</v>
      </c>
      <c r="L114" s="658" t="s">
        <v>102</v>
      </c>
      <c r="M114" s="663">
        <v>464.36369999999999</v>
      </c>
      <c r="N114" s="663">
        <v>458.05889999999999</v>
      </c>
      <c r="O114" s="664">
        <v>461.55619999999999</v>
      </c>
    </row>
    <row r="115" spans="1:15" x14ac:dyDescent="0.2">
      <c r="A115" t="s">
        <v>22</v>
      </c>
      <c r="B115" s="315">
        <v>347.9871</v>
      </c>
      <c r="C115" s="315">
        <v>435.45260000000002</v>
      </c>
      <c r="D115" s="315">
        <v>590.74850000000004</v>
      </c>
      <c r="E115" s="315">
        <v>586.31610000000001</v>
      </c>
      <c r="F115" s="315">
        <v>757.59960000000001</v>
      </c>
      <c r="G115" s="315">
        <v>739.20770000000005</v>
      </c>
      <c r="H115" s="315">
        <v>478.01080000000002</v>
      </c>
      <c r="I115" s="315">
        <v>603.37929999999994</v>
      </c>
      <c r="J115" s="380" t="s">
        <v>102</v>
      </c>
      <c r="K115" s="380" t="s">
        <v>102</v>
      </c>
      <c r="L115" s="380" t="s">
        <v>102</v>
      </c>
      <c r="M115" s="316">
        <v>622.12729999999999</v>
      </c>
      <c r="N115" s="316">
        <v>603.37929999999994</v>
      </c>
      <c r="O115" s="317">
        <v>620.7817</v>
      </c>
    </row>
    <row r="116" spans="1:15" x14ac:dyDescent="0.2">
      <c r="A116" s="661" t="s">
        <v>210</v>
      </c>
      <c r="B116" s="662">
        <v>623.62739999999997</v>
      </c>
      <c r="C116" s="662">
        <v>633.50450000000001</v>
      </c>
      <c r="D116" s="662">
        <v>468.60559999999998</v>
      </c>
      <c r="E116" s="662">
        <v>527.38610000000006</v>
      </c>
      <c r="F116" s="662">
        <v>435.34589999999997</v>
      </c>
      <c r="G116" s="662">
        <v>412.94409999999999</v>
      </c>
      <c r="H116" s="662">
        <v>433.6234</v>
      </c>
      <c r="I116" s="662">
        <v>294.78280000000001</v>
      </c>
      <c r="J116" s="662">
        <v>178.78450000000001</v>
      </c>
      <c r="K116" s="658" t="s">
        <v>102</v>
      </c>
      <c r="L116" s="658" t="s">
        <v>102</v>
      </c>
      <c r="M116" s="663">
        <v>487.39609999999999</v>
      </c>
      <c r="N116" s="663">
        <v>223.80439999999999</v>
      </c>
      <c r="O116" s="664">
        <v>474.59249999999997</v>
      </c>
    </row>
    <row r="117" spans="1:15" x14ac:dyDescent="0.2">
      <c r="A117" s="68" t="s">
        <v>211</v>
      </c>
      <c r="B117" s="315">
        <v>143.3725</v>
      </c>
      <c r="C117" s="315">
        <v>272.02600000000001</v>
      </c>
      <c r="D117" s="315">
        <v>313.51150000000001</v>
      </c>
      <c r="E117" s="315">
        <v>381.83769999999998</v>
      </c>
      <c r="F117" s="315">
        <v>494.5351</v>
      </c>
      <c r="G117" s="315">
        <v>427.50049999999999</v>
      </c>
      <c r="H117" s="315">
        <v>454.202</v>
      </c>
      <c r="I117" s="315">
        <v>467.43009999999998</v>
      </c>
      <c r="J117" s="315">
        <v>618.16999999999996</v>
      </c>
      <c r="K117" s="380" t="s">
        <v>102</v>
      </c>
      <c r="L117" s="380" t="s">
        <v>102</v>
      </c>
      <c r="M117" s="316">
        <v>433.94979999999998</v>
      </c>
      <c r="N117" s="316">
        <v>513.6961</v>
      </c>
      <c r="O117" s="317">
        <v>451.43490000000003</v>
      </c>
    </row>
    <row r="118" spans="1:15" ht="6" customHeight="1" x14ac:dyDescent="0.2">
      <c r="A118" s="68"/>
      <c r="B118" s="315"/>
      <c r="C118" s="315"/>
      <c r="D118" s="315"/>
      <c r="E118" s="315"/>
      <c r="F118" s="315"/>
      <c r="G118" s="315"/>
      <c r="H118" s="315"/>
      <c r="I118" s="315"/>
      <c r="J118" s="315"/>
      <c r="K118" s="380"/>
      <c r="L118" s="380"/>
      <c r="M118" s="316"/>
      <c r="N118" s="316"/>
      <c r="O118" s="317"/>
    </row>
    <row r="119" spans="1:15" ht="14.25" x14ac:dyDescent="0.2">
      <c r="A119" s="656" t="s">
        <v>551</v>
      </c>
      <c r="B119" s="657">
        <v>557.22749999999996</v>
      </c>
      <c r="C119" s="657">
        <v>410.69889999999998</v>
      </c>
      <c r="D119" s="657">
        <v>333.60599999999999</v>
      </c>
      <c r="E119" s="657">
        <v>333.84879999999998</v>
      </c>
      <c r="F119" s="657">
        <v>362.69909999999999</v>
      </c>
      <c r="G119" s="657">
        <v>369.88150000000002</v>
      </c>
      <c r="H119" s="657">
        <v>383.79520000000002</v>
      </c>
      <c r="I119" s="657">
        <v>359.06389999999999</v>
      </c>
      <c r="J119" s="657">
        <v>386.68110000000001</v>
      </c>
      <c r="K119" s="665">
        <v>435.89479999999998</v>
      </c>
      <c r="L119" s="665">
        <v>368.65069999999997</v>
      </c>
      <c r="M119" s="659">
        <v>358.67469999999997</v>
      </c>
      <c r="N119" s="659">
        <v>383.6893</v>
      </c>
      <c r="O119" s="660">
        <v>371.30070000000001</v>
      </c>
    </row>
    <row r="120" spans="1:15" ht="6" customHeight="1" x14ac:dyDescent="0.2">
      <c r="A120" s="68"/>
      <c r="B120" s="315"/>
      <c r="C120" s="315"/>
      <c r="D120" s="315"/>
      <c r="E120" s="315"/>
      <c r="F120" s="315"/>
      <c r="G120" s="315"/>
      <c r="H120" s="315"/>
      <c r="I120" s="315"/>
      <c r="J120" s="315"/>
      <c r="K120" s="380"/>
      <c r="L120" s="380"/>
      <c r="M120" s="316"/>
      <c r="N120" s="316"/>
      <c r="O120" s="317"/>
    </row>
    <row r="121" spans="1:15" ht="14.25" x14ac:dyDescent="0.2">
      <c r="A121" s="8" t="s">
        <v>365</v>
      </c>
      <c r="B121" s="315"/>
      <c r="C121" s="315"/>
      <c r="D121" s="315"/>
      <c r="E121" s="315"/>
      <c r="F121" s="315"/>
      <c r="G121" s="315"/>
      <c r="H121" s="315"/>
      <c r="I121" s="315"/>
      <c r="J121" s="315"/>
      <c r="K121" s="315"/>
      <c r="L121" s="315"/>
      <c r="M121" s="316"/>
      <c r="N121" s="316"/>
      <c r="O121" s="317"/>
    </row>
    <row r="122" spans="1:15" ht="6" customHeight="1" x14ac:dyDescent="0.2">
      <c r="A122" s="68"/>
      <c r="B122" s="315"/>
      <c r="C122" s="315"/>
      <c r="D122" s="315"/>
      <c r="E122" s="315"/>
      <c r="F122" s="315"/>
      <c r="G122" s="315"/>
      <c r="H122" s="315"/>
      <c r="I122" s="315"/>
      <c r="J122" s="315"/>
      <c r="K122" s="315"/>
      <c r="L122" s="315"/>
      <c r="M122" s="316"/>
      <c r="N122" s="316"/>
      <c r="O122" s="317"/>
    </row>
    <row r="123" spans="1:15" x14ac:dyDescent="0.2">
      <c r="A123" s="661" t="s">
        <v>212</v>
      </c>
      <c r="B123" s="662">
        <v>560.17660000000001</v>
      </c>
      <c r="C123" s="662">
        <v>422.57159999999999</v>
      </c>
      <c r="D123" s="662">
        <v>344.32220000000001</v>
      </c>
      <c r="E123" s="662">
        <v>353.90870000000001</v>
      </c>
      <c r="F123" s="662">
        <v>391.80770000000001</v>
      </c>
      <c r="G123" s="662">
        <v>398.13959999999997</v>
      </c>
      <c r="H123" s="662">
        <v>404.14890000000003</v>
      </c>
      <c r="I123" s="658">
        <v>362.42169999999999</v>
      </c>
      <c r="J123" s="658">
        <v>325.92180000000002</v>
      </c>
      <c r="K123" s="658" t="s">
        <v>102</v>
      </c>
      <c r="L123" s="658" t="s">
        <v>102</v>
      </c>
      <c r="M123" s="663">
        <v>373.1146</v>
      </c>
      <c r="N123" s="672">
        <v>352.33890000000002</v>
      </c>
      <c r="O123" s="664">
        <v>372.82560000000001</v>
      </c>
    </row>
    <row r="124" spans="1:15" x14ac:dyDescent="0.2">
      <c r="A124" s="68" t="s">
        <v>216</v>
      </c>
      <c r="B124" s="315" t="s">
        <v>102</v>
      </c>
      <c r="C124" s="315">
        <v>431.03489999999999</v>
      </c>
      <c r="D124" s="315">
        <v>462.97210000000001</v>
      </c>
      <c r="E124" s="315">
        <v>325.70490000000001</v>
      </c>
      <c r="F124" s="315">
        <v>358.37759999999997</v>
      </c>
      <c r="G124" s="315">
        <v>383.24849999999998</v>
      </c>
      <c r="H124" s="315">
        <v>398.9837</v>
      </c>
      <c r="I124" s="315">
        <v>373.25069999999999</v>
      </c>
      <c r="J124" s="315">
        <v>392.64659999999998</v>
      </c>
      <c r="K124" s="315">
        <v>427.35980000000001</v>
      </c>
      <c r="L124" s="315">
        <v>370.22519999999997</v>
      </c>
      <c r="M124" s="316">
        <v>382.25799999999998</v>
      </c>
      <c r="N124" s="316">
        <v>387.96570000000003</v>
      </c>
      <c r="O124" s="317">
        <v>386.51350000000002</v>
      </c>
    </row>
    <row r="125" spans="1:15" ht="6" customHeight="1" x14ac:dyDescent="0.2">
      <c r="A125" s="68"/>
      <c r="B125" s="315"/>
      <c r="C125" s="315"/>
      <c r="D125" s="315"/>
      <c r="E125" s="315"/>
      <c r="F125" s="315"/>
      <c r="G125" s="315"/>
      <c r="H125" s="315"/>
      <c r="I125" s="315"/>
      <c r="J125" s="315"/>
      <c r="K125" s="315"/>
      <c r="L125" s="315"/>
      <c r="M125" s="316"/>
      <c r="N125" s="316"/>
      <c r="O125" s="317"/>
    </row>
    <row r="126" spans="1:15" ht="14.25" x14ac:dyDescent="0.2">
      <c r="A126" s="656" t="s">
        <v>384</v>
      </c>
      <c r="B126" s="657">
        <v>560.17660000000001</v>
      </c>
      <c r="C126" s="657">
        <v>422.57530000000003</v>
      </c>
      <c r="D126" s="657">
        <v>344.9674</v>
      </c>
      <c r="E126" s="657">
        <v>350.9074</v>
      </c>
      <c r="F126" s="657">
        <v>381.35050000000001</v>
      </c>
      <c r="G126" s="657">
        <v>392.0933</v>
      </c>
      <c r="H126" s="657">
        <v>394.12869999999998</v>
      </c>
      <c r="I126" s="657">
        <v>372.64449999999999</v>
      </c>
      <c r="J126" s="657">
        <v>395.87979999999999</v>
      </c>
      <c r="K126" s="665">
        <v>430.92410000000001</v>
      </c>
      <c r="L126" s="657">
        <v>368.65069999999997</v>
      </c>
      <c r="M126" s="659">
        <v>374.59750000000003</v>
      </c>
      <c r="N126" s="659">
        <v>388.42020000000002</v>
      </c>
      <c r="O126" s="660">
        <v>381.3304</v>
      </c>
    </row>
    <row r="127" spans="1:15" x14ac:dyDescent="0.2">
      <c r="A127" s="68" t="s">
        <v>215</v>
      </c>
      <c r="B127" s="361"/>
      <c r="C127" s="361"/>
      <c r="D127" s="361"/>
      <c r="E127" s="361"/>
      <c r="F127" s="361"/>
      <c r="G127" s="361"/>
      <c r="H127" s="361"/>
      <c r="I127" s="361"/>
      <c r="J127" s="361"/>
      <c r="K127" s="380"/>
      <c r="L127" s="361"/>
      <c r="M127" s="316"/>
      <c r="N127" s="316"/>
      <c r="O127" s="317"/>
    </row>
    <row r="128" spans="1:15" x14ac:dyDescent="0.2">
      <c r="A128" s="661" t="s">
        <v>218</v>
      </c>
      <c r="B128" s="662">
        <v>607.95659999999998</v>
      </c>
      <c r="C128" s="662">
        <v>629.84040000000005</v>
      </c>
      <c r="D128" s="662">
        <v>521.95910000000003</v>
      </c>
      <c r="E128" s="662">
        <v>556.2482</v>
      </c>
      <c r="F128" s="662">
        <v>579.90570000000002</v>
      </c>
      <c r="G128" s="662">
        <v>582.64</v>
      </c>
      <c r="H128" s="662">
        <v>536.34100000000001</v>
      </c>
      <c r="I128" s="662">
        <v>582.26750000000004</v>
      </c>
      <c r="J128" s="662">
        <v>178.78450000000001</v>
      </c>
      <c r="K128" s="658" t="s">
        <v>102</v>
      </c>
      <c r="L128" s="658" t="s">
        <v>102</v>
      </c>
      <c r="M128" s="663">
        <v>561.20860000000005</v>
      </c>
      <c r="N128" s="663">
        <v>511.95589999999999</v>
      </c>
      <c r="O128" s="664">
        <v>557.69000000000005</v>
      </c>
    </row>
    <row r="129" spans="1:15" x14ac:dyDescent="0.2">
      <c r="A129" s="68" t="s">
        <v>219</v>
      </c>
      <c r="B129" s="315">
        <v>791.83140000000003</v>
      </c>
      <c r="C129" s="315">
        <v>604.35609999999997</v>
      </c>
      <c r="D129" s="315">
        <v>487.94510000000002</v>
      </c>
      <c r="E129" s="315">
        <v>413.39400000000001</v>
      </c>
      <c r="F129" s="315">
        <v>427.35660000000001</v>
      </c>
      <c r="G129" s="315">
        <v>498.80549999999999</v>
      </c>
      <c r="H129" s="315">
        <v>444.7355</v>
      </c>
      <c r="I129" s="315">
        <v>351.17200000000003</v>
      </c>
      <c r="J129" s="315">
        <v>356.16329999999999</v>
      </c>
      <c r="K129" s="380" t="s">
        <v>102</v>
      </c>
      <c r="L129" s="380">
        <v>297.53300000000002</v>
      </c>
      <c r="M129" s="316">
        <v>458.89339999999999</v>
      </c>
      <c r="N129" s="316">
        <v>334.29180000000002</v>
      </c>
      <c r="O129" s="317">
        <v>431.82409999999999</v>
      </c>
    </row>
    <row r="130" spans="1:15" x14ac:dyDescent="0.2">
      <c r="A130" s="661" t="s">
        <v>816</v>
      </c>
      <c r="B130" s="662">
        <v>340.92430000000002</v>
      </c>
      <c r="C130" s="662">
        <v>388.31779999999998</v>
      </c>
      <c r="D130" s="662">
        <v>409.23399999999998</v>
      </c>
      <c r="E130" s="662">
        <v>424.30399999999997</v>
      </c>
      <c r="F130" s="662">
        <v>431.94299999999998</v>
      </c>
      <c r="G130" s="662">
        <v>454.75869999999998</v>
      </c>
      <c r="H130" s="662">
        <v>447.06950000000001</v>
      </c>
      <c r="I130" s="662">
        <v>449.3503</v>
      </c>
      <c r="J130" s="662">
        <v>516.54179999999997</v>
      </c>
      <c r="K130" s="658">
        <v>317.2722</v>
      </c>
      <c r="L130" s="658" t="s">
        <v>102</v>
      </c>
      <c r="M130" s="663">
        <v>440.3854</v>
      </c>
      <c r="N130" s="663">
        <v>460.94819999999999</v>
      </c>
      <c r="O130" s="664">
        <v>448.8587</v>
      </c>
    </row>
    <row r="131" spans="1:15" x14ac:dyDescent="0.2">
      <c r="A131" s="202" t="s">
        <v>383</v>
      </c>
      <c r="B131" s="376">
        <v>443.50979999999998</v>
      </c>
      <c r="C131" s="376">
        <v>356.30939999999998</v>
      </c>
      <c r="D131" s="376">
        <v>304.03120000000001</v>
      </c>
      <c r="E131" s="376">
        <v>323.25740000000002</v>
      </c>
      <c r="F131" s="376">
        <v>356.81139999999999</v>
      </c>
      <c r="G131" s="376">
        <v>359.7251</v>
      </c>
      <c r="H131" s="376">
        <v>378.2235</v>
      </c>
      <c r="I131" s="376">
        <v>359.6071</v>
      </c>
      <c r="J131" s="376">
        <v>387.34739999999999</v>
      </c>
      <c r="K131" s="381">
        <v>435.89479999999998</v>
      </c>
      <c r="L131" s="376">
        <v>370.87569999999999</v>
      </c>
      <c r="M131" s="382">
        <v>346.61470000000003</v>
      </c>
      <c r="N131" s="382">
        <v>385.17779999999999</v>
      </c>
      <c r="O131" s="383">
        <v>366.88760000000002</v>
      </c>
    </row>
    <row r="132" spans="1:15" x14ac:dyDescent="0.2">
      <c r="A132" s="37" t="s">
        <v>893</v>
      </c>
      <c r="B132" s="384"/>
      <c r="C132" s="384"/>
      <c r="D132" s="384"/>
      <c r="E132" s="384"/>
      <c r="F132" s="384"/>
      <c r="G132" s="384"/>
      <c r="H132" s="384"/>
      <c r="I132" s="384"/>
      <c r="J132" s="384"/>
      <c r="K132" s="3"/>
      <c r="L132" s="384"/>
      <c r="M132" s="385"/>
      <c r="N132" s="385"/>
      <c r="O132" s="386"/>
    </row>
    <row r="133" spans="1:15" x14ac:dyDescent="0.2">
      <c r="A133" s="249" t="s">
        <v>549</v>
      </c>
      <c r="K133" s="3"/>
    </row>
    <row r="134" spans="1:15" x14ac:dyDescent="0.2">
      <c r="A134" s="37" t="s">
        <v>896</v>
      </c>
      <c r="K134" s="3"/>
    </row>
    <row r="135" spans="1:15" x14ac:dyDescent="0.2">
      <c r="A135" s="249" t="s">
        <v>445</v>
      </c>
      <c r="K135" s="3"/>
    </row>
    <row r="136" spans="1:15" x14ac:dyDescent="0.2">
      <c r="A136" s="37" t="s">
        <v>361</v>
      </c>
      <c r="K136" s="3"/>
    </row>
    <row r="137" spans="1:15" x14ac:dyDescent="0.2">
      <c r="A137" s="249" t="s">
        <v>1001</v>
      </c>
      <c r="K137" s="3"/>
    </row>
    <row r="138" spans="1:15" x14ac:dyDescent="0.2">
      <c r="A138" s="249" t="s">
        <v>446</v>
      </c>
      <c r="B138" s="47"/>
      <c r="C138" s="47"/>
      <c r="D138" s="47"/>
      <c r="E138" s="47"/>
      <c r="F138" s="47"/>
      <c r="G138" s="47"/>
      <c r="H138" s="47"/>
      <c r="I138" s="47"/>
      <c r="J138" s="47"/>
      <c r="K138" s="47"/>
      <c r="L138" s="47"/>
      <c r="M138" s="242"/>
      <c r="N138" s="242"/>
      <c r="O138" s="48"/>
    </row>
    <row r="139" spans="1:15" x14ac:dyDescent="0.2">
      <c r="A139" s="243" t="s">
        <v>895</v>
      </c>
      <c r="B139" s="3"/>
      <c r="C139" s="3"/>
      <c r="D139" s="3"/>
      <c r="G139" s="185"/>
      <c r="J139" s="185"/>
      <c r="M139"/>
      <c r="N139"/>
    </row>
    <row r="141" spans="1:15" ht="14.25" x14ac:dyDescent="0.2">
      <c r="A141" s="15" t="s">
        <v>401</v>
      </c>
      <c r="O141" s="213" t="s">
        <v>23</v>
      </c>
    </row>
    <row r="142" spans="1:15" x14ac:dyDescent="0.2">
      <c r="A142" s="1"/>
      <c r="B142" s="31" t="s">
        <v>35</v>
      </c>
      <c r="C142" s="32" t="s">
        <v>121</v>
      </c>
      <c r="D142" s="32" t="s">
        <v>123</v>
      </c>
      <c r="E142" s="32" t="s">
        <v>36</v>
      </c>
      <c r="F142" s="32" t="s">
        <v>37</v>
      </c>
      <c r="G142" s="32" t="s">
        <v>38</v>
      </c>
      <c r="H142" s="32" t="s">
        <v>39</v>
      </c>
      <c r="I142" s="32" t="s">
        <v>125</v>
      </c>
      <c r="J142" s="32" t="s">
        <v>126</v>
      </c>
      <c r="K142" s="32" t="s">
        <v>127</v>
      </c>
      <c r="L142" s="236">
        <v>100000</v>
      </c>
      <c r="M142" s="238" t="s">
        <v>231</v>
      </c>
      <c r="N142" s="238" t="s">
        <v>228</v>
      </c>
      <c r="O142" s="237" t="s">
        <v>77</v>
      </c>
    </row>
    <row r="143" spans="1:15" x14ac:dyDescent="0.2">
      <c r="A143" s="18" t="s">
        <v>885</v>
      </c>
      <c r="B143" s="33" t="s">
        <v>120</v>
      </c>
      <c r="C143" s="34" t="s">
        <v>40</v>
      </c>
      <c r="D143" s="34" t="s">
        <v>40</v>
      </c>
      <c r="E143" s="34" t="s">
        <v>40</v>
      </c>
      <c r="F143" s="34" t="s">
        <v>40</v>
      </c>
      <c r="G143" s="34" t="s">
        <v>40</v>
      </c>
      <c r="H143" s="34" t="s">
        <v>40</v>
      </c>
      <c r="I143" s="34" t="s">
        <v>40</v>
      </c>
      <c r="J143" s="34" t="s">
        <v>40</v>
      </c>
      <c r="K143" s="34" t="s">
        <v>40</v>
      </c>
      <c r="L143" s="34" t="s">
        <v>43</v>
      </c>
      <c r="M143" s="239" t="s">
        <v>230</v>
      </c>
      <c r="N143" s="239" t="s">
        <v>138</v>
      </c>
      <c r="O143" s="26" t="s">
        <v>137</v>
      </c>
    </row>
    <row r="144" spans="1:15" x14ac:dyDescent="0.2">
      <c r="A144" s="4"/>
      <c r="B144" s="35" t="s">
        <v>43</v>
      </c>
      <c r="C144" s="36" t="s">
        <v>122</v>
      </c>
      <c r="D144" s="36" t="s">
        <v>124</v>
      </c>
      <c r="E144" s="36" t="s">
        <v>44</v>
      </c>
      <c r="F144" s="36" t="s">
        <v>45</v>
      </c>
      <c r="G144" s="36" t="s">
        <v>46</v>
      </c>
      <c r="H144" s="36" t="s">
        <v>42</v>
      </c>
      <c r="I144" s="36" t="s">
        <v>128</v>
      </c>
      <c r="J144" s="36" t="s">
        <v>129</v>
      </c>
      <c r="K144" s="36" t="s">
        <v>130</v>
      </c>
      <c r="L144" s="36" t="s">
        <v>131</v>
      </c>
      <c r="M144" s="240" t="s">
        <v>138</v>
      </c>
      <c r="N144" s="240" t="s">
        <v>131</v>
      </c>
      <c r="O144" s="27" t="s">
        <v>41</v>
      </c>
    </row>
    <row r="145" spans="1:15" ht="14.25" x14ac:dyDescent="0.2">
      <c r="A145" s="37" t="s">
        <v>317</v>
      </c>
      <c r="B145" s="388">
        <v>27.858899999999998</v>
      </c>
      <c r="C145" s="388">
        <v>25.283999999999999</v>
      </c>
      <c r="D145" s="388">
        <v>22.453499999999998</v>
      </c>
      <c r="E145" s="388">
        <v>20.0807</v>
      </c>
      <c r="F145" s="388">
        <v>18.987500000000001</v>
      </c>
      <c r="G145" s="388">
        <v>18.0608</v>
      </c>
      <c r="H145" s="388">
        <v>16.094200000000001</v>
      </c>
      <c r="I145" s="388">
        <v>13.9091</v>
      </c>
      <c r="J145" s="388">
        <v>12.9312</v>
      </c>
      <c r="K145" s="388">
        <v>13.504099999999999</v>
      </c>
      <c r="L145" s="388">
        <v>9.4995999999999992</v>
      </c>
      <c r="M145" s="389">
        <v>18.790700000000001</v>
      </c>
      <c r="N145" s="389">
        <v>12.0433</v>
      </c>
      <c r="O145" s="390">
        <v>14.6471</v>
      </c>
    </row>
    <row r="146" spans="1:15" ht="6" customHeight="1" x14ac:dyDescent="0.2">
      <c r="A146" s="37"/>
      <c r="B146" s="388"/>
      <c r="C146" s="388"/>
      <c r="D146" s="388"/>
      <c r="E146" s="388"/>
      <c r="F146" s="388"/>
      <c r="G146" s="388"/>
      <c r="H146" s="388"/>
      <c r="I146" s="388"/>
      <c r="J146" s="388"/>
      <c r="K146" s="388"/>
      <c r="L146" s="388"/>
      <c r="M146" s="389"/>
      <c r="N146" s="389"/>
      <c r="O146" s="390"/>
    </row>
    <row r="147" spans="1:15" ht="14.25" x14ac:dyDescent="0.2">
      <c r="A147" s="656" t="s">
        <v>318</v>
      </c>
      <c r="B147" s="666">
        <v>29.4602</v>
      </c>
      <c r="C147" s="666">
        <v>25.7042</v>
      </c>
      <c r="D147" s="666">
        <v>23.598800000000001</v>
      </c>
      <c r="E147" s="666">
        <v>21.650600000000001</v>
      </c>
      <c r="F147" s="666">
        <v>20.684200000000001</v>
      </c>
      <c r="G147" s="666">
        <v>21.411000000000001</v>
      </c>
      <c r="H147" s="666">
        <v>20.2742</v>
      </c>
      <c r="I147" s="666">
        <v>17.6601</v>
      </c>
      <c r="J147" s="666">
        <v>16.3215</v>
      </c>
      <c r="K147" s="666">
        <v>8.7779000000000007</v>
      </c>
      <c r="L147" s="843" t="s">
        <v>102</v>
      </c>
      <c r="M147" s="667">
        <v>21.204799999999999</v>
      </c>
      <c r="N147" s="667">
        <v>16.057400000000001</v>
      </c>
      <c r="O147" s="668">
        <v>19.4955</v>
      </c>
    </row>
    <row r="148" spans="1:15" x14ac:dyDescent="0.2">
      <c r="A148" s="68" t="s">
        <v>215</v>
      </c>
      <c r="B148" s="315"/>
      <c r="C148" s="315"/>
      <c r="D148" s="315"/>
      <c r="E148" s="315"/>
      <c r="F148" s="315"/>
      <c r="G148" s="315"/>
      <c r="H148" s="315"/>
      <c r="I148" s="315"/>
      <c r="J148" s="315"/>
      <c r="K148" s="315"/>
      <c r="L148" s="380"/>
      <c r="M148" s="316"/>
      <c r="N148" s="316"/>
      <c r="O148" s="317"/>
    </row>
    <row r="149" spans="1:15" x14ac:dyDescent="0.2">
      <c r="A149" s="661" t="s">
        <v>815</v>
      </c>
      <c r="B149" s="669">
        <v>27.791</v>
      </c>
      <c r="C149" s="669">
        <v>27.843699999999998</v>
      </c>
      <c r="D149" s="669">
        <v>26.583100000000002</v>
      </c>
      <c r="E149" s="669">
        <v>22.823599999999999</v>
      </c>
      <c r="F149" s="669">
        <v>21.622900000000001</v>
      </c>
      <c r="G149" s="669">
        <v>21.2043</v>
      </c>
      <c r="H149" s="669">
        <v>21.101199999999999</v>
      </c>
      <c r="I149" s="669">
        <v>18.5867</v>
      </c>
      <c r="J149" s="669">
        <v>16.361999999999998</v>
      </c>
      <c r="K149" s="669">
        <v>8.7779000000000007</v>
      </c>
      <c r="L149" s="843" t="s">
        <v>102</v>
      </c>
      <c r="M149" s="670">
        <v>21.539100000000001</v>
      </c>
      <c r="N149" s="670">
        <v>16.197399999999998</v>
      </c>
      <c r="O149" s="671">
        <v>19.019200000000001</v>
      </c>
    </row>
    <row r="150" spans="1:15" x14ac:dyDescent="0.2">
      <c r="A150" t="s">
        <v>22</v>
      </c>
      <c r="B150" s="391">
        <v>25.901499999999999</v>
      </c>
      <c r="C150" s="391">
        <v>22.692499999999999</v>
      </c>
      <c r="D150" s="391">
        <v>23.007300000000001</v>
      </c>
      <c r="E150" s="391">
        <v>21.826499999999999</v>
      </c>
      <c r="F150" s="391">
        <v>21.7883</v>
      </c>
      <c r="G150" s="391">
        <v>25.649799999999999</v>
      </c>
      <c r="H150" s="391">
        <v>24.014600000000002</v>
      </c>
      <c r="I150" s="391">
        <v>19.0596</v>
      </c>
      <c r="J150" s="380" t="s">
        <v>102</v>
      </c>
      <c r="K150" s="380" t="s">
        <v>102</v>
      </c>
      <c r="L150" s="319" t="s">
        <v>102</v>
      </c>
      <c r="M150" s="392">
        <v>22.6831</v>
      </c>
      <c r="N150" s="392">
        <v>19.0596</v>
      </c>
      <c r="O150" s="393">
        <v>22.4404</v>
      </c>
    </row>
    <row r="151" spans="1:15" x14ac:dyDescent="0.2">
      <c r="A151" s="661" t="s">
        <v>210</v>
      </c>
      <c r="B151" s="669">
        <v>30.317499999999999</v>
      </c>
      <c r="C151" s="669">
        <v>26.748200000000001</v>
      </c>
      <c r="D151" s="669">
        <v>24.288599999999999</v>
      </c>
      <c r="E151" s="669">
        <v>21.443300000000001</v>
      </c>
      <c r="F151" s="669">
        <v>19.3353</v>
      </c>
      <c r="G151" s="669">
        <v>16.6218</v>
      </c>
      <c r="H151" s="669">
        <v>18.218599999999999</v>
      </c>
      <c r="I151" s="669">
        <v>9.6014999999999997</v>
      </c>
      <c r="J151" s="669">
        <v>13.881</v>
      </c>
      <c r="K151" s="658" t="s">
        <v>102</v>
      </c>
      <c r="L151" s="843" t="s">
        <v>102</v>
      </c>
      <c r="M151" s="670">
        <v>21.141300000000001</v>
      </c>
      <c r="N151" s="670">
        <v>11.801500000000001</v>
      </c>
      <c r="O151" s="671">
        <v>20.4985</v>
      </c>
    </row>
    <row r="152" spans="1:15" x14ac:dyDescent="0.2">
      <c r="A152" s="68" t="s">
        <v>211</v>
      </c>
      <c r="B152" s="391">
        <v>25.725000000000001</v>
      </c>
      <c r="C152" s="391">
        <v>22.5549</v>
      </c>
      <c r="D152" s="391">
        <v>20.445699999999999</v>
      </c>
      <c r="E152" s="391">
        <v>19.732800000000001</v>
      </c>
      <c r="F152" s="391">
        <v>18.252099999999999</v>
      </c>
      <c r="G152" s="391">
        <v>20.752300000000002</v>
      </c>
      <c r="H152" s="391">
        <v>16.203800000000001</v>
      </c>
      <c r="I152" s="391">
        <v>14.393700000000001</v>
      </c>
      <c r="J152" s="391">
        <v>16.638000000000002</v>
      </c>
      <c r="K152" s="380" t="s">
        <v>102</v>
      </c>
      <c r="L152" s="319" t="s">
        <v>102</v>
      </c>
      <c r="M152" s="392">
        <v>18.483899999999998</v>
      </c>
      <c r="N152" s="392">
        <v>15.1045</v>
      </c>
      <c r="O152" s="393">
        <v>17.5901</v>
      </c>
    </row>
    <row r="153" spans="1:15" ht="6" customHeight="1" x14ac:dyDescent="0.2">
      <c r="A153" s="68"/>
      <c r="B153" s="391"/>
      <c r="C153" s="391"/>
      <c r="D153" s="391"/>
      <c r="E153" s="391"/>
      <c r="F153" s="391"/>
      <c r="G153" s="391"/>
      <c r="H153" s="391"/>
      <c r="I153" s="391"/>
      <c r="J153" s="391"/>
      <c r="K153" s="380"/>
      <c r="L153" s="380"/>
      <c r="M153" s="392"/>
      <c r="N153" s="392"/>
      <c r="O153" s="393"/>
    </row>
    <row r="154" spans="1:15" ht="14.25" x14ac:dyDescent="0.2">
      <c r="A154" s="656" t="s">
        <v>817</v>
      </c>
      <c r="B154" s="666">
        <v>27.718399999999999</v>
      </c>
      <c r="C154" s="666">
        <v>25.2439</v>
      </c>
      <c r="D154" s="666">
        <v>22.295000000000002</v>
      </c>
      <c r="E154" s="666">
        <v>19.861899999999999</v>
      </c>
      <c r="F154" s="666">
        <v>18.6873</v>
      </c>
      <c r="G154" s="666">
        <v>17.3233</v>
      </c>
      <c r="H154" s="666">
        <v>15.7562</v>
      </c>
      <c r="I154" s="666">
        <v>13.670400000000001</v>
      </c>
      <c r="J154" s="666">
        <v>12.881399999999999</v>
      </c>
      <c r="K154" s="688">
        <v>13.950200000000001</v>
      </c>
      <c r="L154" s="688">
        <v>9.4373000000000005</v>
      </c>
      <c r="M154" s="667">
        <v>18.5428</v>
      </c>
      <c r="N154" s="667">
        <v>11.9236</v>
      </c>
      <c r="O154" s="668">
        <v>14.346299999999999</v>
      </c>
    </row>
    <row r="155" spans="1:15" ht="6" customHeight="1" x14ac:dyDescent="0.2">
      <c r="A155" s="68"/>
      <c r="B155" s="391"/>
      <c r="C155" s="391"/>
      <c r="D155" s="391"/>
      <c r="E155" s="391"/>
      <c r="F155" s="391"/>
      <c r="G155" s="391"/>
      <c r="H155" s="391"/>
      <c r="I155" s="391"/>
      <c r="J155" s="391"/>
      <c r="K155" s="380"/>
      <c r="L155" s="380"/>
      <c r="M155" s="392"/>
      <c r="N155" s="392"/>
      <c r="O155" s="393"/>
    </row>
    <row r="156" spans="1:15" ht="14.25" x14ac:dyDescent="0.2">
      <c r="A156" s="110" t="s">
        <v>320</v>
      </c>
      <c r="B156" s="567"/>
      <c r="C156" s="567"/>
      <c r="D156" s="567"/>
      <c r="E156" s="567"/>
      <c r="F156" s="567"/>
      <c r="G156" s="567"/>
      <c r="H156" s="567"/>
      <c r="I156" s="567"/>
      <c r="J156" s="567"/>
      <c r="K156" s="567"/>
      <c r="L156" s="567"/>
      <c r="M156" s="313"/>
      <c r="N156" s="313"/>
      <c r="O156" s="312"/>
    </row>
    <row r="157" spans="1:15" ht="6" customHeight="1" x14ac:dyDescent="0.2">
      <c r="A157" s="68"/>
      <c r="B157" s="315"/>
      <c r="C157" s="315"/>
      <c r="D157" s="315"/>
      <c r="E157" s="315"/>
      <c r="F157" s="315"/>
      <c r="G157" s="315"/>
      <c r="H157" s="315"/>
      <c r="I157" s="315"/>
      <c r="J157" s="315"/>
      <c r="K157" s="315"/>
      <c r="L157" s="315"/>
      <c r="M157" s="316"/>
      <c r="N157" s="316"/>
      <c r="O157" s="317"/>
    </row>
    <row r="158" spans="1:15" x14ac:dyDescent="0.2">
      <c r="A158" s="661" t="s">
        <v>212</v>
      </c>
      <c r="B158" s="669">
        <v>27.858899999999998</v>
      </c>
      <c r="C158" s="669">
        <v>25.277899999999999</v>
      </c>
      <c r="D158" s="669">
        <v>22.440300000000001</v>
      </c>
      <c r="E158" s="669">
        <v>20.173400000000001</v>
      </c>
      <c r="F158" s="669">
        <v>19.5093</v>
      </c>
      <c r="G158" s="669">
        <v>18.726900000000001</v>
      </c>
      <c r="H158" s="669">
        <v>17.370200000000001</v>
      </c>
      <c r="I158" s="918">
        <v>15.717000000000001</v>
      </c>
      <c r="J158" s="658">
        <v>18.8368</v>
      </c>
      <c r="K158" s="658" t="s">
        <v>102</v>
      </c>
      <c r="L158" s="658" t="s">
        <v>102</v>
      </c>
      <c r="M158" s="670">
        <v>20.1629</v>
      </c>
      <c r="N158" s="919">
        <v>16.476199999999999</v>
      </c>
      <c r="O158" s="671">
        <v>20.097899999999999</v>
      </c>
    </row>
    <row r="159" spans="1:15" x14ac:dyDescent="0.2">
      <c r="A159" s="68" t="s">
        <v>216</v>
      </c>
      <c r="B159" s="391" t="s">
        <v>102</v>
      </c>
      <c r="C159" s="391">
        <v>39.226100000000002</v>
      </c>
      <c r="D159" s="391">
        <v>24.395900000000001</v>
      </c>
      <c r="E159" s="391">
        <v>19.274899999999999</v>
      </c>
      <c r="F159" s="391">
        <v>17.8264</v>
      </c>
      <c r="G159" s="391">
        <v>17.215199999999999</v>
      </c>
      <c r="H159" s="391">
        <v>15.7536</v>
      </c>
      <c r="I159" s="391">
        <v>13.855700000000001</v>
      </c>
      <c r="J159" s="391">
        <v>12.897</v>
      </c>
      <c r="K159" s="391">
        <v>13.504099999999999</v>
      </c>
      <c r="L159" s="391">
        <v>9.4995999999999992</v>
      </c>
      <c r="M159" s="392">
        <v>16.5566</v>
      </c>
      <c r="N159" s="392">
        <v>12.0121</v>
      </c>
      <c r="O159" s="393">
        <v>12.894</v>
      </c>
    </row>
    <row r="160" spans="1:15" ht="6" customHeight="1" x14ac:dyDescent="0.2">
      <c r="A160" s="68"/>
      <c r="B160" s="391"/>
      <c r="C160" s="391"/>
      <c r="D160" s="391"/>
      <c r="E160" s="391"/>
      <c r="F160" s="391"/>
      <c r="G160" s="391"/>
      <c r="H160" s="391"/>
      <c r="I160" s="391"/>
      <c r="J160" s="391"/>
      <c r="K160" s="391"/>
      <c r="L160" s="391"/>
      <c r="M160" s="392"/>
      <c r="N160" s="392"/>
      <c r="O160" s="393"/>
    </row>
    <row r="161" spans="1:15" ht="14.25" x14ac:dyDescent="0.2">
      <c r="A161" s="656" t="s">
        <v>818</v>
      </c>
      <c r="B161" s="666">
        <v>27.858899999999998</v>
      </c>
      <c r="C161" s="666">
        <v>25.283999999999999</v>
      </c>
      <c r="D161" s="666">
        <v>22.427299999999999</v>
      </c>
      <c r="E161" s="666">
        <v>20.114000000000001</v>
      </c>
      <c r="F161" s="666">
        <v>19.075700000000001</v>
      </c>
      <c r="G161" s="666">
        <v>18.248999999999999</v>
      </c>
      <c r="H161" s="666">
        <v>16.426200000000001</v>
      </c>
      <c r="I161" s="666">
        <v>14.206200000000001</v>
      </c>
      <c r="J161" s="666">
        <v>13.125400000000001</v>
      </c>
      <c r="K161" s="688">
        <v>13.7652</v>
      </c>
      <c r="L161" s="666">
        <v>9.4373000000000005</v>
      </c>
      <c r="M161" s="667">
        <v>18.9664</v>
      </c>
      <c r="N161" s="667">
        <v>12.1365</v>
      </c>
      <c r="O161" s="668">
        <v>14.8301</v>
      </c>
    </row>
    <row r="162" spans="1:15" x14ac:dyDescent="0.2">
      <c r="A162" s="68" t="s">
        <v>215</v>
      </c>
      <c r="B162" s="361"/>
      <c r="C162" s="361"/>
      <c r="D162" s="361"/>
      <c r="E162" s="361"/>
      <c r="F162" s="361"/>
      <c r="G162" s="361"/>
      <c r="H162" s="361"/>
      <c r="I162" s="361"/>
      <c r="J162" s="361"/>
      <c r="K162" s="380"/>
      <c r="L162" s="361"/>
      <c r="M162" s="316"/>
      <c r="N162" s="316"/>
      <c r="O162" s="317"/>
    </row>
    <row r="163" spans="1:15" x14ac:dyDescent="0.2">
      <c r="A163" s="661" t="s">
        <v>218</v>
      </c>
      <c r="B163" s="669">
        <v>29.516200000000001</v>
      </c>
      <c r="C163" s="669">
        <v>25.129799999999999</v>
      </c>
      <c r="D163" s="669">
        <v>23.746099999999998</v>
      </c>
      <c r="E163" s="669">
        <v>21.6753</v>
      </c>
      <c r="F163" s="669">
        <v>20.434699999999999</v>
      </c>
      <c r="G163" s="669">
        <v>22.303899999999999</v>
      </c>
      <c r="H163" s="669">
        <v>22.017099999999999</v>
      </c>
      <c r="I163" s="669">
        <v>17.3033</v>
      </c>
      <c r="J163" s="669">
        <v>13.881</v>
      </c>
      <c r="K163" s="658" t="s">
        <v>102</v>
      </c>
      <c r="L163" s="658" t="s">
        <v>102</v>
      </c>
      <c r="M163" s="670">
        <v>21.905200000000001</v>
      </c>
      <c r="N163" s="670">
        <v>16.805700000000002</v>
      </c>
      <c r="O163" s="671">
        <v>21.488800000000001</v>
      </c>
    </row>
    <row r="164" spans="1:15" x14ac:dyDescent="0.2">
      <c r="A164" s="68" t="s">
        <v>219</v>
      </c>
      <c r="B164" s="391">
        <v>29.5808</v>
      </c>
      <c r="C164" s="391">
        <v>26.9819</v>
      </c>
      <c r="D164" s="391">
        <v>24.239899999999999</v>
      </c>
      <c r="E164" s="391">
        <v>21.916</v>
      </c>
      <c r="F164" s="391">
        <v>20.770299999999999</v>
      </c>
      <c r="G164" s="391">
        <v>18.2043</v>
      </c>
      <c r="H164" s="391">
        <v>17.214600000000001</v>
      </c>
      <c r="I164" s="391">
        <v>15.1812</v>
      </c>
      <c r="J164" s="391">
        <v>14.6439</v>
      </c>
      <c r="K164" s="380" t="s">
        <v>102</v>
      </c>
      <c r="L164" s="690">
        <v>17.111799999999999</v>
      </c>
      <c r="M164" s="392">
        <v>21.317399999999999</v>
      </c>
      <c r="N164" s="392">
        <v>15.817399999999999</v>
      </c>
      <c r="O164" s="393">
        <v>19.717400000000001</v>
      </c>
    </row>
    <row r="165" spans="1:15" x14ac:dyDescent="0.2">
      <c r="A165" s="661" t="s">
        <v>816</v>
      </c>
      <c r="B165" s="669">
        <v>28.7226</v>
      </c>
      <c r="C165" s="669">
        <v>31.131699999999999</v>
      </c>
      <c r="D165" s="669">
        <v>22.689299999999999</v>
      </c>
      <c r="E165" s="669">
        <v>21.6023</v>
      </c>
      <c r="F165" s="669">
        <v>20.8797</v>
      </c>
      <c r="G165" s="669">
        <v>21.049299999999999</v>
      </c>
      <c r="H165" s="669">
        <v>19.878</v>
      </c>
      <c r="I165" s="669">
        <v>17.716799999999999</v>
      </c>
      <c r="J165" s="669">
        <v>16.39</v>
      </c>
      <c r="K165" s="689">
        <v>8.7779000000000007</v>
      </c>
      <c r="L165" s="658" t="s">
        <v>102</v>
      </c>
      <c r="M165" s="670">
        <v>20.685600000000001</v>
      </c>
      <c r="N165" s="670">
        <v>15.995699999999999</v>
      </c>
      <c r="O165" s="671">
        <v>18.601500000000001</v>
      </c>
    </row>
    <row r="166" spans="1:15" x14ac:dyDescent="0.2">
      <c r="A166" s="202" t="s">
        <v>383</v>
      </c>
      <c r="B166" s="394">
        <v>26.556899999999999</v>
      </c>
      <c r="C166" s="394">
        <v>24.611899999999999</v>
      </c>
      <c r="D166" s="394">
        <v>21.814900000000002</v>
      </c>
      <c r="E166" s="394">
        <v>19.563199999999998</v>
      </c>
      <c r="F166" s="394">
        <v>18.4922</v>
      </c>
      <c r="G166" s="394">
        <v>17.251799999999999</v>
      </c>
      <c r="H166" s="394">
        <v>15.621700000000001</v>
      </c>
      <c r="I166" s="394">
        <v>13.5677</v>
      </c>
      <c r="J166" s="394">
        <v>12.845599999999999</v>
      </c>
      <c r="K166" s="691">
        <v>13.950200000000001</v>
      </c>
      <c r="L166" s="692">
        <v>9.2152999999999992</v>
      </c>
      <c r="M166" s="395">
        <v>18.189599999999999</v>
      </c>
      <c r="N166" s="395">
        <v>11.8165</v>
      </c>
      <c r="O166" s="396">
        <v>14.0138</v>
      </c>
    </row>
    <row r="167" spans="1:15" x14ac:dyDescent="0.2">
      <c r="A167" s="37" t="s">
        <v>893</v>
      </c>
      <c r="B167" s="418"/>
      <c r="C167" s="418"/>
      <c r="D167" s="418"/>
      <c r="E167" s="418"/>
      <c r="F167" s="418"/>
      <c r="G167" s="418"/>
      <c r="H167" s="418"/>
      <c r="I167" s="418"/>
      <c r="J167" s="418"/>
      <c r="K167" s="387"/>
      <c r="L167" s="418"/>
      <c r="M167" s="419"/>
      <c r="N167" s="419"/>
      <c r="O167" s="420"/>
    </row>
    <row r="168" spans="1:15" x14ac:dyDescent="0.2">
      <c r="A168" s="37" t="s">
        <v>618</v>
      </c>
    </row>
    <row r="169" spans="1:15" x14ac:dyDescent="0.2">
      <c r="A169" s="249" t="s">
        <v>443</v>
      </c>
    </row>
    <row r="170" spans="1:15" x14ac:dyDescent="0.2">
      <c r="A170" s="37" t="s">
        <v>321</v>
      </c>
    </row>
    <row r="171" spans="1:15" x14ac:dyDescent="0.2">
      <c r="A171" s="249" t="s">
        <v>819</v>
      </c>
      <c r="B171" s="47"/>
      <c r="C171" s="47"/>
      <c r="D171" s="47"/>
      <c r="E171" s="47"/>
      <c r="F171" s="47"/>
      <c r="G171" s="47"/>
      <c r="H171" s="47"/>
      <c r="I171" s="47"/>
      <c r="J171" s="47"/>
      <c r="K171" s="47"/>
      <c r="L171" s="47"/>
      <c r="M171" s="242"/>
      <c r="N171" s="242"/>
      <c r="O171" s="48"/>
    </row>
    <row r="172" spans="1:15" x14ac:dyDescent="0.2">
      <c r="A172" s="243" t="s">
        <v>895</v>
      </c>
      <c r="B172" s="3"/>
      <c r="C172" s="3"/>
      <c r="D172" s="3"/>
      <c r="G172" s="185"/>
      <c r="J172" s="185"/>
      <c r="M172"/>
      <c r="N172"/>
    </row>
    <row r="174" spans="1:15" ht="14.25" x14ac:dyDescent="0.2">
      <c r="A174" s="15" t="s">
        <v>898</v>
      </c>
      <c r="O174" s="213" t="s">
        <v>213</v>
      </c>
    </row>
    <row r="175" spans="1:15" x14ac:dyDescent="0.2">
      <c r="A175" s="1"/>
      <c r="B175" s="31" t="s">
        <v>35</v>
      </c>
      <c r="C175" s="32" t="s">
        <v>121</v>
      </c>
      <c r="D175" s="32" t="s">
        <v>123</v>
      </c>
      <c r="E175" s="32" t="s">
        <v>36</v>
      </c>
      <c r="F175" s="32" t="s">
        <v>37</v>
      </c>
      <c r="G175" s="32" t="s">
        <v>38</v>
      </c>
      <c r="H175" s="32" t="s">
        <v>39</v>
      </c>
      <c r="I175" s="32" t="s">
        <v>125</v>
      </c>
      <c r="J175" s="32" t="s">
        <v>126</v>
      </c>
      <c r="K175" s="32" t="s">
        <v>127</v>
      </c>
      <c r="L175" s="236">
        <v>100000</v>
      </c>
      <c r="M175" s="238" t="s">
        <v>231</v>
      </c>
      <c r="N175" s="238" t="s">
        <v>228</v>
      </c>
      <c r="O175" s="237" t="s">
        <v>77</v>
      </c>
    </row>
    <row r="176" spans="1:15" x14ac:dyDescent="0.2">
      <c r="A176" s="18" t="s">
        <v>885</v>
      </c>
      <c r="B176" s="33" t="s">
        <v>120</v>
      </c>
      <c r="C176" s="34" t="s">
        <v>40</v>
      </c>
      <c r="D176" s="34" t="s">
        <v>40</v>
      </c>
      <c r="E176" s="34" t="s">
        <v>40</v>
      </c>
      <c r="F176" s="34" t="s">
        <v>40</v>
      </c>
      <c r="G176" s="34" t="s">
        <v>40</v>
      </c>
      <c r="H176" s="34" t="s">
        <v>40</v>
      </c>
      <c r="I176" s="34" t="s">
        <v>40</v>
      </c>
      <c r="J176" s="34" t="s">
        <v>40</v>
      </c>
      <c r="K176" s="34" t="s">
        <v>40</v>
      </c>
      <c r="L176" s="34" t="s">
        <v>43</v>
      </c>
      <c r="M176" s="239" t="s">
        <v>230</v>
      </c>
      <c r="N176" s="239" t="s">
        <v>138</v>
      </c>
      <c r="O176" s="26" t="s">
        <v>137</v>
      </c>
    </row>
    <row r="177" spans="1:15" x14ac:dyDescent="0.2">
      <c r="A177" s="4"/>
      <c r="B177" s="35" t="s">
        <v>43</v>
      </c>
      <c r="C177" s="36" t="s">
        <v>122</v>
      </c>
      <c r="D177" s="36" t="s">
        <v>124</v>
      </c>
      <c r="E177" s="36" t="s">
        <v>44</v>
      </c>
      <c r="F177" s="36" t="s">
        <v>45</v>
      </c>
      <c r="G177" s="36" t="s">
        <v>46</v>
      </c>
      <c r="H177" s="36" t="s">
        <v>42</v>
      </c>
      <c r="I177" s="36" t="s">
        <v>128</v>
      </c>
      <c r="J177" s="36" t="s">
        <v>129</v>
      </c>
      <c r="K177" s="36" t="s">
        <v>130</v>
      </c>
      <c r="L177" s="36" t="s">
        <v>131</v>
      </c>
      <c r="M177" s="240" t="s">
        <v>138</v>
      </c>
      <c r="N177" s="240" t="s">
        <v>131</v>
      </c>
      <c r="O177" s="27" t="s">
        <v>41</v>
      </c>
    </row>
    <row r="178" spans="1:15" ht="14.25" x14ac:dyDescent="0.2">
      <c r="A178" s="37" t="s">
        <v>317</v>
      </c>
      <c r="B178" s="377">
        <v>510.46210000000002</v>
      </c>
      <c r="C178" s="377">
        <v>495.995</v>
      </c>
      <c r="D178" s="377">
        <v>455.89179999999999</v>
      </c>
      <c r="E178" s="377">
        <v>530.44619999999998</v>
      </c>
      <c r="F178" s="377">
        <v>612.7038</v>
      </c>
      <c r="G178" s="377">
        <v>670.28179999999998</v>
      </c>
      <c r="H178" s="377">
        <v>726.55050000000006</v>
      </c>
      <c r="I178" s="377">
        <v>772.23900000000003</v>
      </c>
      <c r="J178" s="377">
        <v>960.62990000000002</v>
      </c>
      <c r="K178" s="377">
        <v>1281.2248</v>
      </c>
      <c r="L178" s="377">
        <v>1834.6121000000001</v>
      </c>
      <c r="M178" s="378">
        <v>602.22919999999999</v>
      </c>
      <c r="N178" s="378">
        <v>1234.4503999999999</v>
      </c>
      <c r="O178" s="379">
        <v>917.13340000000005</v>
      </c>
    </row>
    <row r="179" spans="1:15" ht="6" customHeight="1" x14ac:dyDescent="0.2">
      <c r="A179" s="37"/>
      <c r="B179" s="384"/>
      <c r="C179" s="384"/>
      <c r="D179" s="384"/>
      <c r="E179" s="384"/>
      <c r="F179" s="384"/>
      <c r="G179" s="384"/>
      <c r="H179" s="384"/>
      <c r="I179" s="384"/>
      <c r="J179" s="384"/>
      <c r="K179" s="384"/>
      <c r="L179" s="384"/>
      <c r="M179" s="385"/>
      <c r="N179" s="385"/>
      <c r="O179" s="386"/>
    </row>
    <row r="180" spans="1:15" ht="14.25" x14ac:dyDescent="0.2">
      <c r="A180" s="656" t="s">
        <v>318</v>
      </c>
      <c r="B180" s="657">
        <v>542.87090000000001</v>
      </c>
      <c r="C180" s="657">
        <v>940.40340000000003</v>
      </c>
      <c r="D180" s="657">
        <v>778.14869999999996</v>
      </c>
      <c r="E180" s="657">
        <v>871.20929999999998</v>
      </c>
      <c r="F180" s="657">
        <v>824.14610000000005</v>
      </c>
      <c r="G180" s="657">
        <v>888.21119999999996</v>
      </c>
      <c r="H180" s="657">
        <v>880.95910000000003</v>
      </c>
      <c r="I180" s="657">
        <v>912.36</v>
      </c>
      <c r="J180" s="657">
        <v>1194.5145</v>
      </c>
      <c r="K180" s="657">
        <v>1555.7059999999999</v>
      </c>
      <c r="L180" s="843" t="s">
        <v>102</v>
      </c>
      <c r="M180" s="659">
        <v>861.15980000000002</v>
      </c>
      <c r="N180" s="659">
        <v>1104.2123999999999</v>
      </c>
      <c r="O180" s="660">
        <v>936.97439999999995</v>
      </c>
    </row>
    <row r="181" spans="1:15" x14ac:dyDescent="0.2">
      <c r="A181" s="68" t="s">
        <v>215</v>
      </c>
      <c r="B181" s="315"/>
      <c r="C181" s="315"/>
      <c r="D181" s="315"/>
      <c r="E181" s="315"/>
      <c r="F181" s="315"/>
      <c r="G181" s="315"/>
      <c r="H181" s="315"/>
      <c r="I181" s="315"/>
      <c r="J181" s="315"/>
      <c r="K181" s="315"/>
      <c r="L181" s="380"/>
      <c r="M181" s="316"/>
      <c r="N181" s="316"/>
      <c r="O181" s="317"/>
    </row>
    <row r="182" spans="1:15" x14ac:dyDescent="0.2">
      <c r="A182" s="661" t="s">
        <v>815</v>
      </c>
      <c r="B182" s="662">
        <v>396.28570000000002</v>
      </c>
      <c r="C182" s="662">
        <v>685.32529999999997</v>
      </c>
      <c r="D182" s="662">
        <v>743.16120000000001</v>
      </c>
      <c r="E182" s="662">
        <v>660.30650000000003</v>
      </c>
      <c r="F182" s="662">
        <v>742.39350000000002</v>
      </c>
      <c r="G182" s="662">
        <v>830.48019999999997</v>
      </c>
      <c r="H182" s="662">
        <v>849.52499999999998</v>
      </c>
      <c r="I182" s="662">
        <v>930.62120000000004</v>
      </c>
      <c r="J182" s="662">
        <v>1139.7398000000001</v>
      </c>
      <c r="K182" s="662">
        <v>1555.7059999999999</v>
      </c>
      <c r="L182" s="843" t="s">
        <v>102</v>
      </c>
      <c r="M182" s="663">
        <v>789.4144</v>
      </c>
      <c r="N182" s="663">
        <v>1110.5925999999999</v>
      </c>
      <c r="O182" s="664">
        <v>932.43409999999994</v>
      </c>
    </row>
    <row r="183" spans="1:15" x14ac:dyDescent="0.2">
      <c r="A183" t="s">
        <v>22</v>
      </c>
      <c r="B183" s="315">
        <v>315.5865</v>
      </c>
      <c r="C183" s="315">
        <v>1482.6908000000001</v>
      </c>
      <c r="D183" s="315">
        <v>1105.3973000000001</v>
      </c>
      <c r="E183" s="315">
        <v>1349.962</v>
      </c>
      <c r="F183" s="315">
        <v>1305.2284999999999</v>
      </c>
      <c r="G183" s="315">
        <v>1217.4141999999999</v>
      </c>
      <c r="H183" s="315">
        <v>1484.9303</v>
      </c>
      <c r="I183" s="315">
        <v>1176.694</v>
      </c>
      <c r="J183" s="319" t="s">
        <v>102</v>
      </c>
      <c r="K183" s="319" t="s">
        <v>102</v>
      </c>
      <c r="L183" s="319" t="s">
        <v>102</v>
      </c>
      <c r="M183" s="316">
        <v>1314.4392</v>
      </c>
      <c r="N183" s="316">
        <v>1176.694</v>
      </c>
      <c r="O183" s="317">
        <v>1304.5534</v>
      </c>
    </row>
    <row r="184" spans="1:15" x14ac:dyDescent="0.2">
      <c r="A184" s="661" t="s">
        <v>210</v>
      </c>
      <c r="B184" s="662">
        <v>585.59249999999997</v>
      </c>
      <c r="C184" s="662">
        <v>862.96050000000002</v>
      </c>
      <c r="D184" s="662">
        <v>629.39279999999997</v>
      </c>
      <c r="E184" s="662">
        <v>774.11569999999995</v>
      </c>
      <c r="F184" s="662">
        <v>788.10159999999996</v>
      </c>
      <c r="G184" s="662">
        <v>993.928</v>
      </c>
      <c r="H184" s="662">
        <v>854.7713</v>
      </c>
      <c r="I184" s="662">
        <v>1415.6013</v>
      </c>
      <c r="J184" s="662">
        <v>1270.8993</v>
      </c>
      <c r="K184" s="843" t="s">
        <v>102</v>
      </c>
      <c r="L184" s="843" t="s">
        <v>102</v>
      </c>
      <c r="M184" s="663">
        <v>786.13459999999998</v>
      </c>
      <c r="N184" s="663">
        <v>1327.0592999999999</v>
      </c>
      <c r="O184" s="664">
        <v>812.40920000000006</v>
      </c>
    </row>
    <row r="185" spans="1:15" x14ac:dyDescent="0.2">
      <c r="A185" s="68" t="s">
        <v>211</v>
      </c>
      <c r="B185" s="315">
        <v>394.16070000000002</v>
      </c>
      <c r="C185" s="315">
        <v>505.64550000000003</v>
      </c>
      <c r="D185" s="315">
        <v>550.2518</v>
      </c>
      <c r="E185" s="315">
        <v>611.94659999999999</v>
      </c>
      <c r="F185" s="315">
        <v>736.06209999999999</v>
      </c>
      <c r="G185" s="315">
        <v>805.99549999999999</v>
      </c>
      <c r="H185" s="315">
        <v>782.92909999999995</v>
      </c>
      <c r="I185" s="315">
        <v>702.25689999999997</v>
      </c>
      <c r="J185" s="315">
        <v>1699.2195999999999</v>
      </c>
      <c r="K185" s="319" t="s">
        <v>102</v>
      </c>
      <c r="L185" s="319" t="s">
        <v>102</v>
      </c>
      <c r="M185" s="316">
        <v>716.98530000000005</v>
      </c>
      <c r="N185" s="316">
        <v>1008.2509</v>
      </c>
      <c r="O185" s="317">
        <v>780.84770000000003</v>
      </c>
    </row>
    <row r="186" spans="1:15" ht="6" customHeight="1" x14ac:dyDescent="0.2">
      <c r="A186" s="68"/>
      <c r="B186" s="315"/>
      <c r="C186" s="315"/>
      <c r="D186" s="315"/>
      <c r="E186" s="315"/>
      <c r="F186" s="315"/>
      <c r="G186" s="315"/>
      <c r="H186" s="315"/>
      <c r="I186" s="315"/>
      <c r="J186" s="315"/>
      <c r="K186" s="380"/>
      <c r="L186" s="380"/>
      <c r="M186" s="316"/>
      <c r="N186" s="316"/>
      <c r="O186" s="317"/>
    </row>
    <row r="187" spans="1:15" ht="14.25" x14ac:dyDescent="0.2">
      <c r="A187" s="656" t="s">
        <v>817</v>
      </c>
      <c r="B187" s="657">
        <v>508.04129999999998</v>
      </c>
      <c r="C187" s="657">
        <v>467.03449999999998</v>
      </c>
      <c r="D187" s="657">
        <v>432.75459999999998</v>
      </c>
      <c r="E187" s="657">
        <v>492.68079999999998</v>
      </c>
      <c r="F187" s="657">
        <v>576.71460000000002</v>
      </c>
      <c r="G187" s="657">
        <v>625.2414</v>
      </c>
      <c r="H187" s="657">
        <v>710.72190000000001</v>
      </c>
      <c r="I187" s="657">
        <v>772.32910000000004</v>
      </c>
      <c r="J187" s="657">
        <v>953.73829999999998</v>
      </c>
      <c r="K187" s="665">
        <v>1301.4208000000001</v>
      </c>
      <c r="L187" s="665">
        <v>1855.4197999999999</v>
      </c>
      <c r="M187" s="659">
        <v>567.52</v>
      </c>
      <c r="N187" s="659">
        <v>1268.2525000000001</v>
      </c>
      <c r="O187" s="660">
        <v>921.21069999999997</v>
      </c>
    </row>
    <row r="188" spans="1:15" ht="6" customHeight="1" x14ac:dyDescent="0.2">
      <c r="A188" s="68"/>
      <c r="B188" s="315"/>
      <c r="C188" s="315"/>
      <c r="D188" s="315"/>
      <c r="E188" s="315"/>
      <c r="F188" s="315"/>
      <c r="G188" s="315"/>
      <c r="H188" s="315"/>
      <c r="I188" s="315"/>
      <c r="J188" s="315"/>
      <c r="K188" s="380"/>
      <c r="L188" s="380"/>
      <c r="M188" s="316"/>
      <c r="N188" s="316"/>
      <c r="O188" s="317"/>
    </row>
    <row r="189" spans="1:15" ht="14.25" x14ac:dyDescent="0.2">
      <c r="A189" s="8" t="s">
        <v>320</v>
      </c>
      <c r="B189" s="315"/>
      <c r="C189" s="315"/>
      <c r="D189" s="315"/>
      <c r="E189" s="315"/>
      <c r="F189" s="315"/>
      <c r="G189" s="315"/>
      <c r="H189" s="315"/>
      <c r="I189" s="315"/>
      <c r="J189" s="315"/>
      <c r="K189" s="315"/>
      <c r="L189" s="315"/>
      <c r="M189" s="316"/>
      <c r="N189" s="316"/>
      <c r="O189" s="317"/>
    </row>
    <row r="190" spans="1:15" ht="6" customHeight="1" x14ac:dyDescent="0.2">
      <c r="A190" s="68"/>
      <c r="B190" s="315"/>
      <c r="C190" s="315"/>
      <c r="D190" s="315"/>
      <c r="E190" s="315"/>
      <c r="F190" s="315"/>
      <c r="G190" s="315"/>
      <c r="H190" s="315"/>
      <c r="I190" s="315"/>
      <c r="J190" s="315"/>
      <c r="K190" s="315"/>
      <c r="L190" s="315"/>
      <c r="M190" s="316"/>
      <c r="N190" s="316"/>
      <c r="O190" s="317"/>
    </row>
    <row r="191" spans="1:15" x14ac:dyDescent="0.2">
      <c r="A191" s="661" t="s">
        <v>212</v>
      </c>
      <c r="B191" s="662">
        <v>510.46210000000002</v>
      </c>
      <c r="C191" s="662">
        <v>496.13200000000001</v>
      </c>
      <c r="D191" s="662">
        <v>456.58679999999998</v>
      </c>
      <c r="E191" s="662">
        <v>535.53229999999996</v>
      </c>
      <c r="F191" s="662">
        <v>629.96119999999996</v>
      </c>
      <c r="G191" s="662">
        <v>697.27409999999998</v>
      </c>
      <c r="H191" s="662">
        <v>699.38289999999995</v>
      </c>
      <c r="I191" s="658">
        <v>619.2115</v>
      </c>
      <c r="J191" s="843">
        <v>445.18610000000001</v>
      </c>
      <c r="K191" s="843" t="s">
        <v>102</v>
      </c>
      <c r="L191" s="843" t="s">
        <v>102</v>
      </c>
      <c r="M191" s="663">
        <v>570.11329999999998</v>
      </c>
      <c r="N191" s="672">
        <v>571.13850000000002</v>
      </c>
      <c r="O191" s="664">
        <v>570.12760000000003</v>
      </c>
    </row>
    <row r="192" spans="1:15" x14ac:dyDescent="0.2">
      <c r="A192" s="68" t="s">
        <v>216</v>
      </c>
      <c r="B192" s="315" t="s">
        <v>102</v>
      </c>
      <c r="C192" s="315">
        <v>187.3655</v>
      </c>
      <c r="D192" s="315">
        <v>364.75940000000003</v>
      </c>
      <c r="E192" s="315">
        <v>487.30810000000002</v>
      </c>
      <c r="F192" s="315">
        <v>575.7296</v>
      </c>
      <c r="G192" s="315">
        <v>635.75329999999997</v>
      </c>
      <c r="H192" s="315">
        <v>734.48699999999997</v>
      </c>
      <c r="I192" s="315">
        <v>777.20579999999995</v>
      </c>
      <c r="J192" s="315">
        <v>964.98599999999999</v>
      </c>
      <c r="K192" s="315">
        <v>1281.2248</v>
      </c>
      <c r="L192" s="315">
        <v>1834.6121000000001</v>
      </c>
      <c r="M192" s="316">
        <v>665.85059999999999</v>
      </c>
      <c r="N192" s="316">
        <v>1240.7760000000001</v>
      </c>
      <c r="O192" s="317">
        <v>1094.4987000000001</v>
      </c>
    </row>
    <row r="193" spans="1:15" ht="6" customHeight="1" x14ac:dyDescent="0.2">
      <c r="A193" s="68"/>
      <c r="B193" s="315"/>
      <c r="C193" s="315"/>
      <c r="D193" s="315"/>
      <c r="E193" s="315"/>
      <c r="F193" s="315"/>
      <c r="G193" s="315"/>
      <c r="H193" s="315"/>
      <c r="I193" s="315"/>
      <c r="J193" s="315"/>
      <c r="K193" s="315"/>
      <c r="L193" s="315"/>
      <c r="M193" s="316"/>
      <c r="N193" s="316"/>
      <c r="O193" s="317"/>
    </row>
    <row r="194" spans="1:15" ht="14.25" x14ac:dyDescent="0.2">
      <c r="A194" s="656" t="s">
        <v>818</v>
      </c>
      <c r="B194" s="657">
        <v>510.46210000000002</v>
      </c>
      <c r="C194" s="657">
        <v>495.995</v>
      </c>
      <c r="D194" s="657">
        <v>456.00099999999998</v>
      </c>
      <c r="E194" s="657">
        <v>530.78110000000004</v>
      </c>
      <c r="F194" s="657">
        <v>614.30259999999998</v>
      </c>
      <c r="G194" s="657">
        <v>673.19560000000001</v>
      </c>
      <c r="H194" s="657">
        <v>733.16780000000006</v>
      </c>
      <c r="I194" s="657">
        <v>790.28470000000004</v>
      </c>
      <c r="J194" s="657">
        <v>972.17409999999995</v>
      </c>
      <c r="K194" s="665">
        <v>1312.0763999999999</v>
      </c>
      <c r="L194" s="657">
        <v>1855.4197999999999</v>
      </c>
      <c r="M194" s="659">
        <v>603.58370000000002</v>
      </c>
      <c r="N194" s="659">
        <v>1258.6351999999999</v>
      </c>
      <c r="O194" s="660">
        <v>922.65380000000005</v>
      </c>
    </row>
    <row r="195" spans="1:15" x14ac:dyDescent="0.2">
      <c r="A195" s="68" t="s">
        <v>215</v>
      </c>
      <c r="B195" s="361"/>
      <c r="C195" s="361"/>
      <c r="D195" s="361"/>
      <c r="E195" s="361"/>
      <c r="F195" s="361"/>
      <c r="G195" s="361"/>
      <c r="H195" s="361"/>
      <c r="I195" s="361"/>
      <c r="J195" s="361"/>
      <c r="K195" s="380"/>
      <c r="L195" s="361"/>
      <c r="M195" s="316"/>
      <c r="N195" s="316"/>
      <c r="O195" s="317"/>
    </row>
    <row r="196" spans="1:15" x14ac:dyDescent="0.2">
      <c r="A196" s="661" t="s">
        <v>218</v>
      </c>
      <c r="B196" s="662">
        <v>544.74469999999997</v>
      </c>
      <c r="C196" s="662">
        <v>968.01580000000001</v>
      </c>
      <c r="D196" s="662">
        <v>808.73779999999999</v>
      </c>
      <c r="E196" s="662">
        <v>1060.5409999999999</v>
      </c>
      <c r="F196" s="662">
        <v>994.08190000000002</v>
      </c>
      <c r="G196" s="662">
        <v>1006.8597</v>
      </c>
      <c r="H196" s="662">
        <v>1217.7436</v>
      </c>
      <c r="I196" s="662">
        <v>1241.0565999999999</v>
      </c>
      <c r="J196" s="662">
        <v>1270.8993</v>
      </c>
      <c r="K196" s="843" t="s">
        <v>102</v>
      </c>
      <c r="L196" s="843" t="s">
        <v>102</v>
      </c>
      <c r="M196" s="663">
        <v>1022.1079999999999</v>
      </c>
      <c r="N196" s="663">
        <v>1246.2570000000001</v>
      </c>
      <c r="O196" s="664">
        <v>1038.1208999999999</v>
      </c>
    </row>
    <row r="197" spans="1:15" x14ac:dyDescent="0.2">
      <c r="A197" s="68" t="s">
        <v>219</v>
      </c>
      <c r="B197" s="315">
        <v>660.45249999999999</v>
      </c>
      <c r="C197" s="315">
        <v>643.83849999999995</v>
      </c>
      <c r="D197" s="315">
        <v>635.20979999999997</v>
      </c>
      <c r="E197" s="315">
        <v>636.25739999999996</v>
      </c>
      <c r="F197" s="315">
        <v>696.74040000000002</v>
      </c>
      <c r="G197" s="315">
        <v>755.07709999999997</v>
      </c>
      <c r="H197" s="315">
        <v>932.6277</v>
      </c>
      <c r="I197" s="315">
        <v>1025.7452000000001</v>
      </c>
      <c r="J197" s="315">
        <v>828.76059999999995</v>
      </c>
      <c r="K197" s="319" t="s">
        <v>102</v>
      </c>
      <c r="L197" s="380">
        <v>966.41049999999996</v>
      </c>
      <c r="M197" s="316">
        <v>709.47910000000002</v>
      </c>
      <c r="N197" s="316">
        <v>961.78949999999998</v>
      </c>
      <c r="O197" s="317">
        <v>764.29269999999997</v>
      </c>
    </row>
    <row r="198" spans="1:15" x14ac:dyDescent="0.2">
      <c r="A198" s="661" t="s">
        <v>966</v>
      </c>
      <c r="B198" s="662">
        <v>484.44560000000001</v>
      </c>
      <c r="C198" s="662">
        <v>701.43</v>
      </c>
      <c r="D198" s="662">
        <v>632.33780000000002</v>
      </c>
      <c r="E198" s="662">
        <v>588.48969999999997</v>
      </c>
      <c r="F198" s="662">
        <v>727.80880000000002</v>
      </c>
      <c r="G198" s="662">
        <v>840.0403</v>
      </c>
      <c r="H198" s="662">
        <v>812.40539999999999</v>
      </c>
      <c r="I198" s="662">
        <v>868.57489999999996</v>
      </c>
      <c r="J198" s="662">
        <v>1192.2501999999999</v>
      </c>
      <c r="K198" s="658">
        <v>1555.7059999999999</v>
      </c>
      <c r="L198" s="843" t="s">
        <v>102</v>
      </c>
      <c r="M198" s="663">
        <v>755.30679999999995</v>
      </c>
      <c r="N198" s="663">
        <v>1093.9579000000001</v>
      </c>
      <c r="O198" s="664">
        <v>894.85500000000002</v>
      </c>
    </row>
    <row r="199" spans="1:15" x14ac:dyDescent="0.2">
      <c r="A199" s="202" t="s">
        <v>383</v>
      </c>
      <c r="B199" s="376">
        <v>434.16419999999999</v>
      </c>
      <c r="C199" s="376">
        <v>417.37830000000002</v>
      </c>
      <c r="D199" s="376">
        <v>393.95960000000002</v>
      </c>
      <c r="E199" s="376">
        <v>473.56369999999998</v>
      </c>
      <c r="F199" s="376">
        <v>565.78499999999997</v>
      </c>
      <c r="G199" s="376">
        <v>615.01310000000001</v>
      </c>
      <c r="H199" s="376">
        <v>690.43330000000003</v>
      </c>
      <c r="I199" s="376">
        <v>754.88739999999996</v>
      </c>
      <c r="J199" s="376">
        <v>956.46699999999998</v>
      </c>
      <c r="K199" s="381">
        <v>1301.4208000000001</v>
      </c>
      <c r="L199" s="376">
        <v>1883.2327</v>
      </c>
      <c r="M199" s="382">
        <v>550.43700000000001</v>
      </c>
      <c r="N199" s="382">
        <v>1277.4869000000001</v>
      </c>
      <c r="O199" s="383">
        <v>932.65250000000003</v>
      </c>
    </row>
    <row r="200" spans="1:15" x14ac:dyDescent="0.2">
      <c r="A200" s="37" t="s">
        <v>893</v>
      </c>
      <c r="B200" s="384"/>
      <c r="C200" s="384"/>
      <c r="D200" s="384"/>
      <c r="E200" s="384"/>
      <c r="F200" s="384"/>
      <c r="G200" s="384"/>
      <c r="H200" s="384"/>
      <c r="I200" s="384"/>
      <c r="J200" s="384"/>
      <c r="K200" s="387"/>
      <c r="L200" s="384"/>
      <c r="M200" s="385"/>
      <c r="N200" s="385"/>
      <c r="O200" s="386"/>
    </row>
    <row r="201" spans="1:15" x14ac:dyDescent="0.2">
      <c r="A201" s="37" t="s">
        <v>894</v>
      </c>
      <c r="B201" s="47"/>
      <c r="C201" s="47"/>
      <c r="D201" s="47"/>
      <c r="E201" s="47"/>
      <c r="F201" s="47"/>
      <c r="G201" s="47"/>
      <c r="H201" s="47"/>
      <c r="I201" s="47"/>
      <c r="J201" s="47"/>
      <c r="K201" s="47"/>
      <c r="L201" s="47"/>
      <c r="M201" s="242"/>
      <c r="N201" s="242"/>
      <c r="O201" s="48"/>
    </row>
    <row r="202" spans="1:15" x14ac:dyDescent="0.2">
      <c r="A202" s="249" t="s">
        <v>443</v>
      </c>
      <c r="B202" s="47"/>
      <c r="C202" s="47"/>
      <c r="D202" s="47"/>
      <c r="E202" s="47"/>
      <c r="F202" s="47"/>
      <c r="G202" s="47"/>
      <c r="H202" s="47"/>
      <c r="I202" s="47"/>
      <c r="J202" s="47"/>
      <c r="K202" s="47"/>
      <c r="L202" s="47"/>
      <c r="M202" s="242"/>
      <c r="N202" s="242"/>
      <c r="O202" s="48"/>
    </row>
    <row r="203" spans="1:15" x14ac:dyDescent="0.2">
      <c r="A203" s="37" t="s">
        <v>321</v>
      </c>
    </row>
    <row r="204" spans="1:15" x14ac:dyDescent="0.2">
      <c r="A204" s="249" t="s">
        <v>819</v>
      </c>
      <c r="B204" s="47"/>
      <c r="C204" s="47"/>
      <c r="D204" s="47"/>
      <c r="E204" s="47"/>
      <c r="F204" s="47"/>
      <c r="G204" s="47"/>
      <c r="H204" s="47"/>
      <c r="I204" s="47"/>
      <c r="J204" s="47"/>
      <c r="K204" s="47"/>
      <c r="L204" s="47"/>
      <c r="M204" s="242"/>
      <c r="N204" s="242"/>
      <c r="O204" s="48"/>
    </row>
    <row r="205" spans="1:15" x14ac:dyDescent="0.2">
      <c r="A205" s="243" t="s">
        <v>895</v>
      </c>
      <c r="B205" s="3"/>
      <c r="C205" s="3"/>
      <c r="D205" s="3"/>
      <c r="G205" s="185"/>
      <c r="J205" s="185"/>
      <c r="M205"/>
      <c r="N205"/>
    </row>
    <row r="206" spans="1:15" x14ac:dyDescent="0.2">
      <c r="A206" s="9"/>
    </row>
    <row r="207" spans="1:15" ht="14.25" customHeight="1" x14ac:dyDescent="0.2">
      <c r="A207" s="1015" t="s">
        <v>677</v>
      </c>
      <c r="B207" s="1015"/>
      <c r="C207" s="1015"/>
      <c r="D207" s="1015"/>
      <c r="E207" s="1015"/>
      <c r="F207" s="1015"/>
      <c r="G207" s="1015"/>
      <c r="H207" s="1015"/>
      <c r="I207" s="1015"/>
      <c r="J207" s="1015"/>
      <c r="K207" s="1015"/>
      <c r="L207" s="1015"/>
      <c r="M207" s="1015"/>
      <c r="N207" s="1015"/>
      <c r="O207" s="1015"/>
    </row>
    <row r="208" spans="1:15" x14ac:dyDescent="0.2">
      <c r="A208" s="1015"/>
      <c r="B208" s="1015"/>
      <c r="C208" s="1015"/>
      <c r="D208" s="1015"/>
      <c r="E208" s="1015"/>
      <c r="F208" s="1015"/>
      <c r="G208" s="1015"/>
      <c r="H208" s="1015"/>
      <c r="I208" s="1015"/>
      <c r="J208" s="1015"/>
      <c r="K208" s="1015"/>
      <c r="L208" s="1015"/>
      <c r="M208" s="1015"/>
      <c r="N208" s="1015"/>
      <c r="O208" s="1015"/>
    </row>
    <row r="209" spans="1:15" ht="21.75" customHeight="1" x14ac:dyDescent="0.2">
      <c r="A209" s="1015"/>
      <c r="B209" s="1015"/>
      <c r="C209" s="1015"/>
      <c r="D209" s="1015"/>
      <c r="E209" s="1015"/>
      <c r="F209" s="1015"/>
      <c r="G209" s="1015"/>
      <c r="H209" s="1015"/>
      <c r="I209" s="1015"/>
      <c r="J209" s="1015"/>
      <c r="K209" s="1015"/>
      <c r="L209" s="1015"/>
      <c r="M209" s="1015"/>
      <c r="N209" s="1015"/>
      <c r="O209" s="1015"/>
    </row>
    <row r="210" spans="1:15" x14ac:dyDescent="0.2">
      <c r="A210" s="303"/>
      <c r="B210" s="303"/>
      <c r="C210" s="303"/>
      <c r="D210" s="303"/>
      <c r="E210" s="303"/>
      <c r="F210" s="303"/>
      <c r="G210" s="306"/>
      <c r="H210" s="306"/>
      <c r="I210" s="306"/>
      <c r="J210" s="306"/>
      <c r="K210" s="306"/>
      <c r="L210" s="306"/>
      <c r="M210" s="306"/>
      <c r="N210" s="306"/>
      <c r="O210" s="306"/>
    </row>
    <row r="211" spans="1:15" x14ac:dyDescent="0.2">
      <c r="A211" s="1024" t="s">
        <v>17</v>
      </c>
      <c r="B211" s="1024"/>
      <c r="C211" s="1024"/>
      <c r="D211" s="1024"/>
      <c r="E211" s="1024"/>
      <c r="F211" s="1024"/>
      <c r="G211" s="306"/>
      <c r="H211" s="306"/>
      <c r="I211" s="306"/>
      <c r="J211" s="306"/>
      <c r="K211" s="306"/>
      <c r="L211" s="306"/>
      <c r="M211" s="306"/>
      <c r="N211" s="306"/>
      <c r="O211" s="306"/>
    </row>
    <row r="212" spans="1:15" x14ac:dyDescent="0.2">
      <c r="A212" s="303"/>
      <c r="B212" s="303"/>
      <c r="C212" s="303"/>
      <c r="D212" s="303"/>
      <c r="E212" s="303"/>
      <c r="F212" s="303"/>
      <c r="G212" s="306"/>
      <c r="H212" s="306"/>
      <c r="I212" s="306"/>
      <c r="J212" s="306"/>
      <c r="K212" s="306"/>
      <c r="L212" s="306"/>
      <c r="M212" s="306"/>
      <c r="N212" s="306"/>
      <c r="O212" s="306"/>
    </row>
    <row r="213" spans="1:15" ht="12.75" customHeight="1" x14ac:dyDescent="0.2">
      <c r="A213" s="1017" t="s">
        <v>672</v>
      </c>
      <c r="B213" s="1017"/>
      <c r="C213" s="1017"/>
      <c r="D213" s="1017"/>
      <c r="E213" s="1017"/>
      <c r="F213" s="1017"/>
      <c r="G213" s="1017"/>
      <c r="H213" s="1017"/>
      <c r="I213" s="1017"/>
      <c r="J213" s="1017"/>
      <c r="K213" s="1017"/>
      <c r="L213" s="1017"/>
      <c r="M213" s="1017"/>
      <c r="N213" s="1017"/>
      <c r="O213" s="1017"/>
    </row>
    <row r="214" spans="1:15" ht="24.75" customHeight="1" x14ac:dyDescent="0.2">
      <c r="A214" s="1017"/>
      <c r="B214" s="1017"/>
      <c r="C214" s="1017"/>
      <c r="D214" s="1017"/>
      <c r="E214" s="1017"/>
      <c r="F214" s="1017"/>
      <c r="G214" s="1017"/>
      <c r="H214" s="1017"/>
      <c r="I214" s="1017"/>
      <c r="J214" s="1017"/>
      <c r="K214" s="1017"/>
      <c r="L214" s="1017"/>
      <c r="M214" s="1017"/>
      <c r="N214" s="1017"/>
      <c r="O214" s="1017"/>
    </row>
    <row r="215" spans="1:15" x14ac:dyDescent="0.2">
      <c r="A215" s="303"/>
      <c r="B215" s="303"/>
      <c r="C215" s="303"/>
      <c r="D215" s="303"/>
      <c r="E215" s="303"/>
      <c r="F215" s="303"/>
      <c r="G215" s="306"/>
      <c r="H215" s="306"/>
      <c r="I215" s="306"/>
      <c r="J215" s="306"/>
      <c r="K215" s="306"/>
      <c r="L215" s="306"/>
      <c r="M215" s="306"/>
      <c r="N215" s="306"/>
      <c r="O215" s="306"/>
    </row>
    <row r="216" spans="1:15" ht="12.75" customHeight="1" x14ac:dyDescent="0.2">
      <c r="A216" s="1017" t="s">
        <v>673</v>
      </c>
      <c r="B216" s="1017"/>
      <c r="C216" s="1017"/>
      <c r="D216" s="1017"/>
      <c r="E216" s="1017"/>
      <c r="F216" s="1017"/>
      <c r="G216" s="1017"/>
      <c r="H216" s="1017"/>
      <c r="I216" s="1017"/>
      <c r="J216" s="1017"/>
      <c r="K216" s="1017"/>
      <c r="L216" s="1017"/>
      <c r="M216" s="1017"/>
      <c r="N216" s="1017"/>
      <c r="O216" s="1017"/>
    </row>
    <row r="217" spans="1:15" x14ac:dyDescent="0.2">
      <c r="A217" s="1017"/>
      <c r="B217" s="1017"/>
      <c r="C217" s="1017"/>
      <c r="D217" s="1017"/>
      <c r="E217" s="1017"/>
      <c r="F217" s="1017"/>
      <c r="G217" s="1017"/>
      <c r="H217" s="1017"/>
      <c r="I217" s="1017"/>
      <c r="J217" s="1017"/>
      <c r="K217" s="1017"/>
      <c r="L217" s="1017"/>
      <c r="M217" s="1017"/>
      <c r="N217" s="1017"/>
      <c r="O217" s="1017"/>
    </row>
    <row r="218" spans="1:15" x14ac:dyDescent="0.2">
      <c r="A218" s="1017"/>
      <c r="B218" s="1017"/>
      <c r="C218" s="1017"/>
      <c r="D218" s="1017"/>
      <c r="E218" s="1017"/>
      <c r="F218" s="1017"/>
      <c r="G218" s="1017"/>
      <c r="H218" s="1017"/>
      <c r="I218" s="1017"/>
      <c r="J218" s="1017"/>
      <c r="K218" s="1017"/>
      <c r="L218" s="1017"/>
      <c r="M218" s="1017"/>
      <c r="N218" s="1017"/>
      <c r="O218" s="1017"/>
    </row>
    <row r="219" spans="1:15" x14ac:dyDescent="0.2">
      <c r="A219" s="303"/>
      <c r="B219" s="303"/>
      <c r="C219" s="303"/>
      <c r="D219" s="303"/>
      <c r="E219" s="303"/>
      <c r="F219" s="303"/>
      <c r="G219" s="306"/>
      <c r="H219" s="306"/>
      <c r="I219" s="306"/>
      <c r="J219" s="306"/>
      <c r="K219" s="306"/>
      <c r="L219" s="306"/>
      <c r="M219" s="306"/>
      <c r="N219" s="306"/>
      <c r="O219" s="306"/>
    </row>
    <row r="220" spans="1:15" ht="12.75" customHeight="1" x14ac:dyDescent="0.2">
      <c r="A220" s="1017" t="s">
        <v>674</v>
      </c>
      <c r="B220" s="1017"/>
      <c r="C220" s="1017"/>
      <c r="D220" s="1017"/>
      <c r="E220" s="1017"/>
      <c r="F220" s="1017"/>
      <c r="G220" s="1017"/>
      <c r="H220" s="1017"/>
      <c r="I220" s="1017"/>
      <c r="J220" s="1017"/>
      <c r="K220" s="1017"/>
      <c r="L220" s="1017"/>
      <c r="M220" s="1017"/>
      <c r="N220" s="1017"/>
      <c r="O220" s="1017"/>
    </row>
    <row r="221" spans="1:15" x14ac:dyDescent="0.2">
      <c r="A221" s="1017"/>
      <c r="B221" s="1017"/>
      <c r="C221" s="1017"/>
      <c r="D221" s="1017"/>
      <c r="E221" s="1017"/>
      <c r="F221" s="1017"/>
      <c r="G221" s="1017"/>
      <c r="H221" s="1017"/>
      <c r="I221" s="1017"/>
      <c r="J221" s="1017"/>
      <c r="K221" s="1017"/>
      <c r="L221" s="1017"/>
      <c r="M221" s="1017"/>
      <c r="N221" s="1017"/>
      <c r="O221" s="1017"/>
    </row>
    <row r="222" spans="1:15" x14ac:dyDescent="0.2">
      <c r="A222" s="1017"/>
      <c r="B222" s="1017"/>
      <c r="C222" s="1017"/>
      <c r="D222" s="1017"/>
      <c r="E222" s="1017"/>
      <c r="F222" s="1017"/>
      <c r="G222" s="1017"/>
      <c r="H222" s="1017"/>
      <c r="I222" s="1017"/>
      <c r="J222" s="1017"/>
      <c r="K222" s="1017"/>
      <c r="L222" s="1017"/>
      <c r="M222" s="1017"/>
      <c r="N222" s="1017"/>
      <c r="O222" s="1017"/>
    </row>
    <row r="223" spans="1:15" x14ac:dyDescent="0.2">
      <c r="A223" s="1017"/>
      <c r="B223" s="1017"/>
      <c r="C223" s="1017"/>
      <c r="D223" s="1017"/>
      <c r="E223" s="1017"/>
      <c r="F223" s="1017"/>
      <c r="G223" s="1017"/>
      <c r="H223" s="1017"/>
      <c r="I223" s="1017"/>
      <c r="J223" s="1017"/>
      <c r="K223" s="1017"/>
      <c r="L223" s="1017"/>
      <c r="M223" s="1017"/>
      <c r="N223" s="1017"/>
      <c r="O223" s="1017"/>
    </row>
    <row r="224" spans="1:15" x14ac:dyDescent="0.2">
      <c r="A224" s="303"/>
      <c r="B224" s="303"/>
      <c r="C224" s="303"/>
      <c r="D224" s="303"/>
      <c r="E224" s="303"/>
      <c r="F224" s="303"/>
      <c r="G224" s="306"/>
      <c r="H224" s="306"/>
      <c r="I224" s="306"/>
      <c r="J224" s="306"/>
      <c r="K224" s="306"/>
      <c r="L224" s="306"/>
      <c r="M224" s="306"/>
      <c r="N224" s="306"/>
      <c r="O224" s="306"/>
    </row>
    <row r="225" spans="1:15" ht="78.75" customHeight="1" x14ac:dyDescent="0.2">
      <c r="A225" s="1015" t="s">
        <v>675</v>
      </c>
      <c r="B225" s="1015"/>
      <c r="C225" s="1015"/>
      <c r="D225" s="1015"/>
      <c r="E225" s="1015"/>
      <c r="F225" s="1015"/>
      <c r="G225" s="1015"/>
      <c r="H225" s="1015"/>
      <c r="I225" s="1015"/>
      <c r="J225" s="1015"/>
      <c r="K225" s="1015"/>
      <c r="L225" s="1015"/>
      <c r="M225" s="1015"/>
      <c r="N225" s="1015"/>
      <c r="O225" s="1015"/>
    </row>
    <row r="226" spans="1:15" ht="13.5" customHeight="1" x14ac:dyDescent="0.2">
      <c r="A226" s="931"/>
      <c r="B226" s="931"/>
      <c r="C226" s="931"/>
      <c r="D226" s="931"/>
      <c r="E226" s="931"/>
      <c r="F226" s="931"/>
      <c r="G226" s="306"/>
      <c r="H226" s="306"/>
      <c r="I226" s="306"/>
      <c r="J226" s="306"/>
      <c r="K226" s="306"/>
      <c r="L226" s="306"/>
      <c r="M226" s="306"/>
      <c r="N226" s="306"/>
      <c r="O226" s="306"/>
    </row>
    <row r="227" spans="1:15" ht="123" customHeight="1" x14ac:dyDescent="0.2">
      <c r="A227" s="1015" t="s">
        <v>883</v>
      </c>
      <c r="B227" s="1015"/>
      <c r="C227" s="1015"/>
      <c r="D227" s="1015"/>
      <c r="E227" s="1015"/>
      <c r="F227" s="1015"/>
      <c r="G227" s="1015"/>
      <c r="H227" s="1015"/>
      <c r="I227" s="1015"/>
      <c r="J227" s="1015"/>
      <c r="K227" s="1015"/>
      <c r="L227" s="1015"/>
      <c r="M227" s="1015"/>
      <c r="N227" s="1015"/>
      <c r="O227" s="1015"/>
    </row>
    <row r="228" spans="1:15" x14ac:dyDescent="0.2">
      <c r="A228" s="303"/>
      <c r="B228" s="303"/>
      <c r="C228" s="303"/>
      <c r="D228" s="303"/>
      <c r="E228" s="303"/>
      <c r="F228" s="303"/>
      <c r="G228" s="306"/>
      <c r="H228" s="306"/>
      <c r="I228" s="306"/>
      <c r="J228" s="306"/>
      <c r="K228" s="306"/>
      <c r="L228" s="306"/>
      <c r="M228" s="306"/>
      <c r="N228" s="306"/>
      <c r="O228" s="306"/>
    </row>
    <row r="229" spans="1:15" ht="171" customHeight="1" x14ac:dyDescent="0.2">
      <c r="A229" s="1015" t="s">
        <v>678</v>
      </c>
      <c r="B229" s="1015"/>
      <c r="C229" s="1015"/>
      <c r="D229" s="1015"/>
      <c r="E229" s="1015"/>
      <c r="F229" s="1015"/>
      <c r="G229" s="1015"/>
      <c r="H229" s="1015"/>
      <c r="I229" s="1015"/>
      <c r="J229" s="1015"/>
      <c r="K229" s="1015"/>
      <c r="L229" s="1015"/>
      <c r="M229" s="1015"/>
      <c r="N229" s="1015"/>
      <c r="O229" s="1015"/>
    </row>
    <row r="230" spans="1:15" x14ac:dyDescent="0.2">
      <c r="M230"/>
      <c r="N230"/>
    </row>
    <row r="232" spans="1:15" x14ac:dyDescent="0.2">
      <c r="A232" s="16"/>
    </row>
    <row r="233" spans="1:15" x14ac:dyDescent="0.2">
      <c r="A233" s="16"/>
    </row>
  </sheetData>
  <mergeCells count="8">
    <mergeCell ref="A207:O209"/>
    <mergeCell ref="A225:O225"/>
    <mergeCell ref="A229:O229"/>
    <mergeCell ref="A211:F211"/>
    <mergeCell ref="A220:O223"/>
    <mergeCell ref="A216:O218"/>
    <mergeCell ref="A213:O214"/>
    <mergeCell ref="A227:O227"/>
  </mergeCells>
  <phoneticPr fontId="2" type="noConversion"/>
  <printOptions horizontalCentered="1"/>
  <pageMargins left="0.59055118110236227" right="0.59055118110236227" top="0.78740157480314965" bottom="0.78740157480314965" header="0.39370078740157483" footer="0.39370078740157483"/>
  <pageSetup paperSize="9" scale="56" firstPageNumber="18" fitToHeight="0" orientation="landscape" useFirstPageNumber="1" r:id="rId1"/>
  <headerFooter alignWithMargins="0">
    <oddHeader>&amp;R&amp;12Les finances des communes en 2024</oddHeader>
    <oddFooter>&amp;L&amp;12Direction Générale des Collectivités Locales / DESL&amp;C&amp;P&amp;R&amp;12Mise en ligne : janvier 2026</oddFooter>
  </headerFooter>
  <rowBreaks count="3" manualBreakCount="3">
    <brk id="70" max="14" man="1"/>
    <brk id="139" max="14" man="1"/>
    <brk id="205" max="1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XFD183"/>
  <sheetViews>
    <sheetView view="pageBreakPreview" zoomScale="60" zoomScaleNormal="85" zoomScalePageLayoutView="85" workbookViewId="0">
      <selection activeCell="P114" sqref="P114:P154"/>
    </sheetView>
  </sheetViews>
  <sheetFormatPr baseColWidth="10" defaultRowHeight="12.75" x14ac:dyDescent="0.2"/>
  <cols>
    <col min="1" max="1" width="90.85546875" customWidth="1"/>
    <col min="13" max="15" width="13.7109375" customWidth="1"/>
    <col min="16" max="16" width="19.28515625" customWidth="1"/>
  </cols>
  <sheetData>
    <row r="1" spans="1:16" ht="21" x14ac:dyDescent="0.2">
      <c r="A1" s="46" t="s">
        <v>906</v>
      </c>
    </row>
    <row r="2" spans="1:16" ht="5.25" customHeight="1" x14ac:dyDescent="0.2">
      <c r="A2" s="46"/>
    </row>
    <row r="3" spans="1:16" ht="15" customHeight="1" thickBot="1" x14ac:dyDescent="0.25">
      <c r="P3" s="259" t="s">
        <v>213</v>
      </c>
    </row>
    <row r="4" spans="1:16" ht="18"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229</v>
      </c>
      <c r="O4" s="257" t="s">
        <v>77</v>
      </c>
      <c r="P4" s="281" t="s">
        <v>220</v>
      </c>
    </row>
    <row r="5" spans="1:16" ht="18" customHeight="1"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8"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ht="12.75" customHeight="1" x14ac:dyDescent="0.2">
      <c r="A7" s="227"/>
    </row>
    <row r="8" spans="1:16" s="465" customFormat="1" ht="17.25" customHeight="1" x14ac:dyDescent="0.25">
      <c r="A8" s="474" t="s">
        <v>160</v>
      </c>
      <c r="B8" s="466">
        <v>992.70086349300004</v>
      </c>
      <c r="C8" s="466">
        <v>1000.627145573</v>
      </c>
      <c r="D8" s="466">
        <v>963.96490655299999</v>
      </c>
      <c r="E8" s="466">
        <v>963.60155019700005</v>
      </c>
      <c r="F8" s="466">
        <v>1026.2788123079999</v>
      </c>
      <c r="G8" s="466">
        <v>1100.363982584</v>
      </c>
      <c r="H8" s="466">
        <v>1121.222570209</v>
      </c>
      <c r="I8" s="466">
        <v>1201.6366820210001</v>
      </c>
      <c r="J8" s="466">
        <v>1209.052676365</v>
      </c>
      <c r="K8" s="466">
        <v>1323.5059997000001</v>
      </c>
      <c r="L8" s="466" t="s">
        <v>102</v>
      </c>
      <c r="M8" s="479">
        <v>1043.562912054</v>
      </c>
      <c r="N8" s="479">
        <v>1219.2184574339999</v>
      </c>
      <c r="O8" s="479">
        <v>1098.3545638400001</v>
      </c>
      <c r="P8" s="466">
        <v>1132.2923975839999</v>
      </c>
    </row>
    <row r="9" spans="1:16" s="465" customFormat="1" ht="17.25" customHeight="1" x14ac:dyDescent="0.2">
      <c r="A9" s="465" t="s">
        <v>161</v>
      </c>
      <c r="B9" s="467">
        <v>351.28665369599997</v>
      </c>
      <c r="C9" s="467">
        <v>380.37748050800002</v>
      </c>
      <c r="D9" s="467">
        <v>364.28986168099999</v>
      </c>
      <c r="E9" s="467">
        <v>333.91219428699998</v>
      </c>
      <c r="F9" s="467">
        <v>337.38778292500001</v>
      </c>
      <c r="G9" s="467">
        <v>339.89175245000001</v>
      </c>
      <c r="H9" s="467">
        <v>321.87281133099998</v>
      </c>
      <c r="I9" s="467">
        <v>315.24968037600001</v>
      </c>
      <c r="J9" s="467">
        <v>315.545929543</v>
      </c>
      <c r="K9" s="467">
        <v>267.393523351</v>
      </c>
      <c r="L9" s="467" t="s">
        <v>102</v>
      </c>
      <c r="M9" s="480">
        <v>334.90120533499999</v>
      </c>
      <c r="N9" s="480">
        <v>309.65319667300002</v>
      </c>
      <c r="O9" s="480">
        <v>327.02567771700001</v>
      </c>
      <c r="P9" s="467">
        <v>298.70578327599998</v>
      </c>
    </row>
    <row r="10" spans="1:16" s="465" customFormat="1" ht="17.25" customHeight="1" x14ac:dyDescent="0.2">
      <c r="A10" s="465" t="s">
        <v>162</v>
      </c>
      <c r="B10" s="467">
        <v>315.17776930899998</v>
      </c>
      <c r="C10" s="467">
        <v>346.38348856900001</v>
      </c>
      <c r="D10" s="467">
        <v>353.52558745699997</v>
      </c>
      <c r="E10" s="467">
        <v>404.03393667</v>
      </c>
      <c r="F10" s="467">
        <v>491.85838559000001</v>
      </c>
      <c r="G10" s="467">
        <v>568.04180654200002</v>
      </c>
      <c r="H10" s="467">
        <v>618.57181057900004</v>
      </c>
      <c r="I10" s="467">
        <v>692.73412619600003</v>
      </c>
      <c r="J10" s="467">
        <v>680.875901408</v>
      </c>
      <c r="K10" s="467">
        <v>804.15933638399997</v>
      </c>
      <c r="L10" s="467" t="s">
        <v>102</v>
      </c>
      <c r="M10" s="480">
        <v>504.802929178</v>
      </c>
      <c r="N10" s="480">
        <v>701.21284132100004</v>
      </c>
      <c r="O10" s="480">
        <v>566.06842176500004</v>
      </c>
      <c r="P10" s="467">
        <v>606.408680506</v>
      </c>
    </row>
    <row r="11" spans="1:16" s="465" customFormat="1" ht="17.25" customHeight="1" x14ac:dyDescent="0.2">
      <c r="A11" s="465" t="s">
        <v>163</v>
      </c>
      <c r="B11" s="467">
        <v>14.109052822000001</v>
      </c>
      <c r="C11" s="467">
        <v>27.799726138</v>
      </c>
      <c r="D11" s="467">
        <v>19.942756649</v>
      </c>
      <c r="E11" s="467">
        <v>23.323123996</v>
      </c>
      <c r="F11" s="467">
        <v>21.751311879999999</v>
      </c>
      <c r="G11" s="467">
        <v>21.570006314</v>
      </c>
      <c r="H11" s="467">
        <v>24.237400782999998</v>
      </c>
      <c r="I11" s="467">
        <v>22.433723725</v>
      </c>
      <c r="J11" s="467">
        <v>32.117990394000003</v>
      </c>
      <c r="K11" s="467">
        <v>49.886719294999999</v>
      </c>
      <c r="L11" s="467" t="s">
        <v>102</v>
      </c>
      <c r="M11" s="480">
        <v>22.738901609999999</v>
      </c>
      <c r="N11" s="480">
        <v>29.660332578999999</v>
      </c>
      <c r="O11" s="480">
        <v>24.897880619999999</v>
      </c>
      <c r="P11" s="467">
        <v>23.645549684999999</v>
      </c>
    </row>
    <row r="12" spans="1:16" s="465" customFormat="1" ht="17.25" customHeight="1" x14ac:dyDescent="0.2">
      <c r="A12" s="465" t="s">
        <v>164</v>
      </c>
      <c r="B12" s="467">
        <v>143.19477479899999</v>
      </c>
      <c r="C12" s="467">
        <v>128.50369290899999</v>
      </c>
      <c r="D12" s="467">
        <v>141.4285126</v>
      </c>
      <c r="E12" s="467">
        <v>135.966170912</v>
      </c>
      <c r="F12" s="467">
        <v>124.480566068</v>
      </c>
      <c r="G12" s="467">
        <v>122.619879125</v>
      </c>
      <c r="H12" s="467">
        <v>114.137426961</v>
      </c>
      <c r="I12" s="467">
        <v>133.331277086</v>
      </c>
      <c r="J12" s="467">
        <v>147.00412256999999</v>
      </c>
      <c r="K12" s="467">
        <v>164.32383770199999</v>
      </c>
      <c r="L12" s="467" t="s">
        <v>102</v>
      </c>
      <c r="M12" s="480">
        <v>125.600434259</v>
      </c>
      <c r="N12" s="480">
        <v>142.60631827200001</v>
      </c>
      <c r="O12" s="480">
        <v>130.90502326699999</v>
      </c>
      <c r="P12" s="467">
        <v>158.370302571</v>
      </c>
    </row>
    <row r="13" spans="1:16" s="465" customFormat="1" ht="17.25" customHeight="1" x14ac:dyDescent="0.2">
      <c r="A13" s="465" t="s">
        <v>165</v>
      </c>
      <c r="B13" s="467">
        <v>168.93261286699999</v>
      </c>
      <c r="C13" s="467">
        <v>117.562757449</v>
      </c>
      <c r="D13" s="467">
        <v>84.778188166000007</v>
      </c>
      <c r="E13" s="467">
        <v>66.366124331999998</v>
      </c>
      <c r="F13" s="467">
        <v>50.800765845000001</v>
      </c>
      <c r="G13" s="467">
        <v>48.240538153000003</v>
      </c>
      <c r="H13" s="467">
        <v>42.403120555999998</v>
      </c>
      <c r="I13" s="467">
        <v>37.887874639000003</v>
      </c>
      <c r="J13" s="467">
        <v>33.508732449</v>
      </c>
      <c r="K13" s="467">
        <v>37.742582968000001</v>
      </c>
      <c r="L13" s="467" t="s">
        <v>102</v>
      </c>
      <c r="M13" s="480">
        <v>55.519441671999999</v>
      </c>
      <c r="N13" s="480">
        <v>36.085768588999997</v>
      </c>
      <c r="O13" s="480">
        <v>49.457560471000001</v>
      </c>
      <c r="P13" s="467">
        <v>45.162081544999999</v>
      </c>
    </row>
    <row r="14" spans="1:16" s="465" customFormat="1" ht="17.25" customHeight="1" x14ac:dyDescent="0.25">
      <c r="A14" s="474" t="s">
        <v>166</v>
      </c>
      <c r="B14" s="466">
        <v>1407.29279516</v>
      </c>
      <c r="C14" s="466">
        <v>1346.8157738</v>
      </c>
      <c r="D14" s="466">
        <v>1261.7148705340001</v>
      </c>
      <c r="E14" s="466">
        <v>1229.877047941</v>
      </c>
      <c r="F14" s="466">
        <v>1293.915510088</v>
      </c>
      <c r="G14" s="466">
        <v>1400.1497026899999</v>
      </c>
      <c r="H14" s="466">
        <v>1406.3479708790001</v>
      </c>
      <c r="I14" s="466">
        <v>1459.3622028540001</v>
      </c>
      <c r="J14" s="466">
        <v>1444.8776673709999</v>
      </c>
      <c r="K14" s="466">
        <v>1450.860860878</v>
      </c>
      <c r="L14" s="466" t="s">
        <v>102</v>
      </c>
      <c r="M14" s="479">
        <v>1324.3991459270001</v>
      </c>
      <c r="N14" s="479">
        <v>1452.443305968</v>
      </c>
      <c r="O14" s="479">
        <v>1364.339536166</v>
      </c>
      <c r="P14" s="466">
        <v>1329.451253362</v>
      </c>
    </row>
    <row r="15" spans="1:16" s="465" customFormat="1" ht="17.25" customHeight="1" x14ac:dyDescent="0.2">
      <c r="A15" s="465" t="s">
        <v>79</v>
      </c>
      <c r="B15" s="467">
        <v>583.75656894600002</v>
      </c>
      <c r="C15" s="467">
        <v>586.58508685799995</v>
      </c>
      <c r="D15" s="467">
        <v>632.61290786899997</v>
      </c>
      <c r="E15" s="467">
        <v>714.39731298699996</v>
      </c>
      <c r="F15" s="467">
        <v>827.861869619</v>
      </c>
      <c r="G15" s="467">
        <v>933.40519274200005</v>
      </c>
      <c r="H15" s="467">
        <v>985.251563562</v>
      </c>
      <c r="I15" s="467">
        <v>1083.2924594199999</v>
      </c>
      <c r="J15" s="467">
        <v>1066.237544523</v>
      </c>
      <c r="K15" s="467">
        <v>1059.089674303</v>
      </c>
      <c r="L15" s="467" t="s">
        <v>102</v>
      </c>
      <c r="M15" s="480">
        <v>842.63116094999998</v>
      </c>
      <c r="N15" s="480">
        <v>1073.4501861179999</v>
      </c>
      <c r="O15" s="480">
        <v>914.62977406100003</v>
      </c>
      <c r="P15" s="467">
        <v>882.91849873499996</v>
      </c>
    </row>
    <row r="16" spans="1:16" s="465" customFormat="1" ht="17.25" customHeight="1" x14ac:dyDescent="0.2">
      <c r="A16" s="465" t="s">
        <v>167</v>
      </c>
      <c r="B16" s="467">
        <v>464.02317946800002</v>
      </c>
      <c r="C16" s="467">
        <v>495.135296654</v>
      </c>
      <c r="D16" s="467">
        <v>528.40343387300004</v>
      </c>
      <c r="E16" s="467">
        <v>601.47471472300003</v>
      </c>
      <c r="F16" s="467">
        <v>707.94970147499998</v>
      </c>
      <c r="G16" s="467">
        <v>759.65853587399999</v>
      </c>
      <c r="H16" s="467">
        <v>817.53896872999997</v>
      </c>
      <c r="I16" s="467">
        <v>910.66905604600004</v>
      </c>
      <c r="J16" s="467">
        <v>914.74787968800001</v>
      </c>
      <c r="K16" s="467">
        <v>876.59412594100002</v>
      </c>
      <c r="L16" s="467" t="s">
        <v>102</v>
      </c>
      <c r="M16" s="480">
        <v>703.654081238</v>
      </c>
      <c r="N16" s="480">
        <v>908.26058482600001</v>
      </c>
      <c r="O16" s="480">
        <v>767.47630941499995</v>
      </c>
      <c r="P16" s="467">
        <v>762.76738347100002</v>
      </c>
    </row>
    <row r="17" spans="1:16" s="465" customFormat="1" ht="17.25" customHeight="1" x14ac:dyDescent="0.2">
      <c r="A17" s="465" t="s">
        <v>199</v>
      </c>
      <c r="B17" s="467">
        <v>181.94981770699999</v>
      </c>
      <c r="C17" s="467">
        <v>103.596930496</v>
      </c>
      <c r="D17" s="467">
        <v>86.553916756999996</v>
      </c>
      <c r="E17" s="467">
        <v>71.548112204000006</v>
      </c>
      <c r="F17" s="467">
        <v>83.279385548999997</v>
      </c>
      <c r="G17" s="467">
        <v>85.311381781999998</v>
      </c>
      <c r="H17" s="467">
        <v>84.381871993000004</v>
      </c>
      <c r="I17" s="467">
        <v>114.610913294</v>
      </c>
      <c r="J17" s="467">
        <v>53.738762076</v>
      </c>
      <c r="K17" s="467">
        <v>54.246616388</v>
      </c>
      <c r="L17" s="467" t="s">
        <v>102</v>
      </c>
      <c r="M17" s="480">
        <v>81.599193544000002</v>
      </c>
      <c r="N17" s="480">
        <v>82.590533811</v>
      </c>
      <c r="O17" s="480">
        <v>81.908419026000004</v>
      </c>
      <c r="P17" s="467">
        <v>153.50214644100001</v>
      </c>
    </row>
    <row r="18" spans="1:16" s="465" customFormat="1" ht="17.25" customHeight="1" x14ac:dyDescent="0.2">
      <c r="A18" s="465" t="s">
        <v>168</v>
      </c>
      <c r="B18" s="467">
        <v>119.73338947800001</v>
      </c>
      <c r="C18" s="467">
        <v>91.449790203999996</v>
      </c>
      <c r="D18" s="467">
        <v>104.209473996</v>
      </c>
      <c r="E18" s="467">
        <v>112.922598265</v>
      </c>
      <c r="F18" s="467">
        <v>119.91216814400001</v>
      </c>
      <c r="G18" s="467">
        <v>173.746656868</v>
      </c>
      <c r="H18" s="467">
        <v>167.712594833</v>
      </c>
      <c r="I18" s="467">
        <v>172.62340337399999</v>
      </c>
      <c r="J18" s="467">
        <v>151.48966483500001</v>
      </c>
      <c r="K18" s="467">
        <v>182.49554836199999</v>
      </c>
      <c r="L18" s="467" t="s">
        <v>102</v>
      </c>
      <c r="M18" s="480">
        <v>138.97707971200001</v>
      </c>
      <c r="N18" s="480">
        <v>165.18960129199999</v>
      </c>
      <c r="O18" s="480">
        <v>147.153464646</v>
      </c>
      <c r="P18" s="467">
        <v>120.151115265</v>
      </c>
    </row>
    <row r="19" spans="1:16" s="465" customFormat="1" ht="17.25" customHeight="1" x14ac:dyDescent="0.2">
      <c r="A19" s="465" t="s">
        <v>169</v>
      </c>
      <c r="B19" s="467">
        <v>430.07553168800001</v>
      </c>
      <c r="C19" s="467">
        <v>349.385713431</v>
      </c>
      <c r="D19" s="467">
        <v>281.04958837499998</v>
      </c>
      <c r="E19" s="467">
        <v>233.80710210999999</v>
      </c>
      <c r="F19" s="467">
        <v>213.12878524800001</v>
      </c>
      <c r="G19" s="467">
        <v>193.810411262</v>
      </c>
      <c r="H19" s="467">
        <v>163.964105856</v>
      </c>
      <c r="I19" s="467">
        <v>132.432851449</v>
      </c>
      <c r="J19" s="467">
        <v>146.65575091400001</v>
      </c>
      <c r="K19" s="467">
        <v>117.26090446800001</v>
      </c>
      <c r="L19" s="467" t="s">
        <v>102</v>
      </c>
      <c r="M19" s="480">
        <v>208.72769302</v>
      </c>
      <c r="N19" s="480">
        <v>136.41694471900001</v>
      </c>
      <c r="O19" s="480">
        <v>186.172041089</v>
      </c>
      <c r="P19" s="467">
        <v>220.77711797399999</v>
      </c>
    </row>
    <row r="20" spans="1:16" s="465" customFormat="1" ht="17.25" customHeight="1" x14ac:dyDescent="0.2">
      <c r="A20" s="465" t="s">
        <v>170</v>
      </c>
      <c r="B20" s="467">
        <v>241.793677309</v>
      </c>
      <c r="C20" s="467">
        <v>210.80742506600001</v>
      </c>
      <c r="D20" s="467">
        <v>188.517756367</v>
      </c>
      <c r="E20" s="467">
        <v>182.34477051499999</v>
      </c>
      <c r="F20" s="467">
        <v>169.15715156900001</v>
      </c>
      <c r="G20" s="467">
        <v>155.401603919</v>
      </c>
      <c r="H20" s="467">
        <v>134.01808884900001</v>
      </c>
      <c r="I20" s="467">
        <v>108.818764469</v>
      </c>
      <c r="J20" s="467">
        <v>126.753220996</v>
      </c>
      <c r="K20" s="467">
        <v>106.760532595</v>
      </c>
      <c r="L20" s="467" t="s">
        <v>102</v>
      </c>
      <c r="M20" s="480">
        <v>163.00132187400001</v>
      </c>
      <c r="N20" s="480">
        <v>115.882181102</v>
      </c>
      <c r="O20" s="480">
        <v>148.30360454300001</v>
      </c>
      <c r="P20" s="467">
        <v>168.82118193599999</v>
      </c>
    </row>
    <row r="21" spans="1:16" s="465" customFormat="1" ht="17.25" customHeight="1" x14ac:dyDescent="0.2">
      <c r="A21" s="465" t="s">
        <v>171</v>
      </c>
      <c r="B21" s="467">
        <v>61.245190555000001</v>
      </c>
      <c r="C21" s="467">
        <v>28.076336132000002</v>
      </c>
      <c r="D21" s="467">
        <v>13.071436921</v>
      </c>
      <c r="E21" s="467">
        <v>4.1498524970000004</v>
      </c>
      <c r="F21" s="467">
        <v>3.631963754</v>
      </c>
      <c r="G21" s="467">
        <v>2.7767372240000001</v>
      </c>
      <c r="H21" s="467">
        <v>2.6890018950000001</v>
      </c>
      <c r="I21" s="467">
        <v>2.3108226090000001</v>
      </c>
      <c r="J21" s="467">
        <v>3.0607099340000001</v>
      </c>
      <c r="K21" s="467">
        <v>6.0934382979999997</v>
      </c>
      <c r="L21" s="467" t="s">
        <v>102</v>
      </c>
      <c r="M21" s="480">
        <v>4.4237394969999997</v>
      </c>
      <c r="N21" s="480">
        <v>3.0683411729999999</v>
      </c>
      <c r="O21" s="480">
        <v>4.0009545920000003</v>
      </c>
      <c r="P21" s="467">
        <v>5.985235318</v>
      </c>
    </row>
    <row r="22" spans="1:16" s="465" customFormat="1" ht="17.25" customHeight="1" x14ac:dyDescent="0.2">
      <c r="A22" s="687" t="s">
        <v>607</v>
      </c>
      <c r="B22" s="467">
        <v>127.036663824</v>
      </c>
      <c r="C22" s="467">
        <v>110.501952233</v>
      </c>
      <c r="D22" s="467">
        <v>79.460395086999995</v>
      </c>
      <c r="E22" s="467">
        <v>47.312479099000001</v>
      </c>
      <c r="F22" s="467">
        <v>40.339669925000003</v>
      </c>
      <c r="G22" s="467">
        <v>35.632070118999998</v>
      </c>
      <c r="H22" s="467">
        <v>27.257015111000001</v>
      </c>
      <c r="I22" s="467">
        <v>21.303264371000001</v>
      </c>
      <c r="J22" s="467">
        <v>16.841819984000001</v>
      </c>
      <c r="K22" s="467">
        <v>4.4069335760000001</v>
      </c>
      <c r="L22" s="467" t="s">
        <v>102</v>
      </c>
      <c r="M22" s="480">
        <v>41.302631650000002</v>
      </c>
      <c r="N22" s="480">
        <v>17.466422443999999</v>
      </c>
      <c r="O22" s="480">
        <v>33.867481955000002</v>
      </c>
      <c r="P22" s="467">
        <v>45.970700719</v>
      </c>
    </row>
    <row r="23" spans="1:16" s="465" customFormat="1" ht="17.25" customHeight="1" x14ac:dyDescent="0.2">
      <c r="A23" s="465" t="s">
        <v>172</v>
      </c>
      <c r="B23" s="467">
        <v>25.269494695999999</v>
      </c>
      <c r="C23" s="467">
        <v>31.147698223999999</v>
      </c>
      <c r="D23" s="467">
        <v>34.026988056</v>
      </c>
      <c r="E23" s="467">
        <v>33.594631001000003</v>
      </c>
      <c r="F23" s="467">
        <v>40.644654041000003</v>
      </c>
      <c r="G23" s="467">
        <v>43.912216995999998</v>
      </c>
      <c r="H23" s="467">
        <v>53.189842304000003</v>
      </c>
      <c r="I23" s="467">
        <v>56.142781382999999</v>
      </c>
      <c r="J23" s="467">
        <v>43.790141323999997</v>
      </c>
      <c r="K23" s="467">
        <v>45.439447967</v>
      </c>
      <c r="L23" s="467" t="s">
        <v>102</v>
      </c>
      <c r="M23" s="480">
        <v>42.037047583000003</v>
      </c>
      <c r="N23" s="480">
        <v>49.829687778</v>
      </c>
      <c r="O23" s="480">
        <v>44.467779997999997</v>
      </c>
      <c r="P23" s="467">
        <v>56.726830266999997</v>
      </c>
    </row>
    <row r="24" spans="1:16" s="465" customFormat="1" ht="17.25" customHeight="1" x14ac:dyDescent="0.2">
      <c r="A24" s="465" t="s">
        <v>173</v>
      </c>
      <c r="B24" s="467">
        <v>151.67542188600001</v>
      </c>
      <c r="C24" s="467">
        <v>148.81777038600001</v>
      </c>
      <c r="D24" s="467">
        <v>160.63481044400001</v>
      </c>
      <c r="E24" s="467">
        <v>131.18208554099999</v>
      </c>
      <c r="F24" s="467">
        <v>107.42874225200001</v>
      </c>
      <c r="G24" s="467">
        <v>143.47146246099999</v>
      </c>
      <c r="H24" s="467">
        <v>133.189023566</v>
      </c>
      <c r="I24" s="467">
        <v>132.00879122000001</v>
      </c>
      <c r="J24" s="467">
        <v>135.83712634700001</v>
      </c>
      <c r="K24" s="467">
        <v>178.61192573400001</v>
      </c>
      <c r="L24" s="467" t="s">
        <v>102</v>
      </c>
      <c r="M24" s="480">
        <v>130.58554459800001</v>
      </c>
      <c r="N24" s="480">
        <v>139.136582086</v>
      </c>
      <c r="O24" s="480">
        <v>133.25284136600001</v>
      </c>
      <c r="P24" s="467">
        <v>108.30397019900001</v>
      </c>
    </row>
    <row r="25" spans="1:16" s="465" customFormat="1" ht="17.25" customHeight="1" x14ac:dyDescent="0.2">
      <c r="A25" s="475" t="s">
        <v>174</v>
      </c>
      <c r="B25" s="468">
        <v>216.51577794400001</v>
      </c>
      <c r="C25" s="468">
        <v>230.87950490200001</v>
      </c>
      <c r="D25" s="468">
        <v>153.39057579000001</v>
      </c>
      <c r="E25" s="468">
        <v>116.895916302</v>
      </c>
      <c r="F25" s="468">
        <v>104.851458929</v>
      </c>
      <c r="G25" s="468">
        <v>85.550419228999999</v>
      </c>
      <c r="H25" s="468">
        <v>70.753435589999995</v>
      </c>
      <c r="I25" s="468">
        <v>55.485319382</v>
      </c>
      <c r="J25" s="468">
        <v>52.357104264</v>
      </c>
      <c r="K25" s="468">
        <v>50.458908405999999</v>
      </c>
      <c r="L25" s="468" t="s">
        <v>102</v>
      </c>
      <c r="M25" s="481">
        <v>100.417699777</v>
      </c>
      <c r="N25" s="481">
        <v>53.609905267000002</v>
      </c>
      <c r="O25" s="481">
        <v>85.817099653</v>
      </c>
      <c r="P25" s="468">
        <v>60.724836185999997</v>
      </c>
    </row>
    <row r="26" spans="1:16" s="465" customFormat="1" ht="17.25" customHeight="1" x14ac:dyDescent="0.25">
      <c r="A26" s="474" t="s">
        <v>175</v>
      </c>
      <c r="B26" s="466">
        <v>414.59193166699998</v>
      </c>
      <c r="C26" s="466">
        <v>346.18862822699998</v>
      </c>
      <c r="D26" s="466">
        <v>297.74996398100001</v>
      </c>
      <c r="E26" s="466">
        <v>266.27549774400001</v>
      </c>
      <c r="F26" s="466">
        <v>267.63669778000002</v>
      </c>
      <c r="G26" s="466">
        <v>299.78572010599999</v>
      </c>
      <c r="H26" s="466">
        <v>285.12540066899999</v>
      </c>
      <c r="I26" s="466">
        <v>257.72552083300002</v>
      </c>
      <c r="J26" s="466">
        <v>235.82499100699999</v>
      </c>
      <c r="K26" s="466">
        <v>127.35486117799999</v>
      </c>
      <c r="L26" s="466" t="s">
        <v>102</v>
      </c>
      <c r="M26" s="479">
        <v>280.83623387300003</v>
      </c>
      <c r="N26" s="479">
        <v>233.22484853399999</v>
      </c>
      <c r="O26" s="479">
        <v>265.98497232599999</v>
      </c>
      <c r="P26" s="466">
        <v>197.158855778</v>
      </c>
    </row>
    <row r="27" spans="1:16" s="465" customFormat="1" ht="17.25" customHeight="1" x14ac:dyDescent="0.25">
      <c r="A27" s="476" t="s">
        <v>176</v>
      </c>
      <c r="B27" s="469">
        <v>307.55691221199999</v>
      </c>
      <c r="C27" s="469">
        <v>185.56044053700001</v>
      </c>
      <c r="D27" s="469">
        <v>184.57282639300001</v>
      </c>
      <c r="E27" s="469">
        <v>163.96321326899999</v>
      </c>
      <c r="F27" s="469">
        <v>175.70508286500001</v>
      </c>
      <c r="G27" s="469">
        <v>204.32171318600001</v>
      </c>
      <c r="H27" s="469">
        <v>188.20710548900001</v>
      </c>
      <c r="I27" s="469">
        <v>164.56585374400001</v>
      </c>
      <c r="J27" s="469">
        <v>118.348718131</v>
      </c>
      <c r="K27" s="469">
        <v>-15.833899438</v>
      </c>
      <c r="L27" s="469" t="s">
        <v>102</v>
      </c>
      <c r="M27" s="482">
        <v>182.10051714599999</v>
      </c>
      <c r="N27" s="482">
        <v>124.177971269</v>
      </c>
      <c r="O27" s="482">
        <v>164.03292948500001</v>
      </c>
      <c r="P27" s="469">
        <v>108.187236056</v>
      </c>
    </row>
    <row r="28" spans="1:16" s="465" customFormat="1" ht="17.25" customHeight="1" x14ac:dyDescent="0.25">
      <c r="A28" s="474" t="s">
        <v>177</v>
      </c>
      <c r="B28" s="466">
        <v>628.09067480399995</v>
      </c>
      <c r="C28" s="466">
        <v>622.56003273700003</v>
      </c>
      <c r="D28" s="466">
        <v>541.710888232</v>
      </c>
      <c r="E28" s="466">
        <v>532.73482638999997</v>
      </c>
      <c r="F28" s="466">
        <v>515.45790321300001</v>
      </c>
      <c r="G28" s="466">
        <v>520.78837589600005</v>
      </c>
      <c r="H28" s="466">
        <v>502.718652324</v>
      </c>
      <c r="I28" s="466">
        <v>488.063342949</v>
      </c>
      <c r="J28" s="466">
        <v>540.49533289600004</v>
      </c>
      <c r="K28" s="466">
        <v>379.96068438899999</v>
      </c>
      <c r="L28" s="466" t="s">
        <v>102</v>
      </c>
      <c r="M28" s="479">
        <v>521.04388384100002</v>
      </c>
      <c r="N28" s="479">
        <v>496.51767022500002</v>
      </c>
      <c r="O28" s="479">
        <v>513.39350335799998</v>
      </c>
      <c r="P28" s="466">
        <v>411.49686769099998</v>
      </c>
    </row>
    <row r="29" spans="1:16" s="465" customFormat="1" ht="17.25" customHeight="1" x14ac:dyDescent="0.2">
      <c r="A29" s="465" t="s">
        <v>178</v>
      </c>
      <c r="B29" s="467">
        <v>591.42474868099998</v>
      </c>
      <c r="C29" s="467">
        <v>596.38721086999999</v>
      </c>
      <c r="D29" s="467">
        <v>497.59497413299999</v>
      </c>
      <c r="E29" s="467">
        <v>498.94541710200002</v>
      </c>
      <c r="F29" s="467">
        <v>475.393798871</v>
      </c>
      <c r="G29" s="467">
        <v>473.20324500200002</v>
      </c>
      <c r="H29" s="467">
        <v>452.22328731900001</v>
      </c>
      <c r="I29" s="467">
        <v>444.81115910199998</v>
      </c>
      <c r="J29" s="467">
        <v>495.47027179000003</v>
      </c>
      <c r="K29" s="467">
        <v>304.77105534499998</v>
      </c>
      <c r="L29" s="467" t="s">
        <v>102</v>
      </c>
      <c r="M29" s="480">
        <v>478.59944219200003</v>
      </c>
      <c r="N29" s="480">
        <v>448.72747403099999</v>
      </c>
      <c r="O29" s="480">
        <v>469.28157822100002</v>
      </c>
      <c r="P29" s="467">
        <v>374.27712931899998</v>
      </c>
    </row>
    <row r="30" spans="1:16" s="465" customFormat="1" ht="17.25" customHeight="1" x14ac:dyDescent="0.2">
      <c r="A30" s="465" t="s">
        <v>179</v>
      </c>
      <c r="B30" s="467">
        <v>12.303401738</v>
      </c>
      <c r="C30" s="467">
        <v>14.700801345</v>
      </c>
      <c r="D30" s="467">
        <v>22.509399836</v>
      </c>
      <c r="E30" s="467">
        <v>15.864254045999999</v>
      </c>
      <c r="F30" s="467">
        <v>21.424696892</v>
      </c>
      <c r="G30" s="467">
        <v>24.159079818999999</v>
      </c>
      <c r="H30" s="467">
        <v>31.511657216</v>
      </c>
      <c r="I30" s="467">
        <v>22.570659814999999</v>
      </c>
      <c r="J30" s="467">
        <v>31.625648863999999</v>
      </c>
      <c r="K30" s="467">
        <v>45.480927327000003</v>
      </c>
      <c r="L30" s="467" t="s">
        <v>102</v>
      </c>
      <c r="M30" s="480">
        <v>22.952777523000002</v>
      </c>
      <c r="N30" s="480">
        <v>28.998097198</v>
      </c>
      <c r="O30" s="480">
        <v>24.838474043000002</v>
      </c>
      <c r="P30" s="467">
        <v>23.810771989999999</v>
      </c>
    </row>
    <row r="31" spans="1:16" s="465" customFormat="1" ht="17.25" customHeight="1" x14ac:dyDescent="0.2">
      <c r="A31" s="465" t="s">
        <v>180</v>
      </c>
      <c r="B31" s="467">
        <v>24.362524386</v>
      </c>
      <c r="C31" s="467">
        <v>11.472020521999999</v>
      </c>
      <c r="D31" s="467">
        <v>21.606514263000001</v>
      </c>
      <c r="E31" s="467">
        <v>17.925155242999999</v>
      </c>
      <c r="F31" s="467">
        <v>18.639407449</v>
      </c>
      <c r="G31" s="467">
        <v>23.426051075</v>
      </c>
      <c r="H31" s="467">
        <v>18.98370779</v>
      </c>
      <c r="I31" s="467">
        <v>20.681524031999999</v>
      </c>
      <c r="J31" s="467">
        <v>13.399412242</v>
      </c>
      <c r="K31" s="467">
        <v>29.708701717</v>
      </c>
      <c r="L31" s="467" t="s">
        <v>102</v>
      </c>
      <c r="M31" s="480">
        <v>19.491664126</v>
      </c>
      <c r="N31" s="480">
        <v>18.792098996</v>
      </c>
      <c r="O31" s="480">
        <v>19.273451094999999</v>
      </c>
      <c r="P31" s="467">
        <v>13.408966381999999</v>
      </c>
    </row>
    <row r="32" spans="1:16" s="465" customFormat="1" ht="17.25" customHeight="1" x14ac:dyDescent="0.25">
      <c r="A32" s="474" t="s">
        <v>181</v>
      </c>
      <c r="B32" s="466">
        <v>375.56530355500001</v>
      </c>
      <c r="C32" s="466">
        <v>372.48447401300001</v>
      </c>
      <c r="D32" s="466">
        <v>280.065279734</v>
      </c>
      <c r="E32" s="466">
        <v>258.34722588699998</v>
      </c>
      <c r="F32" s="466">
        <v>318.91093366899997</v>
      </c>
      <c r="G32" s="466">
        <v>215.647223932</v>
      </c>
      <c r="H32" s="466">
        <v>235.499762774</v>
      </c>
      <c r="I32" s="466">
        <v>168.987039818</v>
      </c>
      <c r="J32" s="466">
        <v>209.161616092</v>
      </c>
      <c r="K32" s="466">
        <v>253.015276309</v>
      </c>
      <c r="L32" s="466" t="s">
        <v>102</v>
      </c>
      <c r="M32" s="479">
        <v>261.02909297500003</v>
      </c>
      <c r="N32" s="479">
        <v>195.39904018199999</v>
      </c>
      <c r="O32" s="479">
        <v>240.55732824099999</v>
      </c>
      <c r="P32" s="466">
        <v>177.39971704600001</v>
      </c>
    </row>
    <row r="33" spans="1:16" s="465" customFormat="1" ht="17.25" customHeight="1" x14ac:dyDescent="0.2">
      <c r="A33" s="465" t="s">
        <v>182</v>
      </c>
      <c r="B33" s="467">
        <v>98.326536431999997</v>
      </c>
      <c r="C33" s="467">
        <v>73.171677842999998</v>
      </c>
      <c r="D33" s="467">
        <v>55.633715101</v>
      </c>
      <c r="E33" s="467">
        <v>53.238177982000003</v>
      </c>
      <c r="F33" s="467">
        <v>52.915092575999999</v>
      </c>
      <c r="G33" s="467">
        <v>52.100386813</v>
      </c>
      <c r="H33" s="467">
        <v>54.655602195999997</v>
      </c>
      <c r="I33" s="467">
        <v>45.696845764000003</v>
      </c>
      <c r="J33" s="467">
        <v>50.239512836999999</v>
      </c>
      <c r="K33" s="467">
        <v>32.623244540000002</v>
      </c>
      <c r="L33" s="467" t="s">
        <v>102</v>
      </c>
      <c r="M33" s="480">
        <v>53.899218650000002</v>
      </c>
      <c r="N33" s="480">
        <v>45.986378610999999</v>
      </c>
      <c r="O33" s="480">
        <v>51.430992695999997</v>
      </c>
      <c r="P33" s="467">
        <v>43.657640358999998</v>
      </c>
    </row>
    <row r="34" spans="1:16" s="465" customFormat="1" ht="17.25" customHeight="1" x14ac:dyDescent="0.2">
      <c r="A34" s="465" t="s">
        <v>183</v>
      </c>
      <c r="B34" s="467">
        <v>258.38910185999998</v>
      </c>
      <c r="C34" s="467">
        <v>246.167008818</v>
      </c>
      <c r="D34" s="467">
        <v>191.526589245</v>
      </c>
      <c r="E34" s="467">
        <v>154.07860304799999</v>
      </c>
      <c r="F34" s="467">
        <v>128.50643516</v>
      </c>
      <c r="G34" s="467">
        <v>103.272562644</v>
      </c>
      <c r="H34" s="467">
        <v>129.64343954700001</v>
      </c>
      <c r="I34" s="467">
        <v>88.062342458000003</v>
      </c>
      <c r="J34" s="467">
        <v>87.899093657999998</v>
      </c>
      <c r="K34" s="467">
        <v>82.51848923</v>
      </c>
      <c r="L34" s="467" t="s">
        <v>102</v>
      </c>
      <c r="M34" s="480">
        <v>136.50509394700001</v>
      </c>
      <c r="N34" s="480">
        <v>87.333502910000007</v>
      </c>
      <c r="O34" s="480">
        <v>121.16716261099999</v>
      </c>
      <c r="P34" s="467">
        <v>99.615302452999998</v>
      </c>
    </row>
    <row r="35" spans="1:16" s="465" customFormat="1" ht="17.25" customHeight="1" x14ac:dyDescent="0.2">
      <c r="A35" s="475" t="s">
        <v>184</v>
      </c>
      <c r="B35" s="468">
        <v>18.849665262999999</v>
      </c>
      <c r="C35" s="468">
        <v>53.145787351999999</v>
      </c>
      <c r="D35" s="468">
        <v>32.904975387999997</v>
      </c>
      <c r="E35" s="468">
        <v>51.030444856000003</v>
      </c>
      <c r="F35" s="468">
        <v>137.48940593200001</v>
      </c>
      <c r="G35" s="468">
        <v>60.274274474999999</v>
      </c>
      <c r="H35" s="468">
        <v>51.200721031</v>
      </c>
      <c r="I35" s="468">
        <v>35.227851596000001</v>
      </c>
      <c r="J35" s="468">
        <v>71.023009596999998</v>
      </c>
      <c r="K35" s="468">
        <v>137.873542539</v>
      </c>
      <c r="L35" s="468" t="s">
        <v>102</v>
      </c>
      <c r="M35" s="481">
        <v>70.624780379000001</v>
      </c>
      <c r="N35" s="481">
        <v>62.079158661000001</v>
      </c>
      <c r="O35" s="481">
        <v>67.959172933999994</v>
      </c>
      <c r="P35" s="468">
        <v>34.126774234000003</v>
      </c>
    </row>
    <row r="36" spans="1:16" s="465" customFormat="1" ht="17.25" customHeight="1" x14ac:dyDescent="0.25">
      <c r="A36" s="477" t="s">
        <v>185</v>
      </c>
      <c r="B36" s="466">
        <v>1620.791538298</v>
      </c>
      <c r="C36" s="466">
        <v>1623.187178309</v>
      </c>
      <c r="D36" s="466">
        <v>1505.6757947850001</v>
      </c>
      <c r="E36" s="466">
        <v>1496.3363765869999</v>
      </c>
      <c r="F36" s="466">
        <v>1541.736715521</v>
      </c>
      <c r="G36" s="466">
        <v>1621.15235848</v>
      </c>
      <c r="H36" s="466">
        <v>1623.941222534</v>
      </c>
      <c r="I36" s="466">
        <v>1689.7000249709999</v>
      </c>
      <c r="J36" s="466">
        <v>1749.5480092610001</v>
      </c>
      <c r="K36" s="466">
        <v>1703.466684089</v>
      </c>
      <c r="L36" s="466" t="s">
        <v>102</v>
      </c>
      <c r="M36" s="479">
        <v>1564.606795894</v>
      </c>
      <c r="N36" s="479">
        <v>1715.736127659</v>
      </c>
      <c r="O36" s="479">
        <v>1611.7480671979999</v>
      </c>
      <c r="P36" s="466">
        <v>1543.7892652749999</v>
      </c>
    </row>
    <row r="37" spans="1:16" s="465" customFormat="1" ht="17.25" customHeight="1" x14ac:dyDescent="0.25">
      <c r="A37" s="477" t="s">
        <v>186</v>
      </c>
      <c r="B37" s="466">
        <v>1782.8580987150001</v>
      </c>
      <c r="C37" s="466">
        <v>1719.3002478129999</v>
      </c>
      <c r="D37" s="466">
        <v>1541.7801502679999</v>
      </c>
      <c r="E37" s="466">
        <v>1488.2242738279999</v>
      </c>
      <c r="F37" s="466">
        <v>1612.8264437580001</v>
      </c>
      <c r="G37" s="466">
        <v>1615.796926622</v>
      </c>
      <c r="H37" s="466">
        <v>1641.847733653</v>
      </c>
      <c r="I37" s="466">
        <v>1628.3492426729999</v>
      </c>
      <c r="J37" s="466">
        <v>1654.0392834639999</v>
      </c>
      <c r="K37" s="466">
        <v>1703.876137187</v>
      </c>
      <c r="L37" s="466" t="s">
        <v>102</v>
      </c>
      <c r="M37" s="479">
        <v>1585.428238902</v>
      </c>
      <c r="N37" s="479">
        <v>1647.8423461499999</v>
      </c>
      <c r="O37" s="479">
        <v>1604.8968644070001</v>
      </c>
      <c r="P37" s="466">
        <v>1506.850970408</v>
      </c>
    </row>
    <row r="38" spans="1:16" s="465" customFormat="1" ht="17.25" customHeight="1" x14ac:dyDescent="0.25">
      <c r="A38" s="476" t="s">
        <v>187</v>
      </c>
      <c r="B38" s="469">
        <v>162.06656041799999</v>
      </c>
      <c r="C38" s="469">
        <v>96.113069503999995</v>
      </c>
      <c r="D38" s="469">
        <v>36.104355482999999</v>
      </c>
      <c r="E38" s="469">
        <v>-8.1121027590000008</v>
      </c>
      <c r="F38" s="469">
        <v>71.089728235999999</v>
      </c>
      <c r="G38" s="469">
        <v>-5.3554318570000001</v>
      </c>
      <c r="H38" s="469">
        <v>17.906511119000001</v>
      </c>
      <c r="I38" s="469">
        <v>-61.350782297999999</v>
      </c>
      <c r="J38" s="469">
        <v>-95.508725796999997</v>
      </c>
      <c r="K38" s="469">
        <v>0.40945309800000002</v>
      </c>
      <c r="L38" s="469" t="s">
        <v>102</v>
      </c>
      <c r="M38" s="482">
        <v>20.821443007999999</v>
      </c>
      <c r="N38" s="482">
        <v>-67.893781508999993</v>
      </c>
      <c r="O38" s="482">
        <v>-6.8512027910000004</v>
      </c>
      <c r="P38" s="469">
        <v>-36.938294867000003</v>
      </c>
    </row>
    <row r="39" spans="1:16" s="465" customFormat="1" ht="17.25" customHeight="1" x14ac:dyDescent="0.2">
      <c r="A39" s="465" t="s">
        <v>188</v>
      </c>
      <c r="B39" s="467">
        <v>107.035019455</v>
      </c>
      <c r="C39" s="467">
        <v>160.62818769</v>
      </c>
      <c r="D39" s="467">
        <v>113.17713758799999</v>
      </c>
      <c r="E39" s="467">
        <v>102.312284475</v>
      </c>
      <c r="F39" s="467">
        <v>91.931614914999997</v>
      </c>
      <c r="G39" s="467">
        <v>95.464006921000006</v>
      </c>
      <c r="H39" s="467">
        <v>96.918295180000001</v>
      </c>
      <c r="I39" s="467">
        <v>93.159667089999999</v>
      </c>
      <c r="J39" s="467">
        <v>117.476272876</v>
      </c>
      <c r="K39" s="467">
        <v>143.188760616</v>
      </c>
      <c r="L39" s="467" t="s">
        <v>102</v>
      </c>
      <c r="M39" s="480">
        <v>98.735716726999996</v>
      </c>
      <c r="N39" s="480">
        <v>109.04687726500001</v>
      </c>
      <c r="O39" s="480">
        <v>101.95204284099999</v>
      </c>
      <c r="P39" s="467">
        <v>88.971619723000003</v>
      </c>
    </row>
    <row r="40" spans="1:16" s="465" customFormat="1" ht="17.25" customHeight="1" x14ac:dyDescent="0.2">
      <c r="A40" s="465" t="s">
        <v>189</v>
      </c>
      <c r="B40" s="467">
        <v>105.37709823599999</v>
      </c>
      <c r="C40" s="467">
        <v>118.855728391</v>
      </c>
      <c r="D40" s="467">
        <v>56.824344703000001</v>
      </c>
      <c r="E40" s="467">
        <v>103.929323869</v>
      </c>
      <c r="F40" s="467">
        <v>82.631947385000004</v>
      </c>
      <c r="G40" s="467">
        <v>95.980052899</v>
      </c>
      <c r="H40" s="467">
        <v>79.674228639000006</v>
      </c>
      <c r="I40" s="467">
        <v>114.86186000799999</v>
      </c>
      <c r="J40" s="467">
        <v>166.159434973</v>
      </c>
      <c r="K40" s="467">
        <v>163.80297503</v>
      </c>
      <c r="L40" s="467" t="s">
        <v>102</v>
      </c>
      <c r="M40" s="480">
        <v>89.289031362000003</v>
      </c>
      <c r="N40" s="480">
        <v>141.61536626899999</v>
      </c>
      <c r="O40" s="480">
        <v>105.611011492</v>
      </c>
      <c r="P40" s="467">
        <v>101.995484976</v>
      </c>
    </row>
    <row r="41" spans="1:16" s="465" customFormat="1" ht="17.25" customHeight="1" x14ac:dyDescent="0.2">
      <c r="A41" s="475" t="s">
        <v>190</v>
      </c>
      <c r="B41" s="468">
        <v>-1.65792122</v>
      </c>
      <c r="C41" s="468">
        <v>-41.772459298999998</v>
      </c>
      <c r="D41" s="468">
        <v>-56.352792884000003</v>
      </c>
      <c r="E41" s="468">
        <v>1.6170393940000001</v>
      </c>
      <c r="F41" s="468">
        <v>-9.2996675300000007</v>
      </c>
      <c r="G41" s="468">
        <v>0.51604597900000004</v>
      </c>
      <c r="H41" s="468">
        <v>-17.244066540999999</v>
      </c>
      <c r="I41" s="468">
        <v>21.702192919000002</v>
      </c>
      <c r="J41" s="468">
        <v>48.683162097</v>
      </c>
      <c r="K41" s="468">
        <v>20.614214413999999</v>
      </c>
      <c r="L41" s="468" t="s">
        <v>102</v>
      </c>
      <c r="M41" s="481">
        <v>-9.4466853650000004</v>
      </c>
      <c r="N41" s="481">
        <v>32.568489004</v>
      </c>
      <c r="O41" s="481">
        <v>3.6589686509999999</v>
      </c>
      <c r="P41" s="468">
        <v>13.023865253</v>
      </c>
    </row>
    <row r="42" spans="1:16" s="465" customFormat="1" ht="17.25" customHeight="1" x14ac:dyDescent="0.25">
      <c r="A42" s="477" t="s">
        <v>191</v>
      </c>
      <c r="B42" s="466">
        <v>1727.8265577530001</v>
      </c>
      <c r="C42" s="466">
        <v>1783.815366</v>
      </c>
      <c r="D42" s="466">
        <v>1618.8529323729999</v>
      </c>
      <c r="E42" s="466">
        <v>1598.648661062</v>
      </c>
      <c r="F42" s="466">
        <v>1633.6683304369999</v>
      </c>
      <c r="G42" s="466">
        <v>1716.6163653999999</v>
      </c>
      <c r="H42" s="466">
        <v>1720.859517714</v>
      </c>
      <c r="I42" s="466">
        <v>1782.85969206</v>
      </c>
      <c r="J42" s="466">
        <v>1867.024282137</v>
      </c>
      <c r="K42" s="466">
        <v>1846.655444705</v>
      </c>
      <c r="L42" s="466" t="s">
        <v>102</v>
      </c>
      <c r="M42" s="479">
        <v>1663.342512621</v>
      </c>
      <c r="N42" s="479">
        <v>1824.7830049239999</v>
      </c>
      <c r="O42" s="479">
        <v>1713.700110039</v>
      </c>
      <c r="P42" s="466">
        <v>1632.7608849979999</v>
      </c>
    </row>
    <row r="43" spans="1:16" s="465" customFormat="1" ht="17.25" customHeight="1" x14ac:dyDescent="0.25">
      <c r="A43" s="477" t="s">
        <v>192</v>
      </c>
      <c r="B43" s="466">
        <v>1888.235196951</v>
      </c>
      <c r="C43" s="466">
        <v>1838.1559762039999</v>
      </c>
      <c r="D43" s="466">
        <v>1598.6044949720001</v>
      </c>
      <c r="E43" s="466">
        <v>1592.1535976969999</v>
      </c>
      <c r="F43" s="466">
        <v>1695.458391143</v>
      </c>
      <c r="G43" s="466">
        <v>1711.7769795209999</v>
      </c>
      <c r="H43" s="466">
        <v>1721.5219622919999</v>
      </c>
      <c r="I43" s="466">
        <v>1743.2111026810001</v>
      </c>
      <c r="J43" s="466">
        <v>1820.198718437</v>
      </c>
      <c r="K43" s="466">
        <v>1867.679112217</v>
      </c>
      <c r="L43" s="466" t="s">
        <v>102</v>
      </c>
      <c r="M43" s="479">
        <v>1674.717270264</v>
      </c>
      <c r="N43" s="479">
        <v>1789.457712419</v>
      </c>
      <c r="O43" s="479">
        <v>1710.5078758990001</v>
      </c>
      <c r="P43" s="466">
        <v>1608.8464553839999</v>
      </c>
    </row>
    <row r="44" spans="1:16" s="465" customFormat="1" ht="17.25" customHeight="1" x14ac:dyDescent="0.2">
      <c r="A44" s="475" t="s">
        <v>193</v>
      </c>
      <c r="B44" s="468">
        <v>160.408639198</v>
      </c>
      <c r="C44" s="468">
        <v>54.340610204999997</v>
      </c>
      <c r="D44" s="468">
        <v>-20.248437401</v>
      </c>
      <c r="E44" s="468">
        <v>-6.495063365</v>
      </c>
      <c r="F44" s="468">
        <v>61.790060705999998</v>
      </c>
      <c r="G44" s="468">
        <v>-4.8393858789999999</v>
      </c>
      <c r="H44" s="468">
        <v>0.66244457800000001</v>
      </c>
      <c r="I44" s="468">
        <v>-39.648589379000001</v>
      </c>
      <c r="J44" s="468">
        <v>-46.825563699999996</v>
      </c>
      <c r="K44" s="468">
        <v>21.023667511999999</v>
      </c>
      <c r="L44" s="468" t="s">
        <v>102</v>
      </c>
      <c r="M44" s="481">
        <v>11.374757643000001</v>
      </c>
      <c r="N44" s="481">
        <v>-35.325292505</v>
      </c>
      <c r="O44" s="481">
        <v>-3.1922341400000001</v>
      </c>
      <c r="P44" s="468">
        <v>-23.914429613999999</v>
      </c>
    </row>
    <row r="45" spans="1:16" s="474" customFormat="1" ht="17.25" customHeight="1" x14ac:dyDescent="0.25">
      <c r="A45" s="478" t="s">
        <v>283</v>
      </c>
      <c r="B45" s="469">
        <v>542.87091359700003</v>
      </c>
      <c r="C45" s="469">
        <v>940.40337258199997</v>
      </c>
      <c r="D45" s="469">
        <v>778.148663951</v>
      </c>
      <c r="E45" s="469">
        <v>871.20931910100001</v>
      </c>
      <c r="F45" s="469">
        <v>824.14614846300003</v>
      </c>
      <c r="G45" s="469">
        <v>888.21119801400005</v>
      </c>
      <c r="H45" s="469">
        <v>880.95911275599997</v>
      </c>
      <c r="I45" s="469">
        <v>912.35998398499999</v>
      </c>
      <c r="J45" s="469">
        <v>1194.514501423</v>
      </c>
      <c r="K45" s="469">
        <v>1555.7060441240001</v>
      </c>
      <c r="L45" s="469" t="s">
        <v>102</v>
      </c>
      <c r="M45" s="482">
        <v>861.15978762500004</v>
      </c>
      <c r="N45" s="482">
        <v>1104.21242992</v>
      </c>
      <c r="O45" s="482">
        <v>936.97439235900003</v>
      </c>
      <c r="P45" s="469">
        <v>922.65384219600003</v>
      </c>
    </row>
    <row r="46" spans="1:16" s="465" customFormat="1" ht="17.25" customHeight="1" x14ac:dyDescent="0.25">
      <c r="A46" s="474" t="s">
        <v>194</v>
      </c>
      <c r="B46" s="467"/>
      <c r="C46" s="467"/>
      <c r="D46" s="467"/>
      <c r="E46" s="467"/>
      <c r="F46" s="467"/>
      <c r="G46" s="467"/>
      <c r="H46" s="467"/>
      <c r="I46" s="467"/>
      <c r="J46" s="467"/>
      <c r="K46" s="467"/>
      <c r="L46" s="467"/>
      <c r="M46" s="483"/>
      <c r="N46" s="483"/>
      <c r="O46" s="483"/>
      <c r="P46" s="470"/>
    </row>
    <row r="47" spans="1:16" s="465" customFormat="1" ht="17.25" customHeight="1" x14ac:dyDescent="0.25">
      <c r="A47" s="465" t="s">
        <v>456</v>
      </c>
      <c r="B47" s="467">
        <v>988.66933852099999</v>
      </c>
      <c r="C47" s="467">
        <v>999.07544326499999</v>
      </c>
      <c r="D47" s="467">
        <v>963.28076597400002</v>
      </c>
      <c r="E47" s="467">
        <v>961.863402866</v>
      </c>
      <c r="F47" s="467">
        <v>1021.724357869</v>
      </c>
      <c r="G47" s="467">
        <v>1094.2950019760001</v>
      </c>
      <c r="H47" s="467">
        <v>1116.6706913600001</v>
      </c>
      <c r="I47" s="467">
        <v>1195.7650741739999</v>
      </c>
      <c r="J47" s="467">
        <v>1204.06310321</v>
      </c>
      <c r="K47" s="467">
        <v>1323.1250149330001</v>
      </c>
      <c r="L47" s="467" t="s">
        <v>102</v>
      </c>
      <c r="M47" s="480">
        <v>1039.7410740190001</v>
      </c>
      <c r="N47" s="480">
        <v>1214.3622758700001</v>
      </c>
      <c r="O47" s="480">
        <v>1094.210086458</v>
      </c>
      <c r="P47" s="467">
        <v>1129.889010739</v>
      </c>
    </row>
    <row r="48" spans="1:16" s="465" customFormat="1" ht="17.25" customHeight="1" x14ac:dyDescent="0.25">
      <c r="A48" s="465" t="s">
        <v>410</v>
      </c>
      <c r="B48" s="467">
        <v>335.111333618</v>
      </c>
      <c r="C48" s="467">
        <v>425.88221131</v>
      </c>
      <c r="D48" s="467">
        <v>470.87614380899998</v>
      </c>
      <c r="E48" s="467">
        <v>555.66528754900003</v>
      </c>
      <c r="F48" s="467">
        <v>643.90730814400001</v>
      </c>
      <c r="G48" s="467">
        <v>698.71357976199999</v>
      </c>
      <c r="H48" s="467">
        <v>754.15097891400001</v>
      </c>
      <c r="I48" s="467">
        <v>825.04969543200002</v>
      </c>
      <c r="J48" s="467">
        <v>878.95169071600003</v>
      </c>
      <c r="K48" s="467">
        <v>835.14153346199998</v>
      </c>
      <c r="L48" s="467" t="s">
        <v>102</v>
      </c>
      <c r="M48" s="480">
        <v>645.29152751000004</v>
      </c>
      <c r="N48" s="480">
        <v>848.223451641</v>
      </c>
      <c r="O48" s="480">
        <v>708.59140966999996</v>
      </c>
      <c r="P48" s="467">
        <v>625.13532775199997</v>
      </c>
    </row>
    <row r="49" spans="1:16384" s="465" customFormat="1" ht="17.25" customHeight="1" x14ac:dyDescent="0.25">
      <c r="A49" s="465" t="s">
        <v>411</v>
      </c>
      <c r="B49" s="467">
        <v>464.02317946800002</v>
      </c>
      <c r="C49" s="467">
        <v>495.135296654</v>
      </c>
      <c r="D49" s="467">
        <v>528.40343387300004</v>
      </c>
      <c r="E49" s="467">
        <v>601.47471472300003</v>
      </c>
      <c r="F49" s="467">
        <v>707.94970147499998</v>
      </c>
      <c r="G49" s="467">
        <v>759.65853587399999</v>
      </c>
      <c r="H49" s="467">
        <v>817.53896872999997</v>
      </c>
      <c r="I49" s="467">
        <v>910.66905604600004</v>
      </c>
      <c r="J49" s="467">
        <v>914.74787968800001</v>
      </c>
      <c r="K49" s="467">
        <v>876.59412594100002</v>
      </c>
      <c r="L49" s="467" t="s">
        <v>102</v>
      </c>
      <c r="M49" s="480">
        <v>703.654081238</v>
      </c>
      <c r="N49" s="480">
        <v>908.26058482600001</v>
      </c>
      <c r="O49" s="480">
        <v>767.47630941499995</v>
      </c>
      <c r="P49" s="467">
        <v>762.76738347100002</v>
      </c>
    </row>
    <row r="50" spans="1:16384" s="465" customFormat="1" ht="17.25" customHeight="1" x14ac:dyDescent="0.25">
      <c r="A50" s="465" t="s">
        <v>412</v>
      </c>
      <c r="B50" s="467">
        <v>1407.29279516</v>
      </c>
      <c r="C50" s="467">
        <v>1346.8157738</v>
      </c>
      <c r="D50" s="467">
        <v>1261.7148705340001</v>
      </c>
      <c r="E50" s="467">
        <v>1229.877047941</v>
      </c>
      <c r="F50" s="467">
        <v>1293.915510088</v>
      </c>
      <c r="G50" s="467">
        <v>1400.1497026899999</v>
      </c>
      <c r="H50" s="467">
        <v>1406.3479708790001</v>
      </c>
      <c r="I50" s="467">
        <v>1459.3622028540001</v>
      </c>
      <c r="J50" s="467">
        <v>1444.8776673709999</v>
      </c>
      <c r="K50" s="467">
        <v>1450.860860878</v>
      </c>
      <c r="L50" s="467" t="s">
        <v>102</v>
      </c>
      <c r="M50" s="480">
        <v>1324.3991459270001</v>
      </c>
      <c r="N50" s="480">
        <v>1452.443305968</v>
      </c>
      <c r="O50" s="480">
        <v>1364.339536166</v>
      </c>
      <c r="P50" s="467">
        <v>1329.451253362</v>
      </c>
    </row>
    <row r="51" spans="1:16384" s="465" customFormat="1" ht="17.25" customHeight="1" x14ac:dyDescent="0.25">
      <c r="A51" s="465" t="s">
        <v>457</v>
      </c>
      <c r="B51" s="467">
        <v>599.65851020699995</v>
      </c>
      <c r="C51" s="467">
        <v>604.82390112099995</v>
      </c>
      <c r="D51" s="467">
        <v>502.41167818999998</v>
      </c>
      <c r="E51" s="467">
        <v>503.32763605600002</v>
      </c>
      <c r="F51" s="467">
        <v>485.47577863200002</v>
      </c>
      <c r="G51" s="467">
        <v>491.68584405199999</v>
      </c>
      <c r="H51" s="467">
        <v>462.16775161999999</v>
      </c>
      <c r="I51" s="467">
        <v>464.97468587499998</v>
      </c>
      <c r="J51" s="467">
        <v>506.818006045</v>
      </c>
      <c r="K51" s="467">
        <v>317.27219707799998</v>
      </c>
      <c r="L51" s="467" t="s">
        <v>102</v>
      </c>
      <c r="M51" s="480">
        <v>488.321783014</v>
      </c>
      <c r="N51" s="480">
        <v>464.382665309</v>
      </c>
      <c r="O51" s="480">
        <v>480.85453341200002</v>
      </c>
      <c r="P51" s="467">
        <v>381.33041176900002</v>
      </c>
    </row>
    <row r="52" spans="1:16384" s="465" customFormat="1" ht="17.25" customHeight="1" x14ac:dyDescent="0.25">
      <c r="A52" s="465" t="s">
        <v>413</v>
      </c>
      <c r="B52" s="467">
        <v>542.87091359700003</v>
      </c>
      <c r="C52" s="467">
        <v>940.40337258199997</v>
      </c>
      <c r="D52" s="467">
        <v>778.148663951</v>
      </c>
      <c r="E52" s="467">
        <v>871.20931910100001</v>
      </c>
      <c r="F52" s="467">
        <v>824.14614846300003</v>
      </c>
      <c r="G52" s="467">
        <v>888.21119801400005</v>
      </c>
      <c r="H52" s="467">
        <v>880.95911275599997</v>
      </c>
      <c r="I52" s="467">
        <v>912.35998398499999</v>
      </c>
      <c r="J52" s="467">
        <v>1194.514501423</v>
      </c>
      <c r="K52" s="467">
        <v>1555.7060441240001</v>
      </c>
      <c r="L52" s="467" t="s">
        <v>102</v>
      </c>
      <c r="M52" s="480">
        <v>861.15978762500004</v>
      </c>
      <c r="N52" s="480">
        <v>1104.21242992</v>
      </c>
      <c r="O52" s="480">
        <v>936.97439235900003</v>
      </c>
      <c r="P52" s="467">
        <v>922.65384219600003</v>
      </c>
    </row>
    <row r="53" spans="1:16384" s="465" customFormat="1" ht="17.25" customHeight="1" x14ac:dyDescent="0.25">
      <c r="A53" s="465" t="s">
        <v>414</v>
      </c>
      <c r="B53" s="467">
        <v>241.793677309</v>
      </c>
      <c r="C53" s="467">
        <v>210.80742506600001</v>
      </c>
      <c r="D53" s="467">
        <v>188.517756367</v>
      </c>
      <c r="E53" s="467">
        <v>182.34477051499999</v>
      </c>
      <c r="F53" s="467">
        <v>169.15715156900001</v>
      </c>
      <c r="G53" s="467">
        <v>155.401603919</v>
      </c>
      <c r="H53" s="467">
        <v>134.01808884900001</v>
      </c>
      <c r="I53" s="467">
        <v>108.818764469</v>
      </c>
      <c r="J53" s="467">
        <v>126.753220996</v>
      </c>
      <c r="K53" s="467">
        <v>106.760532595</v>
      </c>
      <c r="L53" s="467" t="s">
        <v>102</v>
      </c>
      <c r="M53" s="480">
        <v>163.00132187400001</v>
      </c>
      <c r="N53" s="480">
        <v>115.882181102</v>
      </c>
      <c r="O53" s="480">
        <v>148.30360454300001</v>
      </c>
      <c r="P53" s="467">
        <v>168.82118193599999</v>
      </c>
    </row>
    <row r="54" spans="1:16384" ht="12.75" customHeight="1" x14ac:dyDescent="0.2">
      <c r="A54" s="235" t="s">
        <v>899</v>
      </c>
      <c r="B54" s="473"/>
      <c r="C54" s="473"/>
      <c r="D54" s="473"/>
      <c r="E54" s="473"/>
      <c r="F54" s="473"/>
      <c r="G54" s="473"/>
      <c r="H54" s="473"/>
      <c r="I54" s="473"/>
      <c r="J54" s="486"/>
      <c r="K54" s="486"/>
      <c r="L54" s="486"/>
      <c r="M54" s="569"/>
      <c r="N54" s="486"/>
      <c r="O54" s="714"/>
      <c r="P54" s="715"/>
      <c r="Q54" s="13"/>
      <c r="R54" s="13"/>
      <c r="S54" s="13"/>
      <c r="T54" s="13"/>
      <c r="U54" s="13"/>
      <c r="V54" s="215"/>
      <c r="W54" s="215"/>
      <c r="X54" s="215"/>
      <c r="Y54" s="39"/>
    </row>
    <row r="55" spans="1:16384" ht="12.75" customHeight="1" x14ac:dyDescent="0.2">
      <c r="A55" s="255" t="s">
        <v>357</v>
      </c>
      <c r="B55" s="13"/>
      <c r="C55" s="13"/>
      <c r="D55" s="13"/>
      <c r="E55" s="13"/>
      <c r="F55" s="13"/>
      <c r="G55" s="13"/>
      <c r="H55" s="13"/>
      <c r="I55" s="13"/>
      <c r="J55" s="13"/>
      <c r="K55" s="13"/>
      <c r="L55" s="13"/>
      <c r="M55" s="215"/>
      <c r="N55" s="215"/>
      <c r="O55" s="215"/>
      <c r="P55" s="39"/>
    </row>
    <row r="56" spans="1:16384" ht="12.75" customHeight="1" x14ac:dyDescent="0.2">
      <c r="A56" s="255" t="s">
        <v>900</v>
      </c>
      <c r="B56" s="13"/>
      <c r="C56" s="13"/>
      <c r="D56" s="13"/>
      <c r="E56" s="13"/>
      <c r="F56" s="13"/>
      <c r="G56" s="13"/>
      <c r="H56" s="13"/>
      <c r="I56" s="13"/>
      <c r="J56" s="13"/>
      <c r="K56" s="13"/>
      <c r="L56" s="13"/>
      <c r="M56" s="215"/>
      <c r="N56" s="215"/>
      <c r="O56" s="215"/>
      <c r="P56" s="39"/>
    </row>
    <row r="57" spans="1:16384" ht="12.75" customHeight="1" x14ac:dyDescent="0.2">
      <c r="A57" s="37" t="s">
        <v>455</v>
      </c>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c r="DV57" s="37"/>
      <c r="DW57" s="37"/>
      <c r="DX57" s="37"/>
      <c r="DY57" s="37"/>
      <c r="DZ57" s="37"/>
      <c r="EA57" s="37"/>
      <c r="EB57" s="37"/>
      <c r="EC57" s="37"/>
      <c r="ED57" s="37"/>
      <c r="EE57" s="37"/>
      <c r="EF57" s="37"/>
      <c r="EG57" s="37"/>
      <c r="EH57" s="37"/>
      <c r="EI57" s="37"/>
      <c r="EJ57" s="37"/>
      <c r="EK57" s="37"/>
      <c r="EL57" s="37"/>
      <c r="EM57" s="37"/>
      <c r="EN57" s="37"/>
      <c r="EO57" s="37"/>
      <c r="EP57" s="37"/>
      <c r="EQ57" s="37"/>
      <c r="ER57" s="37"/>
      <c r="ES57" s="37"/>
      <c r="ET57" s="37"/>
      <c r="EU57" s="37"/>
      <c r="EV57" s="37"/>
      <c r="EW57" s="37"/>
      <c r="EX57" s="37"/>
      <c r="EY57" s="37"/>
      <c r="EZ57" s="37"/>
      <c r="FA57" s="37"/>
      <c r="FB57" s="37"/>
      <c r="FC57" s="37"/>
      <c r="FD57" s="37"/>
      <c r="FE57" s="37"/>
      <c r="FF57" s="37"/>
      <c r="FG57" s="37"/>
      <c r="FH57" s="37"/>
      <c r="FI57" s="37"/>
      <c r="FJ57" s="37"/>
      <c r="FK57" s="37"/>
      <c r="FL57" s="37"/>
      <c r="FM57" s="37"/>
      <c r="FN57" s="37"/>
      <c r="FO57" s="37"/>
      <c r="FP57" s="37"/>
      <c r="FQ57" s="37"/>
      <c r="FR57" s="37"/>
      <c r="FS57" s="37"/>
      <c r="FT57" s="37"/>
      <c r="FU57" s="37"/>
      <c r="FV57" s="37"/>
      <c r="FW57" s="37"/>
      <c r="FX57" s="37"/>
      <c r="FY57" s="37"/>
      <c r="FZ57" s="37"/>
      <c r="GA57" s="37"/>
      <c r="GB57" s="37"/>
      <c r="GC57" s="37"/>
      <c r="GD57" s="37"/>
      <c r="GE57" s="37"/>
      <c r="GF57" s="37"/>
      <c r="GG57" s="37"/>
      <c r="GH57" s="37"/>
      <c r="GI57" s="37"/>
      <c r="GJ57" s="37"/>
      <c r="GK57" s="37"/>
      <c r="GL57" s="37"/>
      <c r="GM57" s="37"/>
      <c r="GN57" s="37"/>
      <c r="GO57" s="37"/>
      <c r="GP57" s="37"/>
      <c r="GQ57" s="37"/>
      <c r="GR57" s="37"/>
      <c r="GS57" s="37"/>
      <c r="GT57" s="37"/>
      <c r="GU57" s="37"/>
      <c r="GV57" s="37"/>
      <c r="GW57" s="37"/>
      <c r="GX57" s="37"/>
      <c r="GY57" s="37"/>
      <c r="GZ57" s="37"/>
      <c r="HA57" s="37"/>
      <c r="HB57" s="37"/>
      <c r="HC57" s="37"/>
      <c r="HD57" s="37"/>
      <c r="HE57" s="37"/>
      <c r="HF57" s="37"/>
      <c r="HG57" s="37"/>
      <c r="HH57" s="37"/>
      <c r="HI57" s="37"/>
      <c r="HJ57" s="37"/>
      <c r="HK57" s="37"/>
      <c r="HL57" s="37"/>
      <c r="HM57" s="37"/>
      <c r="HN57" s="37"/>
      <c r="HO57" s="37"/>
      <c r="HP57" s="37"/>
      <c r="HQ57" s="37"/>
      <c r="HR57" s="37"/>
      <c r="HS57" s="37"/>
      <c r="HT57" s="37"/>
      <c r="HU57" s="37"/>
      <c r="HV57" s="37"/>
      <c r="HW57" s="37"/>
      <c r="HX57" s="37"/>
      <c r="HY57" s="37"/>
      <c r="HZ57" s="37"/>
      <c r="IA57" s="37"/>
      <c r="IB57" s="37"/>
      <c r="IC57" s="37"/>
      <c r="ID57" s="37"/>
      <c r="IE57" s="37"/>
      <c r="IF57" s="37"/>
      <c r="IG57" s="37"/>
      <c r="IH57" s="37"/>
      <c r="II57" s="37"/>
      <c r="IJ57" s="37"/>
      <c r="IK57" s="37"/>
      <c r="IL57" s="37"/>
      <c r="IM57" s="37"/>
      <c r="IN57" s="37"/>
      <c r="IO57" s="37"/>
      <c r="IP57" s="37"/>
      <c r="IQ57" s="37"/>
      <c r="IR57" s="37"/>
      <c r="IS57" s="37"/>
      <c r="IT57" s="37"/>
      <c r="IU57" s="37"/>
      <c r="IV57" s="37"/>
      <c r="IW57" s="37"/>
      <c r="IX57" s="37"/>
      <c r="IY57" s="37"/>
      <c r="IZ57" s="37"/>
      <c r="JA57" s="37"/>
      <c r="JB57" s="37"/>
      <c r="JC57" s="37"/>
      <c r="JD57" s="37"/>
      <c r="JE57" s="37"/>
      <c r="JF57" s="37"/>
      <c r="JG57" s="37"/>
      <c r="JH57" s="37"/>
      <c r="JI57" s="37"/>
      <c r="JJ57" s="37"/>
      <c r="JK57" s="37"/>
      <c r="JL57" s="37"/>
      <c r="JM57" s="37"/>
      <c r="JN57" s="37"/>
      <c r="JO57" s="37"/>
      <c r="JP57" s="37"/>
      <c r="JQ57" s="37"/>
      <c r="JR57" s="37"/>
      <c r="JS57" s="37"/>
      <c r="JT57" s="37"/>
      <c r="JU57" s="37"/>
      <c r="JV57" s="37"/>
      <c r="JW57" s="37"/>
      <c r="JX57" s="37"/>
      <c r="JY57" s="37"/>
      <c r="JZ57" s="37"/>
      <c r="KA57" s="37"/>
      <c r="KB57" s="37"/>
      <c r="KC57" s="37"/>
      <c r="KD57" s="37"/>
      <c r="KE57" s="37"/>
      <c r="KF57" s="37"/>
      <c r="KG57" s="37"/>
      <c r="KH57" s="37"/>
      <c r="KI57" s="37"/>
      <c r="KJ57" s="37"/>
      <c r="KK57" s="37"/>
      <c r="KL57" s="37"/>
      <c r="KM57" s="37"/>
      <c r="KN57" s="37"/>
      <c r="KO57" s="37"/>
      <c r="KP57" s="37"/>
      <c r="KQ57" s="37"/>
      <c r="KR57" s="37"/>
      <c r="KS57" s="37"/>
      <c r="KT57" s="37"/>
      <c r="KU57" s="37"/>
      <c r="KV57" s="37"/>
      <c r="KW57" s="37"/>
      <c r="KX57" s="37"/>
      <c r="KY57" s="37"/>
      <c r="KZ57" s="37"/>
      <c r="LA57" s="37"/>
      <c r="LB57" s="37"/>
      <c r="LC57" s="37"/>
      <c r="LD57" s="37"/>
      <c r="LE57" s="37"/>
      <c r="LF57" s="37"/>
      <c r="LG57" s="37"/>
      <c r="LH57" s="37"/>
      <c r="LI57" s="37"/>
      <c r="LJ57" s="37"/>
      <c r="LK57" s="37"/>
      <c r="LL57" s="37"/>
      <c r="LM57" s="37"/>
      <c r="LN57" s="37"/>
      <c r="LO57" s="37"/>
      <c r="LP57" s="37"/>
      <c r="LQ57" s="37"/>
      <c r="LR57" s="37"/>
      <c r="LS57" s="37"/>
      <c r="LT57" s="37"/>
      <c r="LU57" s="37"/>
      <c r="LV57" s="37"/>
      <c r="LW57" s="37"/>
      <c r="LX57" s="37"/>
      <c r="LY57" s="37"/>
      <c r="LZ57" s="37"/>
      <c r="MA57" s="37"/>
      <c r="MB57" s="37"/>
      <c r="MC57" s="37"/>
      <c r="MD57" s="37"/>
      <c r="ME57" s="37"/>
      <c r="MF57" s="37"/>
      <c r="MG57" s="37"/>
      <c r="MH57" s="37"/>
      <c r="MI57" s="37"/>
      <c r="MJ57" s="37"/>
      <c r="MK57" s="37"/>
      <c r="ML57" s="37"/>
      <c r="MM57" s="37"/>
      <c r="MN57" s="37"/>
      <c r="MO57" s="37"/>
      <c r="MP57" s="37"/>
      <c r="MQ57" s="37"/>
      <c r="MR57" s="37"/>
      <c r="MS57" s="37"/>
      <c r="MT57" s="37"/>
      <c r="MU57" s="37"/>
      <c r="MV57" s="37"/>
      <c r="MW57" s="37"/>
      <c r="MX57" s="37"/>
      <c r="MY57" s="37"/>
      <c r="MZ57" s="37"/>
      <c r="NA57" s="37"/>
      <c r="NB57" s="37"/>
      <c r="NC57" s="37"/>
      <c r="ND57" s="37"/>
      <c r="NE57" s="37"/>
      <c r="NF57" s="37"/>
      <c r="NG57" s="37"/>
      <c r="NH57" s="37"/>
      <c r="NI57" s="37"/>
      <c r="NJ57" s="37"/>
      <c r="NK57" s="37"/>
      <c r="NL57" s="37"/>
      <c r="NM57" s="37"/>
      <c r="NN57" s="37"/>
      <c r="NO57" s="37"/>
      <c r="NP57" s="37"/>
      <c r="NQ57" s="37"/>
      <c r="NR57" s="37"/>
      <c r="NS57" s="37"/>
      <c r="NT57" s="37"/>
      <c r="NU57" s="37"/>
      <c r="NV57" s="37"/>
      <c r="NW57" s="37"/>
      <c r="NX57" s="37"/>
      <c r="NY57" s="37"/>
      <c r="NZ57" s="37"/>
      <c r="OA57" s="37"/>
      <c r="OB57" s="37"/>
      <c r="OC57" s="37"/>
      <c r="OD57" s="37"/>
      <c r="OE57" s="37"/>
      <c r="OF57" s="37"/>
      <c r="OG57" s="37"/>
      <c r="OH57" s="37"/>
      <c r="OI57" s="37"/>
      <c r="OJ57" s="37"/>
      <c r="OK57" s="37"/>
      <c r="OL57" s="37"/>
      <c r="OM57" s="37"/>
      <c r="ON57" s="37"/>
      <c r="OO57" s="37"/>
      <c r="OP57" s="37"/>
      <c r="OQ57" s="37"/>
      <c r="OR57" s="37"/>
      <c r="OS57" s="37"/>
      <c r="OT57" s="37"/>
      <c r="OU57" s="37"/>
      <c r="OV57" s="37"/>
      <c r="OW57" s="37"/>
      <c r="OX57" s="37"/>
      <c r="OY57" s="37"/>
      <c r="OZ57" s="37"/>
      <c r="PA57" s="37"/>
      <c r="PB57" s="37"/>
      <c r="PC57" s="37"/>
      <c r="PD57" s="37"/>
      <c r="PE57" s="37"/>
      <c r="PF57" s="37"/>
      <c r="PG57" s="37"/>
      <c r="PH57" s="37"/>
      <c r="PI57" s="37"/>
      <c r="PJ57" s="37"/>
      <c r="PK57" s="37"/>
      <c r="PL57" s="37"/>
      <c r="PM57" s="37"/>
      <c r="PN57" s="37"/>
      <c r="PO57" s="37"/>
      <c r="PP57" s="37"/>
      <c r="PQ57" s="37"/>
      <c r="PR57" s="37"/>
      <c r="PS57" s="37"/>
      <c r="PT57" s="37"/>
      <c r="PU57" s="37"/>
      <c r="PV57" s="37"/>
      <c r="PW57" s="37"/>
      <c r="PX57" s="37"/>
      <c r="PY57" s="37"/>
      <c r="PZ57" s="37"/>
      <c r="QA57" s="37"/>
      <c r="QB57" s="37"/>
      <c r="QC57" s="37"/>
      <c r="QD57" s="37"/>
      <c r="QE57" s="37"/>
      <c r="QF57" s="37"/>
      <c r="QG57" s="37"/>
      <c r="QH57" s="37"/>
      <c r="QI57" s="37"/>
      <c r="QJ57" s="37"/>
      <c r="QK57" s="37"/>
      <c r="QL57" s="37"/>
      <c r="QM57" s="37"/>
      <c r="QN57" s="37"/>
      <c r="QO57" s="37"/>
      <c r="QP57" s="37"/>
      <c r="QQ57" s="37"/>
      <c r="QR57" s="37"/>
      <c r="QS57" s="37"/>
      <c r="QT57" s="37"/>
      <c r="QU57" s="37"/>
      <c r="QV57" s="37"/>
      <c r="QW57" s="37"/>
      <c r="QX57" s="37"/>
      <c r="QY57" s="37"/>
      <c r="QZ57" s="37"/>
      <c r="RA57" s="37"/>
      <c r="RB57" s="37"/>
      <c r="RC57" s="37"/>
      <c r="RD57" s="37"/>
      <c r="RE57" s="37"/>
      <c r="RF57" s="37"/>
      <c r="RG57" s="37"/>
      <c r="RH57" s="37"/>
      <c r="RI57" s="37"/>
      <c r="RJ57" s="37"/>
      <c r="RK57" s="37"/>
      <c r="RL57" s="37"/>
      <c r="RM57" s="37"/>
      <c r="RN57" s="37"/>
      <c r="RO57" s="37"/>
      <c r="RP57" s="37"/>
      <c r="RQ57" s="37"/>
      <c r="RR57" s="37"/>
      <c r="RS57" s="37"/>
      <c r="RT57" s="37"/>
      <c r="RU57" s="37"/>
      <c r="RV57" s="37"/>
      <c r="RW57" s="37"/>
      <c r="RX57" s="37"/>
      <c r="RY57" s="37"/>
      <c r="RZ57" s="37"/>
      <c r="SA57" s="37"/>
      <c r="SB57" s="37"/>
      <c r="SC57" s="37"/>
      <c r="SD57" s="37"/>
      <c r="SE57" s="37"/>
      <c r="SF57" s="37"/>
      <c r="SG57" s="37"/>
      <c r="SH57" s="37"/>
      <c r="SI57" s="37"/>
      <c r="SJ57" s="37"/>
      <c r="SK57" s="37"/>
      <c r="SL57" s="37"/>
      <c r="SM57" s="37"/>
      <c r="SN57" s="37"/>
      <c r="SO57" s="37"/>
      <c r="SP57" s="37"/>
      <c r="SQ57" s="37"/>
      <c r="SR57" s="37"/>
      <c r="SS57" s="37"/>
      <c r="ST57" s="37"/>
      <c r="SU57" s="37"/>
      <c r="SV57" s="37"/>
      <c r="SW57" s="37"/>
      <c r="SX57" s="37"/>
      <c r="SY57" s="37"/>
      <c r="SZ57" s="37"/>
      <c r="TA57" s="37"/>
      <c r="TB57" s="37"/>
      <c r="TC57" s="37"/>
      <c r="TD57" s="37"/>
      <c r="TE57" s="37"/>
      <c r="TF57" s="37"/>
      <c r="TG57" s="37"/>
      <c r="TH57" s="37"/>
      <c r="TI57" s="37"/>
      <c r="TJ57" s="37"/>
      <c r="TK57" s="37"/>
      <c r="TL57" s="37"/>
      <c r="TM57" s="37"/>
      <c r="TN57" s="37"/>
      <c r="TO57" s="37"/>
      <c r="TP57" s="37"/>
      <c r="TQ57" s="37"/>
      <c r="TR57" s="37"/>
      <c r="TS57" s="37"/>
      <c r="TT57" s="37"/>
      <c r="TU57" s="37"/>
      <c r="TV57" s="37"/>
      <c r="TW57" s="37"/>
      <c r="TX57" s="37"/>
      <c r="TY57" s="37"/>
      <c r="TZ57" s="37"/>
      <c r="UA57" s="37"/>
      <c r="UB57" s="37"/>
      <c r="UC57" s="37"/>
      <c r="UD57" s="37"/>
      <c r="UE57" s="37"/>
      <c r="UF57" s="37"/>
      <c r="UG57" s="37"/>
      <c r="UH57" s="37"/>
      <c r="UI57" s="37"/>
      <c r="UJ57" s="37"/>
      <c r="UK57" s="37"/>
      <c r="UL57" s="37"/>
      <c r="UM57" s="37"/>
      <c r="UN57" s="37"/>
      <c r="UO57" s="37"/>
      <c r="UP57" s="37"/>
      <c r="UQ57" s="37"/>
      <c r="UR57" s="37"/>
      <c r="US57" s="37"/>
      <c r="UT57" s="37"/>
      <c r="UU57" s="37"/>
      <c r="UV57" s="37"/>
      <c r="UW57" s="37"/>
      <c r="UX57" s="37"/>
      <c r="UY57" s="37"/>
      <c r="UZ57" s="37"/>
      <c r="VA57" s="37"/>
      <c r="VB57" s="37"/>
      <c r="VC57" s="37"/>
      <c r="VD57" s="37"/>
      <c r="VE57" s="37"/>
      <c r="VF57" s="37"/>
      <c r="VG57" s="37"/>
      <c r="VH57" s="37"/>
      <c r="VI57" s="37"/>
      <c r="VJ57" s="37"/>
      <c r="VK57" s="37"/>
      <c r="VL57" s="37"/>
      <c r="VM57" s="37"/>
      <c r="VN57" s="37"/>
      <c r="VO57" s="37"/>
      <c r="VP57" s="37"/>
      <c r="VQ57" s="37"/>
      <c r="VR57" s="37"/>
      <c r="VS57" s="37"/>
      <c r="VT57" s="37"/>
      <c r="VU57" s="37"/>
      <c r="VV57" s="37"/>
      <c r="VW57" s="37"/>
      <c r="VX57" s="37"/>
      <c r="VY57" s="37"/>
      <c r="VZ57" s="37"/>
      <c r="WA57" s="37"/>
      <c r="WB57" s="37"/>
      <c r="WC57" s="37"/>
      <c r="WD57" s="37"/>
      <c r="WE57" s="37"/>
      <c r="WF57" s="37"/>
      <c r="WG57" s="37"/>
      <c r="WH57" s="37"/>
      <c r="WI57" s="37"/>
      <c r="WJ57" s="37"/>
      <c r="WK57" s="37"/>
      <c r="WL57" s="37"/>
      <c r="WM57" s="37"/>
      <c r="WN57" s="37"/>
      <c r="WO57" s="37"/>
      <c r="WP57" s="37"/>
      <c r="WQ57" s="37"/>
      <c r="WR57" s="37"/>
      <c r="WS57" s="37"/>
      <c r="WT57" s="37"/>
      <c r="WU57" s="37"/>
      <c r="WV57" s="37"/>
      <c r="WW57" s="37"/>
      <c r="WX57" s="37"/>
      <c r="WY57" s="37"/>
      <c r="WZ57" s="37"/>
      <c r="XA57" s="37"/>
      <c r="XB57" s="37"/>
      <c r="XC57" s="37"/>
      <c r="XD57" s="37"/>
      <c r="XE57" s="37"/>
      <c r="XF57" s="37"/>
      <c r="XG57" s="37"/>
      <c r="XH57" s="37"/>
      <c r="XI57" s="37"/>
      <c r="XJ57" s="37"/>
      <c r="XK57" s="37"/>
      <c r="XL57" s="37"/>
      <c r="XM57" s="37"/>
      <c r="XN57" s="37"/>
      <c r="XO57" s="37"/>
      <c r="XP57" s="37"/>
      <c r="XQ57" s="37"/>
      <c r="XR57" s="37"/>
      <c r="XS57" s="37"/>
      <c r="XT57" s="37"/>
      <c r="XU57" s="37"/>
      <c r="XV57" s="37"/>
      <c r="XW57" s="37"/>
      <c r="XX57" s="37"/>
      <c r="XY57" s="37"/>
      <c r="XZ57" s="37"/>
      <c r="YA57" s="37"/>
      <c r="YB57" s="37"/>
      <c r="YC57" s="37"/>
      <c r="YD57" s="37"/>
      <c r="YE57" s="37"/>
      <c r="YF57" s="37"/>
      <c r="YG57" s="37"/>
      <c r="YH57" s="37"/>
      <c r="YI57" s="37"/>
      <c r="YJ57" s="37"/>
      <c r="YK57" s="37"/>
      <c r="YL57" s="37"/>
      <c r="YM57" s="37"/>
      <c r="YN57" s="37"/>
      <c r="YO57" s="37"/>
      <c r="YP57" s="37"/>
      <c r="YQ57" s="37"/>
      <c r="YR57" s="37"/>
      <c r="YS57" s="37"/>
      <c r="YT57" s="37"/>
      <c r="YU57" s="37"/>
      <c r="YV57" s="37"/>
      <c r="YW57" s="37"/>
      <c r="YX57" s="37"/>
      <c r="YY57" s="37"/>
      <c r="YZ57" s="37"/>
      <c r="ZA57" s="37"/>
      <c r="ZB57" s="37"/>
      <c r="ZC57" s="37"/>
      <c r="ZD57" s="37"/>
      <c r="ZE57" s="37"/>
      <c r="ZF57" s="37"/>
      <c r="ZG57" s="37"/>
      <c r="ZH57" s="37"/>
      <c r="ZI57" s="37"/>
      <c r="ZJ57" s="37"/>
      <c r="ZK57" s="37"/>
      <c r="ZL57" s="37"/>
      <c r="ZM57" s="37"/>
      <c r="ZN57" s="37"/>
      <c r="ZO57" s="37"/>
      <c r="ZP57" s="37"/>
      <c r="ZQ57" s="37"/>
      <c r="ZR57" s="37"/>
      <c r="ZS57" s="37"/>
      <c r="ZT57" s="37"/>
      <c r="ZU57" s="37"/>
      <c r="ZV57" s="37"/>
      <c r="ZW57" s="37"/>
      <c r="ZX57" s="37"/>
      <c r="ZY57" s="37"/>
      <c r="ZZ57" s="37"/>
      <c r="AAA57" s="37"/>
      <c r="AAB57" s="37"/>
      <c r="AAC57" s="37"/>
      <c r="AAD57" s="37"/>
      <c r="AAE57" s="37"/>
      <c r="AAF57" s="37"/>
      <c r="AAG57" s="37"/>
      <c r="AAH57" s="37"/>
      <c r="AAI57" s="37"/>
      <c r="AAJ57" s="37"/>
      <c r="AAK57" s="37"/>
      <c r="AAL57" s="37"/>
      <c r="AAM57" s="37"/>
      <c r="AAN57" s="37"/>
      <c r="AAO57" s="37"/>
      <c r="AAP57" s="37"/>
      <c r="AAQ57" s="37"/>
      <c r="AAR57" s="37"/>
      <c r="AAS57" s="37"/>
      <c r="AAT57" s="37"/>
      <c r="AAU57" s="37"/>
      <c r="AAV57" s="37"/>
      <c r="AAW57" s="37"/>
      <c r="AAX57" s="37"/>
      <c r="AAY57" s="37"/>
      <c r="AAZ57" s="37"/>
      <c r="ABA57" s="37"/>
      <c r="ABB57" s="37"/>
      <c r="ABC57" s="37"/>
      <c r="ABD57" s="37"/>
      <c r="ABE57" s="37"/>
      <c r="ABF57" s="37"/>
      <c r="ABG57" s="37"/>
      <c r="ABH57" s="37"/>
      <c r="ABI57" s="37"/>
      <c r="ABJ57" s="37"/>
      <c r="ABK57" s="37"/>
      <c r="ABL57" s="37"/>
      <c r="ABM57" s="37"/>
      <c r="ABN57" s="37"/>
      <c r="ABO57" s="37"/>
      <c r="ABP57" s="37"/>
      <c r="ABQ57" s="37"/>
      <c r="ABR57" s="37"/>
      <c r="ABS57" s="37"/>
      <c r="ABT57" s="37"/>
      <c r="ABU57" s="37"/>
      <c r="ABV57" s="37"/>
      <c r="ABW57" s="37"/>
      <c r="ABX57" s="37"/>
      <c r="ABY57" s="37"/>
      <c r="ABZ57" s="37"/>
      <c r="ACA57" s="37"/>
      <c r="ACB57" s="37"/>
      <c r="ACC57" s="37"/>
      <c r="ACD57" s="37"/>
      <c r="ACE57" s="37"/>
      <c r="ACF57" s="37"/>
      <c r="ACG57" s="37"/>
      <c r="ACH57" s="37"/>
      <c r="ACI57" s="37"/>
      <c r="ACJ57" s="37"/>
      <c r="ACK57" s="37"/>
      <c r="ACL57" s="37"/>
      <c r="ACM57" s="37"/>
      <c r="ACN57" s="37"/>
      <c r="ACO57" s="37"/>
      <c r="ACP57" s="37"/>
      <c r="ACQ57" s="37"/>
      <c r="ACR57" s="37"/>
      <c r="ACS57" s="37"/>
      <c r="ACT57" s="37"/>
      <c r="ACU57" s="37"/>
      <c r="ACV57" s="37"/>
      <c r="ACW57" s="37"/>
      <c r="ACX57" s="37"/>
      <c r="ACY57" s="37"/>
      <c r="ACZ57" s="37"/>
      <c r="ADA57" s="37"/>
      <c r="ADB57" s="37"/>
      <c r="ADC57" s="37"/>
      <c r="ADD57" s="37"/>
      <c r="ADE57" s="37"/>
      <c r="ADF57" s="37"/>
      <c r="ADG57" s="37"/>
      <c r="ADH57" s="37"/>
      <c r="ADI57" s="37"/>
      <c r="ADJ57" s="37"/>
      <c r="ADK57" s="37"/>
      <c r="ADL57" s="37"/>
      <c r="ADM57" s="37"/>
      <c r="ADN57" s="37"/>
      <c r="ADO57" s="37"/>
      <c r="ADP57" s="37"/>
      <c r="ADQ57" s="37"/>
      <c r="ADR57" s="37"/>
      <c r="ADS57" s="37"/>
      <c r="ADT57" s="37"/>
      <c r="ADU57" s="37"/>
      <c r="ADV57" s="37"/>
      <c r="ADW57" s="37"/>
      <c r="ADX57" s="37"/>
      <c r="ADY57" s="37"/>
      <c r="ADZ57" s="37"/>
      <c r="AEA57" s="37"/>
      <c r="AEB57" s="37"/>
      <c r="AEC57" s="37"/>
      <c r="AED57" s="37"/>
      <c r="AEE57" s="37"/>
      <c r="AEF57" s="37"/>
      <c r="AEG57" s="37"/>
      <c r="AEH57" s="37"/>
      <c r="AEI57" s="37"/>
      <c r="AEJ57" s="37"/>
      <c r="AEK57" s="37"/>
      <c r="AEL57" s="37"/>
      <c r="AEM57" s="37"/>
      <c r="AEN57" s="37"/>
      <c r="AEO57" s="37"/>
      <c r="AEP57" s="37"/>
      <c r="AEQ57" s="37"/>
      <c r="AER57" s="37"/>
      <c r="AES57" s="37"/>
      <c r="AET57" s="37"/>
      <c r="AEU57" s="37"/>
      <c r="AEV57" s="37"/>
      <c r="AEW57" s="37"/>
      <c r="AEX57" s="37"/>
      <c r="AEY57" s="37"/>
      <c r="AEZ57" s="37"/>
      <c r="AFA57" s="37"/>
      <c r="AFB57" s="37"/>
      <c r="AFC57" s="37"/>
      <c r="AFD57" s="37"/>
      <c r="AFE57" s="37"/>
      <c r="AFF57" s="37"/>
      <c r="AFG57" s="37"/>
      <c r="AFH57" s="37"/>
      <c r="AFI57" s="37"/>
      <c r="AFJ57" s="37"/>
      <c r="AFK57" s="37"/>
      <c r="AFL57" s="37"/>
      <c r="AFM57" s="37"/>
      <c r="AFN57" s="37"/>
      <c r="AFO57" s="37"/>
      <c r="AFP57" s="37"/>
      <c r="AFQ57" s="37"/>
      <c r="AFR57" s="37"/>
      <c r="AFS57" s="37"/>
      <c r="AFT57" s="37"/>
      <c r="AFU57" s="37"/>
      <c r="AFV57" s="37"/>
      <c r="AFW57" s="37"/>
      <c r="AFX57" s="37"/>
      <c r="AFY57" s="37"/>
      <c r="AFZ57" s="37"/>
      <c r="AGA57" s="37"/>
      <c r="AGB57" s="37"/>
      <c r="AGC57" s="37"/>
      <c r="AGD57" s="37"/>
      <c r="AGE57" s="37"/>
      <c r="AGF57" s="37"/>
      <c r="AGG57" s="37"/>
      <c r="AGH57" s="37"/>
      <c r="AGI57" s="37"/>
      <c r="AGJ57" s="37"/>
      <c r="AGK57" s="37"/>
      <c r="AGL57" s="37"/>
      <c r="AGM57" s="37"/>
      <c r="AGN57" s="37"/>
      <c r="AGO57" s="37"/>
      <c r="AGP57" s="37"/>
      <c r="AGQ57" s="37"/>
      <c r="AGR57" s="37"/>
      <c r="AGS57" s="37"/>
      <c r="AGT57" s="37"/>
      <c r="AGU57" s="37"/>
      <c r="AGV57" s="37"/>
      <c r="AGW57" s="37"/>
      <c r="AGX57" s="37"/>
      <c r="AGY57" s="37"/>
      <c r="AGZ57" s="37"/>
      <c r="AHA57" s="37"/>
      <c r="AHB57" s="37"/>
      <c r="AHC57" s="37"/>
      <c r="AHD57" s="37"/>
      <c r="AHE57" s="37"/>
      <c r="AHF57" s="37"/>
      <c r="AHG57" s="37"/>
      <c r="AHH57" s="37"/>
      <c r="AHI57" s="37"/>
      <c r="AHJ57" s="37"/>
      <c r="AHK57" s="37"/>
      <c r="AHL57" s="37"/>
      <c r="AHM57" s="37"/>
      <c r="AHN57" s="37"/>
      <c r="AHO57" s="37"/>
      <c r="AHP57" s="37"/>
      <c r="AHQ57" s="37"/>
      <c r="AHR57" s="37"/>
      <c r="AHS57" s="37"/>
      <c r="AHT57" s="37"/>
      <c r="AHU57" s="37"/>
      <c r="AHV57" s="37"/>
      <c r="AHW57" s="37"/>
      <c r="AHX57" s="37"/>
      <c r="AHY57" s="37"/>
      <c r="AHZ57" s="37"/>
      <c r="AIA57" s="37"/>
      <c r="AIB57" s="37"/>
      <c r="AIC57" s="37"/>
      <c r="AID57" s="37"/>
      <c r="AIE57" s="37"/>
      <c r="AIF57" s="37"/>
      <c r="AIG57" s="37"/>
      <c r="AIH57" s="37"/>
      <c r="AII57" s="37"/>
      <c r="AIJ57" s="37"/>
      <c r="AIK57" s="37"/>
      <c r="AIL57" s="37"/>
      <c r="AIM57" s="37"/>
      <c r="AIN57" s="37"/>
      <c r="AIO57" s="37"/>
      <c r="AIP57" s="37"/>
      <c r="AIQ57" s="37"/>
      <c r="AIR57" s="37"/>
      <c r="AIS57" s="37"/>
      <c r="AIT57" s="37"/>
      <c r="AIU57" s="37"/>
      <c r="AIV57" s="37"/>
      <c r="AIW57" s="37"/>
      <c r="AIX57" s="37"/>
      <c r="AIY57" s="37"/>
      <c r="AIZ57" s="37"/>
      <c r="AJA57" s="37"/>
      <c r="AJB57" s="37"/>
      <c r="AJC57" s="37"/>
      <c r="AJD57" s="37"/>
      <c r="AJE57" s="37"/>
      <c r="AJF57" s="37"/>
      <c r="AJG57" s="37"/>
      <c r="AJH57" s="37"/>
      <c r="AJI57" s="37"/>
      <c r="AJJ57" s="37"/>
      <c r="AJK57" s="37"/>
      <c r="AJL57" s="37"/>
      <c r="AJM57" s="37"/>
      <c r="AJN57" s="37"/>
      <c r="AJO57" s="37"/>
      <c r="AJP57" s="37"/>
      <c r="AJQ57" s="37"/>
      <c r="AJR57" s="37"/>
      <c r="AJS57" s="37"/>
      <c r="AJT57" s="37"/>
      <c r="AJU57" s="37"/>
      <c r="AJV57" s="37"/>
      <c r="AJW57" s="37"/>
      <c r="AJX57" s="37"/>
      <c r="AJY57" s="37"/>
      <c r="AJZ57" s="37"/>
      <c r="AKA57" s="37"/>
      <c r="AKB57" s="37"/>
      <c r="AKC57" s="37"/>
      <c r="AKD57" s="37"/>
      <c r="AKE57" s="37"/>
      <c r="AKF57" s="37"/>
      <c r="AKG57" s="37"/>
      <c r="AKH57" s="37"/>
      <c r="AKI57" s="37"/>
      <c r="AKJ57" s="37"/>
      <c r="AKK57" s="37"/>
      <c r="AKL57" s="37"/>
      <c r="AKM57" s="37"/>
      <c r="AKN57" s="37"/>
      <c r="AKO57" s="37"/>
      <c r="AKP57" s="37"/>
      <c r="AKQ57" s="37"/>
      <c r="AKR57" s="37"/>
      <c r="AKS57" s="37"/>
      <c r="AKT57" s="37"/>
      <c r="AKU57" s="37"/>
      <c r="AKV57" s="37"/>
      <c r="AKW57" s="37"/>
      <c r="AKX57" s="37"/>
      <c r="AKY57" s="37"/>
      <c r="AKZ57" s="37"/>
      <c r="ALA57" s="37"/>
      <c r="ALB57" s="37"/>
      <c r="ALC57" s="37"/>
      <c r="ALD57" s="37"/>
      <c r="ALE57" s="37"/>
      <c r="ALF57" s="37"/>
      <c r="ALG57" s="37"/>
      <c r="ALH57" s="37"/>
      <c r="ALI57" s="37"/>
      <c r="ALJ57" s="37"/>
      <c r="ALK57" s="37"/>
      <c r="ALL57" s="37"/>
      <c r="ALM57" s="37"/>
      <c r="ALN57" s="37"/>
      <c r="ALO57" s="37"/>
      <c r="ALP57" s="37"/>
      <c r="ALQ57" s="37"/>
      <c r="ALR57" s="37"/>
      <c r="ALS57" s="37"/>
      <c r="ALT57" s="37"/>
      <c r="ALU57" s="37"/>
      <c r="ALV57" s="37"/>
      <c r="ALW57" s="37"/>
      <c r="ALX57" s="37"/>
      <c r="ALY57" s="37"/>
      <c r="ALZ57" s="37"/>
      <c r="AMA57" s="37"/>
      <c r="AMB57" s="37"/>
      <c r="AMC57" s="37"/>
      <c r="AMD57" s="37"/>
      <c r="AME57" s="37"/>
      <c r="AMF57" s="37"/>
      <c r="AMG57" s="37"/>
      <c r="AMH57" s="37"/>
      <c r="AMI57" s="37"/>
      <c r="AMJ57" s="37"/>
      <c r="AMK57" s="37"/>
      <c r="AML57" s="37"/>
      <c r="AMM57" s="37"/>
      <c r="AMN57" s="37"/>
      <c r="AMO57" s="37"/>
      <c r="AMP57" s="37"/>
      <c r="AMQ57" s="37"/>
      <c r="AMR57" s="37"/>
      <c r="AMS57" s="37"/>
      <c r="AMT57" s="37"/>
      <c r="AMU57" s="37"/>
      <c r="AMV57" s="37"/>
      <c r="AMW57" s="37"/>
      <c r="AMX57" s="37"/>
      <c r="AMY57" s="37"/>
      <c r="AMZ57" s="37"/>
      <c r="ANA57" s="37"/>
      <c r="ANB57" s="37"/>
      <c r="ANC57" s="37"/>
      <c r="AND57" s="37"/>
      <c r="ANE57" s="37"/>
      <c r="ANF57" s="37"/>
      <c r="ANG57" s="37"/>
      <c r="ANH57" s="37"/>
      <c r="ANI57" s="37"/>
      <c r="ANJ57" s="37"/>
      <c r="ANK57" s="37"/>
      <c r="ANL57" s="37"/>
      <c r="ANM57" s="37"/>
      <c r="ANN57" s="37"/>
      <c r="ANO57" s="37"/>
      <c r="ANP57" s="37"/>
      <c r="ANQ57" s="37"/>
      <c r="ANR57" s="37"/>
      <c r="ANS57" s="37"/>
      <c r="ANT57" s="37"/>
      <c r="ANU57" s="37"/>
      <c r="ANV57" s="37"/>
      <c r="ANW57" s="37"/>
      <c r="ANX57" s="37"/>
      <c r="ANY57" s="37"/>
      <c r="ANZ57" s="37"/>
      <c r="AOA57" s="37"/>
      <c r="AOB57" s="37"/>
      <c r="AOC57" s="37"/>
      <c r="AOD57" s="37"/>
      <c r="AOE57" s="37"/>
      <c r="AOF57" s="37"/>
      <c r="AOG57" s="37"/>
      <c r="AOH57" s="37"/>
      <c r="AOI57" s="37"/>
      <c r="AOJ57" s="37"/>
      <c r="AOK57" s="37"/>
      <c r="AOL57" s="37"/>
      <c r="AOM57" s="37"/>
      <c r="AON57" s="37"/>
      <c r="AOO57" s="37"/>
      <c r="AOP57" s="37"/>
      <c r="AOQ57" s="37"/>
      <c r="AOR57" s="37"/>
      <c r="AOS57" s="37"/>
      <c r="AOT57" s="37"/>
      <c r="AOU57" s="37"/>
      <c r="AOV57" s="37"/>
      <c r="AOW57" s="37"/>
      <c r="AOX57" s="37"/>
      <c r="AOY57" s="37"/>
      <c r="AOZ57" s="37"/>
      <c r="APA57" s="37"/>
      <c r="APB57" s="37"/>
      <c r="APC57" s="37"/>
      <c r="APD57" s="37"/>
      <c r="APE57" s="37"/>
      <c r="APF57" s="37"/>
      <c r="APG57" s="37"/>
      <c r="APH57" s="37"/>
      <c r="API57" s="37"/>
      <c r="APJ57" s="37"/>
      <c r="APK57" s="37"/>
      <c r="APL57" s="37"/>
      <c r="APM57" s="37"/>
      <c r="APN57" s="37"/>
      <c r="APO57" s="37"/>
      <c r="APP57" s="37"/>
      <c r="APQ57" s="37"/>
      <c r="APR57" s="37"/>
      <c r="APS57" s="37"/>
      <c r="APT57" s="37"/>
      <c r="APU57" s="37"/>
      <c r="APV57" s="37"/>
      <c r="APW57" s="37"/>
      <c r="APX57" s="37"/>
      <c r="APY57" s="37"/>
      <c r="APZ57" s="37"/>
      <c r="AQA57" s="37"/>
      <c r="AQB57" s="37"/>
      <c r="AQC57" s="37"/>
      <c r="AQD57" s="37"/>
      <c r="AQE57" s="37"/>
      <c r="AQF57" s="37"/>
      <c r="AQG57" s="37"/>
      <c r="AQH57" s="37"/>
      <c r="AQI57" s="37"/>
      <c r="AQJ57" s="37"/>
      <c r="AQK57" s="37"/>
      <c r="AQL57" s="37"/>
      <c r="AQM57" s="37"/>
      <c r="AQN57" s="37"/>
      <c r="AQO57" s="37"/>
      <c r="AQP57" s="37"/>
      <c r="AQQ57" s="37"/>
      <c r="AQR57" s="37"/>
      <c r="AQS57" s="37"/>
      <c r="AQT57" s="37"/>
      <c r="AQU57" s="37"/>
      <c r="AQV57" s="37"/>
      <c r="AQW57" s="37"/>
      <c r="AQX57" s="37"/>
      <c r="AQY57" s="37"/>
      <c r="AQZ57" s="37"/>
      <c r="ARA57" s="37"/>
      <c r="ARB57" s="37"/>
      <c r="ARC57" s="37"/>
      <c r="ARD57" s="37"/>
      <c r="ARE57" s="37"/>
      <c r="ARF57" s="37"/>
      <c r="ARG57" s="37"/>
      <c r="ARH57" s="37"/>
      <c r="ARI57" s="37"/>
      <c r="ARJ57" s="37"/>
      <c r="ARK57" s="37"/>
      <c r="ARL57" s="37"/>
      <c r="ARM57" s="37"/>
      <c r="ARN57" s="37"/>
      <c r="ARO57" s="37"/>
      <c r="ARP57" s="37"/>
      <c r="ARQ57" s="37"/>
      <c r="ARR57" s="37"/>
      <c r="ARS57" s="37"/>
      <c r="ART57" s="37"/>
      <c r="ARU57" s="37"/>
      <c r="ARV57" s="37"/>
      <c r="ARW57" s="37"/>
      <c r="ARX57" s="37"/>
      <c r="ARY57" s="37"/>
      <c r="ARZ57" s="37"/>
      <c r="ASA57" s="37"/>
      <c r="ASB57" s="37"/>
      <c r="ASC57" s="37"/>
      <c r="ASD57" s="37"/>
      <c r="ASE57" s="37"/>
      <c r="ASF57" s="37"/>
      <c r="ASG57" s="37"/>
      <c r="ASH57" s="37"/>
      <c r="ASI57" s="37"/>
      <c r="ASJ57" s="37"/>
      <c r="ASK57" s="37"/>
      <c r="ASL57" s="37"/>
      <c r="ASM57" s="37"/>
      <c r="ASN57" s="37"/>
      <c r="ASO57" s="37"/>
      <c r="ASP57" s="37"/>
      <c r="ASQ57" s="37"/>
      <c r="ASR57" s="37"/>
      <c r="ASS57" s="37"/>
      <c r="AST57" s="37"/>
      <c r="ASU57" s="37"/>
      <c r="ASV57" s="37"/>
      <c r="ASW57" s="37"/>
      <c r="ASX57" s="37"/>
      <c r="ASY57" s="37"/>
      <c r="ASZ57" s="37"/>
      <c r="ATA57" s="37"/>
      <c r="ATB57" s="37"/>
      <c r="ATC57" s="37"/>
      <c r="ATD57" s="37"/>
      <c r="ATE57" s="37"/>
      <c r="ATF57" s="37"/>
      <c r="ATG57" s="37"/>
      <c r="ATH57" s="37"/>
      <c r="ATI57" s="37"/>
      <c r="ATJ57" s="37"/>
      <c r="ATK57" s="37"/>
      <c r="ATL57" s="37"/>
      <c r="ATM57" s="37"/>
      <c r="ATN57" s="37"/>
      <c r="ATO57" s="37"/>
      <c r="ATP57" s="37"/>
      <c r="ATQ57" s="37"/>
      <c r="ATR57" s="37"/>
      <c r="ATS57" s="37"/>
      <c r="ATT57" s="37"/>
      <c r="ATU57" s="37"/>
      <c r="ATV57" s="37"/>
      <c r="ATW57" s="37"/>
      <c r="ATX57" s="37"/>
      <c r="ATY57" s="37"/>
      <c r="ATZ57" s="37"/>
      <c r="AUA57" s="37"/>
      <c r="AUB57" s="37"/>
      <c r="AUC57" s="37"/>
      <c r="AUD57" s="37"/>
      <c r="AUE57" s="37"/>
      <c r="AUF57" s="37"/>
      <c r="AUG57" s="37"/>
      <c r="AUH57" s="37"/>
      <c r="AUI57" s="37"/>
      <c r="AUJ57" s="37"/>
      <c r="AUK57" s="37"/>
      <c r="AUL57" s="37"/>
      <c r="AUM57" s="37"/>
      <c r="AUN57" s="37"/>
      <c r="AUO57" s="37"/>
      <c r="AUP57" s="37"/>
      <c r="AUQ57" s="37"/>
      <c r="AUR57" s="37"/>
      <c r="AUS57" s="37"/>
      <c r="AUT57" s="37"/>
      <c r="AUU57" s="37"/>
      <c r="AUV57" s="37"/>
      <c r="AUW57" s="37"/>
      <c r="AUX57" s="37"/>
      <c r="AUY57" s="37"/>
      <c r="AUZ57" s="37"/>
      <c r="AVA57" s="37"/>
      <c r="AVB57" s="37"/>
      <c r="AVC57" s="37"/>
      <c r="AVD57" s="37"/>
      <c r="AVE57" s="37"/>
      <c r="AVF57" s="37"/>
      <c r="AVG57" s="37"/>
      <c r="AVH57" s="37"/>
      <c r="AVI57" s="37"/>
      <c r="AVJ57" s="37"/>
      <c r="AVK57" s="37"/>
      <c r="AVL57" s="37"/>
      <c r="AVM57" s="37"/>
      <c r="AVN57" s="37"/>
      <c r="AVO57" s="37"/>
      <c r="AVP57" s="37"/>
      <c r="AVQ57" s="37"/>
      <c r="AVR57" s="37"/>
      <c r="AVS57" s="37"/>
      <c r="AVT57" s="37"/>
      <c r="AVU57" s="37"/>
      <c r="AVV57" s="37"/>
      <c r="AVW57" s="37"/>
      <c r="AVX57" s="37"/>
      <c r="AVY57" s="37"/>
      <c r="AVZ57" s="37"/>
      <c r="AWA57" s="37"/>
      <c r="AWB57" s="37"/>
      <c r="AWC57" s="37"/>
      <c r="AWD57" s="37"/>
      <c r="AWE57" s="37"/>
      <c r="AWF57" s="37"/>
      <c r="AWG57" s="37"/>
      <c r="AWH57" s="37"/>
      <c r="AWI57" s="37"/>
      <c r="AWJ57" s="37"/>
      <c r="AWK57" s="37"/>
      <c r="AWL57" s="37"/>
      <c r="AWM57" s="37"/>
      <c r="AWN57" s="37"/>
      <c r="AWO57" s="37"/>
      <c r="AWP57" s="37"/>
      <c r="AWQ57" s="37"/>
      <c r="AWR57" s="37"/>
      <c r="AWS57" s="37"/>
      <c r="AWT57" s="37"/>
      <c r="AWU57" s="37"/>
      <c r="AWV57" s="37"/>
      <c r="AWW57" s="37"/>
      <c r="AWX57" s="37"/>
      <c r="AWY57" s="37"/>
      <c r="AWZ57" s="37"/>
      <c r="AXA57" s="37"/>
      <c r="AXB57" s="37"/>
      <c r="AXC57" s="37"/>
      <c r="AXD57" s="37"/>
      <c r="AXE57" s="37"/>
      <c r="AXF57" s="37"/>
      <c r="AXG57" s="37"/>
      <c r="AXH57" s="37"/>
      <c r="AXI57" s="37"/>
      <c r="AXJ57" s="37"/>
      <c r="AXK57" s="37"/>
      <c r="AXL57" s="37"/>
      <c r="AXM57" s="37"/>
      <c r="AXN57" s="37"/>
      <c r="AXO57" s="37"/>
      <c r="AXP57" s="37"/>
      <c r="AXQ57" s="37"/>
      <c r="AXR57" s="37"/>
      <c r="AXS57" s="37"/>
      <c r="AXT57" s="37"/>
      <c r="AXU57" s="37"/>
      <c r="AXV57" s="37"/>
      <c r="AXW57" s="37"/>
      <c r="AXX57" s="37"/>
      <c r="AXY57" s="37"/>
      <c r="AXZ57" s="37"/>
      <c r="AYA57" s="37"/>
      <c r="AYB57" s="37"/>
      <c r="AYC57" s="37"/>
      <c r="AYD57" s="37"/>
      <c r="AYE57" s="37"/>
      <c r="AYF57" s="37"/>
      <c r="AYG57" s="37"/>
      <c r="AYH57" s="37"/>
      <c r="AYI57" s="37"/>
      <c r="AYJ57" s="37"/>
      <c r="AYK57" s="37"/>
      <c r="AYL57" s="37"/>
      <c r="AYM57" s="37"/>
      <c r="AYN57" s="37"/>
      <c r="AYO57" s="37"/>
      <c r="AYP57" s="37"/>
      <c r="AYQ57" s="37"/>
      <c r="AYR57" s="37"/>
      <c r="AYS57" s="37"/>
      <c r="AYT57" s="37"/>
      <c r="AYU57" s="37"/>
      <c r="AYV57" s="37"/>
      <c r="AYW57" s="37"/>
      <c r="AYX57" s="37"/>
      <c r="AYY57" s="37"/>
      <c r="AYZ57" s="37"/>
      <c r="AZA57" s="37"/>
      <c r="AZB57" s="37"/>
      <c r="AZC57" s="37"/>
      <c r="AZD57" s="37"/>
      <c r="AZE57" s="37"/>
      <c r="AZF57" s="37"/>
      <c r="AZG57" s="37"/>
      <c r="AZH57" s="37"/>
      <c r="AZI57" s="37"/>
      <c r="AZJ57" s="37"/>
      <c r="AZK57" s="37"/>
      <c r="AZL57" s="37"/>
      <c r="AZM57" s="37"/>
      <c r="AZN57" s="37"/>
      <c r="AZO57" s="37"/>
      <c r="AZP57" s="37"/>
      <c r="AZQ57" s="37"/>
      <c r="AZR57" s="37"/>
      <c r="AZS57" s="37"/>
      <c r="AZT57" s="37"/>
      <c r="AZU57" s="37"/>
      <c r="AZV57" s="37"/>
      <c r="AZW57" s="37"/>
      <c r="AZX57" s="37"/>
      <c r="AZY57" s="37"/>
      <c r="AZZ57" s="37"/>
      <c r="BAA57" s="37"/>
      <c r="BAB57" s="37"/>
      <c r="BAC57" s="37"/>
      <c r="BAD57" s="37"/>
      <c r="BAE57" s="37"/>
      <c r="BAF57" s="37"/>
      <c r="BAG57" s="37"/>
      <c r="BAH57" s="37"/>
      <c r="BAI57" s="37"/>
      <c r="BAJ57" s="37"/>
      <c r="BAK57" s="37"/>
      <c r="BAL57" s="37"/>
      <c r="BAM57" s="37"/>
      <c r="BAN57" s="37"/>
      <c r="BAO57" s="37"/>
      <c r="BAP57" s="37"/>
      <c r="BAQ57" s="37"/>
      <c r="BAR57" s="37"/>
      <c r="BAS57" s="37"/>
      <c r="BAT57" s="37"/>
      <c r="BAU57" s="37"/>
      <c r="BAV57" s="37"/>
      <c r="BAW57" s="37"/>
      <c r="BAX57" s="37"/>
      <c r="BAY57" s="37"/>
      <c r="BAZ57" s="37"/>
      <c r="BBA57" s="37"/>
      <c r="BBB57" s="37"/>
      <c r="BBC57" s="37"/>
      <c r="BBD57" s="37"/>
      <c r="BBE57" s="37"/>
      <c r="BBF57" s="37"/>
      <c r="BBG57" s="37"/>
      <c r="BBH57" s="37"/>
      <c r="BBI57" s="37"/>
      <c r="BBJ57" s="37"/>
      <c r="BBK57" s="37"/>
      <c r="BBL57" s="37"/>
      <c r="BBM57" s="37"/>
      <c r="BBN57" s="37"/>
      <c r="BBO57" s="37"/>
      <c r="BBP57" s="37"/>
      <c r="BBQ57" s="37"/>
      <c r="BBR57" s="37"/>
      <c r="BBS57" s="37"/>
      <c r="BBT57" s="37"/>
      <c r="BBU57" s="37"/>
      <c r="BBV57" s="37"/>
      <c r="BBW57" s="37"/>
      <c r="BBX57" s="37"/>
      <c r="BBY57" s="37"/>
      <c r="BBZ57" s="37"/>
      <c r="BCA57" s="37"/>
      <c r="BCB57" s="37"/>
      <c r="BCC57" s="37"/>
      <c r="BCD57" s="37"/>
      <c r="BCE57" s="37"/>
      <c r="BCF57" s="37"/>
      <c r="BCG57" s="37"/>
      <c r="BCH57" s="37"/>
      <c r="BCI57" s="37"/>
      <c r="BCJ57" s="37"/>
      <c r="BCK57" s="37"/>
      <c r="BCL57" s="37"/>
      <c r="BCM57" s="37"/>
      <c r="BCN57" s="37"/>
      <c r="BCO57" s="37"/>
      <c r="BCP57" s="37"/>
      <c r="BCQ57" s="37"/>
      <c r="BCR57" s="37"/>
      <c r="BCS57" s="37"/>
      <c r="BCT57" s="37"/>
      <c r="BCU57" s="37"/>
      <c r="BCV57" s="37"/>
      <c r="BCW57" s="37"/>
      <c r="BCX57" s="37"/>
      <c r="BCY57" s="37"/>
      <c r="BCZ57" s="37"/>
      <c r="BDA57" s="37"/>
      <c r="BDB57" s="37"/>
      <c r="BDC57" s="37"/>
      <c r="BDD57" s="37"/>
      <c r="BDE57" s="37"/>
      <c r="BDF57" s="37"/>
      <c r="BDG57" s="37"/>
      <c r="BDH57" s="37"/>
      <c r="BDI57" s="37"/>
      <c r="BDJ57" s="37"/>
      <c r="BDK57" s="37"/>
      <c r="BDL57" s="37"/>
      <c r="BDM57" s="37"/>
      <c r="BDN57" s="37"/>
      <c r="BDO57" s="37"/>
      <c r="BDP57" s="37"/>
      <c r="BDQ57" s="37"/>
      <c r="BDR57" s="37"/>
      <c r="BDS57" s="37"/>
      <c r="BDT57" s="37"/>
      <c r="BDU57" s="37"/>
      <c r="BDV57" s="37"/>
      <c r="BDW57" s="37"/>
      <c r="BDX57" s="37"/>
      <c r="BDY57" s="37"/>
      <c r="BDZ57" s="37"/>
      <c r="BEA57" s="37"/>
      <c r="BEB57" s="37"/>
      <c r="BEC57" s="37"/>
      <c r="BED57" s="37"/>
      <c r="BEE57" s="37"/>
      <c r="BEF57" s="37"/>
      <c r="BEG57" s="37"/>
      <c r="BEH57" s="37"/>
      <c r="BEI57" s="37"/>
      <c r="BEJ57" s="37"/>
      <c r="BEK57" s="37"/>
      <c r="BEL57" s="37"/>
      <c r="BEM57" s="37"/>
      <c r="BEN57" s="37"/>
      <c r="BEO57" s="37"/>
      <c r="BEP57" s="37"/>
      <c r="BEQ57" s="37"/>
      <c r="BER57" s="37"/>
      <c r="BES57" s="37"/>
      <c r="BET57" s="37"/>
      <c r="BEU57" s="37"/>
      <c r="BEV57" s="37"/>
      <c r="BEW57" s="37"/>
      <c r="BEX57" s="37"/>
      <c r="BEY57" s="37"/>
      <c r="BEZ57" s="37"/>
      <c r="BFA57" s="37"/>
      <c r="BFB57" s="37"/>
      <c r="BFC57" s="37"/>
      <c r="BFD57" s="37"/>
      <c r="BFE57" s="37"/>
      <c r="BFF57" s="37"/>
      <c r="BFG57" s="37"/>
      <c r="BFH57" s="37"/>
      <c r="BFI57" s="37"/>
      <c r="BFJ57" s="37"/>
      <c r="BFK57" s="37"/>
      <c r="BFL57" s="37"/>
      <c r="BFM57" s="37"/>
      <c r="BFN57" s="37"/>
      <c r="BFO57" s="37"/>
      <c r="BFP57" s="37"/>
      <c r="BFQ57" s="37"/>
      <c r="BFR57" s="37"/>
      <c r="BFS57" s="37"/>
      <c r="BFT57" s="37"/>
      <c r="BFU57" s="37"/>
      <c r="BFV57" s="37"/>
      <c r="BFW57" s="37"/>
      <c r="BFX57" s="37"/>
      <c r="BFY57" s="37"/>
      <c r="BFZ57" s="37"/>
      <c r="BGA57" s="37"/>
      <c r="BGB57" s="37"/>
      <c r="BGC57" s="37"/>
      <c r="BGD57" s="37"/>
      <c r="BGE57" s="37"/>
      <c r="BGF57" s="37"/>
      <c r="BGG57" s="37"/>
      <c r="BGH57" s="37"/>
      <c r="BGI57" s="37"/>
      <c r="BGJ57" s="37"/>
      <c r="BGK57" s="37"/>
      <c r="BGL57" s="37"/>
      <c r="BGM57" s="37"/>
      <c r="BGN57" s="37"/>
      <c r="BGO57" s="37"/>
      <c r="BGP57" s="37"/>
      <c r="BGQ57" s="37"/>
      <c r="BGR57" s="37"/>
      <c r="BGS57" s="37"/>
      <c r="BGT57" s="37"/>
      <c r="BGU57" s="37"/>
      <c r="BGV57" s="37"/>
      <c r="BGW57" s="37"/>
      <c r="BGX57" s="37"/>
      <c r="BGY57" s="37"/>
      <c r="BGZ57" s="37"/>
      <c r="BHA57" s="37"/>
      <c r="BHB57" s="37"/>
      <c r="BHC57" s="37"/>
      <c r="BHD57" s="37"/>
      <c r="BHE57" s="37"/>
      <c r="BHF57" s="37"/>
      <c r="BHG57" s="37"/>
      <c r="BHH57" s="37"/>
      <c r="BHI57" s="37"/>
      <c r="BHJ57" s="37"/>
      <c r="BHK57" s="37"/>
      <c r="BHL57" s="37"/>
      <c r="BHM57" s="37"/>
      <c r="BHN57" s="37"/>
      <c r="BHO57" s="37"/>
      <c r="BHP57" s="37"/>
      <c r="BHQ57" s="37"/>
      <c r="BHR57" s="37"/>
      <c r="BHS57" s="37"/>
      <c r="BHT57" s="37"/>
      <c r="BHU57" s="37"/>
      <c r="BHV57" s="37"/>
      <c r="BHW57" s="37"/>
      <c r="BHX57" s="37"/>
      <c r="BHY57" s="37"/>
      <c r="BHZ57" s="37"/>
      <c r="BIA57" s="37"/>
      <c r="BIB57" s="37"/>
      <c r="BIC57" s="37"/>
      <c r="BID57" s="37"/>
      <c r="BIE57" s="37"/>
      <c r="BIF57" s="37"/>
      <c r="BIG57" s="37"/>
      <c r="BIH57" s="37"/>
      <c r="BII57" s="37"/>
      <c r="BIJ57" s="37"/>
      <c r="BIK57" s="37"/>
      <c r="BIL57" s="37"/>
      <c r="BIM57" s="37"/>
      <c r="BIN57" s="37"/>
      <c r="BIO57" s="37"/>
      <c r="BIP57" s="37"/>
      <c r="BIQ57" s="37"/>
      <c r="BIR57" s="37"/>
      <c r="BIS57" s="37"/>
      <c r="BIT57" s="37"/>
      <c r="BIU57" s="37"/>
      <c r="BIV57" s="37"/>
      <c r="BIW57" s="37"/>
      <c r="BIX57" s="37"/>
      <c r="BIY57" s="37"/>
      <c r="BIZ57" s="37"/>
      <c r="BJA57" s="37"/>
      <c r="BJB57" s="37"/>
      <c r="BJC57" s="37"/>
      <c r="BJD57" s="37"/>
      <c r="BJE57" s="37"/>
      <c r="BJF57" s="37"/>
      <c r="BJG57" s="37"/>
      <c r="BJH57" s="37"/>
      <c r="BJI57" s="37"/>
      <c r="BJJ57" s="37"/>
      <c r="BJK57" s="37"/>
      <c r="BJL57" s="37"/>
      <c r="BJM57" s="37"/>
      <c r="BJN57" s="37"/>
      <c r="BJO57" s="37"/>
      <c r="BJP57" s="37"/>
      <c r="BJQ57" s="37"/>
      <c r="BJR57" s="37"/>
      <c r="BJS57" s="37"/>
      <c r="BJT57" s="37"/>
      <c r="BJU57" s="37"/>
      <c r="BJV57" s="37"/>
      <c r="BJW57" s="37"/>
      <c r="BJX57" s="37"/>
      <c r="BJY57" s="37"/>
      <c r="BJZ57" s="37"/>
      <c r="BKA57" s="37"/>
      <c r="BKB57" s="37"/>
      <c r="BKC57" s="37"/>
      <c r="BKD57" s="37"/>
      <c r="BKE57" s="37"/>
      <c r="BKF57" s="37"/>
      <c r="BKG57" s="37"/>
      <c r="BKH57" s="37"/>
      <c r="BKI57" s="37"/>
      <c r="BKJ57" s="37"/>
      <c r="BKK57" s="37"/>
      <c r="BKL57" s="37"/>
      <c r="BKM57" s="37"/>
      <c r="BKN57" s="37"/>
      <c r="BKO57" s="37"/>
      <c r="BKP57" s="37"/>
      <c r="BKQ57" s="37"/>
      <c r="BKR57" s="37"/>
      <c r="BKS57" s="37"/>
      <c r="BKT57" s="37"/>
      <c r="BKU57" s="37"/>
      <c r="BKV57" s="37"/>
      <c r="BKW57" s="37"/>
      <c r="BKX57" s="37"/>
      <c r="BKY57" s="37"/>
      <c r="BKZ57" s="37"/>
      <c r="BLA57" s="37"/>
      <c r="BLB57" s="37"/>
      <c r="BLC57" s="37"/>
      <c r="BLD57" s="37"/>
      <c r="BLE57" s="37"/>
      <c r="BLF57" s="37"/>
      <c r="BLG57" s="37"/>
      <c r="BLH57" s="37"/>
      <c r="BLI57" s="37"/>
      <c r="BLJ57" s="37"/>
      <c r="BLK57" s="37"/>
      <c r="BLL57" s="37"/>
      <c r="BLM57" s="37"/>
      <c r="BLN57" s="37"/>
      <c r="BLO57" s="37"/>
      <c r="BLP57" s="37"/>
      <c r="BLQ57" s="37"/>
      <c r="BLR57" s="37"/>
      <c r="BLS57" s="37"/>
      <c r="BLT57" s="37"/>
      <c r="BLU57" s="37"/>
      <c r="BLV57" s="37"/>
      <c r="BLW57" s="37"/>
      <c r="BLX57" s="37"/>
      <c r="BLY57" s="37"/>
      <c r="BLZ57" s="37"/>
      <c r="BMA57" s="37"/>
      <c r="BMB57" s="37"/>
      <c r="BMC57" s="37"/>
      <c r="BMD57" s="37"/>
      <c r="BME57" s="37"/>
      <c r="BMF57" s="37"/>
      <c r="BMG57" s="37"/>
      <c r="BMH57" s="37"/>
      <c r="BMI57" s="37"/>
      <c r="BMJ57" s="37"/>
      <c r="BMK57" s="37"/>
      <c r="BML57" s="37"/>
      <c r="BMM57" s="37"/>
      <c r="BMN57" s="37"/>
      <c r="BMO57" s="37"/>
      <c r="BMP57" s="37"/>
      <c r="BMQ57" s="37"/>
      <c r="BMR57" s="37"/>
      <c r="BMS57" s="37"/>
      <c r="BMT57" s="37"/>
      <c r="BMU57" s="37"/>
      <c r="BMV57" s="37"/>
      <c r="BMW57" s="37"/>
      <c r="BMX57" s="37"/>
      <c r="BMY57" s="37"/>
      <c r="BMZ57" s="37"/>
      <c r="BNA57" s="37"/>
      <c r="BNB57" s="37"/>
      <c r="BNC57" s="37"/>
      <c r="BND57" s="37"/>
      <c r="BNE57" s="37"/>
      <c r="BNF57" s="37"/>
      <c r="BNG57" s="37"/>
      <c r="BNH57" s="37"/>
      <c r="BNI57" s="37"/>
      <c r="BNJ57" s="37"/>
      <c r="BNK57" s="37"/>
      <c r="BNL57" s="37"/>
      <c r="BNM57" s="37"/>
      <c r="BNN57" s="37"/>
      <c r="BNO57" s="37"/>
      <c r="BNP57" s="37"/>
      <c r="BNQ57" s="37"/>
      <c r="BNR57" s="37"/>
      <c r="BNS57" s="37"/>
      <c r="BNT57" s="37"/>
      <c r="BNU57" s="37"/>
      <c r="BNV57" s="37"/>
      <c r="BNW57" s="37"/>
      <c r="BNX57" s="37"/>
      <c r="BNY57" s="37"/>
      <c r="BNZ57" s="37"/>
      <c r="BOA57" s="37"/>
      <c r="BOB57" s="37"/>
      <c r="BOC57" s="37"/>
      <c r="BOD57" s="37"/>
      <c r="BOE57" s="37"/>
      <c r="BOF57" s="37"/>
      <c r="BOG57" s="37"/>
      <c r="BOH57" s="37"/>
      <c r="BOI57" s="37"/>
      <c r="BOJ57" s="37"/>
      <c r="BOK57" s="37"/>
      <c r="BOL57" s="37"/>
      <c r="BOM57" s="37"/>
      <c r="BON57" s="37"/>
      <c r="BOO57" s="37"/>
      <c r="BOP57" s="37"/>
      <c r="BOQ57" s="37"/>
      <c r="BOR57" s="37"/>
      <c r="BOS57" s="37"/>
      <c r="BOT57" s="37"/>
      <c r="BOU57" s="37"/>
      <c r="BOV57" s="37"/>
      <c r="BOW57" s="37"/>
      <c r="BOX57" s="37"/>
      <c r="BOY57" s="37"/>
      <c r="BOZ57" s="37"/>
      <c r="BPA57" s="37"/>
      <c r="BPB57" s="37"/>
      <c r="BPC57" s="37"/>
      <c r="BPD57" s="37"/>
      <c r="BPE57" s="37"/>
      <c r="BPF57" s="37"/>
      <c r="BPG57" s="37"/>
      <c r="BPH57" s="37"/>
      <c r="BPI57" s="37"/>
      <c r="BPJ57" s="37"/>
      <c r="BPK57" s="37"/>
      <c r="BPL57" s="37"/>
      <c r="BPM57" s="37"/>
      <c r="BPN57" s="37"/>
      <c r="BPO57" s="37"/>
      <c r="BPP57" s="37"/>
      <c r="BPQ57" s="37"/>
      <c r="BPR57" s="37"/>
      <c r="BPS57" s="37"/>
      <c r="BPT57" s="37"/>
      <c r="BPU57" s="37"/>
      <c r="BPV57" s="37"/>
      <c r="BPW57" s="37"/>
      <c r="BPX57" s="37"/>
      <c r="BPY57" s="37"/>
      <c r="BPZ57" s="37"/>
      <c r="BQA57" s="37"/>
      <c r="BQB57" s="37"/>
      <c r="BQC57" s="37"/>
      <c r="BQD57" s="37"/>
      <c r="BQE57" s="37"/>
      <c r="BQF57" s="37"/>
      <c r="BQG57" s="37"/>
      <c r="BQH57" s="37"/>
      <c r="BQI57" s="37"/>
      <c r="BQJ57" s="37"/>
      <c r="BQK57" s="37"/>
      <c r="BQL57" s="37"/>
      <c r="BQM57" s="37"/>
      <c r="BQN57" s="37"/>
      <c r="BQO57" s="37"/>
      <c r="BQP57" s="37"/>
      <c r="BQQ57" s="37"/>
      <c r="BQR57" s="37"/>
      <c r="BQS57" s="37"/>
      <c r="BQT57" s="37"/>
      <c r="BQU57" s="37"/>
      <c r="BQV57" s="37"/>
      <c r="BQW57" s="37"/>
      <c r="BQX57" s="37"/>
      <c r="BQY57" s="37"/>
      <c r="BQZ57" s="37"/>
      <c r="BRA57" s="37"/>
      <c r="BRB57" s="37"/>
      <c r="BRC57" s="37"/>
      <c r="BRD57" s="37"/>
      <c r="BRE57" s="37"/>
      <c r="BRF57" s="37"/>
      <c r="BRG57" s="37"/>
      <c r="BRH57" s="37"/>
      <c r="BRI57" s="37"/>
      <c r="BRJ57" s="37"/>
      <c r="BRK57" s="37"/>
      <c r="BRL57" s="37"/>
      <c r="BRM57" s="37"/>
      <c r="BRN57" s="37"/>
      <c r="BRO57" s="37"/>
      <c r="BRP57" s="37"/>
      <c r="BRQ57" s="37"/>
      <c r="BRR57" s="37"/>
      <c r="BRS57" s="37"/>
      <c r="BRT57" s="37"/>
      <c r="BRU57" s="37"/>
      <c r="BRV57" s="37"/>
      <c r="BRW57" s="37"/>
      <c r="BRX57" s="37"/>
      <c r="BRY57" s="37"/>
      <c r="BRZ57" s="37"/>
      <c r="BSA57" s="37"/>
      <c r="BSB57" s="37"/>
      <c r="BSC57" s="37"/>
      <c r="BSD57" s="37"/>
      <c r="BSE57" s="37"/>
      <c r="BSF57" s="37"/>
      <c r="BSG57" s="37"/>
      <c r="BSH57" s="37"/>
      <c r="BSI57" s="37"/>
      <c r="BSJ57" s="37"/>
      <c r="BSK57" s="37"/>
      <c r="BSL57" s="37"/>
      <c r="BSM57" s="37"/>
      <c r="BSN57" s="37"/>
      <c r="BSO57" s="37"/>
      <c r="BSP57" s="37"/>
      <c r="BSQ57" s="37"/>
      <c r="BSR57" s="37"/>
      <c r="BSS57" s="37"/>
      <c r="BST57" s="37"/>
      <c r="BSU57" s="37"/>
      <c r="BSV57" s="37"/>
      <c r="BSW57" s="37"/>
      <c r="BSX57" s="37"/>
      <c r="BSY57" s="37"/>
      <c r="BSZ57" s="37"/>
      <c r="BTA57" s="37"/>
      <c r="BTB57" s="37"/>
      <c r="BTC57" s="37"/>
      <c r="BTD57" s="37"/>
      <c r="BTE57" s="37"/>
      <c r="BTF57" s="37"/>
      <c r="BTG57" s="37"/>
      <c r="BTH57" s="37"/>
      <c r="BTI57" s="37"/>
      <c r="BTJ57" s="37"/>
      <c r="BTK57" s="37"/>
      <c r="BTL57" s="37"/>
      <c r="BTM57" s="37"/>
      <c r="BTN57" s="37"/>
      <c r="BTO57" s="37"/>
      <c r="BTP57" s="37"/>
      <c r="BTQ57" s="37"/>
      <c r="BTR57" s="37"/>
      <c r="BTS57" s="37"/>
      <c r="BTT57" s="37"/>
      <c r="BTU57" s="37"/>
      <c r="BTV57" s="37"/>
      <c r="BTW57" s="37"/>
      <c r="BTX57" s="37"/>
      <c r="BTY57" s="37"/>
      <c r="BTZ57" s="37"/>
      <c r="BUA57" s="37"/>
      <c r="BUB57" s="37"/>
      <c r="BUC57" s="37"/>
      <c r="BUD57" s="37"/>
      <c r="BUE57" s="37"/>
      <c r="BUF57" s="37"/>
      <c r="BUG57" s="37"/>
      <c r="BUH57" s="37"/>
      <c r="BUI57" s="37"/>
      <c r="BUJ57" s="37"/>
      <c r="BUK57" s="37"/>
      <c r="BUL57" s="37"/>
      <c r="BUM57" s="37"/>
      <c r="BUN57" s="37"/>
      <c r="BUO57" s="37"/>
      <c r="BUP57" s="37"/>
      <c r="BUQ57" s="37"/>
      <c r="BUR57" s="37"/>
      <c r="BUS57" s="37"/>
      <c r="BUT57" s="37"/>
      <c r="BUU57" s="37"/>
      <c r="BUV57" s="37"/>
      <c r="BUW57" s="37"/>
      <c r="BUX57" s="37"/>
      <c r="BUY57" s="37"/>
      <c r="BUZ57" s="37"/>
      <c r="BVA57" s="37"/>
      <c r="BVB57" s="37"/>
      <c r="BVC57" s="37"/>
      <c r="BVD57" s="37"/>
      <c r="BVE57" s="37"/>
      <c r="BVF57" s="37"/>
      <c r="BVG57" s="37"/>
      <c r="BVH57" s="37"/>
      <c r="BVI57" s="37"/>
      <c r="BVJ57" s="37"/>
      <c r="BVK57" s="37"/>
      <c r="BVL57" s="37"/>
      <c r="BVM57" s="37"/>
      <c r="BVN57" s="37"/>
      <c r="BVO57" s="37"/>
      <c r="BVP57" s="37"/>
      <c r="BVQ57" s="37"/>
      <c r="BVR57" s="37"/>
      <c r="BVS57" s="37"/>
      <c r="BVT57" s="37"/>
      <c r="BVU57" s="37"/>
      <c r="BVV57" s="37"/>
      <c r="BVW57" s="37"/>
      <c r="BVX57" s="37"/>
      <c r="BVY57" s="37"/>
      <c r="BVZ57" s="37"/>
      <c r="BWA57" s="37"/>
      <c r="BWB57" s="37"/>
      <c r="BWC57" s="37"/>
      <c r="BWD57" s="37"/>
      <c r="BWE57" s="37"/>
      <c r="BWF57" s="37"/>
      <c r="BWG57" s="37"/>
      <c r="BWH57" s="37"/>
      <c r="BWI57" s="37"/>
      <c r="BWJ57" s="37"/>
      <c r="BWK57" s="37"/>
      <c r="BWL57" s="37"/>
      <c r="BWM57" s="37"/>
      <c r="BWN57" s="37"/>
      <c r="BWO57" s="37"/>
      <c r="BWP57" s="37"/>
      <c r="BWQ57" s="37"/>
      <c r="BWR57" s="37"/>
      <c r="BWS57" s="37"/>
      <c r="BWT57" s="37"/>
      <c r="BWU57" s="37"/>
      <c r="BWV57" s="37"/>
      <c r="BWW57" s="37"/>
      <c r="BWX57" s="37"/>
      <c r="BWY57" s="37"/>
      <c r="BWZ57" s="37"/>
      <c r="BXA57" s="37"/>
      <c r="BXB57" s="37"/>
      <c r="BXC57" s="37"/>
      <c r="BXD57" s="37"/>
      <c r="BXE57" s="37"/>
      <c r="BXF57" s="37"/>
      <c r="BXG57" s="37"/>
      <c r="BXH57" s="37"/>
      <c r="BXI57" s="37"/>
      <c r="BXJ57" s="37"/>
      <c r="BXK57" s="37"/>
      <c r="BXL57" s="37"/>
      <c r="BXM57" s="37"/>
      <c r="BXN57" s="37"/>
      <c r="BXO57" s="37"/>
      <c r="BXP57" s="37"/>
      <c r="BXQ57" s="37"/>
      <c r="BXR57" s="37"/>
      <c r="BXS57" s="37"/>
      <c r="BXT57" s="37"/>
      <c r="BXU57" s="37"/>
      <c r="BXV57" s="37"/>
      <c r="BXW57" s="37"/>
      <c r="BXX57" s="37"/>
      <c r="BXY57" s="37"/>
      <c r="BXZ57" s="37"/>
      <c r="BYA57" s="37"/>
      <c r="BYB57" s="37"/>
      <c r="BYC57" s="37"/>
      <c r="BYD57" s="37"/>
      <c r="BYE57" s="37"/>
      <c r="BYF57" s="37"/>
      <c r="BYG57" s="37"/>
      <c r="BYH57" s="37"/>
      <c r="BYI57" s="37"/>
      <c r="BYJ57" s="37"/>
      <c r="BYK57" s="37"/>
      <c r="BYL57" s="37"/>
      <c r="BYM57" s="37"/>
      <c r="BYN57" s="37"/>
      <c r="BYO57" s="37"/>
      <c r="BYP57" s="37"/>
      <c r="BYQ57" s="37"/>
      <c r="BYR57" s="37"/>
      <c r="BYS57" s="37"/>
      <c r="BYT57" s="37"/>
      <c r="BYU57" s="37"/>
      <c r="BYV57" s="37"/>
      <c r="BYW57" s="37"/>
      <c r="BYX57" s="37"/>
      <c r="BYY57" s="37"/>
      <c r="BYZ57" s="37"/>
      <c r="BZA57" s="37"/>
      <c r="BZB57" s="37"/>
      <c r="BZC57" s="37"/>
      <c r="BZD57" s="37"/>
      <c r="BZE57" s="37"/>
      <c r="BZF57" s="37"/>
      <c r="BZG57" s="37"/>
      <c r="BZH57" s="37"/>
      <c r="BZI57" s="37"/>
      <c r="BZJ57" s="37"/>
      <c r="BZK57" s="37"/>
      <c r="BZL57" s="37"/>
      <c r="BZM57" s="37"/>
      <c r="BZN57" s="37"/>
      <c r="BZO57" s="37"/>
      <c r="BZP57" s="37"/>
      <c r="BZQ57" s="37"/>
      <c r="BZR57" s="37"/>
      <c r="BZS57" s="37"/>
      <c r="BZT57" s="37"/>
      <c r="BZU57" s="37"/>
      <c r="BZV57" s="37"/>
      <c r="BZW57" s="37"/>
      <c r="BZX57" s="37"/>
      <c r="BZY57" s="37"/>
      <c r="BZZ57" s="37"/>
      <c r="CAA57" s="37"/>
      <c r="CAB57" s="37"/>
      <c r="CAC57" s="37"/>
      <c r="CAD57" s="37"/>
      <c r="CAE57" s="37"/>
      <c r="CAF57" s="37"/>
      <c r="CAG57" s="37"/>
      <c r="CAH57" s="37"/>
      <c r="CAI57" s="37"/>
      <c r="CAJ57" s="37"/>
      <c r="CAK57" s="37"/>
      <c r="CAL57" s="37"/>
      <c r="CAM57" s="37"/>
      <c r="CAN57" s="37"/>
      <c r="CAO57" s="37"/>
      <c r="CAP57" s="37"/>
      <c r="CAQ57" s="37"/>
      <c r="CAR57" s="37"/>
      <c r="CAS57" s="37"/>
      <c r="CAT57" s="37"/>
      <c r="CAU57" s="37"/>
      <c r="CAV57" s="37"/>
      <c r="CAW57" s="37"/>
      <c r="CAX57" s="37"/>
      <c r="CAY57" s="37"/>
      <c r="CAZ57" s="37"/>
      <c r="CBA57" s="37"/>
      <c r="CBB57" s="37"/>
      <c r="CBC57" s="37"/>
      <c r="CBD57" s="37"/>
      <c r="CBE57" s="37"/>
      <c r="CBF57" s="37"/>
      <c r="CBG57" s="37"/>
      <c r="CBH57" s="37"/>
      <c r="CBI57" s="37"/>
      <c r="CBJ57" s="37"/>
      <c r="CBK57" s="37"/>
      <c r="CBL57" s="37"/>
      <c r="CBM57" s="37"/>
      <c r="CBN57" s="37"/>
      <c r="CBO57" s="37"/>
      <c r="CBP57" s="37"/>
      <c r="CBQ57" s="37"/>
      <c r="CBR57" s="37"/>
      <c r="CBS57" s="37"/>
      <c r="CBT57" s="37"/>
      <c r="CBU57" s="37"/>
      <c r="CBV57" s="37"/>
      <c r="CBW57" s="37"/>
      <c r="CBX57" s="37"/>
      <c r="CBY57" s="37"/>
      <c r="CBZ57" s="37"/>
      <c r="CCA57" s="37"/>
      <c r="CCB57" s="37"/>
      <c r="CCC57" s="37"/>
      <c r="CCD57" s="37"/>
      <c r="CCE57" s="37"/>
      <c r="CCF57" s="37"/>
      <c r="CCG57" s="37"/>
      <c r="CCH57" s="37"/>
      <c r="CCI57" s="37"/>
      <c r="CCJ57" s="37"/>
      <c r="CCK57" s="37"/>
      <c r="CCL57" s="37"/>
      <c r="CCM57" s="37"/>
      <c r="CCN57" s="37"/>
      <c r="CCO57" s="37"/>
      <c r="CCP57" s="37"/>
      <c r="CCQ57" s="37"/>
      <c r="CCR57" s="37"/>
      <c r="CCS57" s="37"/>
      <c r="CCT57" s="37"/>
      <c r="CCU57" s="37"/>
      <c r="CCV57" s="37"/>
      <c r="CCW57" s="37"/>
      <c r="CCX57" s="37"/>
      <c r="CCY57" s="37"/>
      <c r="CCZ57" s="37"/>
      <c r="CDA57" s="37"/>
      <c r="CDB57" s="37"/>
      <c r="CDC57" s="37"/>
      <c r="CDD57" s="37"/>
      <c r="CDE57" s="37"/>
      <c r="CDF57" s="37"/>
      <c r="CDG57" s="37"/>
      <c r="CDH57" s="37"/>
      <c r="CDI57" s="37"/>
      <c r="CDJ57" s="37"/>
      <c r="CDK57" s="37"/>
      <c r="CDL57" s="37"/>
      <c r="CDM57" s="37"/>
      <c r="CDN57" s="37"/>
      <c r="CDO57" s="37"/>
      <c r="CDP57" s="37"/>
      <c r="CDQ57" s="37"/>
      <c r="CDR57" s="37"/>
      <c r="CDS57" s="37"/>
      <c r="CDT57" s="37"/>
      <c r="CDU57" s="37"/>
      <c r="CDV57" s="37"/>
      <c r="CDW57" s="37"/>
      <c r="CDX57" s="37"/>
      <c r="CDY57" s="37"/>
      <c r="CDZ57" s="37"/>
      <c r="CEA57" s="37"/>
      <c r="CEB57" s="37"/>
      <c r="CEC57" s="37"/>
      <c r="CED57" s="37"/>
      <c r="CEE57" s="37"/>
      <c r="CEF57" s="37"/>
      <c r="CEG57" s="37"/>
      <c r="CEH57" s="37"/>
      <c r="CEI57" s="37"/>
      <c r="CEJ57" s="37"/>
      <c r="CEK57" s="37"/>
      <c r="CEL57" s="37"/>
      <c r="CEM57" s="37"/>
      <c r="CEN57" s="37"/>
      <c r="CEO57" s="37"/>
      <c r="CEP57" s="37"/>
      <c r="CEQ57" s="37"/>
      <c r="CER57" s="37"/>
      <c r="CES57" s="37"/>
      <c r="CET57" s="37"/>
      <c r="CEU57" s="37"/>
      <c r="CEV57" s="37"/>
      <c r="CEW57" s="37"/>
      <c r="CEX57" s="37"/>
      <c r="CEY57" s="37"/>
      <c r="CEZ57" s="37"/>
      <c r="CFA57" s="37"/>
      <c r="CFB57" s="37"/>
      <c r="CFC57" s="37"/>
      <c r="CFD57" s="37"/>
      <c r="CFE57" s="37"/>
      <c r="CFF57" s="37"/>
      <c r="CFG57" s="37"/>
      <c r="CFH57" s="37"/>
      <c r="CFI57" s="37"/>
      <c r="CFJ57" s="37"/>
      <c r="CFK57" s="37"/>
      <c r="CFL57" s="37"/>
      <c r="CFM57" s="37"/>
      <c r="CFN57" s="37"/>
      <c r="CFO57" s="37"/>
      <c r="CFP57" s="37"/>
      <c r="CFQ57" s="37"/>
      <c r="CFR57" s="37"/>
      <c r="CFS57" s="37"/>
      <c r="CFT57" s="37"/>
      <c r="CFU57" s="37"/>
      <c r="CFV57" s="37"/>
      <c r="CFW57" s="37"/>
      <c r="CFX57" s="37"/>
      <c r="CFY57" s="37"/>
      <c r="CFZ57" s="37"/>
      <c r="CGA57" s="37"/>
      <c r="CGB57" s="37"/>
      <c r="CGC57" s="37"/>
      <c r="CGD57" s="37"/>
      <c r="CGE57" s="37"/>
      <c r="CGF57" s="37"/>
      <c r="CGG57" s="37"/>
      <c r="CGH57" s="37"/>
      <c r="CGI57" s="37"/>
      <c r="CGJ57" s="37"/>
      <c r="CGK57" s="37"/>
      <c r="CGL57" s="37"/>
      <c r="CGM57" s="37"/>
      <c r="CGN57" s="37"/>
      <c r="CGO57" s="37"/>
      <c r="CGP57" s="37"/>
      <c r="CGQ57" s="37"/>
      <c r="CGR57" s="37"/>
      <c r="CGS57" s="37"/>
      <c r="CGT57" s="37"/>
      <c r="CGU57" s="37"/>
      <c r="CGV57" s="37"/>
      <c r="CGW57" s="37"/>
      <c r="CGX57" s="37"/>
      <c r="CGY57" s="37"/>
      <c r="CGZ57" s="37"/>
      <c r="CHA57" s="37"/>
      <c r="CHB57" s="37"/>
      <c r="CHC57" s="37"/>
      <c r="CHD57" s="37"/>
      <c r="CHE57" s="37"/>
      <c r="CHF57" s="37"/>
      <c r="CHG57" s="37"/>
      <c r="CHH57" s="37"/>
      <c r="CHI57" s="37"/>
      <c r="CHJ57" s="37"/>
      <c r="CHK57" s="37"/>
      <c r="CHL57" s="37"/>
      <c r="CHM57" s="37"/>
      <c r="CHN57" s="37"/>
      <c r="CHO57" s="37"/>
      <c r="CHP57" s="37"/>
      <c r="CHQ57" s="37"/>
      <c r="CHR57" s="37"/>
      <c r="CHS57" s="37"/>
      <c r="CHT57" s="37"/>
      <c r="CHU57" s="37"/>
      <c r="CHV57" s="37"/>
      <c r="CHW57" s="37"/>
      <c r="CHX57" s="37"/>
      <c r="CHY57" s="37"/>
      <c r="CHZ57" s="37"/>
      <c r="CIA57" s="37"/>
      <c r="CIB57" s="37"/>
      <c r="CIC57" s="37"/>
      <c r="CID57" s="37"/>
      <c r="CIE57" s="37"/>
      <c r="CIF57" s="37"/>
      <c r="CIG57" s="37"/>
      <c r="CIH57" s="37"/>
      <c r="CII57" s="37"/>
      <c r="CIJ57" s="37"/>
      <c r="CIK57" s="37"/>
      <c r="CIL57" s="37"/>
      <c r="CIM57" s="37"/>
      <c r="CIN57" s="37"/>
      <c r="CIO57" s="37"/>
      <c r="CIP57" s="37"/>
      <c r="CIQ57" s="37"/>
      <c r="CIR57" s="37"/>
      <c r="CIS57" s="37"/>
      <c r="CIT57" s="37"/>
      <c r="CIU57" s="37"/>
      <c r="CIV57" s="37"/>
      <c r="CIW57" s="37"/>
      <c r="CIX57" s="37"/>
      <c r="CIY57" s="37"/>
      <c r="CIZ57" s="37"/>
      <c r="CJA57" s="37"/>
      <c r="CJB57" s="37"/>
      <c r="CJC57" s="37"/>
      <c r="CJD57" s="37"/>
      <c r="CJE57" s="37"/>
      <c r="CJF57" s="37"/>
      <c r="CJG57" s="37"/>
      <c r="CJH57" s="37"/>
      <c r="CJI57" s="37"/>
      <c r="CJJ57" s="37"/>
      <c r="CJK57" s="37"/>
      <c r="CJL57" s="37"/>
      <c r="CJM57" s="37"/>
      <c r="CJN57" s="37"/>
      <c r="CJO57" s="37"/>
      <c r="CJP57" s="37"/>
      <c r="CJQ57" s="37"/>
      <c r="CJR57" s="37"/>
      <c r="CJS57" s="37"/>
      <c r="CJT57" s="37"/>
      <c r="CJU57" s="37"/>
      <c r="CJV57" s="37"/>
      <c r="CJW57" s="37"/>
      <c r="CJX57" s="37"/>
      <c r="CJY57" s="37"/>
      <c r="CJZ57" s="37"/>
      <c r="CKA57" s="37"/>
      <c r="CKB57" s="37"/>
      <c r="CKC57" s="37"/>
      <c r="CKD57" s="37"/>
      <c r="CKE57" s="37"/>
      <c r="CKF57" s="37"/>
      <c r="CKG57" s="37"/>
      <c r="CKH57" s="37"/>
      <c r="CKI57" s="37"/>
      <c r="CKJ57" s="37"/>
      <c r="CKK57" s="37"/>
      <c r="CKL57" s="37"/>
      <c r="CKM57" s="37"/>
      <c r="CKN57" s="37"/>
      <c r="CKO57" s="37"/>
      <c r="CKP57" s="37"/>
      <c r="CKQ57" s="37"/>
      <c r="CKR57" s="37"/>
      <c r="CKS57" s="37"/>
      <c r="CKT57" s="37"/>
      <c r="CKU57" s="37"/>
      <c r="CKV57" s="37"/>
      <c r="CKW57" s="37"/>
      <c r="CKX57" s="37"/>
      <c r="CKY57" s="37"/>
      <c r="CKZ57" s="37"/>
      <c r="CLA57" s="37"/>
      <c r="CLB57" s="37"/>
      <c r="CLC57" s="37"/>
      <c r="CLD57" s="37"/>
      <c r="CLE57" s="37"/>
      <c r="CLF57" s="37"/>
      <c r="CLG57" s="37"/>
      <c r="CLH57" s="37"/>
      <c r="CLI57" s="37"/>
      <c r="CLJ57" s="37"/>
      <c r="CLK57" s="37"/>
      <c r="CLL57" s="37"/>
      <c r="CLM57" s="37"/>
      <c r="CLN57" s="37"/>
      <c r="CLO57" s="37"/>
      <c r="CLP57" s="37"/>
      <c r="CLQ57" s="37"/>
      <c r="CLR57" s="37"/>
      <c r="CLS57" s="37"/>
      <c r="CLT57" s="37"/>
      <c r="CLU57" s="37"/>
      <c r="CLV57" s="37"/>
      <c r="CLW57" s="37"/>
      <c r="CLX57" s="37"/>
      <c r="CLY57" s="37"/>
      <c r="CLZ57" s="37"/>
      <c r="CMA57" s="37"/>
      <c r="CMB57" s="37"/>
      <c r="CMC57" s="37"/>
      <c r="CMD57" s="37"/>
      <c r="CME57" s="37"/>
      <c r="CMF57" s="37"/>
      <c r="CMG57" s="37"/>
      <c r="CMH57" s="37"/>
      <c r="CMI57" s="37"/>
      <c r="CMJ57" s="37"/>
      <c r="CMK57" s="37"/>
      <c r="CML57" s="37"/>
      <c r="CMM57" s="37"/>
      <c r="CMN57" s="37"/>
      <c r="CMO57" s="37"/>
      <c r="CMP57" s="37"/>
      <c r="CMQ57" s="37"/>
      <c r="CMR57" s="37"/>
      <c r="CMS57" s="37"/>
      <c r="CMT57" s="37"/>
      <c r="CMU57" s="37"/>
      <c r="CMV57" s="37"/>
      <c r="CMW57" s="37"/>
      <c r="CMX57" s="37"/>
      <c r="CMY57" s="37"/>
      <c r="CMZ57" s="37"/>
      <c r="CNA57" s="37"/>
      <c r="CNB57" s="37"/>
      <c r="CNC57" s="37"/>
      <c r="CND57" s="37"/>
      <c r="CNE57" s="37"/>
      <c r="CNF57" s="37"/>
      <c r="CNG57" s="37"/>
      <c r="CNH57" s="37"/>
      <c r="CNI57" s="37"/>
      <c r="CNJ57" s="37"/>
      <c r="CNK57" s="37"/>
      <c r="CNL57" s="37"/>
      <c r="CNM57" s="37"/>
      <c r="CNN57" s="37"/>
      <c r="CNO57" s="37"/>
      <c r="CNP57" s="37"/>
      <c r="CNQ57" s="37"/>
      <c r="CNR57" s="37"/>
      <c r="CNS57" s="37"/>
      <c r="CNT57" s="37"/>
      <c r="CNU57" s="37"/>
      <c r="CNV57" s="37"/>
      <c r="CNW57" s="37"/>
      <c r="CNX57" s="37"/>
      <c r="CNY57" s="37"/>
      <c r="CNZ57" s="37"/>
      <c r="COA57" s="37"/>
      <c r="COB57" s="37"/>
      <c r="COC57" s="37"/>
      <c r="COD57" s="37"/>
      <c r="COE57" s="37"/>
      <c r="COF57" s="37"/>
      <c r="COG57" s="37"/>
      <c r="COH57" s="37"/>
      <c r="COI57" s="37"/>
      <c r="COJ57" s="37"/>
      <c r="COK57" s="37"/>
      <c r="COL57" s="37"/>
      <c r="COM57" s="37"/>
      <c r="CON57" s="37"/>
      <c r="COO57" s="37"/>
      <c r="COP57" s="37"/>
      <c r="COQ57" s="37"/>
      <c r="COR57" s="37"/>
      <c r="COS57" s="37"/>
      <c r="COT57" s="37"/>
      <c r="COU57" s="37"/>
      <c r="COV57" s="37"/>
      <c r="COW57" s="37"/>
      <c r="COX57" s="37"/>
      <c r="COY57" s="37"/>
      <c r="COZ57" s="37"/>
      <c r="CPA57" s="37"/>
      <c r="CPB57" s="37"/>
      <c r="CPC57" s="37"/>
      <c r="CPD57" s="37"/>
      <c r="CPE57" s="37"/>
      <c r="CPF57" s="37"/>
      <c r="CPG57" s="37"/>
      <c r="CPH57" s="37"/>
      <c r="CPI57" s="37"/>
      <c r="CPJ57" s="37"/>
      <c r="CPK57" s="37"/>
      <c r="CPL57" s="37"/>
      <c r="CPM57" s="37"/>
      <c r="CPN57" s="37"/>
      <c r="CPO57" s="37"/>
      <c r="CPP57" s="37"/>
      <c r="CPQ57" s="37"/>
      <c r="CPR57" s="37"/>
      <c r="CPS57" s="37"/>
      <c r="CPT57" s="37"/>
      <c r="CPU57" s="37"/>
      <c r="CPV57" s="37"/>
      <c r="CPW57" s="37"/>
      <c r="CPX57" s="37"/>
      <c r="CPY57" s="37"/>
      <c r="CPZ57" s="37"/>
      <c r="CQA57" s="37"/>
      <c r="CQB57" s="37"/>
      <c r="CQC57" s="37"/>
      <c r="CQD57" s="37"/>
      <c r="CQE57" s="37"/>
      <c r="CQF57" s="37"/>
      <c r="CQG57" s="37"/>
      <c r="CQH57" s="37"/>
      <c r="CQI57" s="37"/>
      <c r="CQJ57" s="37"/>
      <c r="CQK57" s="37"/>
      <c r="CQL57" s="37"/>
      <c r="CQM57" s="37"/>
      <c r="CQN57" s="37"/>
      <c r="CQO57" s="37"/>
      <c r="CQP57" s="37"/>
      <c r="CQQ57" s="37"/>
      <c r="CQR57" s="37"/>
      <c r="CQS57" s="37"/>
      <c r="CQT57" s="37"/>
      <c r="CQU57" s="37"/>
      <c r="CQV57" s="37"/>
      <c r="CQW57" s="37"/>
      <c r="CQX57" s="37"/>
      <c r="CQY57" s="37"/>
      <c r="CQZ57" s="37"/>
      <c r="CRA57" s="37"/>
      <c r="CRB57" s="37"/>
      <c r="CRC57" s="37"/>
      <c r="CRD57" s="37"/>
      <c r="CRE57" s="37"/>
      <c r="CRF57" s="37"/>
      <c r="CRG57" s="37"/>
      <c r="CRH57" s="37"/>
      <c r="CRI57" s="37"/>
      <c r="CRJ57" s="37"/>
      <c r="CRK57" s="37"/>
      <c r="CRL57" s="37"/>
      <c r="CRM57" s="37"/>
      <c r="CRN57" s="37"/>
      <c r="CRO57" s="37"/>
      <c r="CRP57" s="37"/>
      <c r="CRQ57" s="37"/>
      <c r="CRR57" s="37"/>
      <c r="CRS57" s="37"/>
      <c r="CRT57" s="37"/>
      <c r="CRU57" s="37"/>
      <c r="CRV57" s="37"/>
      <c r="CRW57" s="37"/>
      <c r="CRX57" s="37"/>
      <c r="CRY57" s="37"/>
      <c r="CRZ57" s="37"/>
      <c r="CSA57" s="37"/>
      <c r="CSB57" s="37"/>
      <c r="CSC57" s="37"/>
      <c r="CSD57" s="37"/>
      <c r="CSE57" s="37"/>
      <c r="CSF57" s="37"/>
      <c r="CSG57" s="37"/>
      <c r="CSH57" s="37"/>
      <c r="CSI57" s="37"/>
      <c r="CSJ57" s="37"/>
      <c r="CSK57" s="37"/>
      <c r="CSL57" s="37"/>
      <c r="CSM57" s="37"/>
      <c r="CSN57" s="37"/>
      <c r="CSO57" s="37"/>
      <c r="CSP57" s="37"/>
      <c r="CSQ57" s="37"/>
      <c r="CSR57" s="37"/>
      <c r="CSS57" s="37"/>
      <c r="CST57" s="37"/>
      <c r="CSU57" s="37"/>
      <c r="CSV57" s="37"/>
      <c r="CSW57" s="37"/>
      <c r="CSX57" s="37"/>
      <c r="CSY57" s="37"/>
      <c r="CSZ57" s="37"/>
      <c r="CTA57" s="37"/>
      <c r="CTB57" s="37"/>
      <c r="CTC57" s="37"/>
      <c r="CTD57" s="37"/>
      <c r="CTE57" s="37"/>
      <c r="CTF57" s="37"/>
      <c r="CTG57" s="37"/>
      <c r="CTH57" s="37"/>
      <c r="CTI57" s="37"/>
      <c r="CTJ57" s="37"/>
      <c r="CTK57" s="37"/>
      <c r="CTL57" s="37"/>
      <c r="CTM57" s="37"/>
      <c r="CTN57" s="37"/>
      <c r="CTO57" s="37"/>
      <c r="CTP57" s="37"/>
      <c r="CTQ57" s="37"/>
      <c r="CTR57" s="37"/>
      <c r="CTS57" s="37"/>
      <c r="CTT57" s="37"/>
      <c r="CTU57" s="37"/>
      <c r="CTV57" s="37"/>
      <c r="CTW57" s="37"/>
      <c r="CTX57" s="37"/>
      <c r="CTY57" s="37"/>
      <c r="CTZ57" s="37"/>
      <c r="CUA57" s="37"/>
      <c r="CUB57" s="37"/>
      <c r="CUC57" s="37"/>
      <c r="CUD57" s="37"/>
      <c r="CUE57" s="37"/>
      <c r="CUF57" s="37"/>
      <c r="CUG57" s="37"/>
      <c r="CUH57" s="37"/>
      <c r="CUI57" s="37"/>
      <c r="CUJ57" s="37"/>
      <c r="CUK57" s="37"/>
      <c r="CUL57" s="37"/>
      <c r="CUM57" s="37"/>
      <c r="CUN57" s="37"/>
      <c r="CUO57" s="37"/>
      <c r="CUP57" s="37"/>
      <c r="CUQ57" s="37"/>
      <c r="CUR57" s="37"/>
      <c r="CUS57" s="37"/>
      <c r="CUT57" s="37"/>
      <c r="CUU57" s="37"/>
      <c r="CUV57" s="37"/>
      <c r="CUW57" s="37"/>
      <c r="CUX57" s="37"/>
      <c r="CUY57" s="37"/>
      <c r="CUZ57" s="37"/>
      <c r="CVA57" s="37"/>
      <c r="CVB57" s="37"/>
      <c r="CVC57" s="37"/>
      <c r="CVD57" s="37"/>
      <c r="CVE57" s="37"/>
      <c r="CVF57" s="37"/>
      <c r="CVG57" s="37"/>
      <c r="CVH57" s="37"/>
      <c r="CVI57" s="37"/>
      <c r="CVJ57" s="37"/>
      <c r="CVK57" s="37"/>
      <c r="CVL57" s="37"/>
      <c r="CVM57" s="37"/>
      <c r="CVN57" s="37"/>
      <c r="CVO57" s="37"/>
      <c r="CVP57" s="37"/>
      <c r="CVQ57" s="37"/>
      <c r="CVR57" s="37"/>
      <c r="CVS57" s="37"/>
      <c r="CVT57" s="37"/>
      <c r="CVU57" s="37"/>
      <c r="CVV57" s="37"/>
      <c r="CVW57" s="37"/>
      <c r="CVX57" s="37"/>
      <c r="CVY57" s="37"/>
      <c r="CVZ57" s="37"/>
      <c r="CWA57" s="37"/>
      <c r="CWB57" s="37"/>
      <c r="CWC57" s="37"/>
      <c r="CWD57" s="37"/>
      <c r="CWE57" s="37"/>
      <c r="CWF57" s="37"/>
      <c r="CWG57" s="37"/>
      <c r="CWH57" s="37"/>
      <c r="CWI57" s="37"/>
      <c r="CWJ57" s="37"/>
      <c r="CWK57" s="37"/>
      <c r="CWL57" s="37"/>
      <c r="CWM57" s="37"/>
      <c r="CWN57" s="37"/>
      <c r="CWO57" s="37"/>
      <c r="CWP57" s="37"/>
      <c r="CWQ57" s="37"/>
      <c r="CWR57" s="37"/>
      <c r="CWS57" s="37"/>
      <c r="CWT57" s="37"/>
      <c r="CWU57" s="37"/>
      <c r="CWV57" s="37"/>
      <c r="CWW57" s="37"/>
      <c r="CWX57" s="37"/>
      <c r="CWY57" s="37"/>
      <c r="CWZ57" s="37"/>
      <c r="CXA57" s="37"/>
      <c r="CXB57" s="37"/>
      <c r="CXC57" s="37"/>
      <c r="CXD57" s="37"/>
      <c r="CXE57" s="37"/>
      <c r="CXF57" s="37"/>
      <c r="CXG57" s="37"/>
      <c r="CXH57" s="37"/>
      <c r="CXI57" s="37"/>
      <c r="CXJ57" s="37"/>
      <c r="CXK57" s="37"/>
      <c r="CXL57" s="37"/>
      <c r="CXM57" s="37"/>
      <c r="CXN57" s="37"/>
      <c r="CXO57" s="37"/>
      <c r="CXP57" s="37"/>
      <c r="CXQ57" s="37"/>
      <c r="CXR57" s="37"/>
      <c r="CXS57" s="37"/>
      <c r="CXT57" s="37"/>
      <c r="CXU57" s="37"/>
      <c r="CXV57" s="37"/>
      <c r="CXW57" s="37"/>
      <c r="CXX57" s="37"/>
      <c r="CXY57" s="37"/>
      <c r="CXZ57" s="37"/>
      <c r="CYA57" s="37"/>
      <c r="CYB57" s="37"/>
      <c r="CYC57" s="37"/>
      <c r="CYD57" s="37"/>
      <c r="CYE57" s="37"/>
      <c r="CYF57" s="37"/>
      <c r="CYG57" s="37"/>
      <c r="CYH57" s="37"/>
      <c r="CYI57" s="37"/>
      <c r="CYJ57" s="37"/>
      <c r="CYK57" s="37"/>
      <c r="CYL57" s="37"/>
      <c r="CYM57" s="37"/>
      <c r="CYN57" s="37"/>
      <c r="CYO57" s="37"/>
      <c r="CYP57" s="37"/>
      <c r="CYQ57" s="37"/>
      <c r="CYR57" s="37"/>
      <c r="CYS57" s="37"/>
      <c r="CYT57" s="37"/>
      <c r="CYU57" s="37"/>
      <c r="CYV57" s="37"/>
      <c r="CYW57" s="37"/>
      <c r="CYX57" s="37"/>
      <c r="CYY57" s="37"/>
      <c r="CYZ57" s="37"/>
      <c r="CZA57" s="37"/>
      <c r="CZB57" s="37"/>
      <c r="CZC57" s="37"/>
      <c r="CZD57" s="37"/>
      <c r="CZE57" s="37"/>
      <c r="CZF57" s="37"/>
      <c r="CZG57" s="37"/>
      <c r="CZH57" s="37"/>
      <c r="CZI57" s="37"/>
      <c r="CZJ57" s="37"/>
      <c r="CZK57" s="37"/>
      <c r="CZL57" s="37"/>
      <c r="CZM57" s="37"/>
      <c r="CZN57" s="37"/>
      <c r="CZO57" s="37"/>
      <c r="CZP57" s="37"/>
      <c r="CZQ57" s="37"/>
      <c r="CZR57" s="37"/>
      <c r="CZS57" s="37"/>
      <c r="CZT57" s="37"/>
      <c r="CZU57" s="37"/>
      <c r="CZV57" s="37"/>
      <c r="CZW57" s="37"/>
      <c r="CZX57" s="37"/>
      <c r="CZY57" s="37"/>
      <c r="CZZ57" s="37"/>
      <c r="DAA57" s="37"/>
      <c r="DAB57" s="37"/>
      <c r="DAC57" s="37"/>
      <c r="DAD57" s="37"/>
      <c r="DAE57" s="37"/>
      <c r="DAF57" s="37"/>
      <c r="DAG57" s="37"/>
      <c r="DAH57" s="37"/>
      <c r="DAI57" s="37"/>
      <c r="DAJ57" s="37"/>
      <c r="DAK57" s="37"/>
      <c r="DAL57" s="37"/>
      <c r="DAM57" s="37"/>
      <c r="DAN57" s="37"/>
      <c r="DAO57" s="37"/>
      <c r="DAP57" s="37"/>
      <c r="DAQ57" s="37"/>
      <c r="DAR57" s="37"/>
      <c r="DAS57" s="37"/>
      <c r="DAT57" s="37"/>
      <c r="DAU57" s="37"/>
      <c r="DAV57" s="37"/>
      <c r="DAW57" s="37"/>
      <c r="DAX57" s="37"/>
      <c r="DAY57" s="37"/>
      <c r="DAZ57" s="37"/>
      <c r="DBA57" s="37"/>
      <c r="DBB57" s="37"/>
      <c r="DBC57" s="37"/>
      <c r="DBD57" s="37"/>
      <c r="DBE57" s="37"/>
      <c r="DBF57" s="37"/>
      <c r="DBG57" s="37"/>
      <c r="DBH57" s="37"/>
      <c r="DBI57" s="37"/>
      <c r="DBJ57" s="37"/>
      <c r="DBK57" s="37"/>
      <c r="DBL57" s="37"/>
      <c r="DBM57" s="37"/>
      <c r="DBN57" s="37"/>
      <c r="DBO57" s="37"/>
      <c r="DBP57" s="37"/>
      <c r="DBQ57" s="37"/>
      <c r="DBR57" s="37"/>
      <c r="DBS57" s="37"/>
      <c r="DBT57" s="37"/>
      <c r="DBU57" s="37"/>
      <c r="DBV57" s="37"/>
      <c r="DBW57" s="37"/>
      <c r="DBX57" s="37"/>
      <c r="DBY57" s="37"/>
      <c r="DBZ57" s="37"/>
      <c r="DCA57" s="37"/>
      <c r="DCB57" s="37"/>
      <c r="DCC57" s="37"/>
      <c r="DCD57" s="37"/>
      <c r="DCE57" s="37"/>
      <c r="DCF57" s="37"/>
      <c r="DCG57" s="37"/>
      <c r="DCH57" s="37"/>
      <c r="DCI57" s="37"/>
      <c r="DCJ57" s="37"/>
      <c r="DCK57" s="37"/>
      <c r="DCL57" s="37"/>
      <c r="DCM57" s="37"/>
      <c r="DCN57" s="37"/>
      <c r="DCO57" s="37"/>
      <c r="DCP57" s="37"/>
      <c r="DCQ57" s="37"/>
      <c r="DCR57" s="37"/>
      <c r="DCS57" s="37"/>
      <c r="DCT57" s="37"/>
      <c r="DCU57" s="37"/>
      <c r="DCV57" s="37"/>
      <c r="DCW57" s="37"/>
      <c r="DCX57" s="37"/>
      <c r="DCY57" s="37"/>
      <c r="DCZ57" s="37"/>
      <c r="DDA57" s="37"/>
      <c r="DDB57" s="37"/>
      <c r="DDC57" s="37"/>
      <c r="DDD57" s="37"/>
      <c r="DDE57" s="37"/>
      <c r="DDF57" s="37"/>
      <c r="DDG57" s="37"/>
      <c r="DDH57" s="37"/>
      <c r="DDI57" s="37"/>
      <c r="DDJ57" s="37"/>
      <c r="DDK57" s="37"/>
      <c r="DDL57" s="37"/>
      <c r="DDM57" s="37"/>
      <c r="DDN57" s="37"/>
      <c r="DDO57" s="37"/>
      <c r="DDP57" s="37"/>
      <c r="DDQ57" s="37"/>
      <c r="DDR57" s="37"/>
      <c r="DDS57" s="37"/>
      <c r="DDT57" s="37"/>
      <c r="DDU57" s="37"/>
      <c r="DDV57" s="37"/>
      <c r="DDW57" s="37"/>
      <c r="DDX57" s="37"/>
      <c r="DDY57" s="37"/>
      <c r="DDZ57" s="37"/>
      <c r="DEA57" s="37"/>
      <c r="DEB57" s="37"/>
      <c r="DEC57" s="37"/>
      <c r="DED57" s="37"/>
      <c r="DEE57" s="37"/>
      <c r="DEF57" s="37"/>
      <c r="DEG57" s="37"/>
      <c r="DEH57" s="37"/>
      <c r="DEI57" s="37"/>
      <c r="DEJ57" s="37"/>
      <c r="DEK57" s="37"/>
      <c r="DEL57" s="37"/>
      <c r="DEM57" s="37"/>
      <c r="DEN57" s="37"/>
      <c r="DEO57" s="37"/>
      <c r="DEP57" s="37"/>
      <c r="DEQ57" s="37"/>
      <c r="DER57" s="37"/>
      <c r="DES57" s="37"/>
      <c r="DET57" s="37"/>
      <c r="DEU57" s="37"/>
      <c r="DEV57" s="37"/>
      <c r="DEW57" s="37"/>
      <c r="DEX57" s="37"/>
      <c r="DEY57" s="37"/>
      <c r="DEZ57" s="37"/>
      <c r="DFA57" s="37"/>
      <c r="DFB57" s="37"/>
      <c r="DFC57" s="37"/>
      <c r="DFD57" s="37"/>
      <c r="DFE57" s="37"/>
      <c r="DFF57" s="37"/>
      <c r="DFG57" s="37"/>
      <c r="DFH57" s="37"/>
      <c r="DFI57" s="37"/>
      <c r="DFJ57" s="37"/>
      <c r="DFK57" s="37"/>
      <c r="DFL57" s="37"/>
      <c r="DFM57" s="37"/>
      <c r="DFN57" s="37"/>
      <c r="DFO57" s="37"/>
      <c r="DFP57" s="37"/>
      <c r="DFQ57" s="37"/>
      <c r="DFR57" s="37"/>
      <c r="DFS57" s="37"/>
      <c r="DFT57" s="37"/>
      <c r="DFU57" s="37"/>
      <c r="DFV57" s="37"/>
      <c r="DFW57" s="37"/>
      <c r="DFX57" s="37"/>
      <c r="DFY57" s="37"/>
      <c r="DFZ57" s="37"/>
      <c r="DGA57" s="37"/>
      <c r="DGB57" s="37"/>
      <c r="DGC57" s="37"/>
      <c r="DGD57" s="37"/>
      <c r="DGE57" s="37"/>
      <c r="DGF57" s="37"/>
      <c r="DGG57" s="37"/>
      <c r="DGH57" s="37"/>
      <c r="DGI57" s="37"/>
      <c r="DGJ57" s="37"/>
      <c r="DGK57" s="37"/>
      <c r="DGL57" s="37"/>
      <c r="DGM57" s="37"/>
      <c r="DGN57" s="37"/>
      <c r="DGO57" s="37"/>
      <c r="DGP57" s="37"/>
      <c r="DGQ57" s="37"/>
      <c r="DGR57" s="37"/>
      <c r="DGS57" s="37"/>
      <c r="DGT57" s="37"/>
      <c r="DGU57" s="37"/>
      <c r="DGV57" s="37"/>
      <c r="DGW57" s="37"/>
      <c r="DGX57" s="37"/>
      <c r="DGY57" s="37"/>
      <c r="DGZ57" s="37"/>
      <c r="DHA57" s="37"/>
      <c r="DHB57" s="37"/>
      <c r="DHC57" s="37"/>
      <c r="DHD57" s="37"/>
      <c r="DHE57" s="37"/>
      <c r="DHF57" s="37"/>
      <c r="DHG57" s="37"/>
      <c r="DHH57" s="37"/>
      <c r="DHI57" s="37"/>
      <c r="DHJ57" s="37"/>
      <c r="DHK57" s="37"/>
      <c r="DHL57" s="37"/>
      <c r="DHM57" s="37"/>
      <c r="DHN57" s="37"/>
      <c r="DHO57" s="37"/>
      <c r="DHP57" s="37"/>
      <c r="DHQ57" s="37"/>
      <c r="DHR57" s="37"/>
      <c r="DHS57" s="37"/>
      <c r="DHT57" s="37"/>
      <c r="DHU57" s="37"/>
      <c r="DHV57" s="37"/>
      <c r="DHW57" s="37"/>
      <c r="DHX57" s="37"/>
      <c r="DHY57" s="37"/>
      <c r="DHZ57" s="37"/>
      <c r="DIA57" s="37"/>
      <c r="DIB57" s="37"/>
      <c r="DIC57" s="37"/>
      <c r="DID57" s="37"/>
      <c r="DIE57" s="37"/>
      <c r="DIF57" s="37"/>
      <c r="DIG57" s="37"/>
      <c r="DIH57" s="37"/>
      <c r="DII57" s="37"/>
      <c r="DIJ57" s="37"/>
      <c r="DIK57" s="37"/>
      <c r="DIL57" s="37"/>
      <c r="DIM57" s="37"/>
      <c r="DIN57" s="37"/>
      <c r="DIO57" s="37"/>
      <c r="DIP57" s="37"/>
      <c r="DIQ57" s="37"/>
      <c r="DIR57" s="37"/>
      <c r="DIS57" s="37"/>
      <c r="DIT57" s="37"/>
      <c r="DIU57" s="37"/>
      <c r="DIV57" s="37"/>
      <c r="DIW57" s="37"/>
      <c r="DIX57" s="37"/>
      <c r="DIY57" s="37"/>
      <c r="DIZ57" s="37"/>
      <c r="DJA57" s="37"/>
      <c r="DJB57" s="37"/>
      <c r="DJC57" s="37"/>
      <c r="DJD57" s="37"/>
      <c r="DJE57" s="37"/>
      <c r="DJF57" s="37"/>
      <c r="DJG57" s="37"/>
      <c r="DJH57" s="37"/>
      <c r="DJI57" s="37"/>
      <c r="DJJ57" s="37"/>
      <c r="DJK57" s="37"/>
      <c r="DJL57" s="37"/>
      <c r="DJM57" s="37"/>
      <c r="DJN57" s="37"/>
      <c r="DJO57" s="37"/>
      <c r="DJP57" s="37"/>
      <c r="DJQ57" s="37"/>
      <c r="DJR57" s="37"/>
      <c r="DJS57" s="37"/>
      <c r="DJT57" s="37"/>
      <c r="DJU57" s="37"/>
      <c r="DJV57" s="37"/>
      <c r="DJW57" s="37"/>
      <c r="DJX57" s="37"/>
      <c r="DJY57" s="37"/>
      <c r="DJZ57" s="37"/>
      <c r="DKA57" s="37"/>
      <c r="DKB57" s="37"/>
      <c r="DKC57" s="37"/>
      <c r="DKD57" s="37"/>
      <c r="DKE57" s="37"/>
      <c r="DKF57" s="37"/>
      <c r="DKG57" s="37"/>
      <c r="DKH57" s="37"/>
      <c r="DKI57" s="37"/>
      <c r="DKJ57" s="37"/>
      <c r="DKK57" s="37"/>
      <c r="DKL57" s="37"/>
      <c r="DKM57" s="37"/>
      <c r="DKN57" s="37"/>
      <c r="DKO57" s="37"/>
      <c r="DKP57" s="37"/>
      <c r="DKQ57" s="37"/>
      <c r="DKR57" s="37"/>
      <c r="DKS57" s="37"/>
      <c r="DKT57" s="37"/>
      <c r="DKU57" s="37"/>
      <c r="DKV57" s="37"/>
      <c r="DKW57" s="37"/>
      <c r="DKX57" s="37"/>
      <c r="DKY57" s="37"/>
      <c r="DKZ57" s="37"/>
      <c r="DLA57" s="37"/>
      <c r="DLB57" s="37"/>
      <c r="DLC57" s="37"/>
      <c r="DLD57" s="37"/>
      <c r="DLE57" s="37"/>
      <c r="DLF57" s="37"/>
      <c r="DLG57" s="37"/>
      <c r="DLH57" s="37"/>
      <c r="DLI57" s="37"/>
      <c r="DLJ57" s="37"/>
      <c r="DLK57" s="37"/>
      <c r="DLL57" s="37"/>
      <c r="DLM57" s="37"/>
      <c r="DLN57" s="37"/>
      <c r="DLO57" s="37"/>
      <c r="DLP57" s="37"/>
      <c r="DLQ57" s="37"/>
      <c r="DLR57" s="37"/>
      <c r="DLS57" s="37"/>
      <c r="DLT57" s="37"/>
      <c r="DLU57" s="37"/>
      <c r="DLV57" s="37"/>
      <c r="DLW57" s="37"/>
      <c r="DLX57" s="37"/>
      <c r="DLY57" s="37"/>
      <c r="DLZ57" s="37"/>
      <c r="DMA57" s="37"/>
      <c r="DMB57" s="37"/>
      <c r="DMC57" s="37"/>
      <c r="DMD57" s="37"/>
      <c r="DME57" s="37"/>
      <c r="DMF57" s="37"/>
      <c r="DMG57" s="37"/>
      <c r="DMH57" s="37"/>
      <c r="DMI57" s="37"/>
      <c r="DMJ57" s="37"/>
      <c r="DMK57" s="37"/>
      <c r="DML57" s="37"/>
      <c r="DMM57" s="37"/>
      <c r="DMN57" s="37"/>
      <c r="DMO57" s="37"/>
      <c r="DMP57" s="37"/>
      <c r="DMQ57" s="37"/>
      <c r="DMR57" s="37"/>
      <c r="DMS57" s="37"/>
      <c r="DMT57" s="37"/>
      <c r="DMU57" s="37"/>
      <c r="DMV57" s="37"/>
      <c r="DMW57" s="37"/>
      <c r="DMX57" s="37"/>
      <c r="DMY57" s="37"/>
      <c r="DMZ57" s="37"/>
      <c r="DNA57" s="37"/>
      <c r="DNB57" s="37"/>
      <c r="DNC57" s="37"/>
      <c r="DND57" s="37"/>
      <c r="DNE57" s="37"/>
      <c r="DNF57" s="37"/>
      <c r="DNG57" s="37"/>
      <c r="DNH57" s="37"/>
      <c r="DNI57" s="37"/>
      <c r="DNJ57" s="37"/>
      <c r="DNK57" s="37"/>
      <c r="DNL57" s="37"/>
      <c r="DNM57" s="37"/>
      <c r="DNN57" s="37"/>
      <c r="DNO57" s="37"/>
      <c r="DNP57" s="37"/>
      <c r="DNQ57" s="37"/>
      <c r="DNR57" s="37"/>
      <c r="DNS57" s="37"/>
      <c r="DNT57" s="37"/>
      <c r="DNU57" s="37"/>
      <c r="DNV57" s="37"/>
      <c r="DNW57" s="37"/>
      <c r="DNX57" s="37"/>
      <c r="DNY57" s="37"/>
      <c r="DNZ57" s="37"/>
      <c r="DOA57" s="37"/>
      <c r="DOB57" s="37"/>
      <c r="DOC57" s="37"/>
      <c r="DOD57" s="37"/>
      <c r="DOE57" s="37"/>
      <c r="DOF57" s="37"/>
      <c r="DOG57" s="37"/>
      <c r="DOH57" s="37"/>
      <c r="DOI57" s="37"/>
      <c r="DOJ57" s="37"/>
      <c r="DOK57" s="37"/>
      <c r="DOL57" s="37"/>
      <c r="DOM57" s="37"/>
      <c r="DON57" s="37"/>
      <c r="DOO57" s="37"/>
      <c r="DOP57" s="37"/>
      <c r="DOQ57" s="37"/>
      <c r="DOR57" s="37"/>
      <c r="DOS57" s="37"/>
      <c r="DOT57" s="37"/>
      <c r="DOU57" s="37"/>
      <c r="DOV57" s="37"/>
      <c r="DOW57" s="37"/>
      <c r="DOX57" s="37"/>
      <c r="DOY57" s="37"/>
      <c r="DOZ57" s="37"/>
      <c r="DPA57" s="37"/>
      <c r="DPB57" s="37"/>
      <c r="DPC57" s="37"/>
      <c r="DPD57" s="37"/>
      <c r="DPE57" s="37"/>
      <c r="DPF57" s="37"/>
      <c r="DPG57" s="37"/>
      <c r="DPH57" s="37"/>
      <c r="DPI57" s="37"/>
      <c r="DPJ57" s="37"/>
      <c r="DPK57" s="37"/>
      <c r="DPL57" s="37"/>
      <c r="DPM57" s="37"/>
      <c r="DPN57" s="37"/>
      <c r="DPO57" s="37"/>
      <c r="DPP57" s="37"/>
      <c r="DPQ57" s="37"/>
      <c r="DPR57" s="37"/>
      <c r="DPS57" s="37"/>
      <c r="DPT57" s="37"/>
      <c r="DPU57" s="37"/>
      <c r="DPV57" s="37"/>
      <c r="DPW57" s="37"/>
      <c r="DPX57" s="37"/>
      <c r="DPY57" s="37"/>
      <c r="DPZ57" s="37"/>
      <c r="DQA57" s="37"/>
      <c r="DQB57" s="37"/>
      <c r="DQC57" s="37"/>
      <c r="DQD57" s="37"/>
      <c r="DQE57" s="37"/>
      <c r="DQF57" s="37"/>
      <c r="DQG57" s="37"/>
      <c r="DQH57" s="37"/>
      <c r="DQI57" s="37"/>
      <c r="DQJ57" s="37"/>
      <c r="DQK57" s="37"/>
      <c r="DQL57" s="37"/>
      <c r="DQM57" s="37"/>
      <c r="DQN57" s="37"/>
      <c r="DQO57" s="37"/>
      <c r="DQP57" s="37"/>
      <c r="DQQ57" s="37"/>
      <c r="DQR57" s="37"/>
      <c r="DQS57" s="37"/>
      <c r="DQT57" s="37"/>
      <c r="DQU57" s="37"/>
      <c r="DQV57" s="37"/>
      <c r="DQW57" s="37"/>
      <c r="DQX57" s="37"/>
      <c r="DQY57" s="37"/>
      <c r="DQZ57" s="37"/>
      <c r="DRA57" s="37"/>
      <c r="DRB57" s="37"/>
      <c r="DRC57" s="37"/>
      <c r="DRD57" s="37"/>
      <c r="DRE57" s="37"/>
      <c r="DRF57" s="37"/>
      <c r="DRG57" s="37"/>
      <c r="DRH57" s="37"/>
      <c r="DRI57" s="37"/>
      <c r="DRJ57" s="37"/>
      <c r="DRK57" s="37"/>
      <c r="DRL57" s="37"/>
      <c r="DRM57" s="37"/>
      <c r="DRN57" s="37"/>
      <c r="DRO57" s="37"/>
      <c r="DRP57" s="37"/>
      <c r="DRQ57" s="37"/>
      <c r="DRR57" s="37"/>
      <c r="DRS57" s="37"/>
      <c r="DRT57" s="37"/>
      <c r="DRU57" s="37"/>
      <c r="DRV57" s="37"/>
      <c r="DRW57" s="37"/>
      <c r="DRX57" s="37"/>
      <c r="DRY57" s="37"/>
      <c r="DRZ57" s="37"/>
      <c r="DSA57" s="37"/>
      <c r="DSB57" s="37"/>
      <c r="DSC57" s="37"/>
      <c r="DSD57" s="37"/>
      <c r="DSE57" s="37"/>
      <c r="DSF57" s="37"/>
      <c r="DSG57" s="37"/>
      <c r="DSH57" s="37"/>
      <c r="DSI57" s="37"/>
      <c r="DSJ57" s="37"/>
      <c r="DSK57" s="37"/>
      <c r="DSL57" s="37"/>
      <c r="DSM57" s="37"/>
      <c r="DSN57" s="37"/>
      <c r="DSO57" s="37"/>
      <c r="DSP57" s="37"/>
      <c r="DSQ57" s="37"/>
      <c r="DSR57" s="37"/>
      <c r="DSS57" s="37"/>
      <c r="DST57" s="37"/>
      <c r="DSU57" s="37"/>
      <c r="DSV57" s="37"/>
      <c r="DSW57" s="37"/>
      <c r="DSX57" s="37"/>
      <c r="DSY57" s="37"/>
      <c r="DSZ57" s="37"/>
      <c r="DTA57" s="37"/>
      <c r="DTB57" s="37"/>
      <c r="DTC57" s="37"/>
      <c r="DTD57" s="37"/>
      <c r="DTE57" s="37"/>
      <c r="DTF57" s="37"/>
      <c r="DTG57" s="37"/>
      <c r="DTH57" s="37"/>
      <c r="DTI57" s="37"/>
      <c r="DTJ57" s="37"/>
      <c r="DTK57" s="37"/>
      <c r="DTL57" s="37"/>
      <c r="DTM57" s="37"/>
      <c r="DTN57" s="37"/>
      <c r="DTO57" s="37"/>
      <c r="DTP57" s="37"/>
      <c r="DTQ57" s="37"/>
      <c r="DTR57" s="37"/>
      <c r="DTS57" s="37"/>
      <c r="DTT57" s="37"/>
      <c r="DTU57" s="37"/>
      <c r="DTV57" s="37"/>
      <c r="DTW57" s="37"/>
      <c r="DTX57" s="37"/>
      <c r="DTY57" s="37"/>
      <c r="DTZ57" s="37"/>
      <c r="DUA57" s="37"/>
      <c r="DUB57" s="37"/>
      <c r="DUC57" s="37"/>
      <c r="DUD57" s="37"/>
      <c r="DUE57" s="37"/>
      <c r="DUF57" s="37"/>
      <c r="DUG57" s="37"/>
      <c r="DUH57" s="37"/>
      <c r="DUI57" s="37"/>
      <c r="DUJ57" s="37"/>
      <c r="DUK57" s="37"/>
      <c r="DUL57" s="37"/>
      <c r="DUM57" s="37"/>
      <c r="DUN57" s="37"/>
      <c r="DUO57" s="37"/>
      <c r="DUP57" s="37"/>
      <c r="DUQ57" s="37"/>
      <c r="DUR57" s="37"/>
      <c r="DUS57" s="37"/>
      <c r="DUT57" s="37"/>
      <c r="DUU57" s="37"/>
      <c r="DUV57" s="37"/>
      <c r="DUW57" s="37"/>
      <c r="DUX57" s="37"/>
      <c r="DUY57" s="37"/>
      <c r="DUZ57" s="37"/>
      <c r="DVA57" s="37"/>
      <c r="DVB57" s="37"/>
      <c r="DVC57" s="37"/>
      <c r="DVD57" s="37"/>
      <c r="DVE57" s="37"/>
      <c r="DVF57" s="37"/>
      <c r="DVG57" s="37"/>
      <c r="DVH57" s="37"/>
      <c r="DVI57" s="37"/>
      <c r="DVJ57" s="37"/>
      <c r="DVK57" s="37"/>
      <c r="DVL57" s="37"/>
      <c r="DVM57" s="37"/>
      <c r="DVN57" s="37"/>
      <c r="DVO57" s="37"/>
      <c r="DVP57" s="37"/>
      <c r="DVQ57" s="37"/>
      <c r="DVR57" s="37"/>
      <c r="DVS57" s="37"/>
      <c r="DVT57" s="37"/>
      <c r="DVU57" s="37"/>
      <c r="DVV57" s="37"/>
      <c r="DVW57" s="37"/>
      <c r="DVX57" s="37"/>
      <c r="DVY57" s="37"/>
      <c r="DVZ57" s="37"/>
      <c r="DWA57" s="37"/>
      <c r="DWB57" s="37"/>
      <c r="DWC57" s="37"/>
      <c r="DWD57" s="37"/>
      <c r="DWE57" s="37"/>
      <c r="DWF57" s="37"/>
      <c r="DWG57" s="37"/>
      <c r="DWH57" s="37"/>
      <c r="DWI57" s="37"/>
      <c r="DWJ57" s="37"/>
      <c r="DWK57" s="37"/>
      <c r="DWL57" s="37"/>
      <c r="DWM57" s="37"/>
      <c r="DWN57" s="37"/>
      <c r="DWO57" s="37"/>
      <c r="DWP57" s="37"/>
      <c r="DWQ57" s="37"/>
      <c r="DWR57" s="37"/>
      <c r="DWS57" s="37"/>
      <c r="DWT57" s="37"/>
      <c r="DWU57" s="37"/>
      <c r="DWV57" s="37"/>
      <c r="DWW57" s="37"/>
      <c r="DWX57" s="37"/>
      <c r="DWY57" s="37"/>
      <c r="DWZ57" s="37"/>
      <c r="DXA57" s="37"/>
      <c r="DXB57" s="37"/>
      <c r="DXC57" s="37"/>
      <c r="DXD57" s="37"/>
      <c r="DXE57" s="37"/>
      <c r="DXF57" s="37"/>
      <c r="DXG57" s="37"/>
      <c r="DXH57" s="37"/>
      <c r="DXI57" s="37"/>
      <c r="DXJ57" s="37"/>
      <c r="DXK57" s="37"/>
      <c r="DXL57" s="37"/>
      <c r="DXM57" s="37"/>
      <c r="DXN57" s="37"/>
      <c r="DXO57" s="37"/>
      <c r="DXP57" s="37"/>
      <c r="DXQ57" s="37"/>
      <c r="DXR57" s="37"/>
      <c r="DXS57" s="37"/>
      <c r="DXT57" s="37"/>
      <c r="DXU57" s="37"/>
      <c r="DXV57" s="37"/>
      <c r="DXW57" s="37"/>
      <c r="DXX57" s="37"/>
      <c r="DXY57" s="37"/>
      <c r="DXZ57" s="37"/>
      <c r="DYA57" s="37"/>
      <c r="DYB57" s="37"/>
      <c r="DYC57" s="37"/>
      <c r="DYD57" s="37"/>
      <c r="DYE57" s="37"/>
      <c r="DYF57" s="37"/>
      <c r="DYG57" s="37"/>
      <c r="DYH57" s="37"/>
      <c r="DYI57" s="37"/>
      <c r="DYJ57" s="37"/>
      <c r="DYK57" s="37"/>
      <c r="DYL57" s="37"/>
      <c r="DYM57" s="37"/>
      <c r="DYN57" s="37"/>
      <c r="DYO57" s="37"/>
      <c r="DYP57" s="37"/>
      <c r="DYQ57" s="37"/>
      <c r="DYR57" s="37"/>
      <c r="DYS57" s="37"/>
      <c r="DYT57" s="37"/>
      <c r="DYU57" s="37"/>
      <c r="DYV57" s="37"/>
      <c r="DYW57" s="37"/>
      <c r="DYX57" s="37"/>
      <c r="DYY57" s="37"/>
      <c r="DYZ57" s="37"/>
      <c r="DZA57" s="37"/>
      <c r="DZB57" s="37"/>
      <c r="DZC57" s="37"/>
      <c r="DZD57" s="37"/>
      <c r="DZE57" s="37"/>
      <c r="DZF57" s="37"/>
      <c r="DZG57" s="37"/>
      <c r="DZH57" s="37"/>
      <c r="DZI57" s="37"/>
      <c r="DZJ57" s="37"/>
      <c r="DZK57" s="37"/>
      <c r="DZL57" s="37"/>
      <c r="DZM57" s="37"/>
      <c r="DZN57" s="37"/>
      <c r="DZO57" s="37"/>
      <c r="DZP57" s="37"/>
      <c r="DZQ57" s="37"/>
      <c r="DZR57" s="37"/>
      <c r="DZS57" s="37"/>
      <c r="DZT57" s="37"/>
      <c r="DZU57" s="37"/>
      <c r="DZV57" s="37"/>
      <c r="DZW57" s="37"/>
      <c r="DZX57" s="37"/>
      <c r="DZY57" s="37"/>
      <c r="DZZ57" s="37"/>
      <c r="EAA57" s="37"/>
      <c r="EAB57" s="37"/>
      <c r="EAC57" s="37"/>
      <c r="EAD57" s="37"/>
      <c r="EAE57" s="37"/>
      <c r="EAF57" s="37"/>
      <c r="EAG57" s="37"/>
      <c r="EAH57" s="37"/>
      <c r="EAI57" s="37"/>
      <c r="EAJ57" s="37"/>
      <c r="EAK57" s="37"/>
      <c r="EAL57" s="37"/>
      <c r="EAM57" s="37"/>
      <c r="EAN57" s="37"/>
      <c r="EAO57" s="37"/>
      <c r="EAP57" s="37"/>
      <c r="EAQ57" s="37"/>
      <c r="EAR57" s="37"/>
      <c r="EAS57" s="37"/>
      <c r="EAT57" s="37"/>
      <c r="EAU57" s="37"/>
      <c r="EAV57" s="37"/>
      <c r="EAW57" s="37"/>
      <c r="EAX57" s="37"/>
      <c r="EAY57" s="37"/>
      <c r="EAZ57" s="37"/>
      <c r="EBA57" s="37"/>
      <c r="EBB57" s="37"/>
      <c r="EBC57" s="37"/>
      <c r="EBD57" s="37"/>
      <c r="EBE57" s="37"/>
      <c r="EBF57" s="37"/>
      <c r="EBG57" s="37"/>
      <c r="EBH57" s="37"/>
      <c r="EBI57" s="37"/>
      <c r="EBJ57" s="37"/>
      <c r="EBK57" s="37"/>
      <c r="EBL57" s="37"/>
      <c r="EBM57" s="37"/>
      <c r="EBN57" s="37"/>
      <c r="EBO57" s="37"/>
      <c r="EBP57" s="37"/>
      <c r="EBQ57" s="37"/>
      <c r="EBR57" s="37"/>
      <c r="EBS57" s="37"/>
      <c r="EBT57" s="37"/>
      <c r="EBU57" s="37"/>
      <c r="EBV57" s="37"/>
      <c r="EBW57" s="37"/>
      <c r="EBX57" s="37"/>
      <c r="EBY57" s="37"/>
      <c r="EBZ57" s="37"/>
      <c r="ECA57" s="37"/>
      <c r="ECB57" s="37"/>
      <c r="ECC57" s="37"/>
      <c r="ECD57" s="37"/>
      <c r="ECE57" s="37"/>
      <c r="ECF57" s="37"/>
      <c r="ECG57" s="37"/>
      <c r="ECH57" s="37"/>
      <c r="ECI57" s="37"/>
      <c r="ECJ57" s="37"/>
      <c r="ECK57" s="37"/>
      <c r="ECL57" s="37"/>
      <c r="ECM57" s="37"/>
      <c r="ECN57" s="37"/>
      <c r="ECO57" s="37"/>
      <c r="ECP57" s="37"/>
      <c r="ECQ57" s="37"/>
      <c r="ECR57" s="37"/>
      <c r="ECS57" s="37"/>
      <c r="ECT57" s="37"/>
      <c r="ECU57" s="37"/>
      <c r="ECV57" s="37"/>
      <c r="ECW57" s="37"/>
      <c r="ECX57" s="37"/>
      <c r="ECY57" s="37"/>
      <c r="ECZ57" s="37"/>
      <c r="EDA57" s="37"/>
      <c r="EDB57" s="37"/>
      <c r="EDC57" s="37"/>
      <c r="EDD57" s="37"/>
      <c r="EDE57" s="37"/>
      <c r="EDF57" s="37"/>
      <c r="EDG57" s="37"/>
      <c r="EDH57" s="37"/>
      <c r="EDI57" s="37"/>
      <c r="EDJ57" s="37"/>
      <c r="EDK57" s="37"/>
      <c r="EDL57" s="37"/>
      <c r="EDM57" s="37"/>
      <c r="EDN57" s="37"/>
      <c r="EDO57" s="37"/>
      <c r="EDP57" s="37"/>
      <c r="EDQ57" s="37"/>
      <c r="EDR57" s="37"/>
      <c r="EDS57" s="37"/>
      <c r="EDT57" s="37"/>
      <c r="EDU57" s="37"/>
      <c r="EDV57" s="37"/>
      <c r="EDW57" s="37"/>
      <c r="EDX57" s="37"/>
      <c r="EDY57" s="37"/>
      <c r="EDZ57" s="37"/>
      <c r="EEA57" s="37"/>
      <c r="EEB57" s="37"/>
      <c r="EEC57" s="37"/>
      <c r="EED57" s="37"/>
      <c r="EEE57" s="37"/>
      <c r="EEF57" s="37"/>
      <c r="EEG57" s="37"/>
      <c r="EEH57" s="37"/>
      <c r="EEI57" s="37"/>
      <c r="EEJ57" s="37"/>
      <c r="EEK57" s="37"/>
      <c r="EEL57" s="37"/>
      <c r="EEM57" s="37"/>
      <c r="EEN57" s="37"/>
      <c r="EEO57" s="37"/>
      <c r="EEP57" s="37"/>
      <c r="EEQ57" s="37"/>
      <c r="EER57" s="37"/>
      <c r="EES57" s="37"/>
      <c r="EET57" s="37"/>
      <c r="EEU57" s="37"/>
      <c r="EEV57" s="37"/>
      <c r="EEW57" s="37"/>
      <c r="EEX57" s="37"/>
      <c r="EEY57" s="37"/>
      <c r="EEZ57" s="37"/>
      <c r="EFA57" s="37"/>
      <c r="EFB57" s="37"/>
      <c r="EFC57" s="37"/>
      <c r="EFD57" s="37"/>
      <c r="EFE57" s="37"/>
      <c r="EFF57" s="37"/>
      <c r="EFG57" s="37"/>
      <c r="EFH57" s="37"/>
      <c r="EFI57" s="37"/>
      <c r="EFJ57" s="37"/>
      <c r="EFK57" s="37"/>
      <c r="EFL57" s="37"/>
      <c r="EFM57" s="37"/>
      <c r="EFN57" s="37"/>
      <c r="EFO57" s="37"/>
      <c r="EFP57" s="37"/>
      <c r="EFQ57" s="37"/>
      <c r="EFR57" s="37"/>
      <c r="EFS57" s="37"/>
      <c r="EFT57" s="37"/>
      <c r="EFU57" s="37"/>
      <c r="EFV57" s="37"/>
      <c r="EFW57" s="37"/>
      <c r="EFX57" s="37"/>
      <c r="EFY57" s="37"/>
      <c r="EFZ57" s="37"/>
      <c r="EGA57" s="37"/>
      <c r="EGB57" s="37"/>
      <c r="EGC57" s="37"/>
      <c r="EGD57" s="37"/>
      <c r="EGE57" s="37"/>
      <c r="EGF57" s="37"/>
      <c r="EGG57" s="37"/>
      <c r="EGH57" s="37"/>
      <c r="EGI57" s="37"/>
      <c r="EGJ57" s="37"/>
      <c r="EGK57" s="37"/>
      <c r="EGL57" s="37"/>
      <c r="EGM57" s="37"/>
      <c r="EGN57" s="37"/>
      <c r="EGO57" s="37"/>
      <c r="EGP57" s="37"/>
      <c r="EGQ57" s="37"/>
      <c r="EGR57" s="37"/>
      <c r="EGS57" s="37"/>
      <c r="EGT57" s="37"/>
      <c r="EGU57" s="37"/>
      <c r="EGV57" s="37"/>
      <c r="EGW57" s="37"/>
      <c r="EGX57" s="37"/>
      <c r="EGY57" s="37"/>
      <c r="EGZ57" s="37"/>
      <c r="EHA57" s="37"/>
      <c r="EHB57" s="37"/>
      <c r="EHC57" s="37"/>
      <c r="EHD57" s="37"/>
      <c r="EHE57" s="37"/>
      <c r="EHF57" s="37"/>
      <c r="EHG57" s="37"/>
      <c r="EHH57" s="37"/>
      <c r="EHI57" s="37"/>
      <c r="EHJ57" s="37"/>
      <c r="EHK57" s="37"/>
      <c r="EHL57" s="37"/>
      <c r="EHM57" s="37"/>
      <c r="EHN57" s="37"/>
      <c r="EHO57" s="37"/>
      <c r="EHP57" s="37"/>
      <c r="EHQ57" s="37"/>
      <c r="EHR57" s="37"/>
      <c r="EHS57" s="37"/>
      <c r="EHT57" s="37"/>
      <c r="EHU57" s="37"/>
      <c r="EHV57" s="37"/>
      <c r="EHW57" s="37"/>
      <c r="EHX57" s="37"/>
      <c r="EHY57" s="37"/>
      <c r="EHZ57" s="37"/>
      <c r="EIA57" s="37"/>
      <c r="EIB57" s="37"/>
      <c r="EIC57" s="37"/>
      <c r="EID57" s="37"/>
      <c r="EIE57" s="37"/>
      <c r="EIF57" s="37"/>
      <c r="EIG57" s="37"/>
      <c r="EIH57" s="37"/>
      <c r="EII57" s="37"/>
      <c r="EIJ57" s="37"/>
      <c r="EIK57" s="37"/>
      <c r="EIL57" s="37"/>
      <c r="EIM57" s="37"/>
      <c r="EIN57" s="37"/>
      <c r="EIO57" s="37"/>
      <c r="EIP57" s="37"/>
      <c r="EIQ57" s="37"/>
      <c r="EIR57" s="37"/>
      <c r="EIS57" s="37"/>
      <c r="EIT57" s="37"/>
      <c r="EIU57" s="37"/>
      <c r="EIV57" s="37"/>
      <c r="EIW57" s="37"/>
      <c r="EIX57" s="37"/>
      <c r="EIY57" s="37"/>
      <c r="EIZ57" s="37"/>
      <c r="EJA57" s="37"/>
      <c r="EJB57" s="37"/>
      <c r="EJC57" s="37"/>
      <c r="EJD57" s="37"/>
      <c r="EJE57" s="37"/>
      <c r="EJF57" s="37"/>
      <c r="EJG57" s="37"/>
      <c r="EJH57" s="37"/>
      <c r="EJI57" s="37"/>
      <c r="EJJ57" s="37"/>
      <c r="EJK57" s="37"/>
      <c r="EJL57" s="37"/>
      <c r="EJM57" s="37"/>
      <c r="EJN57" s="37"/>
      <c r="EJO57" s="37"/>
      <c r="EJP57" s="37"/>
      <c r="EJQ57" s="37"/>
      <c r="EJR57" s="37"/>
      <c r="EJS57" s="37"/>
      <c r="EJT57" s="37"/>
      <c r="EJU57" s="37"/>
      <c r="EJV57" s="37"/>
      <c r="EJW57" s="37"/>
      <c r="EJX57" s="37"/>
      <c r="EJY57" s="37"/>
      <c r="EJZ57" s="37"/>
      <c r="EKA57" s="37"/>
      <c r="EKB57" s="37"/>
      <c r="EKC57" s="37"/>
      <c r="EKD57" s="37"/>
      <c r="EKE57" s="37"/>
      <c r="EKF57" s="37"/>
      <c r="EKG57" s="37"/>
      <c r="EKH57" s="37"/>
      <c r="EKI57" s="37"/>
      <c r="EKJ57" s="37"/>
      <c r="EKK57" s="37"/>
      <c r="EKL57" s="37"/>
      <c r="EKM57" s="37"/>
      <c r="EKN57" s="37"/>
      <c r="EKO57" s="37"/>
      <c r="EKP57" s="37"/>
      <c r="EKQ57" s="37"/>
      <c r="EKR57" s="37"/>
      <c r="EKS57" s="37"/>
      <c r="EKT57" s="37"/>
      <c r="EKU57" s="37"/>
      <c r="EKV57" s="37"/>
      <c r="EKW57" s="37"/>
      <c r="EKX57" s="37"/>
      <c r="EKY57" s="37"/>
      <c r="EKZ57" s="37"/>
      <c r="ELA57" s="37"/>
      <c r="ELB57" s="37"/>
      <c r="ELC57" s="37"/>
      <c r="ELD57" s="37"/>
      <c r="ELE57" s="37"/>
      <c r="ELF57" s="37"/>
      <c r="ELG57" s="37"/>
      <c r="ELH57" s="37"/>
      <c r="ELI57" s="37"/>
      <c r="ELJ57" s="37"/>
      <c r="ELK57" s="37"/>
      <c r="ELL57" s="37"/>
      <c r="ELM57" s="37"/>
      <c r="ELN57" s="37"/>
      <c r="ELO57" s="37"/>
      <c r="ELP57" s="37"/>
      <c r="ELQ57" s="37"/>
      <c r="ELR57" s="37"/>
      <c r="ELS57" s="37"/>
      <c r="ELT57" s="37"/>
      <c r="ELU57" s="37"/>
      <c r="ELV57" s="37"/>
      <c r="ELW57" s="37"/>
      <c r="ELX57" s="37"/>
      <c r="ELY57" s="37"/>
      <c r="ELZ57" s="37"/>
      <c r="EMA57" s="37"/>
      <c r="EMB57" s="37"/>
      <c r="EMC57" s="37"/>
      <c r="EMD57" s="37"/>
      <c r="EME57" s="37"/>
      <c r="EMF57" s="37"/>
      <c r="EMG57" s="37"/>
      <c r="EMH57" s="37"/>
      <c r="EMI57" s="37"/>
      <c r="EMJ57" s="37"/>
      <c r="EMK57" s="37"/>
      <c r="EML57" s="37"/>
      <c r="EMM57" s="37"/>
      <c r="EMN57" s="37"/>
      <c r="EMO57" s="37"/>
      <c r="EMP57" s="37"/>
      <c r="EMQ57" s="37"/>
      <c r="EMR57" s="37"/>
      <c r="EMS57" s="37"/>
      <c r="EMT57" s="37"/>
      <c r="EMU57" s="37"/>
      <c r="EMV57" s="37"/>
      <c r="EMW57" s="37"/>
      <c r="EMX57" s="37"/>
      <c r="EMY57" s="37"/>
      <c r="EMZ57" s="37"/>
      <c r="ENA57" s="37"/>
      <c r="ENB57" s="37"/>
      <c r="ENC57" s="37"/>
      <c r="END57" s="37"/>
      <c r="ENE57" s="37"/>
      <c r="ENF57" s="37"/>
      <c r="ENG57" s="37"/>
      <c r="ENH57" s="37"/>
      <c r="ENI57" s="37"/>
      <c r="ENJ57" s="37"/>
      <c r="ENK57" s="37"/>
      <c r="ENL57" s="37"/>
      <c r="ENM57" s="37"/>
      <c r="ENN57" s="37"/>
      <c r="ENO57" s="37"/>
      <c r="ENP57" s="37"/>
      <c r="ENQ57" s="37"/>
      <c r="ENR57" s="37"/>
      <c r="ENS57" s="37"/>
      <c r="ENT57" s="37"/>
      <c r="ENU57" s="37"/>
      <c r="ENV57" s="37"/>
      <c r="ENW57" s="37"/>
      <c r="ENX57" s="37"/>
      <c r="ENY57" s="37"/>
      <c r="ENZ57" s="37"/>
      <c r="EOA57" s="37"/>
      <c r="EOB57" s="37"/>
      <c r="EOC57" s="37"/>
      <c r="EOD57" s="37"/>
      <c r="EOE57" s="37"/>
      <c r="EOF57" s="37"/>
      <c r="EOG57" s="37"/>
      <c r="EOH57" s="37"/>
      <c r="EOI57" s="37"/>
      <c r="EOJ57" s="37"/>
      <c r="EOK57" s="37"/>
      <c r="EOL57" s="37"/>
      <c r="EOM57" s="37"/>
      <c r="EON57" s="37"/>
      <c r="EOO57" s="37"/>
      <c r="EOP57" s="37"/>
      <c r="EOQ57" s="37"/>
      <c r="EOR57" s="37"/>
      <c r="EOS57" s="37"/>
      <c r="EOT57" s="37"/>
      <c r="EOU57" s="37"/>
      <c r="EOV57" s="37"/>
      <c r="EOW57" s="37"/>
      <c r="EOX57" s="37"/>
      <c r="EOY57" s="37"/>
      <c r="EOZ57" s="37"/>
      <c r="EPA57" s="37"/>
      <c r="EPB57" s="37"/>
      <c r="EPC57" s="37"/>
      <c r="EPD57" s="37"/>
      <c r="EPE57" s="37"/>
      <c r="EPF57" s="37"/>
      <c r="EPG57" s="37"/>
      <c r="EPH57" s="37"/>
      <c r="EPI57" s="37"/>
      <c r="EPJ57" s="37"/>
      <c r="EPK57" s="37"/>
      <c r="EPL57" s="37"/>
      <c r="EPM57" s="37"/>
      <c r="EPN57" s="37"/>
      <c r="EPO57" s="37"/>
      <c r="EPP57" s="37"/>
      <c r="EPQ57" s="37"/>
      <c r="EPR57" s="37"/>
      <c r="EPS57" s="37"/>
      <c r="EPT57" s="37"/>
      <c r="EPU57" s="37"/>
      <c r="EPV57" s="37"/>
      <c r="EPW57" s="37"/>
      <c r="EPX57" s="37"/>
      <c r="EPY57" s="37"/>
      <c r="EPZ57" s="37"/>
      <c r="EQA57" s="37"/>
      <c r="EQB57" s="37"/>
      <c r="EQC57" s="37"/>
      <c r="EQD57" s="37"/>
      <c r="EQE57" s="37"/>
      <c r="EQF57" s="37"/>
      <c r="EQG57" s="37"/>
      <c r="EQH57" s="37"/>
      <c r="EQI57" s="37"/>
      <c r="EQJ57" s="37"/>
      <c r="EQK57" s="37"/>
      <c r="EQL57" s="37"/>
      <c r="EQM57" s="37"/>
      <c r="EQN57" s="37"/>
      <c r="EQO57" s="37"/>
      <c r="EQP57" s="37"/>
      <c r="EQQ57" s="37"/>
      <c r="EQR57" s="37"/>
      <c r="EQS57" s="37"/>
      <c r="EQT57" s="37"/>
      <c r="EQU57" s="37"/>
      <c r="EQV57" s="37"/>
      <c r="EQW57" s="37"/>
      <c r="EQX57" s="37"/>
      <c r="EQY57" s="37"/>
      <c r="EQZ57" s="37"/>
      <c r="ERA57" s="37"/>
      <c r="ERB57" s="37"/>
      <c r="ERC57" s="37"/>
      <c r="ERD57" s="37"/>
      <c r="ERE57" s="37"/>
      <c r="ERF57" s="37"/>
      <c r="ERG57" s="37"/>
      <c r="ERH57" s="37"/>
      <c r="ERI57" s="37"/>
      <c r="ERJ57" s="37"/>
      <c r="ERK57" s="37"/>
      <c r="ERL57" s="37"/>
      <c r="ERM57" s="37"/>
      <c r="ERN57" s="37"/>
      <c r="ERO57" s="37"/>
      <c r="ERP57" s="37"/>
      <c r="ERQ57" s="37"/>
      <c r="ERR57" s="37"/>
      <c r="ERS57" s="37"/>
      <c r="ERT57" s="37"/>
      <c r="ERU57" s="37"/>
      <c r="ERV57" s="37"/>
      <c r="ERW57" s="37"/>
      <c r="ERX57" s="37"/>
      <c r="ERY57" s="37"/>
      <c r="ERZ57" s="37"/>
      <c r="ESA57" s="37"/>
      <c r="ESB57" s="37"/>
      <c r="ESC57" s="37"/>
      <c r="ESD57" s="37"/>
      <c r="ESE57" s="37"/>
      <c r="ESF57" s="37"/>
      <c r="ESG57" s="37"/>
      <c r="ESH57" s="37"/>
      <c r="ESI57" s="37"/>
      <c r="ESJ57" s="37"/>
      <c r="ESK57" s="37"/>
      <c r="ESL57" s="37"/>
      <c r="ESM57" s="37"/>
      <c r="ESN57" s="37"/>
      <c r="ESO57" s="37"/>
      <c r="ESP57" s="37"/>
      <c r="ESQ57" s="37"/>
      <c r="ESR57" s="37"/>
      <c r="ESS57" s="37"/>
      <c r="EST57" s="37"/>
      <c r="ESU57" s="37"/>
      <c r="ESV57" s="37"/>
      <c r="ESW57" s="37"/>
      <c r="ESX57" s="37"/>
      <c r="ESY57" s="37"/>
      <c r="ESZ57" s="37"/>
      <c r="ETA57" s="37"/>
      <c r="ETB57" s="37"/>
      <c r="ETC57" s="37"/>
      <c r="ETD57" s="37"/>
      <c r="ETE57" s="37"/>
      <c r="ETF57" s="37"/>
      <c r="ETG57" s="37"/>
      <c r="ETH57" s="37"/>
      <c r="ETI57" s="37"/>
      <c r="ETJ57" s="37"/>
      <c r="ETK57" s="37"/>
      <c r="ETL57" s="37"/>
      <c r="ETM57" s="37"/>
      <c r="ETN57" s="37"/>
      <c r="ETO57" s="37"/>
      <c r="ETP57" s="37"/>
      <c r="ETQ57" s="37"/>
      <c r="ETR57" s="37"/>
      <c r="ETS57" s="37"/>
      <c r="ETT57" s="37"/>
      <c r="ETU57" s="37"/>
      <c r="ETV57" s="37"/>
      <c r="ETW57" s="37"/>
      <c r="ETX57" s="37"/>
      <c r="ETY57" s="37"/>
      <c r="ETZ57" s="37"/>
      <c r="EUA57" s="37"/>
      <c r="EUB57" s="37"/>
      <c r="EUC57" s="37"/>
      <c r="EUD57" s="37"/>
      <c r="EUE57" s="37"/>
      <c r="EUF57" s="37"/>
      <c r="EUG57" s="37"/>
      <c r="EUH57" s="37"/>
      <c r="EUI57" s="37"/>
      <c r="EUJ57" s="37"/>
      <c r="EUK57" s="37"/>
      <c r="EUL57" s="37"/>
      <c r="EUM57" s="37"/>
      <c r="EUN57" s="37"/>
      <c r="EUO57" s="37"/>
      <c r="EUP57" s="37"/>
      <c r="EUQ57" s="37"/>
      <c r="EUR57" s="37"/>
      <c r="EUS57" s="37"/>
      <c r="EUT57" s="37"/>
      <c r="EUU57" s="37"/>
      <c r="EUV57" s="37"/>
      <c r="EUW57" s="37"/>
      <c r="EUX57" s="37"/>
      <c r="EUY57" s="37"/>
      <c r="EUZ57" s="37"/>
      <c r="EVA57" s="37"/>
      <c r="EVB57" s="37"/>
      <c r="EVC57" s="37"/>
      <c r="EVD57" s="37"/>
      <c r="EVE57" s="37"/>
      <c r="EVF57" s="37"/>
      <c r="EVG57" s="37"/>
      <c r="EVH57" s="37"/>
      <c r="EVI57" s="37"/>
      <c r="EVJ57" s="37"/>
      <c r="EVK57" s="37"/>
      <c r="EVL57" s="37"/>
      <c r="EVM57" s="37"/>
      <c r="EVN57" s="37"/>
      <c r="EVO57" s="37"/>
      <c r="EVP57" s="37"/>
      <c r="EVQ57" s="37"/>
      <c r="EVR57" s="37"/>
      <c r="EVS57" s="37"/>
      <c r="EVT57" s="37"/>
      <c r="EVU57" s="37"/>
      <c r="EVV57" s="37"/>
      <c r="EVW57" s="37"/>
      <c r="EVX57" s="37"/>
      <c r="EVY57" s="37"/>
      <c r="EVZ57" s="37"/>
      <c r="EWA57" s="37"/>
      <c r="EWB57" s="37"/>
      <c r="EWC57" s="37"/>
      <c r="EWD57" s="37"/>
      <c r="EWE57" s="37"/>
      <c r="EWF57" s="37"/>
      <c r="EWG57" s="37"/>
      <c r="EWH57" s="37"/>
      <c r="EWI57" s="37"/>
      <c r="EWJ57" s="37"/>
      <c r="EWK57" s="37"/>
      <c r="EWL57" s="37"/>
      <c r="EWM57" s="37"/>
      <c r="EWN57" s="37"/>
      <c r="EWO57" s="37"/>
      <c r="EWP57" s="37"/>
      <c r="EWQ57" s="37"/>
      <c r="EWR57" s="37"/>
      <c r="EWS57" s="37"/>
      <c r="EWT57" s="37"/>
      <c r="EWU57" s="37"/>
      <c r="EWV57" s="37"/>
      <c r="EWW57" s="37"/>
      <c r="EWX57" s="37"/>
      <c r="EWY57" s="37"/>
      <c r="EWZ57" s="37"/>
      <c r="EXA57" s="37"/>
      <c r="EXB57" s="37"/>
      <c r="EXC57" s="37"/>
      <c r="EXD57" s="37"/>
      <c r="EXE57" s="37"/>
      <c r="EXF57" s="37"/>
      <c r="EXG57" s="37"/>
      <c r="EXH57" s="37"/>
      <c r="EXI57" s="37"/>
      <c r="EXJ57" s="37"/>
      <c r="EXK57" s="37"/>
      <c r="EXL57" s="37"/>
      <c r="EXM57" s="37"/>
      <c r="EXN57" s="37"/>
      <c r="EXO57" s="37"/>
      <c r="EXP57" s="37"/>
      <c r="EXQ57" s="37"/>
      <c r="EXR57" s="37"/>
      <c r="EXS57" s="37"/>
      <c r="EXT57" s="37"/>
      <c r="EXU57" s="37"/>
      <c r="EXV57" s="37"/>
      <c r="EXW57" s="37"/>
      <c r="EXX57" s="37"/>
      <c r="EXY57" s="37"/>
      <c r="EXZ57" s="37"/>
      <c r="EYA57" s="37"/>
      <c r="EYB57" s="37"/>
      <c r="EYC57" s="37"/>
      <c r="EYD57" s="37"/>
      <c r="EYE57" s="37"/>
      <c r="EYF57" s="37"/>
      <c r="EYG57" s="37"/>
      <c r="EYH57" s="37"/>
      <c r="EYI57" s="37"/>
      <c r="EYJ57" s="37"/>
      <c r="EYK57" s="37"/>
      <c r="EYL57" s="37"/>
      <c r="EYM57" s="37"/>
      <c r="EYN57" s="37"/>
      <c r="EYO57" s="37"/>
      <c r="EYP57" s="37"/>
      <c r="EYQ57" s="37"/>
      <c r="EYR57" s="37"/>
      <c r="EYS57" s="37"/>
      <c r="EYT57" s="37"/>
      <c r="EYU57" s="37"/>
      <c r="EYV57" s="37"/>
      <c r="EYW57" s="37"/>
      <c r="EYX57" s="37"/>
      <c r="EYY57" s="37"/>
      <c r="EYZ57" s="37"/>
      <c r="EZA57" s="37"/>
      <c r="EZB57" s="37"/>
      <c r="EZC57" s="37"/>
      <c r="EZD57" s="37"/>
      <c r="EZE57" s="37"/>
      <c r="EZF57" s="37"/>
      <c r="EZG57" s="37"/>
      <c r="EZH57" s="37"/>
      <c r="EZI57" s="37"/>
      <c r="EZJ57" s="37"/>
      <c r="EZK57" s="37"/>
      <c r="EZL57" s="37"/>
      <c r="EZM57" s="37"/>
      <c r="EZN57" s="37"/>
      <c r="EZO57" s="37"/>
      <c r="EZP57" s="37"/>
      <c r="EZQ57" s="37"/>
      <c r="EZR57" s="37"/>
      <c r="EZS57" s="37"/>
      <c r="EZT57" s="37"/>
      <c r="EZU57" s="37"/>
      <c r="EZV57" s="37"/>
      <c r="EZW57" s="37"/>
      <c r="EZX57" s="37"/>
      <c r="EZY57" s="37"/>
      <c r="EZZ57" s="37"/>
      <c r="FAA57" s="37"/>
      <c r="FAB57" s="37"/>
      <c r="FAC57" s="37"/>
      <c r="FAD57" s="37"/>
      <c r="FAE57" s="37"/>
      <c r="FAF57" s="37"/>
      <c r="FAG57" s="37"/>
      <c r="FAH57" s="37"/>
      <c r="FAI57" s="37"/>
      <c r="FAJ57" s="37"/>
      <c r="FAK57" s="37"/>
      <c r="FAL57" s="37"/>
      <c r="FAM57" s="37"/>
      <c r="FAN57" s="37"/>
      <c r="FAO57" s="37"/>
      <c r="FAP57" s="37"/>
      <c r="FAQ57" s="37"/>
      <c r="FAR57" s="37"/>
      <c r="FAS57" s="37"/>
      <c r="FAT57" s="37"/>
      <c r="FAU57" s="37"/>
      <c r="FAV57" s="37"/>
      <c r="FAW57" s="37"/>
      <c r="FAX57" s="37"/>
      <c r="FAY57" s="37"/>
      <c r="FAZ57" s="37"/>
      <c r="FBA57" s="37"/>
      <c r="FBB57" s="37"/>
      <c r="FBC57" s="37"/>
      <c r="FBD57" s="37"/>
      <c r="FBE57" s="37"/>
      <c r="FBF57" s="37"/>
      <c r="FBG57" s="37"/>
      <c r="FBH57" s="37"/>
      <c r="FBI57" s="37"/>
      <c r="FBJ57" s="37"/>
      <c r="FBK57" s="37"/>
      <c r="FBL57" s="37"/>
      <c r="FBM57" s="37"/>
      <c r="FBN57" s="37"/>
      <c r="FBO57" s="37"/>
      <c r="FBP57" s="37"/>
      <c r="FBQ57" s="37"/>
      <c r="FBR57" s="37"/>
      <c r="FBS57" s="37"/>
      <c r="FBT57" s="37"/>
      <c r="FBU57" s="37"/>
      <c r="FBV57" s="37"/>
      <c r="FBW57" s="37"/>
      <c r="FBX57" s="37"/>
      <c r="FBY57" s="37"/>
      <c r="FBZ57" s="37"/>
      <c r="FCA57" s="37"/>
      <c r="FCB57" s="37"/>
      <c r="FCC57" s="37"/>
      <c r="FCD57" s="37"/>
      <c r="FCE57" s="37"/>
      <c r="FCF57" s="37"/>
      <c r="FCG57" s="37"/>
      <c r="FCH57" s="37"/>
      <c r="FCI57" s="37"/>
      <c r="FCJ57" s="37"/>
      <c r="FCK57" s="37"/>
      <c r="FCL57" s="37"/>
      <c r="FCM57" s="37"/>
      <c r="FCN57" s="37"/>
      <c r="FCO57" s="37"/>
      <c r="FCP57" s="37"/>
      <c r="FCQ57" s="37"/>
      <c r="FCR57" s="37"/>
      <c r="FCS57" s="37"/>
      <c r="FCT57" s="37"/>
      <c r="FCU57" s="37"/>
      <c r="FCV57" s="37"/>
      <c r="FCW57" s="37"/>
      <c r="FCX57" s="37"/>
      <c r="FCY57" s="37"/>
      <c r="FCZ57" s="37"/>
      <c r="FDA57" s="37"/>
      <c r="FDB57" s="37"/>
      <c r="FDC57" s="37"/>
      <c r="FDD57" s="37"/>
      <c r="FDE57" s="37"/>
      <c r="FDF57" s="37"/>
      <c r="FDG57" s="37"/>
      <c r="FDH57" s="37"/>
      <c r="FDI57" s="37"/>
      <c r="FDJ57" s="37"/>
      <c r="FDK57" s="37"/>
      <c r="FDL57" s="37"/>
      <c r="FDM57" s="37"/>
      <c r="FDN57" s="37"/>
      <c r="FDO57" s="37"/>
      <c r="FDP57" s="37"/>
      <c r="FDQ57" s="37"/>
      <c r="FDR57" s="37"/>
      <c r="FDS57" s="37"/>
      <c r="FDT57" s="37"/>
      <c r="FDU57" s="37"/>
      <c r="FDV57" s="37"/>
      <c r="FDW57" s="37"/>
      <c r="FDX57" s="37"/>
      <c r="FDY57" s="37"/>
      <c r="FDZ57" s="37"/>
      <c r="FEA57" s="37"/>
      <c r="FEB57" s="37"/>
      <c r="FEC57" s="37"/>
      <c r="FED57" s="37"/>
      <c r="FEE57" s="37"/>
      <c r="FEF57" s="37"/>
      <c r="FEG57" s="37"/>
      <c r="FEH57" s="37"/>
      <c r="FEI57" s="37"/>
      <c r="FEJ57" s="37"/>
      <c r="FEK57" s="37"/>
      <c r="FEL57" s="37"/>
      <c r="FEM57" s="37"/>
      <c r="FEN57" s="37"/>
      <c r="FEO57" s="37"/>
      <c r="FEP57" s="37"/>
      <c r="FEQ57" s="37"/>
      <c r="FER57" s="37"/>
      <c r="FES57" s="37"/>
      <c r="FET57" s="37"/>
      <c r="FEU57" s="37"/>
      <c r="FEV57" s="37"/>
      <c r="FEW57" s="37"/>
      <c r="FEX57" s="37"/>
      <c r="FEY57" s="37"/>
      <c r="FEZ57" s="37"/>
      <c r="FFA57" s="37"/>
      <c r="FFB57" s="37"/>
      <c r="FFC57" s="37"/>
      <c r="FFD57" s="37"/>
      <c r="FFE57" s="37"/>
      <c r="FFF57" s="37"/>
      <c r="FFG57" s="37"/>
      <c r="FFH57" s="37"/>
      <c r="FFI57" s="37"/>
      <c r="FFJ57" s="37"/>
      <c r="FFK57" s="37"/>
      <c r="FFL57" s="37"/>
      <c r="FFM57" s="37"/>
      <c r="FFN57" s="37"/>
      <c r="FFO57" s="37"/>
      <c r="FFP57" s="37"/>
      <c r="FFQ57" s="37"/>
      <c r="FFR57" s="37"/>
      <c r="FFS57" s="37"/>
      <c r="FFT57" s="37"/>
      <c r="FFU57" s="37"/>
      <c r="FFV57" s="37"/>
      <c r="FFW57" s="37"/>
      <c r="FFX57" s="37"/>
      <c r="FFY57" s="37"/>
      <c r="FFZ57" s="37"/>
      <c r="FGA57" s="37"/>
      <c r="FGB57" s="37"/>
      <c r="FGC57" s="37"/>
      <c r="FGD57" s="37"/>
      <c r="FGE57" s="37"/>
      <c r="FGF57" s="37"/>
      <c r="FGG57" s="37"/>
      <c r="FGH57" s="37"/>
      <c r="FGI57" s="37"/>
      <c r="FGJ57" s="37"/>
      <c r="FGK57" s="37"/>
      <c r="FGL57" s="37"/>
      <c r="FGM57" s="37"/>
      <c r="FGN57" s="37"/>
      <c r="FGO57" s="37"/>
      <c r="FGP57" s="37"/>
      <c r="FGQ57" s="37"/>
      <c r="FGR57" s="37"/>
      <c r="FGS57" s="37"/>
      <c r="FGT57" s="37"/>
      <c r="FGU57" s="37"/>
      <c r="FGV57" s="37"/>
      <c r="FGW57" s="37"/>
      <c r="FGX57" s="37"/>
      <c r="FGY57" s="37"/>
      <c r="FGZ57" s="37"/>
      <c r="FHA57" s="37"/>
      <c r="FHB57" s="37"/>
      <c r="FHC57" s="37"/>
      <c r="FHD57" s="37"/>
      <c r="FHE57" s="37"/>
      <c r="FHF57" s="37"/>
      <c r="FHG57" s="37"/>
      <c r="FHH57" s="37"/>
      <c r="FHI57" s="37"/>
      <c r="FHJ57" s="37"/>
      <c r="FHK57" s="37"/>
      <c r="FHL57" s="37"/>
      <c r="FHM57" s="37"/>
      <c r="FHN57" s="37"/>
      <c r="FHO57" s="37"/>
      <c r="FHP57" s="37"/>
      <c r="FHQ57" s="37"/>
      <c r="FHR57" s="37"/>
      <c r="FHS57" s="37"/>
      <c r="FHT57" s="37"/>
      <c r="FHU57" s="37"/>
      <c r="FHV57" s="37"/>
      <c r="FHW57" s="37"/>
      <c r="FHX57" s="37"/>
      <c r="FHY57" s="37"/>
      <c r="FHZ57" s="37"/>
      <c r="FIA57" s="37"/>
      <c r="FIB57" s="37"/>
      <c r="FIC57" s="37"/>
      <c r="FID57" s="37"/>
      <c r="FIE57" s="37"/>
      <c r="FIF57" s="37"/>
      <c r="FIG57" s="37"/>
      <c r="FIH57" s="37"/>
      <c r="FII57" s="37"/>
      <c r="FIJ57" s="37"/>
      <c r="FIK57" s="37"/>
      <c r="FIL57" s="37"/>
      <c r="FIM57" s="37"/>
      <c r="FIN57" s="37"/>
      <c r="FIO57" s="37"/>
      <c r="FIP57" s="37"/>
      <c r="FIQ57" s="37"/>
      <c r="FIR57" s="37"/>
      <c r="FIS57" s="37"/>
      <c r="FIT57" s="37"/>
      <c r="FIU57" s="37"/>
      <c r="FIV57" s="37"/>
      <c r="FIW57" s="37"/>
      <c r="FIX57" s="37"/>
      <c r="FIY57" s="37"/>
      <c r="FIZ57" s="37"/>
      <c r="FJA57" s="37"/>
      <c r="FJB57" s="37"/>
      <c r="FJC57" s="37"/>
      <c r="FJD57" s="37"/>
      <c r="FJE57" s="37"/>
      <c r="FJF57" s="37"/>
      <c r="FJG57" s="37"/>
      <c r="FJH57" s="37"/>
      <c r="FJI57" s="37"/>
      <c r="FJJ57" s="37"/>
      <c r="FJK57" s="37"/>
      <c r="FJL57" s="37"/>
      <c r="FJM57" s="37"/>
      <c r="FJN57" s="37"/>
      <c r="FJO57" s="37"/>
      <c r="FJP57" s="37"/>
      <c r="FJQ57" s="37"/>
      <c r="FJR57" s="37"/>
      <c r="FJS57" s="37"/>
      <c r="FJT57" s="37"/>
      <c r="FJU57" s="37"/>
      <c r="FJV57" s="37"/>
      <c r="FJW57" s="37"/>
      <c r="FJX57" s="37"/>
      <c r="FJY57" s="37"/>
      <c r="FJZ57" s="37"/>
      <c r="FKA57" s="37"/>
      <c r="FKB57" s="37"/>
      <c r="FKC57" s="37"/>
      <c r="FKD57" s="37"/>
      <c r="FKE57" s="37"/>
      <c r="FKF57" s="37"/>
      <c r="FKG57" s="37"/>
      <c r="FKH57" s="37"/>
      <c r="FKI57" s="37"/>
      <c r="FKJ57" s="37"/>
      <c r="FKK57" s="37"/>
      <c r="FKL57" s="37"/>
      <c r="FKM57" s="37"/>
      <c r="FKN57" s="37"/>
      <c r="FKO57" s="37"/>
      <c r="FKP57" s="37"/>
      <c r="FKQ57" s="37"/>
      <c r="FKR57" s="37"/>
      <c r="FKS57" s="37"/>
      <c r="FKT57" s="37"/>
      <c r="FKU57" s="37"/>
      <c r="FKV57" s="37"/>
      <c r="FKW57" s="37"/>
      <c r="FKX57" s="37"/>
      <c r="FKY57" s="37"/>
      <c r="FKZ57" s="37"/>
      <c r="FLA57" s="37"/>
      <c r="FLB57" s="37"/>
      <c r="FLC57" s="37"/>
      <c r="FLD57" s="37"/>
      <c r="FLE57" s="37"/>
      <c r="FLF57" s="37"/>
      <c r="FLG57" s="37"/>
      <c r="FLH57" s="37"/>
      <c r="FLI57" s="37"/>
      <c r="FLJ57" s="37"/>
      <c r="FLK57" s="37"/>
      <c r="FLL57" s="37"/>
      <c r="FLM57" s="37"/>
      <c r="FLN57" s="37"/>
      <c r="FLO57" s="37"/>
      <c r="FLP57" s="37"/>
      <c r="FLQ57" s="37"/>
      <c r="FLR57" s="37"/>
      <c r="FLS57" s="37"/>
      <c r="FLT57" s="37"/>
      <c r="FLU57" s="37"/>
      <c r="FLV57" s="37"/>
      <c r="FLW57" s="37"/>
      <c r="FLX57" s="37"/>
      <c r="FLY57" s="37"/>
      <c r="FLZ57" s="37"/>
      <c r="FMA57" s="37"/>
      <c r="FMB57" s="37"/>
      <c r="FMC57" s="37"/>
      <c r="FMD57" s="37"/>
      <c r="FME57" s="37"/>
      <c r="FMF57" s="37"/>
      <c r="FMG57" s="37"/>
      <c r="FMH57" s="37"/>
      <c r="FMI57" s="37"/>
      <c r="FMJ57" s="37"/>
      <c r="FMK57" s="37"/>
      <c r="FML57" s="37"/>
      <c r="FMM57" s="37"/>
      <c r="FMN57" s="37"/>
      <c r="FMO57" s="37"/>
      <c r="FMP57" s="37"/>
      <c r="FMQ57" s="37"/>
      <c r="FMR57" s="37"/>
      <c r="FMS57" s="37"/>
      <c r="FMT57" s="37"/>
      <c r="FMU57" s="37"/>
      <c r="FMV57" s="37"/>
      <c r="FMW57" s="37"/>
      <c r="FMX57" s="37"/>
      <c r="FMY57" s="37"/>
      <c r="FMZ57" s="37"/>
      <c r="FNA57" s="37"/>
      <c r="FNB57" s="37"/>
      <c r="FNC57" s="37"/>
      <c r="FND57" s="37"/>
      <c r="FNE57" s="37"/>
      <c r="FNF57" s="37"/>
      <c r="FNG57" s="37"/>
      <c r="FNH57" s="37"/>
      <c r="FNI57" s="37"/>
      <c r="FNJ57" s="37"/>
      <c r="FNK57" s="37"/>
      <c r="FNL57" s="37"/>
      <c r="FNM57" s="37"/>
      <c r="FNN57" s="37"/>
      <c r="FNO57" s="37"/>
      <c r="FNP57" s="37"/>
      <c r="FNQ57" s="37"/>
      <c r="FNR57" s="37"/>
      <c r="FNS57" s="37"/>
      <c r="FNT57" s="37"/>
      <c r="FNU57" s="37"/>
      <c r="FNV57" s="37"/>
      <c r="FNW57" s="37"/>
      <c r="FNX57" s="37"/>
      <c r="FNY57" s="37"/>
      <c r="FNZ57" s="37"/>
      <c r="FOA57" s="37"/>
      <c r="FOB57" s="37"/>
      <c r="FOC57" s="37"/>
      <c r="FOD57" s="37"/>
      <c r="FOE57" s="37"/>
      <c r="FOF57" s="37"/>
      <c r="FOG57" s="37"/>
      <c r="FOH57" s="37"/>
      <c r="FOI57" s="37"/>
      <c r="FOJ57" s="37"/>
      <c r="FOK57" s="37"/>
      <c r="FOL57" s="37"/>
      <c r="FOM57" s="37"/>
      <c r="FON57" s="37"/>
      <c r="FOO57" s="37"/>
      <c r="FOP57" s="37"/>
      <c r="FOQ57" s="37"/>
      <c r="FOR57" s="37"/>
      <c r="FOS57" s="37"/>
      <c r="FOT57" s="37"/>
      <c r="FOU57" s="37"/>
      <c r="FOV57" s="37"/>
      <c r="FOW57" s="37"/>
      <c r="FOX57" s="37"/>
      <c r="FOY57" s="37"/>
      <c r="FOZ57" s="37"/>
      <c r="FPA57" s="37"/>
      <c r="FPB57" s="37"/>
      <c r="FPC57" s="37"/>
      <c r="FPD57" s="37"/>
      <c r="FPE57" s="37"/>
      <c r="FPF57" s="37"/>
      <c r="FPG57" s="37"/>
      <c r="FPH57" s="37"/>
      <c r="FPI57" s="37"/>
      <c r="FPJ57" s="37"/>
      <c r="FPK57" s="37"/>
      <c r="FPL57" s="37"/>
      <c r="FPM57" s="37"/>
      <c r="FPN57" s="37"/>
      <c r="FPO57" s="37"/>
      <c r="FPP57" s="37"/>
      <c r="FPQ57" s="37"/>
      <c r="FPR57" s="37"/>
      <c r="FPS57" s="37"/>
      <c r="FPT57" s="37"/>
      <c r="FPU57" s="37"/>
      <c r="FPV57" s="37"/>
      <c r="FPW57" s="37"/>
      <c r="FPX57" s="37"/>
      <c r="FPY57" s="37"/>
      <c r="FPZ57" s="37"/>
      <c r="FQA57" s="37"/>
      <c r="FQB57" s="37"/>
      <c r="FQC57" s="37"/>
      <c r="FQD57" s="37"/>
      <c r="FQE57" s="37"/>
      <c r="FQF57" s="37"/>
      <c r="FQG57" s="37"/>
      <c r="FQH57" s="37"/>
      <c r="FQI57" s="37"/>
      <c r="FQJ57" s="37"/>
      <c r="FQK57" s="37"/>
      <c r="FQL57" s="37"/>
      <c r="FQM57" s="37"/>
      <c r="FQN57" s="37"/>
      <c r="FQO57" s="37"/>
      <c r="FQP57" s="37"/>
      <c r="FQQ57" s="37"/>
      <c r="FQR57" s="37"/>
      <c r="FQS57" s="37"/>
      <c r="FQT57" s="37"/>
      <c r="FQU57" s="37"/>
      <c r="FQV57" s="37"/>
      <c r="FQW57" s="37"/>
      <c r="FQX57" s="37"/>
      <c r="FQY57" s="37"/>
      <c r="FQZ57" s="37"/>
      <c r="FRA57" s="37"/>
      <c r="FRB57" s="37"/>
      <c r="FRC57" s="37"/>
      <c r="FRD57" s="37"/>
      <c r="FRE57" s="37"/>
      <c r="FRF57" s="37"/>
      <c r="FRG57" s="37"/>
      <c r="FRH57" s="37"/>
      <c r="FRI57" s="37"/>
      <c r="FRJ57" s="37"/>
      <c r="FRK57" s="37"/>
      <c r="FRL57" s="37"/>
      <c r="FRM57" s="37"/>
      <c r="FRN57" s="37"/>
      <c r="FRO57" s="37"/>
      <c r="FRP57" s="37"/>
      <c r="FRQ57" s="37"/>
      <c r="FRR57" s="37"/>
      <c r="FRS57" s="37"/>
      <c r="FRT57" s="37"/>
      <c r="FRU57" s="37"/>
      <c r="FRV57" s="37"/>
      <c r="FRW57" s="37"/>
      <c r="FRX57" s="37"/>
      <c r="FRY57" s="37"/>
      <c r="FRZ57" s="37"/>
      <c r="FSA57" s="37"/>
      <c r="FSB57" s="37"/>
      <c r="FSC57" s="37"/>
      <c r="FSD57" s="37"/>
      <c r="FSE57" s="37"/>
      <c r="FSF57" s="37"/>
      <c r="FSG57" s="37"/>
      <c r="FSH57" s="37"/>
      <c r="FSI57" s="37"/>
      <c r="FSJ57" s="37"/>
      <c r="FSK57" s="37"/>
      <c r="FSL57" s="37"/>
      <c r="FSM57" s="37"/>
      <c r="FSN57" s="37"/>
      <c r="FSO57" s="37"/>
      <c r="FSP57" s="37"/>
      <c r="FSQ57" s="37"/>
      <c r="FSR57" s="37"/>
      <c r="FSS57" s="37"/>
      <c r="FST57" s="37"/>
      <c r="FSU57" s="37"/>
      <c r="FSV57" s="37"/>
      <c r="FSW57" s="37"/>
      <c r="FSX57" s="37"/>
      <c r="FSY57" s="37"/>
      <c r="FSZ57" s="37"/>
      <c r="FTA57" s="37"/>
      <c r="FTB57" s="37"/>
      <c r="FTC57" s="37"/>
      <c r="FTD57" s="37"/>
      <c r="FTE57" s="37"/>
      <c r="FTF57" s="37"/>
      <c r="FTG57" s="37"/>
      <c r="FTH57" s="37"/>
      <c r="FTI57" s="37"/>
      <c r="FTJ57" s="37"/>
      <c r="FTK57" s="37"/>
      <c r="FTL57" s="37"/>
      <c r="FTM57" s="37"/>
      <c r="FTN57" s="37"/>
      <c r="FTO57" s="37"/>
      <c r="FTP57" s="37"/>
      <c r="FTQ57" s="37"/>
      <c r="FTR57" s="37"/>
      <c r="FTS57" s="37"/>
      <c r="FTT57" s="37"/>
      <c r="FTU57" s="37"/>
      <c r="FTV57" s="37"/>
      <c r="FTW57" s="37"/>
      <c r="FTX57" s="37"/>
      <c r="FTY57" s="37"/>
      <c r="FTZ57" s="37"/>
      <c r="FUA57" s="37"/>
      <c r="FUB57" s="37"/>
      <c r="FUC57" s="37"/>
      <c r="FUD57" s="37"/>
      <c r="FUE57" s="37"/>
      <c r="FUF57" s="37"/>
      <c r="FUG57" s="37"/>
      <c r="FUH57" s="37"/>
      <c r="FUI57" s="37"/>
      <c r="FUJ57" s="37"/>
      <c r="FUK57" s="37"/>
      <c r="FUL57" s="37"/>
      <c r="FUM57" s="37"/>
      <c r="FUN57" s="37"/>
      <c r="FUO57" s="37"/>
      <c r="FUP57" s="37"/>
      <c r="FUQ57" s="37"/>
      <c r="FUR57" s="37"/>
      <c r="FUS57" s="37"/>
      <c r="FUT57" s="37"/>
      <c r="FUU57" s="37"/>
      <c r="FUV57" s="37"/>
      <c r="FUW57" s="37"/>
      <c r="FUX57" s="37"/>
      <c r="FUY57" s="37"/>
      <c r="FUZ57" s="37"/>
      <c r="FVA57" s="37"/>
      <c r="FVB57" s="37"/>
      <c r="FVC57" s="37"/>
      <c r="FVD57" s="37"/>
      <c r="FVE57" s="37"/>
      <c r="FVF57" s="37"/>
      <c r="FVG57" s="37"/>
      <c r="FVH57" s="37"/>
      <c r="FVI57" s="37"/>
      <c r="FVJ57" s="37"/>
      <c r="FVK57" s="37"/>
      <c r="FVL57" s="37"/>
      <c r="FVM57" s="37"/>
      <c r="FVN57" s="37"/>
      <c r="FVO57" s="37"/>
      <c r="FVP57" s="37"/>
      <c r="FVQ57" s="37"/>
      <c r="FVR57" s="37"/>
      <c r="FVS57" s="37"/>
      <c r="FVT57" s="37"/>
      <c r="FVU57" s="37"/>
      <c r="FVV57" s="37"/>
      <c r="FVW57" s="37"/>
      <c r="FVX57" s="37"/>
      <c r="FVY57" s="37"/>
      <c r="FVZ57" s="37"/>
      <c r="FWA57" s="37"/>
      <c r="FWB57" s="37"/>
      <c r="FWC57" s="37"/>
      <c r="FWD57" s="37"/>
      <c r="FWE57" s="37"/>
      <c r="FWF57" s="37"/>
      <c r="FWG57" s="37"/>
      <c r="FWH57" s="37"/>
      <c r="FWI57" s="37"/>
      <c r="FWJ57" s="37"/>
      <c r="FWK57" s="37"/>
      <c r="FWL57" s="37"/>
      <c r="FWM57" s="37"/>
      <c r="FWN57" s="37"/>
      <c r="FWO57" s="37"/>
      <c r="FWP57" s="37"/>
      <c r="FWQ57" s="37"/>
      <c r="FWR57" s="37"/>
      <c r="FWS57" s="37"/>
      <c r="FWT57" s="37"/>
      <c r="FWU57" s="37"/>
      <c r="FWV57" s="37"/>
      <c r="FWW57" s="37"/>
      <c r="FWX57" s="37"/>
      <c r="FWY57" s="37"/>
      <c r="FWZ57" s="37"/>
      <c r="FXA57" s="37"/>
      <c r="FXB57" s="37"/>
      <c r="FXC57" s="37"/>
      <c r="FXD57" s="37"/>
      <c r="FXE57" s="37"/>
      <c r="FXF57" s="37"/>
      <c r="FXG57" s="37"/>
      <c r="FXH57" s="37"/>
      <c r="FXI57" s="37"/>
      <c r="FXJ57" s="37"/>
      <c r="FXK57" s="37"/>
      <c r="FXL57" s="37"/>
      <c r="FXM57" s="37"/>
      <c r="FXN57" s="37"/>
      <c r="FXO57" s="37"/>
      <c r="FXP57" s="37"/>
      <c r="FXQ57" s="37"/>
      <c r="FXR57" s="37"/>
      <c r="FXS57" s="37"/>
      <c r="FXT57" s="37"/>
      <c r="FXU57" s="37"/>
      <c r="FXV57" s="37"/>
      <c r="FXW57" s="37"/>
      <c r="FXX57" s="37"/>
      <c r="FXY57" s="37"/>
      <c r="FXZ57" s="37"/>
      <c r="FYA57" s="37"/>
      <c r="FYB57" s="37"/>
      <c r="FYC57" s="37"/>
      <c r="FYD57" s="37"/>
      <c r="FYE57" s="37"/>
      <c r="FYF57" s="37"/>
      <c r="FYG57" s="37"/>
      <c r="FYH57" s="37"/>
      <c r="FYI57" s="37"/>
      <c r="FYJ57" s="37"/>
      <c r="FYK57" s="37"/>
      <c r="FYL57" s="37"/>
      <c r="FYM57" s="37"/>
      <c r="FYN57" s="37"/>
      <c r="FYO57" s="37"/>
      <c r="FYP57" s="37"/>
      <c r="FYQ57" s="37"/>
      <c r="FYR57" s="37"/>
      <c r="FYS57" s="37"/>
      <c r="FYT57" s="37"/>
      <c r="FYU57" s="37"/>
      <c r="FYV57" s="37"/>
      <c r="FYW57" s="37"/>
      <c r="FYX57" s="37"/>
      <c r="FYY57" s="37"/>
      <c r="FYZ57" s="37"/>
      <c r="FZA57" s="37"/>
      <c r="FZB57" s="37"/>
      <c r="FZC57" s="37"/>
      <c r="FZD57" s="37"/>
      <c r="FZE57" s="37"/>
      <c r="FZF57" s="37"/>
      <c r="FZG57" s="37"/>
      <c r="FZH57" s="37"/>
      <c r="FZI57" s="37"/>
      <c r="FZJ57" s="37"/>
      <c r="FZK57" s="37"/>
      <c r="FZL57" s="37"/>
      <c r="FZM57" s="37"/>
      <c r="FZN57" s="37"/>
      <c r="FZO57" s="37"/>
      <c r="FZP57" s="37"/>
      <c r="FZQ57" s="37"/>
      <c r="FZR57" s="37"/>
      <c r="FZS57" s="37"/>
      <c r="FZT57" s="37"/>
      <c r="FZU57" s="37"/>
      <c r="FZV57" s="37"/>
      <c r="FZW57" s="37"/>
      <c r="FZX57" s="37"/>
      <c r="FZY57" s="37"/>
      <c r="FZZ57" s="37"/>
      <c r="GAA57" s="37"/>
      <c r="GAB57" s="37"/>
      <c r="GAC57" s="37"/>
      <c r="GAD57" s="37"/>
      <c r="GAE57" s="37"/>
      <c r="GAF57" s="37"/>
      <c r="GAG57" s="37"/>
      <c r="GAH57" s="37"/>
      <c r="GAI57" s="37"/>
      <c r="GAJ57" s="37"/>
      <c r="GAK57" s="37"/>
      <c r="GAL57" s="37"/>
      <c r="GAM57" s="37"/>
      <c r="GAN57" s="37"/>
      <c r="GAO57" s="37"/>
      <c r="GAP57" s="37"/>
      <c r="GAQ57" s="37"/>
      <c r="GAR57" s="37"/>
      <c r="GAS57" s="37"/>
      <c r="GAT57" s="37"/>
      <c r="GAU57" s="37"/>
      <c r="GAV57" s="37"/>
      <c r="GAW57" s="37"/>
      <c r="GAX57" s="37"/>
      <c r="GAY57" s="37"/>
      <c r="GAZ57" s="37"/>
      <c r="GBA57" s="37"/>
      <c r="GBB57" s="37"/>
      <c r="GBC57" s="37"/>
      <c r="GBD57" s="37"/>
      <c r="GBE57" s="37"/>
      <c r="GBF57" s="37"/>
      <c r="GBG57" s="37"/>
      <c r="GBH57" s="37"/>
      <c r="GBI57" s="37"/>
      <c r="GBJ57" s="37"/>
      <c r="GBK57" s="37"/>
      <c r="GBL57" s="37"/>
      <c r="GBM57" s="37"/>
      <c r="GBN57" s="37"/>
      <c r="GBO57" s="37"/>
      <c r="GBP57" s="37"/>
      <c r="GBQ57" s="37"/>
      <c r="GBR57" s="37"/>
      <c r="GBS57" s="37"/>
      <c r="GBT57" s="37"/>
      <c r="GBU57" s="37"/>
      <c r="GBV57" s="37"/>
      <c r="GBW57" s="37"/>
      <c r="GBX57" s="37"/>
      <c r="GBY57" s="37"/>
      <c r="GBZ57" s="37"/>
      <c r="GCA57" s="37"/>
      <c r="GCB57" s="37"/>
      <c r="GCC57" s="37"/>
      <c r="GCD57" s="37"/>
      <c r="GCE57" s="37"/>
      <c r="GCF57" s="37"/>
      <c r="GCG57" s="37"/>
      <c r="GCH57" s="37"/>
      <c r="GCI57" s="37"/>
      <c r="GCJ57" s="37"/>
      <c r="GCK57" s="37"/>
      <c r="GCL57" s="37"/>
      <c r="GCM57" s="37"/>
      <c r="GCN57" s="37"/>
      <c r="GCO57" s="37"/>
      <c r="GCP57" s="37"/>
      <c r="GCQ57" s="37"/>
      <c r="GCR57" s="37"/>
      <c r="GCS57" s="37"/>
      <c r="GCT57" s="37"/>
      <c r="GCU57" s="37"/>
      <c r="GCV57" s="37"/>
      <c r="GCW57" s="37"/>
      <c r="GCX57" s="37"/>
      <c r="GCY57" s="37"/>
      <c r="GCZ57" s="37"/>
      <c r="GDA57" s="37"/>
      <c r="GDB57" s="37"/>
      <c r="GDC57" s="37"/>
      <c r="GDD57" s="37"/>
      <c r="GDE57" s="37"/>
      <c r="GDF57" s="37"/>
      <c r="GDG57" s="37"/>
      <c r="GDH57" s="37"/>
      <c r="GDI57" s="37"/>
      <c r="GDJ57" s="37"/>
      <c r="GDK57" s="37"/>
      <c r="GDL57" s="37"/>
      <c r="GDM57" s="37"/>
      <c r="GDN57" s="37"/>
      <c r="GDO57" s="37"/>
      <c r="GDP57" s="37"/>
      <c r="GDQ57" s="37"/>
      <c r="GDR57" s="37"/>
      <c r="GDS57" s="37"/>
      <c r="GDT57" s="37"/>
      <c r="GDU57" s="37"/>
      <c r="GDV57" s="37"/>
      <c r="GDW57" s="37"/>
      <c r="GDX57" s="37"/>
      <c r="GDY57" s="37"/>
      <c r="GDZ57" s="37"/>
      <c r="GEA57" s="37"/>
      <c r="GEB57" s="37"/>
      <c r="GEC57" s="37"/>
      <c r="GED57" s="37"/>
      <c r="GEE57" s="37"/>
      <c r="GEF57" s="37"/>
      <c r="GEG57" s="37"/>
      <c r="GEH57" s="37"/>
      <c r="GEI57" s="37"/>
      <c r="GEJ57" s="37"/>
      <c r="GEK57" s="37"/>
      <c r="GEL57" s="37"/>
      <c r="GEM57" s="37"/>
      <c r="GEN57" s="37"/>
      <c r="GEO57" s="37"/>
      <c r="GEP57" s="37"/>
      <c r="GEQ57" s="37"/>
      <c r="GER57" s="37"/>
      <c r="GES57" s="37"/>
      <c r="GET57" s="37"/>
      <c r="GEU57" s="37"/>
      <c r="GEV57" s="37"/>
      <c r="GEW57" s="37"/>
      <c r="GEX57" s="37"/>
      <c r="GEY57" s="37"/>
      <c r="GEZ57" s="37"/>
      <c r="GFA57" s="37"/>
      <c r="GFB57" s="37"/>
      <c r="GFC57" s="37"/>
      <c r="GFD57" s="37"/>
      <c r="GFE57" s="37"/>
      <c r="GFF57" s="37"/>
      <c r="GFG57" s="37"/>
      <c r="GFH57" s="37"/>
      <c r="GFI57" s="37"/>
      <c r="GFJ57" s="37"/>
      <c r="GFK57" s="37"/>
      <c r="GFL57" s="37"/>
      <c r="GFM57" s="37"/>
      <c r="GFN57" s="37"/>
      <c r="GFO57" s="37"/>
      <c r="GFP57" s="37"/>
      <c r="GFQ57" s="37"/>
      <c r="GFR57" s="37"/>
      <c r="GFS57" s="37"/>
      <c r="GFT57" s="37"/>
      <c r="GFU57" s="37"/>
      <c r="GFV57" s="37"/>
      <c r="GFW57" s="37"/>
      <c r="GFX57" s="37"/>
      <c r="GFY57" s="37"/>
      <c r="GFZ57" s="37"/>
      <c r="GGA57" s="37"/>
      <c r="GGB57" s="37"/>
      <c r="GGC57" s="37"/>
      <c r="GGD57" s="37"/>
      <c r="GGE57" s="37"/>
      <c r="GGF57" s="37"/>
      <c r="GGG57" s="37"/>
      <c r="GGH57" s="37"/>
      <c r="GGI57" s="37"/>
      <c r="GGJ57" s="37"/>
      <c r="GGK57" s="37"/>
      <c r="GGL57" s="37"/>
      <c r="GGM57" s="37"/>
      <c r="GGN57" s="37"/>
      <c r="GGO57" s="37"/>
      <c r="GGP57" s="37"/>
      <c r="GGQ57" s="37"/>
      <c r="GGR57" s="37"/>
      <c r="GGS57" s="37"/>
      <c r="GGT57" s="37"/>
      <c r="GGU57" s="37"/>
      <c r="GGV57" s="37"/>
      <c r="GGW57" s="37"/>
      <c r="GGX57" s="37"/>
      <c r="GGY57" s="37"/>
      <c r="GGZ57" s="37"/>
      <c r="GHA57" s="37"/>
      <c r="GHB57" s="37"/>
      <c r="GHC57" s="37"/>
      <c r="GHD57" s="37"/>
      <c r="GHE57" s="37"/>
      <c r="GHF57" s="37"/>
      <c r="GHG57" s="37"/>
      <c r="GHH57" s="37"/>
      <c r="GHI57" s="37"/>
      <c r="GHJ57" s="37"/>
      <c r="GHK57" s="37"/>
      <c r="GHL57" s="37"/>
      <c r="GHM57" s="37"/>
      <c r="GHN57" s="37"/>
      <c r="GHO57" s="37"/>
      <c r="GHP57" s="37"/>
      <c r="GHQ57" s="37"/>
      <c r="GHR57" s="37"/>
      <c r="GHS57" s="37"/>
      <c r="GHT57" s="37"/>
      <c r="GHU57" s="37"/>
      <c r="GHV57" s="37"/>
      <c r="GHW57" s="37"/>
      <c r="GHX57" s="37"/>
      <c r="GHY57" s="37"/>
      <c r="GHZ57" s="37"/>
      <c r="GIA57" s="37"/>
      <c r="GIB57" s="37"/>
      <c r="GIC57" s="37"/>
      <c r="GID57" s="37"/>
      <c r="GIE57" s="37"/>
      <c r="GIF57" s="37"/>
      <c r="GIG57" s="37"/>
      <c r="GIH57" s="37"/>
      <c r="GII57" s="37"/>
      <c r="GIJ57" s="37"/>
      <c r="GIK57" s="37"/>
      <c r="GIL57" s="37"/>
      <c r="GIM57" s="37"/>
      <c r="GIN57" s="37"/>
      <c r="GIO57" s="37"/>
      <c r="GIP57" s="37"/>
      <c r="GIQ57" s="37"/>
      <c r="GIR57" s="37"/>
      <c r="GIS57" s="37"/>
      <c r="GIT57" s="37"/>
      <c r="GIU57" s="37"/>
      <c r="GIV57" s="37"/>
      <c r="GIW57" s="37"/>
      <c r="GIX57" s="37"/>
      <c r="GIY57" s="37"/>
      <c r="GIZ57" s="37"/>
      <c r="GJA57" s="37"/>
      <c r="GJB57" s="37"/>
      <c r="GJC57" s="37"/>
      <c r="GJD57" s="37"/>
      <c r="GJE57" s="37"/>
      <c r="GJF57" s="37"/>
      <c r="GJG57" s="37"/>
      <c r="GJH57" s="37"/>
      <c r="GJI57" s="37"/>
      <c r="GJJ57" s="37"/>
      <c r="GJK57" s="37"/>
      <c r="GJL57" s="37"/>
      <c r="GJM57" s="37"/>
      <c r="GJN57" s="37"/>
      <c r="GJO57" s="37"/>
      <c r="GJP57" s="37"/>
      <c r="GJQ57" s="37"/>
      <c r="GJR57" s="37"/>
      <c r="GJS57" s="37"/>
      <c r="GJT57" s="37"/>
      <c r="GJU57" s="37"/>
      <c r="GJV57" s="37"/>
      <c r="GJW57" s="37"/>
      <c r="GJX57" s="37"/>
      <c r="GJY57" s="37"/>
      <c r="GJZ57" s="37"/>
      <c r="GKA57" s="37"/>
      <c r="GKB57" s="37"/>
      <c r="GKC57" s="37"/>
      <c r="GKD57" s="37"/>
      <c r="GKE57" s="37"/>
      <c r="GKF57" s="37"/>
      <c r="GKG57" s="37"/>
      <c r="GKH57" s="37"/>
      <c r="GKI57" s="37"/>
      <c r="GKJ57" s="37"/>
      <c r="GKK57" s="37"/>
      <c r="GKL57" s="37"/>
      <c r="GKM57" s="37"/>
      <c r="GKN57" s="37"/>
      <c r="GKO57" s="37"/>
      <c r="GKP57" s="37"/>
      <c r="GKQ57" s="37"/>
      <c r="GKR57" s="37"/>
      <c r="GKS57" s="37"/>
      <c r="GKT57" s="37"/>
      <c r="GKU57" s="37"/>
      <c r="GKV57" s="37"/>
      <c r="GKW57" s="37"/>
      <c r="GKX57" s="37"/>
      <c r="GKY57" s="37"/>
      <c r="GKZ57" s="37"/>
      <c r="GLA57" s="37"/>
      <c r="GLB57" s="37"/>
      <c r="GLC57" s="37"/>
      <c r="GLD57" s="37"/>
      <c r="GLE57" s="37"/>
      <c r="GLF57" s="37"/>
      <c r="GLG57" s="37"/>
      <c r="GLH57" s="37"/>
      <c r="GLI57" s="37"/>
      <c r="GLJ57" s="37"/>
      <c r="GLK57" s="37"/>
      <c r="GLL57" s="37"/>
      <c r="GLM57" s="37"/>
      <c r="GLN57" s="37"/>
      <c r="GLO57" s="37"/>
      <c r="GLP57" s="37"/>
      <c r="GLQ57" s="37"/>
      <c r="GLR57" s="37"/>
      <c r="GLS57" s="37"/>
      <c r="GLT57" s="37"/>
      <c r="GLU57" s="37"/>
      <c r="GLV57" s="37"/>
      <c r="GLW57" s="37"/>
      <c r="GLX57" s="37"/>
      <c r="GLY57" s="37"/>
      <c r="GLZ57" s="37"/>
      <c r="GMA57" s="37"/>
      <c r="GMB57" s="37"/>
      <c r="GMC57" s="37"/>
      <c r="GMD57" s="37"/>
      <c r="GME57" s="37"/>
      <c r="GMF57" s="37"/>
      <c r="GMG57" s="37"/>
      <c r="GMH57" s="37"/>
      <c r="GMI57" s="37"/>
      <c r="GMJ57" s="37"/>
      <c r="GMK57" s="37"/>
      <c r="GML57" s="37"/>
      <c r="GMM57" s="37"/>
      <c r="GMN57" s="37"/>
      <c r="GMO57" s="37"/>
      <c r="GMP57" s="37"/>
      <c r="GMQ57" s="37"/>
      <c r="GMR57" s="37"/>
      <c r="GMS57" s="37"/>
      <c r="GMT57" s="37"/>
      <c r="GMU57" s="37"/>
      <c r="GMV57" s="37"/>
      <c r="GMW57" s="37"/>
      <c r="GMX57" s="37"/>
      <c r="GMY57" s="37"/>
      <c r="GMZ57" s="37"/>
      <c r="GNA57" s="37"/>
      <c r="GNB57" s="37"/>
      <c r="GNC57" s="37"/>
      <c r="GND57" s="37"/>
      <c r="GNE57" s="37"/>
      <c r="GNF57" s="37"/>
      <c r="GNG57" s="37"/>
      <c r="GNH57" s="37"/>
      <c r="GNI57" s="37"/>
      <c r="GNJ57" s="37"/>
      <c r="GNK57" s="37"/>
      <c r="GNL57" s="37"/>
      <c r="GNM57" s="37"/>
      <c r="GNN57" s="37"/>
      <c r="GNO57" s="37"/>
      <c r="GNP57" s="37"/>
      <c r="GNQ57" s="37"/>
      <c r="GNR57" s="37"/>
      <c r="GNS57" s="37"/>
      <c r="GNT57" s="37"/>
      <c r="GNU57" s="37"/>
      <c r="GNV57" s="37"/>
      <c r="GNW57" s="37"/>
      <c r="GNX57" s="37"/>
      <c r="GNY57" s="37"/>
      <c r="GNZ57" s="37"/>
      <c r="GOA57" s="37"/>
      <c r="GOB57" s="37"/>
      <c r="GOC57" s="37"/>
      <c r="GOD57" s="37"/>
      <c r="GOE57" s="37"/>
      <c r="GOF57" s="37"/>
      <c r="GOG57" s="37"/>
      <c r="GOH57" s="37"/>
      <c r="GOI57" s="37"/>
      <c r="GOJ57" s="37"/>
      <c r="GOK57" s="37"/>
      <c r="GOL57" s="37"/>
      <c r="GOM57" s="37"/>
      <c r="GON57" s="37"/>
      <c r="GOO57" s="37"/>
      <c r="GOP57" s="37"/>
      <c r="GOQ57" s="37"/>
      <c r="GOR57" s="37"/>
      <c r="GOS57" s="37"/>
      <c r="GOT57" s="37"/>
      <c r="GOU57" s="37"/>
      <c r="GOV57" s="37"/>
      <c r="GOW57" s="37"/>
      <c r="GOX57" s="37"/>
      <c r="GOY57" s="37"/>
      <c r="GOZ57" s="37"/>
      <c r="GPA57" s="37"/>
      <c r="GPB57" s="37"/>
      <c r="GPC57" s="37"/>
      <c r="GPD57" s="37"/>
      <c r="GPE57" s="37"/>
      <c r="GPF57" s="37"/>
      <c r="GPG57" s="37"/>
      <c r="GPH57" s="37"/>
      <c r="GPI57" s="37"/>
      <c r="GPJ57" s="37"/>
      <c r="GPK57" s="37"/>
      <c r="GPL57" s="37"/>
      <c r="GPM57" s="37"/>
      <c r="GPN57" s="37"/>
      <c r="GPO57" s="37"/>
      <c r="GPP57" s="37"/>
      <c r="GPQ57" s="37"/>
      <c r="GPR57" s="37"/>
      <c r="GPS57" s="37"/>
      <c r="GPT57" s="37"/>
      <c r="GPU57" s="37"/>
      <c r="GPV57" s="37"/>
      <c r="GPW57" s="37"/>
      <c r="GPX57" s="37"/>
      <c r="GPY57" s="37"/>
      <c r="GPZ57" s="37"/>
      <c r="GQA57" s="37"/>
      <c r="GQB57" s="37"/>
      <c r="GQC57" s="37"/>
      <c r="GQD57" s="37"/>
      <c r="GQE57" s="37"/>
      <c r="GQF57" s="37"/>
      <c r="GQG57" s="37"/>
      <c r="GQH57" s="37"/>
      <c r="GQI57" s="37"/>
      <c r="GQJ57" s="37"/>
      <c r="GQK57" s="37"/>
      <c r="GQL57" s="37"/>
      <c r="GQM57" s="37"/>
      <c r="GQN57" s="37"/>
      <c r="GQO57" s="37"/>
      <c r="GQP57" s="37"/>
      <c r="GQQ57" s="37"/>
      <c r="GQR57" s="37"/>
      <c r="GQS57" s="37"/>
      <c r="GQT57" s="37"/>
      <c r="GQU57" s="37"/>
      <c r="GQV57" s="37"/>
      <c r="GQW57" s="37"/>
      <c r="GQX57" s="37"/>
      <c r="GQY57" s="37"/>
      <c r="GQZ57" s="37"/>
      <c r="GRA57" s="37"/>
      <c r="GRB57" s="37"/>
      <c r="GRC57" s="37"/>
      <c r="GRD57" s="37"/>
      <c r="GRE57" s="37"/>
      <c r="GRF57" s="37"/>
      <c r="GRG57" s="37"/>
      <c r="GRH57" s="37"/>
      <c r="GRI57" s="37"/>
      <c r="GRJ57" s="37"/>
      <c r="GRK57" s="37"/>
      <c r="GRL57" s="37"/>
      <c r="GRM57" s="37"/>
      <c r="GRN57" s="37"/>
      <c r="GRO57" s="37"/>
      <c r="GRP57" s="37"/>
      <c r="GRQ57" s="37"/>
      <c r="GRR57" s="37"/>
      <c r="GRS57" s="37"/>
      <c r="GRT57" s="37"/>
      <c r="GRU57" s="37"/>
      <c r="GRV57" s="37"/>
      <c r="GRW57" s="37"/>
      <c r="GRX57" s="37"/>
      <c r="GRY57" s="37"/>
      <c r="GRZ57" s="37"/>
      <c r="GSA57" s="37"/>
      <c r="GSB57" s="37"/>
      <c r="GSC57" s="37"/>
      <c r="GSD57" s="37"/>
      <c r="GSE57" s="37"/>
      <c r="GSF57" s="37"/>
      <c r="GSG57" s="37"/>
      <c r="GSH57" s="37"/>
      <c r="GSI57" s="37"/>
      <c r="GSJ57" s="37"/>
      <c r="GSK57" s="37"/>
      <c r="GSL57" s="37"/>
      <c r="GSM57" s="37"/>
      <c r="GSN57" s="37"/>
      <c r="GSO57" s="37"/>
      <c r="GSP57" s="37"/>
      <c r="GSQ57" s="37"/>
      <c r="GSR57" s="37"/>
      <c r="GSS57" s="37"/>
      <c r="GST57" s="37"/>
      <c r="GSU57" s="37"/>
      <c r="GSV57" s="37"/>
      <c r="GSW57" s="37"/>
      <c r="GSX57" s="37"/>
      <c r="GSY57" s="37"/>
      <c r="GSZ57" s="37"/>
      <c r="GTA57" s="37"/>
      <c r="GTB57" s="37"/>
      <c r="GTC57" s="37"/>
      <c r="GTD57" s="37"/>
      <c r="GTE57" s="37"/>
      <c r="GTF57" s="37"/>
      <c r="GTG57" s="37"/>
      <c r="GTH57" s="37"/>
      <c r="GTI57" s="37"/>
      <c r="GTJ57" s="37"/>
      <c r="GTK57" s="37"/>
      <c r="GTL57" s="37"/>
      <c r="GTM57" s="37"/>
      <c r="GTN57" s="37"/>
      <c r="GTO57" s="37"/>
      <c r="GTP57" s="37"/>
      <c r="GTQ57" s="37"/>
      <c r="GTR57" s="37"/>
      <c r="GTS57" s="37"/>
      <c r="GTT57" s="37"/>
      <c r="GTU57" s="37"/>
      <c r="GTV57" s="37"/>
      <c r="GTW57" s="37"/>
      <c r="GTX57" s="37"/>
      <c r="GTY57" s="37"/>
      <c r="GTZ57" s="37"/>
      <c r="GUA57" s="37"/>
      <c r="GUB57" s="37"/>
      <c r="GUC57" s="37"/>
      <c r="GUD57" s="37"/>
      <c r="GUE57" s="37"/>
      <c r="GUF57" s="37"/>
      <c r="GUG57" s="37"/>
      <c r="GUH57" s="37"/>
      <c r="GUI57" s="37"/>
      <c r="GUJ57" s="37"/>
      <c r="GUK57" s="37"/>
      <c r="GUL57" s="37"/>
      <c r="GUM57" s="37"/>
      <c r="GUN57" s="37"/>
      <c r="GUO57" s="37"/>
      <c r="GUP57" s="37"/>
      <c r="GUQ57" s="37"/>
      <c r="GUR57" s="37"/>
      <c r="GUS57" s="37"/>
      <c r="GUT57" s="37"/>
      <c r="GUU57" s="37"/>
      <c r="GUV57" s="37"/>
      <c r="GUW57" s="37"/>
      <c r="GUX57" s="37"/>
      <c r="GUY57" s="37"/>
      <c r="GUZ57" s="37"/>
      <c r="GVA57" s="37"/>
      <c r="GVB57" s="37"/>
      <c r="GVC57" s="37"/>
      <c r="GVD57" s="37"/>
      <c r="GVE57" s="37"/>
      <c r="GVF57" s="37"/>
      <c r="GVG57" s="37"/>
      <c r="GVH57" s="37"/>
      <c r="GVI57" s="37"/>
      <c r="GVJ57" s="37"/>
      <c r="GVK57" s="37"/>
      <c r="GVL57" s="37"/>
      <c r="GVM57" s="37"/>
      <c r="GVN57" s="37"/>
      <c r="GVO57" s="37"/>
      <c r="GVP57" s="37"/>
      <c r="GVQ57" s="37"/>
      <c r="GVR57" s="37"/>
      <c r="GVS57" s="37"/>
      <c r="GVT57" s="37"/>
      <c r="GVU57" s="37"/>
      <c r="GVV57" s="37"/>
      <c r="GVW57" s="37"/>
      <c r="GVX57" s="37"/>
      <c r="GVY57" s="37"/>
      <c r="GVZ57" s="37"/>
      <c r="GWA57" s="37"/>
      <c r="GWB57" s="37"/>
      <c r="GWC57" s="37"/>
      <c r="GWD57" s="37"/>
      <c r="GWE57" s="37"/>
      <c r="GWF57" s="37"/>
      <c r="GWG57" s="37"/>
      <c r="GWH57" s="37"/>
      <c r="GWI57" s="37"/>
      <c r="GWJ57" s="37"/>
      <c r="GWK57" s="37"/>
      <c r="GWL57" s="37"/>
      <c r="GWM57" s="37"/>
      <c r="GWN57" s="37"/>
      <c r="GWO57" s="37"/>
      <c r="GWP57" s="37"/>
      <c r="GWQ57" s="37"/>
      <c r="GWR57" s="37"/>
      <c r="GWS57" s="37"/>
      <c r="GWT57" s="37"/>
      <c r="GWU57" s="37"/>
      <c r="GWV57" s="37"/>
      <c r="GWW57" s="37"/>
      <c r="GWX57" s="37"/>
      <c r="GWY57" s="37"/>
      <c r="GWZ57" s="37"/>
      <c r="GXA57" s="37"/>
      <c r="GXB57" s="37"/>
      <c r="GXC57" s="37"/>
      <c r="GXD57" s="37"/>
      <c r="GXE57" s="37"/>
      <c r="GXF57" s="37"/>
      <c r="GXG57" s="37"/>
      <c r="GXH57" s="37"/>
      <c r="GXI57" s="37"/>
      <c r="GXJ57" s="37"/>
      <c r="GXK57" s="37"/>
      <c r="GXL57" s="37"/>
      <c r="GXM57" s="37"/>
      <c r="GXN57" s="37"/>
      <c r="GXO57" s="37"/>
      <c r="GXP57" s="37"/>
      <c r="GXQ57" s="37"/>
      <c r="GXR57" s="37"/>
      <c r="GXS57" s="37"/>
      <c r="GXT57" s="37"/>
      <c r="GXU57" s="37"/>
      <c r="GXV57" s="37"/>
      <c r="GXW57" s="37"/>
      <c r="GXX57" s="37"/>
      <c r="GXY57" s="37"/>
      <c r="GXZ57" s="37"/>
      <c r="GYA57" s="37"/>
      <c r="GYB57" s="37"/>
      <c r="GYC57" s="37"/>
      <c r="GYD57" s="37"/>
      <c r="GYE57" s="37"/>
      <c r="GYF57" s="37"/>
      <c r="GYG57" s="37"/>
      <c r="GYH57" s="37"/>
      <c r="GYI57" s="37"/>
      <c r="GYJ57" s="37"/>
      <c r="GYK57" s="37"/>
      <c r="GYL57" s="37"/>
      <c r="GYM57" s="37"/>
      <c r="GYN57" s="37"/>
      <c r="GYO57" s="37"/>
      <c r="GYP57" s="37"/>
      <c r="GYQ57" s="37"/>
      <c r="GYR57" s="37"/>
      <c r="GYS57" s="37"/>
      <c r="GYT57" s="37"/>
      <c r="GYU57" s="37"/>
      <c r="GYV57" s="37"/>
      <c r="GYW57" s="37"/>
      <c r="GYX57" s="37"/>
      <c r="GYY57" s="37"/>
      <c r="GYZ57" s="37"/>
      <c r="GZA57" s="37"/>
      <c r="GZB57" s="37"/>
      <c r="GZC57" s="37"/>
      <c r="GZD57" s="37"/>
      <c r="GZE57" s="37"/>
      <c r="GZF57" s="37"/>
      <c r="GZG57" s="37"/>
      <c r="GZH57" s="37"/>
      <c r="GZI57" s="37"/>
      <c r="GZJ57" s="37"/>
      <c r="GZK57" s="37"/>
      <c r="GZL57" s="37"/>
      <c r="GZM57" s="37"/>
      <c r="GZN57" s="37"/>
      <c r="GZO57" s="37"/>
      <c r="GZP57" s="37"/>
      <c r="GZQ57" s="37"/>
      <c r="GZR57" s="37"/>
      <c r="GZS57" s="37"/>
      <c r="GZT57" s="37"/>
      <c r="GZU57" s="37"/>
      <c r="GZV57" s="37"/>
      <c r="GZW57" s="37"/>
      <c r="GZX57" s="37"/>
      <c r="GZY57" s="37"/>
      <c r="GZZ57" s="37"/>
      <c r="HAA57" s="37"/>
      <c r="HAB57" s="37"/>
      <c r="HAC57" s="37"/>
      <c r="HAD57" s="37"/>
      <c r="HAE57" s="37"/>
      <c r="HAF57" s="37"/>
      <c r="HAG57" s="37"/>
      <c r="HAH57" s="37"/>
      <c r="HAI57" s="37"/>
      <c r="HAJ57" s="37"/>
      <c r="HAK57" s="37"/>
      <c r="HAL57" s="37"/>
      <c r="HAM57" s="37"/>
      <c r="HAN57" s="37"/>
      <c r="HAO57" s="37"/>
      <c r="HAP57" s="37"/>
      <c r="HAQ57" s="37"/>
      <c r="HAR57" s="37"/>
      <c r="HAS57" s="37"/>
      <c r="HAT57" s="37"/>
      <c r="HAU57" s="37"/>
      <c r="HAV57" s="37"/>
      <c r="HAW57" s="37"/>
      <c r="HAX57" s="37"/>
      <c r="HAY57" s="37"/>
      <c r="HAZ57" s="37"/>
      <c r="HBA57" s="37"/>
      <c r="HBB57" s="37"/>
      <c r="HBC57" s="37"/>
      <c r="HBD57" s="37"/>
      <c r="HBE57" s="37"/>
      <c r="HBF57" s="37"/>
      <c r="HBG57" s="37"/>
      <c r="HBH57" s="37"/>
      <c r="HBI57" s="37"/>
      <c r="HBJ57" s="37"/>
      <c r="HBK57" s="37"/>
      <c r="HBL57" s="37"/>
      <c r="HBM57" s="37"/>
      <c r="HBN57" s="37"/>
      <c r="HBO57" s="37"/>
      <c r="HBP57" s="37"/>
      <c r="HBQ57" s="37"/>
      <c r="HBR57" s="37"/>
      <c r="HBS57" s="37"/>
      <c r="HBT57" s="37"/>
      <c r="HBU57" s="37"/>
      <c r="HBV57" s="37"/>
      <c r="HBW57" s="37"/>
      <c r="HBX57" s="37"/>
      <c r="HBY57" s="37"/>
      <c r="HBZ57" s="37"/>
      <c r="HCA57" s="37"/>
      <c r="HCB57" s="37"/>
      <c r="HCC57" s="37"/>
      <c r="HCD57" s="37"/>
      <c r="HCE57" s="37"/>
      <c r="HCF57" s="37"/>
      <c r="HCG57" s="37"/>
      <c r="HCH57" s="37"/>
      <c r="HCI57" s="37"/>
      <c r="HCJ57" s="37"/>
      <c r="HCK57" s="37"/>
      <c r="HCL57" s="37"/>
      <c r="HCM57" s="37"/>
      <c r="HCN57" s="37"/>
      <c r="HCO57" s="37"/>
      <c r="HCP57" s="37"/>
      <c r="HCQ57" s="37"/>
      <c r="HCR57" s="37"/>
      <c r="HCS57" s="37"/>
      <c r="HCT57" s="37"/>
      <c r="HCU57" s="37"/>
      <c r="HCV57" s="37"/>
      <c r="HCW57" s="37"/>
      <c r="HCX57" s="37"/>
      <c r="HCY57" s="37"/>
      <c r="HCZ57" s="37"/>
      <c r="HDA57" s="37"/>
      <c r="HDB57" s="37"/>
      <c r="HDC57" s="37"/>
      <c r="HDD57" s="37"/>
      <c r="HDE57" s="37"/>
      <c r="HDF57" s="37"/>
      <c r="HDG57" s="37"/>
      <c r="HDH57" s="37"/>
      <c r="HDI57" s="37"/>
      <c r="HDJ57" s="37"/>
      <c r="HDK57" s="37"/>
      <c r="HDL57" s="37"/>
      <c r="HDM57" s="37"/>
      <c r="HDN57" s="37"/>
      <c r="HDO57" s="37"/>
      <c r="HDP57" s="37"/>
      <c r="HDQ57" s="37"/>
      <c r="HDR57" s="37"/>
      <c r="HDS57" s="37"/>
      <c r="HDT57" s="37"/>
      <c r="HDU57" s="37"/>
      <c r="HDV57" s="37"/>
      <c r="HDW57" s="37"/>
      <c r="HDX57" s="37"/>
      <c r="HDY57" s="37"/>
      <c r="HDZ57" s="37"/>
      <c r="HEA57" s="37"/>
      <c r="HEB57" s="37"/>
      <c r="HEC57" s="37"/>
      <c r="HED57" s="37"/>
      <c r="HEE57" s="37"/>
      <c r="HEF57" s="37"/>
      <c r="HEG57" s="37"/>
      <c r="HEH57" s="37"/>
      <c r="HEI57" s="37"/>
      <c r="HEJ57" s="37"/>
      <c r="HEK57" s="37"/>
      <c r="HEL57" s="37"/>
      <c r="HEM57" s="37"/>
      <c r="HEN57" s="37"/>
      <c r="HEO57" s="37"/>
      <c r="HEP57" s="37"/>
      <c r="HEQ57" s="37"/>
      <c r="HER57" s="37"/>
      <c r="HES57" s="37"/>
      <c r="HET57" s="37"/>
      <c r="HEU57" s="37"/>
      <c r="HEV57" s="37"/>
      <c r="HEW57" s="37"/>
      <c r="HEX57" s="37"/>
      <c r="HEY57" s="37"/>
      <c r="HEZ57" s="37"/>
      <c r="HFA57" s="37"/>
      <c r="HFB57" s="37"/>
      <c r="HFC57" s="37"/>
      <c r="HFD57" s="37"/>
      <c r="HFE57" s="37"/>
      <c r="HFF57" s="37"/>
      <c r="HFG57" s="37"/>
      <c r="HFH57" s="37"/>
      <c r="HFI57" s="37"/>
      <c r="HFJ57" s="37"/>
      <c r="HFK57" s="37"/>
      <c r="HFL57" s="37"/>
      <c r="HFM57" s="37"/>
      <c r="HFN57" s="37"/>
      <c r="HFO57" s="37"/>
      <c r="HFP57" s="37"/>
      <c r="HFQ57" s="37"/>
      <c r="HFR57" s="37"/>
      <c r="HFS57" s="37"/>
      <c r="HFT57" s="37"/>
      <c r="HFU57" s="37"/>
      <c r="HFV57" s="37"/>
      <c r="HFW57" s="37"/>
      <c r="HFX57" s="37"/>
      <c r="HFY57" s="37"/>
      <c r="HFZ57" s="37"/>
      <c r="HGA57" s="37"/>
      <c r="HGB57" s="37"/>
      <c r="HGC57" s="37"/>
      <c r="HGD57" s="37"/>
      <c r="HGE57" s="37"/>
      <c r="HGF57" s="37"/>
      <c r="HGG57" s="37"/>
      <c r="HGH57" s="37"/>
      <c r="HGI57" s="37"/>
      <c r="HGJ57" s="37"/>
      <c r="HGK57" s="37"/>
      <c r="HGL57" s="37"/>
      <c r="HGM57" s="37"/>
      <c r="HGN57" s="37"/>
      <c r="HGO57" s="37"/>
      <c r="HGP57" s="37"/>
      <c r="HGQ57" s="37"/>
      <c r="HGR57" s="37"/>
      <c r="HGS57" s="37"/>
      <c r="HGT57" s="37"/>
      <c r="HGU57" s="37"/>
      <c r="HGV57" s="37"/>
      <c r="HGW57" s="37"/>
      <c r="HGX57" s="37"/>
      <c r="HGY57" s="37"/>
      <c r="HGZ57" s="37"/>
      <c r="HHA57" s="37"/>
      <c r="HHB57" s="37"/>
      <c r="HHC57" s="37"/>
      <c r="HHD57" s="37"/>
      <c r="HHE57" s="37"/>
      <c r="HHF57" s="37"/>
      <c r="HHG57" s="37"/>
      <c r="HHH57" s="37"/>
      <c r="HHI57" s="37"/>
      <c r="HHJ57" s="37"/>
      <c r="HHK57" s="37"/>
      <c r="HHL57" s="37"/>
      <c r="HHM57" s="37"/>
      <c r="HHN57" s="37"/>
      <c r="HHO57" s="37"/>
      <c r="HHP57" s="37"/>
      <c r="HHQ57" s="37"/>
      <c r="HHR57" s="37"/>
      <c r="HHS57" s="37"/>
      <c r="HHT57" s="37"/>
      <c r="HHU57" s="37"/>
      <c r="HHV57" s="37"/>
      <c r="HHW57" s="37"/>
      <c r="HHX57" s="37"/>
      <c r="HHY57" s="37"/>
      <c r="HHZ57" s="37"/>
      <c r="HIA57" s="37"/>
      <c r="HIB57" s="37"/>
      <c r="HIC57" s="37"/>
      <c r="HID57" s="37"/>
      <c r="HIE57" s="37"/>
      <c r="HIF57" s="37"/>
      <c r="HIG57" s="37"/>
      <c r="HIH57" s="37"/>
      <c r="HII57" s="37"/>
      <c r="HIJ57" s="37"/>
      <c r="HIK57" s="37"/>
      <c r="HIL57" s="37"/>
      <c r="HIM57" s="37"/>
      <c r="HIN57" s="37"/>
      <c r="HIO57" s="37"/>
      <c r="HIP57" s="37"/>
      <c r="HIQ57" s="37"/>
      <c r="HIR57" s="37"/>
      <c r="HIS57" s="37"/>
      <c r="HIT57" s="37"/>
      <c r="HIU57" s="37"/>
      <c r="HIV57" s="37"/>
      <c r="HIW57" s="37"/>
      <c r="HIX57" s="37"/>
      <c r="HIY57" s="37"/>
      <c r="HIZ57" s="37"/>
      <c r="HJA57" s="37"/>
      <c r="HJB57" s="37"/>
      <c r="HJC57" s="37"/>
      <c r="HJD57" s="37"/>
      <c r="HJE57" s="37"/>
      <c r="HJF57" s="37"/>
      <c r="HJG57" s="37"/>
      <c r="HJH57" s="37"/>
      <c r="HJI57" s="37"/>
      <c r="HJJ57" s="37"/>
      <c r="HJK57" s="37"/>
      <c r="HJL57" s="37"/>
      <c r="HJM57" s="37"/>
      <c r="HJN57" s="37"/>
      <c r="HJO57" s="37"/>
      <c r="HJP57" s="37"/>
      <c r="HJQ57" s="37"/>
      <c r="HJR57" s="37"/>
      <c r="HJS57" s="37"/>
      <c r="HJT57" s="37"/>
      <c r="HJU57" s="37"/>
      <c r="HJV57" s="37"/>
      <c r="HJW57" s="37"/>
      <c r="HJX57" s="37"/>
      <c r="HJY57" s="37"/>
      <c r="HJZ57" s="37"/>
      <c r="HKA57" s="37"/>
      <c r="HKB57" s="37"/>
      <c r="HKC57" s="37"/>
      <c r="HKD57" s="37"/>
      <c r="HKE57" s="37"/>
      <c r="HKF57" s="37"/>
      <c r="HKG57" s="37"/>
      <c r="HKH57" s="37"/>
      <c r="HKI57" s="37"/>
      <c r="HKJ57" s="37"/>
      <c r="HKK57" s="37"/>
      <c r="HKL57" s="37"/>
      <c r="HKM57" s="37"/>
      <c r="HKN57" s="37"/>
      <c r="HKO57" s="37"/>
      <c r="HKP57" s="37"/>
      <c r="HKQ57" s="37"/>
      <c r="HKR57" s="37"/>
      <c r="HKS57" s="37"/>
      <c r="HKT57" s="37"/>
      <c r="HKU57" s="37"/>
      <c r="HKV57" s="37"/>
      <c r="HKW57" s="37"/>
      <c r="HKX57" s="37"/>
      <c r="HKY57" s="37"/>
      <c r="HKZ57" s="37"/>
      <c r="HLA57" s="37"/>
      <c r="HLB57" s="37"/>
      <c r="HLC57" s="37"/>
      <c r="HLD57" s="37"/>
      <c r="HLE57" s="37"/>
      <c r="HLF57" s="37"/>
      <c r="HLG57" s="37"/>
      <c r="HLH57" s="37"/>
      <c r="HLI57" s="37"/>
      <c r="HLJ57" s="37"/>
      <c r="HLK57" s="37"/>
      <c r="HLL57" s="37"/>
      <c r="HLM57" s="37"/>
      <c r="HLN57" s="37"/>
      <c r="HLO57" s="37"/>
      <c r="HLP57" s="37"/>
      <c r="HLQ57" s="37"/>
      <c r="HLR57" s="37"/>
      <c r="HLS57" s="37"/>
      <c r="HLT57" s="37"/>
      <c r="HLU57" s="37"/>
      <c r="HLV57" s="37"/>
      <c r="HLW57" s="37"/>
      <c r="HLX57" s="37"/>
      <c r="HLY57" s="37"/>
      <c r="HLZ57" s="37"/>
      <c r="HMA57" s="37"/>
      <c r="HMB57" s="37"/>
      <c r="HMC57" s="37"/>
      <c r="HMD57" s="37"/>
      <c r="HME57" s="37"/>
      <c r="HMF57" s="37"/>
      <c r="HMG57" s="37"/>
      <c r="HMH57" s="37"/>
      <c r="HMI57" s="37"/>
      <c r="HMJ57" s="37"/>
      <c r="HMK57" s="37"/>
      <c r="HML57" s="37"/>
      <c r="HMM57" s="37"/>
      <c r="HMN57" s="37"/>
      <c r="HMO57" s="37"/>
      <c r="HMP57" s="37"/>
      <c r="HMQ57" s="37"/>
      <c r="HMR57" s="37"/>
      <c r="HMS57" s="37"/>
      <c r="HMT57" s="37"/>
      <c r="HMU57" s="37"/>
      <c r="HMV57" s="37"/>
      <c r="HMW57" s="37"/>
      <c r="HMX57" s="37"/>
      <c r="HMY57" s="37"/>
      <c r="HMZ57" s="37"/>
      <c r="HNA57" s="37"/>
      <c r="HNB57" s="37"/>
      <c r="HNC57" s="37"/>
      <c r="HND57" s="37"/>
      <c r="HNE57" s="37"/>
      <c r="HNF57" s="37"/>
      <c r="HNG57" s="37"/>
      <c r="HNH57" s="37"/>
      <c r="HNI57" s="37"/>
      <c r="HNJ57" s="37"/>
      <c r="HNK57" s="37"/>
      <c r="HNL57" s="37"/>
      <c r="HNM57" s="37"/>
      <c r="HNN57" s="37"/>
      <c r="HNO57" s="37"/>
      <c r="HNP57" s="37"/>
      <c r="HNQ57" s="37"/>
      <c r="HNR57" s="37"/>
      <c r="HNS57" s="37"/>
      <c r="HNT57" s="37"/>
      <c r="HNU57" s="37"/>
      <c r="HNV57" s="37"/>
      <c r="HNW57" s="37"/>
      <c r="HNX57" s="37"/>
      <c r="HNY57" s="37"/>
      <c r="HNZ57" s="37"/>
      <c r="HOA57" s="37"/>
      <c r="HOB57" s="37"/>
      <c r="HOC57" s="37"/>
      <c r="HOD57" s="37"/>
      <c r="HOE57" s="37"/>
      <c r="HOF57" s="37"/>
      <c r="HOG57" s="37"/>
      <c r="HOH57" s="37"/>
      <c r="HOI57" s="37"/>
      <c r="HOJ57" s="37"/>
      <c r="HOK57" s="37"/>
      <c r="HOL57" s="37"/>
      <c r="HOM57" s="37"/>
      <c r="HON57" s="37"/>
      <c r="HOO57" s="37"/>
      <c r="HOP57" s="37"/>
      <c r="HOQ57" s="37"/>
      <c r="HOR57" s="37"/>
      <c r="HOS57" s="37"/>
      <c r="HOT57" s="37"/>
      <c r="HOU57" s="37"/>
      <c r="HOV57" s="37"/>
      <c r="HOW57" s="37"/>
      <c r="HOX57" s="37"/>
      <c r="HOY57" s="37"/>
      <c r="HOZ57" s="37"/>
      <c r="HPA57" s="37"/>
      <c r="HPB57" s="37"/>
      <c r="HPC57" s="37"/>
      <c r="HPD57" s="37"/>
      <c r="HPE57" s="37"/>
      <c r="HPF57" s="37"/>
      <c r="HPG57" s="37"/>
      <c r="HPH57" s="37"/>
      <c r="HPI57" s="37"/>
      <c r="HPJ57" s="37"/>
      <c r="HPK57" s="37"/>
      <c r="HPL57" s="37"/>
      <c r="HPM57" s="37"/>
      <c r="HPN57" s="37"/>
      <c r="HPO57" s="37"/>
      <c r="HPP57" s="37"/>
      <c r="HPQ57" s="37"/>
      <c r="HPR57" s="37"/>
      <c r="HPS57" s="37"/>
      <c r="HPT57" s="37"/>
      <c r="HPU57" s="37"/>
      <c r="HPV57" s="37"/>
      <c r="HPW57" s="37"/>
      <c r="HPX57" s="37"/>
      <c r="HPY57" s="37"/>
      <c r="HPZ57" s="37"/>
      <c r="HQA57" s="37"/>
      <c r="HQB57" s="37"/>
      <c r="HQC57" s="37"/>
      <c r="HQD57" s="37"/>
      <c r="HQE57" s="37"/>
      <c r="HQF57" s="37"/>
      <c r="HQG57" s="37"/>
      <c r="HQH57" s="37"/>
      <c r="HQI57" s="37"/>
      <c r="HQJ57" s="37"/>
      <c r="HQK57" s="37"/>
      <c r="HQL57" s="37"/>
      <c r="HQM57" s="37"/>
      <c r="HQN57" s="37"/>
      <c r="HQO57" s="37"/>
      <c r="HQP57" s="37"/>
      <c r="HQQ57" s="37"/>
      <c r="HQR57" s="37"/>
      <c r="HQS57" s="37"/>
      <c r="HQT57" s="37"/>
      <c r="HQU57" s="37"/>
      <c r="HQV57" s="37"/>
      <c r="HQW57" s="37"/>
      <c r="HQX57" s="37"/>
      <c r="HQY57" s="37"/>
      <c r="HQZ57" s="37"/>
      <c r="HRA57" s="37"/>
      <c r="HRB57" s="37"/>
      <c r="HRC57" s="37"/>
      <c r="HRD57" s="37"/>
      <c r="HRE57" s="37"/>
      <c r="HRF57" s="37"/>
      <c r="HRG57" s="37"/>
      <c r="HRH57" s="37"/>
      <c r="HRI57" s="37"/>
      <c r="HRJ57" s="37"/>
      <c r="HRK57" s="37"/>
      <c r="HRL57" s="37"/>
      <c r="HRM57" s="37"/>
      <c r="HRN57" s="37"/>
      <c r="HRO57" s="37"/>
      <c r="HRP57" s="37"/>
      <c r="HRQ57" s="37"/>
      <c r="HRR57" s="37"/>
      <c r="HRS57" s="37"/>
      <c r="HRT57" s="37"/>
      <c r="HRU57" s="37"/>
      <c r="HRV57" s="37"/>
      <c r="HRW57" s="37"/>
      <c r="HRX57" s="37"/>
      <c r="HRY57" s="37"/>
      <c r="HRZ57" s="37"/>
      <c r="HSA57" s="37"/>
      <c r="HSB57" s="37"/>
      <c r="HSC57" s="37"/>
      <c r="HSD57" s="37"/>
      <c r="HSE57" s="37"/>
      <c r="HSF57" s="37"/>
      <c r="HSG57" s="37"/>
      <c r="HSH57" s="37"/>
      <c r="HSI57" s="37"/>
      <c r="HSJ57" s="37"/>
      <c r="HSK57" s="37"/>
      <c r="HSL57" s="37"/>
      <c r="HSM57" s="37"/>
      <c r="HSN57" s="37"/>
      <c r="HSO57" s="37"/>
      <c r="HSP57" s="37"/>
      <c r="HSQ57" s="37"/>
      <c r="HSR57" s="37"/>
      <c r="HSS57" s="37"/>
      <c r="HST57" s="37"/>
      <c r="HSU57" s="37"/>
      <c r="HSV57" s="37"/>
      <c r="HSW57" s="37"/>
      <c r="HSX57" s="37"/>
      <c r="HSY57" s="37"/>
      <c r="HSZ57" s="37"/>
      <c r="HTA57" s="37"/>
      <c r="HTB57" s="37"/>
      <c r="HTC57" s="37"/>
      <c r="HTD57" s="37"/>
      <c r="HTE57" s="37"/>
      <c r="HTF57" s="37"/>
      <c r="HTG57" s="37"/>
      <c r="HTH57" s="37"/>
      <c r="HTI57" s="37"/>
      <c r="HTJ57" s="37"/>
      <c r="HTK57" s="37"/>
      <c r="HTL57" s="37"/>
      <c r="HTM57" s="37"/>
      <c r="HTN57" s="37"/>
      <c r="HTO57" s="37"/>
      <c r="HTP57" s="37"/>
      <c r="HTQ57" s="37"/>
      <c r="HTR57" s="37"/>
      <c r="HTS57" s="37"/>
      <c r="HTT57" s="37"/>
      <c r="HTU57" s="37"/>
      <c r="HTV57" s="37"/>
      <c r="HTW57" s="37"/>
      <c r="HTX57" s="37"/>
      <c r="HTY57" s="37"/>
      <c r="HTZ57" s="37"/>
      <c r="HUA57" s="37"/>
      <c r="HUB57" s="37"/>
      <c r="HUC57" s="37"/>
      <c r="HUD57" s="37"/>
      <c r="HUE57" s="37"/>
      <c r="HUF57" s="37"/>
      <c r="HUG57" s="37"/>
      <c r="HUH57" s="37"/>
      <c r="HUI57" s="37"/>
      <c r="HUJ57" s="37"/>
      <c r="HUK57" s="37"/>
      <c r="HUL57" s="37"/>
      <c r="HUM57" s="37"/>
      <c r="HUN57" s="37"/>
      <c r="HUO57" s="37"/>
      <c r="HUP57" s="37"/>
      <c r="HUQ57" s="37"/>
      <c r="HUR57" s="37"/>
      <c r="HUS57" s="37"/>
      <c r="HUT57" s="37"/>
      <c r="HUU57" s="37"/>
      <c r="HUV57" s="37"/>
      <c r="HUW57" s="37"/>
      <c r="HUX57" s="37"/>
      <c r="HUY57" s="37"/>
      <c r="HUZ57" s="37"/>
      <c r="HVA57" s="37"/>
      <c r="HVB57" s="37"/>
      <c r="HVC57" s="37"/>
      <c r="HVD57" s="37"/>
      <c r="HVE57" s="37"/>
      <c r="HVF57" s="37"/>
      <c r="HVG57" s="37"/>
      <c r="HVH57" s="37"/>
      <c r="HVI57" s="37"/>
      <c r="HVJ57" s="37"/>
      <c r="HVK57" s="37"/>
      <c r="HVL57" s="37"/>
      <c r="HVM57" s="37"/>
      <c r="HVN57" s="37"/>
      <c r="HVO57" s="37"/>
      <c r="HVP57" s="37"/>
      <c r="HVQ57" s="37"/>
      <c r="HVR57" s="37"/>
      <c r="HVS57" s="37"/>
      <c r="HVT57" s="37"/>
      <c r="HVU57" s="37"/>
      <c r="HVV57" s="37"/>
      <c r="HVW57" s="37"/>
      <c r="HVX57" s="37"/>
      <c r="HVY57" s="37"/>
      <c r="HVZ57" s="37"/>
      <c r="HWA57" s="37"/>
      <c r="HWB57" s="37"/>
      <c r="HWC57" s="37"/>
      <c r="HWD57" s="37"/>
      <c r="HWE57" s="37"/>
      <c r="HWF57" s="37"/>
      <c r="HWG57" s="37"/>
      <c r="HWH57" s="37"/>
      <c r="HWI57" s="37"/>
      <c r="HWJ57" s="37"/>
      <c r="HWK57" s="37"/>
      <c r="HWL57" s="37"/>
      <c r="HWM57" s="37"/>
      <c r="HWN57" s="37"/>
      <c r="HWO57" s="37"/>
      <c r="HWP57" s="37"/>
      <c r="HWQ57" s="37"/>
      <c r="HWR57" s="37"/>
      <c r="HWS57" s="37"/>
      <c r="HWT57" s="37"/>
      <c r="HWU57" s="37"/>
      <c r="HWV57" s="37"/>
      <c r="HWW57" s="37"/>
      <c r="HWX57" s="37"/>
      <c r="HWY57" s="37"/>
      <c r="HWZ57" s="37"/>
      <c r="HXA57" s="37"/>
      <c r="HXB57" s="37"/>
      <c r="HXC57" s="37"/>
      <c r="HXD57" s="37"/>
      <c r="HXE57" s="37"/>
      <c r="HXF57" s="37"/>
      <c r="HXG57" s="37"/>
      <c r="HXH57" s="37"/>
      <c r="HXI57" s="37"/>
      <c r="HXJ57" s="37"/>
      <c r="HXK57" s="37"/>
      <c r="HXL57" s="37"/>
      <c r="HXM57" s="37"/>
      <c r="HXN57" s="37"/>
      <c r="HXO57" s="37"/>
      <c r="HXP57" s="37"/>
      <c r="HXQ57" s="37"/>
      <c r="HXR57" s="37"/>
      <c r="HXS57" s="37"/>
      <c r="HXT57" s="37"/>
      <c r="HXU57" s="37"/>
      <c r="HXV57" s="37"/>
      <c r="HXW57" s="37"/>
      <c r="HXX57" s="37"/>
      <c r="HXY57" s="37"/>
      <c r="HXZ57" s="37"/>
      <c r="HYA57" s="37"/>
      <c r="HYB57" s="37"/>
      <c r="HYC57" s="37"/>
      <c r="HYD57" s="37"/>
      <c r="HYE57" s="37"/>
      <c r="HYF57" s="37"/>
      <c r="HYG57" s="37"/>
      <c r="HYH57" s="37"/>
      <c r="HYI57" s="37"/>
      <c r="HYJ57" s="37"/>
      <c r="HYK57" s="37"/>
      <c r="HYL57" s="37"/>
      <c r="HYM57" s="37"/>
      <c r="HYN57" s="37"/>
      <c r="HYO57" s="37"/>
      <c r="HYP57" s="37"/>
      <c r="HYQ57" s="37"/>
      <c r="HYR57" s="37"/>
      <c r="HYS57" s="37"/>
      <c r="HYT57" s="37"/>
      <c r="HYU57" s="37"/>
      <c r="HYV57" s="37"/>
      <c r="HYW57" s="37"/>
      <c r="HYX57" s="37"/>
      <c r="HYY57" s="37"/>
      <c r="HYZ57" s="37"/>
      <c r="HZA57" s="37"/>
      <c r="HZB57" s="37"/>
      <c r="HZC57" s="37"/>
      <c r="HZD57" s="37"/>
      <c r="HZE57" s="37"/>
      <c r="HZF57" s="37"/>
      <c r="HZG57" s="37"/>
      <c r="HZH57" s="37"/>
      <c r="HZI57" s="37"/>
      <c r="HZJ57" s="37"/>
      <c r="HZK57" s="37"/>
      <c r="HZL57" s="37"/>
      <c r="HZM57" s="37"/>
      <c r="HZN57" s="37"/>
      <c r="HZO57" s="37"/>
      <c r="HZP57" s="37"/>
      <c r="HZQ57" s="37"/>
      <c r="HZR57" s="37"/>
      <c r="HZS57" s="37"/>
      <c r="HZT57" s="37"/>
      <c r="HZU57" s="37"/>
      <c r="HZV57" s="37"/>
      <c r="HZW57" s="37"/>
      <c r="HZX57" s="37"/>
      <c r="HZY57" s="37"/>
      <c r="HZZ57" s="37"/>
      <c r="IAA57" s="37"/>
      <c r="IAB57" s="37"/>
      <c r="IAC57" s="37"/>
      <c r="IAD57" s="37"/>
      <c r="IAE57" s="37"/>
      <c r="IAF57" s="37"/>
      <c r="IAG57" s="37"/>
      <c r="IAH57" s="37"/>
      <c r="IAI57" s="37"/>
      <c r="IAJ57" s="37"/>
      <c r="IAK57" s="37"/>
      <c r="IAL57" s="37"/>
      <c r="IAM57" s="37"/>
      <c r="IAN57" s="37"/>
      <c r="IAO57" s="37"/>
      <c r="IAP57" s="37"/>
      <c r="IAQ57" s="37"/>
      <c r="IAR57" s="37"/>
      <c r="IAS57" s="37"/>
      <c r="IAT57" s="37"/>
      <c r="IAU57" s="37"/>
      <c r="IAV57" s="37"/>
      <c r="IAW57" s="37"/>
      <c r="IAX57" s="37"/>
      <c r="IAY57" s="37"/>
      <c r="IAZ57" s="37"/>
      <c r="IBA57" s="37"/>
      <c r="IBB57" s="37"/>
      <c r="IBC57" s="37"/>
      <c r="IBD57" s="37"/>
      <c r="IBE57" s="37"/>
      <c r="IBF57" s="37"/>
      <c r="IBG57" s="37"/>
      <c r="IBH57" s="37"/>
      <c r="IBI57" s="37"/>
      <c r="IBJ57" s="37"/>
      <c r="IBK57" s="37"/>
      <c r="IBL57" s="37"/>
      <c r="IBM57" s="37"/>
      <c r="IBN57" s="37"/>
      <c r="IBO57" s="37"/>
      <c r="IBP57" s="37"/>
      <c r="IBQ57" s="37"/>
      <c r="IBR57" s="37"/>
      <c r="IBS57" s="37"/>
      <c r="IBT57" s="37"/>
      <c r="IBU57" s="37"/>
      <c r="IBV57" s="37"/>
      <c r="IBW57" s="37"/>
      <c r="IBX57" s="37"/>
      <c r="IBY57" s="37"/>
      <c r="IBZ57" s="37"/>
      <c r="ICA57" s="37"/>
      <c r="ICB57" s="37"/>
      <c r="ICC57" s="37"/>
      <c r="ICD57" s="37"/>
      <c r="ICE57" s="37"/>
      <c r="ICF57" s="37"/>
      <c r="ICG57" s="37"/>
      <c r="ICH57" s="37"/>
      <c r="ICI57" s="37"/>
      <c r="ICJ57" s="37"/>
      <c r="ICK57" s="37"/>
      <c r="ICL57" s="37"/>
      <c r="ICM57" s="37"/>
      <c r="ICN57" s="37"/>
      <c r="ICO57" s="37"/>
      <c r="ICP57" s="37"/>
      <c r="ICQ57" s="37"/>
      <c r="ICR57" s="37"/>
      <c r="ICS57" s="37"/>
      <c r="ICT57" s="37"/>
      <c r="ICU57" s="37"/>
      <c r="ICV57" s="37"/>
      <c r="ICW57" s="37"/>
      <c r="ICX57" s="37"/>
      <c r="ICY57" s="37"/>
      <c r="ICZ57" s="37"/>
      <c r="IDA57" s="37"/>
      <c r="IDB57" s="37"/>
      <c r="IDC57" s="37"/>
      <c r="IDD57" s="37"/>
      <c r="IDE57" s="37"/>
      <c r="IDF57" s="37"/>
      <c r="IDG57" s="37"/>
      <c r="IDH57" s="37"/>
      <c r="IDI57" s="37"/>
      <c r="IDJ57" s="37"/>
      <c r="IDK57" s="37"/>
      <c r="IDL57" s="37"/>
      <c r="IDM57" s="37"/>
      <c r="IDN57" s="37"/>
      <c r="IDO57" s="37"/>
      <c r="IDP57" s="37"/>
      <c r="IDQ57" s="37"/>
      <c r="IDR57" s="37"/>
      <c r="IDS57" s="37"/>
      <c r="IDT57" s="37"/>
      <c r="IDU57" s="37"/>
      <c r="IDV57" s="37"/>
      <c r="IDW57" s="37"/>
      <c r="IDX57" s="37"/>
      <c r="IDY57" s="37"/>
      <c r="IDZ57" s="37"/>
      <c r="IEA57" s="37"/>
      <c r="IEB57" s="37"/>
      <c r="IEC57" s="37"/>
      <c r="IED57" s="37"/>
      <c r="IEE57" s="37"/>
      <c r="IEF57" s="37"/>
      <c r="IEG57" s="37"/>
      <c r="IEH57" s="37"/>
      <c r="IEI57" s="37"/>
      <c r="IEJ57" s="37"/>
      <c r="IEK57" s="37"/>
      <c r="IEL57" s="37"/>
      <c r="IEM57" s="37"/>
      <c r="IEN57" s="37"/>
      <c r="IEO57" s="37"/>
      <c r="IEP57" s="37"/>
      <c r="IEQ57" s="37"/>
      <c r="IER57" s="37"/>
      <c r="IES57" s="37"/>
      <c r="IET57" s="37"/>
      <c r="IEU57" s="37"/>
      <c r="IEV57" s="37"/>
      <c r="IEW57" s="37"/>
      <c r="IEX57" s="37"/>
      <c r="IEY57" s="37"/>
      <c r="IEZ57" s="37"/>
      <c r="IFA57" s="37"/>
      <c r="IFB57" s="37"/>
      <c r="IFC57" s="37"/>
      <c r="IFD57" s="37"/>
      <c r="IFE57" s="37"/>
      <c r="IFF57" s="37"/>
      <c r="IFG57" s="37"/>
      <c r="IFH57" s="37"/>
      <c r="IFI57" s="37"/>
      <c r="IFJ57" s="37"/>
      <c r="IFK57" s="37"/>
      <c r="IFL57" s="37"/>
      <c r="IFM57" s="37"/>
      <c r="IFN57" s="37"/>
      <c r="IFO57" s="37"/>
      <c r="IFP57" s="37"/>
      <c r="IFQ57" s="37"/>
      <c r="IFR57" s="37"/>
      <c r="IFS57" s="37"/>
      <c r="IFT57" s="37"/>
      <c r="IFU57" s="37"/>
      <c r="IFV57" s="37"/>
      <c r="IFW57" s="37"/>
      <c r="IFX57" s="37"/>
      <c r="IFY57" s="37"/>
      <c r="IFZ57" s="37"/>
      <c r="IGA57" s="37"/>
      <c r="IGB57" s="37"/>
      <c r="IGC57" s="37"/>
      <c r="IGD57" s="37"/>
      <c r="IGE57" s="37"/>
      <c r="IGF57" s="37"/>
      <c r="IGG57" s="37"/>
      <c r="IGH57" s="37"/>
      <c r="IGI57" s="37"/>
      <c r="IGJ57" s="37"/>
      <c r="IGK57" s="37"/>
      <c r="IGL57" s="37"/>
      <c r="IGM57" s="37"/>
      <c r="IGN57" s="37"/>
      <c r="IGO57" s="37"/>
      <c r="IGP57" s="37"/>
      <c r="IGQ57" s="37"/>
      <c r="IGR57" s="37"/>
      <c r="IGS57" s="37"/>
      <c r="IGT57" s="37"/>
      <c r="IGU57" s="37"/>
      <c r="IGV57" s="37"/>
      <c r="IGW57" s="37"/>
      <c r="IGX57" s="37"/>
      <c r="IGY57" s="37"/>
      <c r="IGZ57" s="37"/>
      <c r="IHA57" s="37"/>
      <c r="IHB57" s="37"/>
      <c r="IHC57" s="37"/>
      <c r="IHD57" s="37"/>
      <c r="IHE57" s="37"/>
      <c r="IHF57" s="37"/>
      <c r="IHG57" s="37"/>
      <c r="IHH57" s="37"/>
      <c r="IHI57" s="37"/>
      <c r="IHJ57" s="37"/>
      <c r="IHK57" s="37"/>
      <c r="IHL57" s="37"/>
      <c r="IHM57" s="37"/>
      <c r="IHN57" s="37"/>
      <c r="IHO57" s="37"/>
      <c r="IHP57" s="37"/>
      <c r="IHQ57" s="37"/>
      <c r="IHR57" s="37"/>
      <c r="IHS57" s="37"/>
      <c r="IHT57" s="37"/>
      <c r="IHU57" s="37"/>
      <c r="IHV57" s="37"/>
      <c r="IHW57" s="37"/>
      <c r="IHX57" s="37"/>
      <c r="IHY57" s="37"/>
      <c r="IHZ57" s="37"/>
      <c r="IIA57" s="37"/>
      <c r="IIB57" s="37"/>
      <c r="IIC57" s="37"/>
      <c r="IID57" s="37"/>
      <c r="IIE57" s="37"/>
      <c r="IIF57" s="37"/>
      <c r="IIG57" s="37"/>
      <c r="IIH57" s="37"/>
      <c r="III57" s="37"/>
      <c r="IIJ57" s="37"/>
      <c r="IIK57" s="37"/>
      <c r="IIL57" s="37"/>
      <c r="IIM57" s="37"/>
      <c r="IIN57" s="37"/>
      <c r="IIO57" s="37"/>
      <c r="IIP57" s="37"/>
      <c r="IIQ57" s="37"/>
      <c r="IIR57" s="37"/>
      <c r="IIS57" s="37"/>
      <c r="IIT57" s="37"/>
      <c r="IIU57" s="37"/>
      <c r="IIV57" s="37"/>
      <c r="IIW57" s="37"/>
      <c r="IIX57" s="37"/>
      <c r="IIY57" s="37"/>
      <c r="IIZ57" s="37"/>
      <c r="IJA57" s="37"/>
      <c r="IJB57" s="37"/>
      <c r="IJC57" s="37"/>
      <c r="IJD57" s="37"/>
      <c r="IJE57" s="37"/>
      <c r="IJF57" s="37"/>
      <c r="IJG57" s="37"/>
      <c r="IJH57" s="37"/>
      <c r="IJI57" s="37"/>
      <c r="IJJ57" s="37"/>
      <c r="IJK57" s="37"/>
      <c r="IJL57" s="37"/>
      <c r="IJM57" s="37"/>
      <c r="IJN57" s="37"/>
      <c r="IJO57" s="37"/>
      <c r="IJP57" s="37"/>
      <c r="IJQ57" s="37"/>
      <c r="IJR57" s="37"/>
      <c r="IJS57" s="37"/>
      <c r="IJT57" s="37"/>
      <c r="IJU57" s="37"/>
      <c r="IJV57" s="37"/>
      <c r="IJW57" s="37"/>
      <c r="IJX57" s="37"/>
      <c r="IJY57" s="37"/>
      <c r="IJZ57" s="37"/>
      <c r="IKA57" s="37"/>
      <c r="IKB57" s="37"/>
      <c r="IKC57" s="37"/>
      <c r="IKD57" s="37"/>
      <c r="IKE57" s="37"/>
      <c r="IKF57" s="37"/>
      <c r="IKG57" s="37"/>
      <c r="IKH57" s="37"/>
      <c r="IKI57" s="37"/>
      <c r="IKJ57" s="37"/>
      <c r="IKK57" s="37"/>
      <c r="IKL57" s="37"/>
      <c r="IKM57" s="37"/>
      <c r="IKN57" s="37"/>
      <c r="IKO57" s="37"/>
      <c r="IKP57" s="37"/>
      <c r="IKQ57" s="37"/>
      <c r="IKR57" s="37"/>
      <c r="IKS57" s="37"/>
      <c r="IKT57" s="37"/>
      <c r="IKU57" s="37"/>
      <c r="IKV57" s="37"/>
      <c r="IKW57" s="37"/>
      <c r="IKX57" s="37"/>
      <c r="IKY57" s="37"/>
      <c r="IKZ57" s="37"/>
      <c r="ILA57" s="37"/>
      <c r="ILB57" s="37"/>
      <c r="ILC57" s="37"/>
      <c r="ILD57" s="37"/>
      <c r="ILE57" s="37"/>
      <c r="ILF57" s="37"/>
      <c r="ILG57" s="37"/>
      <c r="ILH57" s="37"/>
      <c r="ILI57" s="37"/>
      <c r="ILJ57" s="37"/>
      <c r="ILK57" s="37"/>
      <c r="ILL57" s="37"/>
      <c r="ILM57" s="37"/>
      <c r="ILN57" s="37"/>
      <c r="ILO57" s="37"/>
      <c r="ILP57" s="37"/>
      <c r="ILQ57" s="37"/>
      <c r="ILR57" s="37"/>
      <c r="ILS57" s="37"/>
      <c r="ILT57" s="37"/>
      <c r="ILU57" s="37"/>
      <c r="ILV57" s="37"/>
      <c r="ILW57" s="37"/>
      <c r="ILX57" s="37"/>
      <c r="ILY57" s="37"/>
      <c r="ILZ57" s="37"/>
      <c r="IMA57" s="37"/>
      <c r="IMB57" s="37"/>
      <c r="IMC57" s="37"/>
      <c r="IMD57" s="37"/>
      <c r="IME57" s="37"/>
      <c r="IMF57" s="37"/>
      <c r="IMG57" s="37"/>
      <c r="IMH57" s="37"/>
      <c r="IMI57" s="37"/>
      <c r="IMJ57" s="37"/>
      <c r="IMK57" s="37"/>
      <c r="IML57" s="37"/>
      <c r="IMM57" s="37"/>
      <c r="IMN57" s="37"/>
      <c r="IMO57" s="37"/>
      <c r="IMP57" s="37"/>
      <c r="IMQ57" s="37"/>
      <c r="IMR57" s="37"/>
      <c r="IMS57" s="37"/>
      <c r="IMT57" s="37"/>
      <c r="IMU57" s="37"/>
      <c r="IMV57" s="37"/>
      <c r="IMW57" s="37"/>
      <c r="IMX57" s="37"/>
      <c r="IMY57" s="37"/>
      <c r="IMZ57" s="37"/>
      <c r="INA57" s="37"/>
      <c r="INB57" s="37"/>
      <c r="INC57" s="37"/>
      <c r="IND57" s="37"/>
      <c r="INE57" s="37"/>
      <c r="INF57" s="37"/>
      <c r="ING57" s="37"/>
      <c r="INH57" s="37"/>
      <c r="INI57" s="37"/>
      <c r="INJ57" s="37"/>
      <c r="INK57" s="37"/>
      <c r="INL57" s="37"/>
      <c r="INM57" s="37"/>
      <c r="INN57" s="37"/>
      <c r="INO57" s="37"/>
      <c r="INP57" s="37"/>
      <c r="INQ57" s="37"/>
      <c r="INR57" s="37"/>
      <c r="INS57" s="37"/>
      <c r="INT57" s="37"/>
      <c r="INU57" s="37"/>
      <c r="INV57" s="37"/>
      <c r="INW57" s="37"/>
      <c r="INX57" s="37"/>
      <c r="INY57" s="37"/>
      <c r="INZ57" s="37"/>
      <c r="IOA57" s="37"/>
      <c r="IOB57" s="37"/>
      <c r="IOC57" s="37"/>
      <c r="IOD57" s="37"/>
      <c r="IOE57" s="37"/>
      <c r="IOF57" s="37"/>
      <c r="IOG57" s="37"/>
      <c r="IOH57" s="37"/>
      <c r="IOI57" s="37"/>
      <c r="IOJ57" s="37"/>
      <c r="IOK57" s="37"/>
      <c r="IOL57" s="37"/>
      <c r="IOM57" s="37"/>
      <c r="ION57" s="37"/>
      <c r="IOO57" s="37"/>
      <c r="IOP57" s="37"/>
      <c r="IOQ57" s="37"/>
      <c r="IOR57" s="37"/>
      <c r="IOS57" s="37"/>
      <c r="IOT57" s="37"/>
      <c r="IOU57" s="37"/>
      <c r="IOV57" s="37"/>
      <c r="IOW57" s="37"/>
      <c r="IOX57" s="37"/>
      <c r="IOY57" s="37"/>
      <c r="IOZ57" s="37"/>
      <c r="IPA57" s="37"/>
      <c r="IPB57" s="37"/>
      <c r="IPC57" s="37"/>
      <c r="IPD57" s="37"/>
      <c r="IPE57" s="37"/>
      <c r="IPF57" s="37"/>
      <c r="IPG57" s="37"/>
      <c r="IPH57" s="37"/>
      <c r="IPI57" s="37"/>
      <c r="IPJ57" s="37"/>
      <c r="IPK57" s="37"/>
      <c r="IPL57" s="37"/>
      <c r="IPM57" s="37"/>
      <c r="IPN57" s="37"/>
      <c r="IPO57" s="37"/>
      <c r="IPP57" s="37"/>
      <c r="IPQ57" s="37"/>
      <c r="IPR57" s="37"/>
      <c r="IPS57" s="37"/>
      <c r="IPT57" s="37"/>
      <c r="IPU57" s="37"/>
      <c r="IPV57" s="37"/>
      <c r="IPW57" s="37"/>
      <c r="IPX57" s="37"/>
      <c r="IPY57" s="37"/>
      <c r="IPZ57" s="37"/>
      <c r="IQA57" s="37"/>
      <c r="IQB57" s="37"/>
      <c r="IQC57" s="37"/>
      <c r="IQD57" s="37"/>
      <c r="IQE57" s="37"/>
      <c r="IQF57" s="37"/>
      <c r="IQG57" s="37"/>
      <c r="IQH57" s="37"/>
      <c r="IQI57" s="37"/>
      <c r="IQJ57" s="37"/>
      <c r="IQK57" s="37"/>
      <c r="IQL57" s="37"/>
      <c r="IQM57" s="37"/>
      <c r="IQN57" s="37"/>
      <c r="IQO57" s="37"/>
      <c r="IQP57" s="37"/>
      <c r="IQQ57" s="37"/>
      <c r="IQR57" s="37"/>
      <c r="IQS57" s="37"/>
      <c r="IQT57" s="37"/>
      <c r="IQU57" s="37"/>
      <c r="IQV57" s="37"/>
      <c r="IQW57" s="37"/>
      <c r="IQX57" s="37"/>
      <c r="IQY57" s="37"/>
      <c r="IQZ57" s="37"/>
      <c r="IRA57" s="37"/>
      <c r="IRB57" s="37"/>
      <c r="IRC57" s="37"/>
      <c r="IRD57" s="37"/>
      <c r="IRE57" s="37"/>
      <c r="IRF57" s="37"/>
      <c r="IRG57" s="37"/>
      <c r="IRH57" s="37"/>
      <c r="IRI57" s="37"/>
      <c r="IRJ57" s="37"/>
      <c r="IRK57" s="37"/>
      <c r="IRL57" s="37"/>
      <c r="IRM57" s="37"/>
      <c r="IRN57" s="37"/>
      <c r="IRO57" s="37"/>
      <c r="IRP57" s="37"/>
      <c r="IRQ57" s="37"/>
      <c r="IRR57" s="37"/>
      <c r="IRS57" s="37"/>
      <c r="IRT57" s="37"/>
      <c r="IRU57" s="37"/>
      <c r="IRV57" s="37"/>
      <c r="IRW57" s="37"/>
      <c r="IRX57" s="37"/>
      <c r="IRY57" s="37"/>
      <c r="IRZ57" s="37"/>
      <c r="ISA57" s="37"/>
      <c r="ISB57" s="37"/>
      <c r="ISC57" s="37"/>
      <c r="ISD57" s="37"/>
      <c r="ISE57" s="37"/>
      <c r="ISF57" s="37"/>
      <c r="ISG57" s="37"/>
      <c r="ISH57" s="37"/>
      <c r="ISI57" s="37"/>
      <c r="ISJ57" s="37"/>
      <c r="ISK57" s="37"/>
      <c r="ISL57" s="37"/>
      <c r="ISM57" s="37"/>
      <c r="ISN57" s="37"/>
      <c r="ISO57" s="37"/>
      <c r="ISP57" s="37"/>
      <c r="ISQ57" s="37"/>
      <c r="ISR57" s="37"/>
      <c r="ISS57" s="37"/>
      <c r="IST57" s="37"/>
      <c r="ISU57" s="37"/>
      <c r="ISV57" s="37"/>
      <c r="ISW57" s="37"/>
      <c r="ISX57" s="37"/>
      <c r="ISY57" s="37"/>
      <c r="ISZ57" s="37"/>
      <c r="ITA57" s="37"/>
      <c r="ITB57" s="37"/>
      <c r="ITC57" s="37"/>
      <c r="ITD57" s="37"/>
      <c r="ITE57" s="37"/>
      <c r="ITF57" s="37"/>
      <c r="ITG57" s="37"/>
      <c r="ITH57" s="37"/>
      <c r="ITI57" s="37"/>
      <c r="ITJ57" s="37"/>
      <c r="ITK57" s="37"/>
      <c r="ITL57" s="37"/>
      <c r="ITM57" s="37"/>
      <c r="ITN57" s="37"/>
      <c r="ITO57" s="37"/>
      <c r="ITP57" s="37"/>
      <c r="ITQ57" s="37"/>
      <c r="ITR57" s="37"/>
      <c r="ITS57" s="37"/>
      <c r="ITT57" s="37"/>
      <c r="ITU57" s="37"/>
      <c r="ITV57" s="37"/>
      <c r="ITW57" s="37"/>
      <c r="ITX57" s="37"/>
      <c r="ITY57" s="37"/>
      <c r="ITZ57" s="37"/>
      <c r="IUA57" s="37"/>
      <c r="IUB57" s="37"/>
      <c r="IUC57" s="37"/>
      <c r="IUD57" s="37"/>
      <c r="IUE57" s="37"/>
      <c r="IUF57" s="37"/>
      <c r="IUG57" s="37"/>
      <c r="IUH57" s="37"/>
      <c r="IUI57" s="37"/>
      <c r="IUJ57" s="37"/>
      <c r="IUK57" s="37"/>
      <c r="IUL57" s="37"/>
      <c r="IUM57" s="37"/>
      <c r="IUN57" s="37"/>
      <c r="IUO57" s="37"/>
      <c r="IUP57" s="37"/>
      <c r="IUQ57" s="37"/>
      <c r="IUR57" s="37"/>
      <c r="IUS57" s="37"/>
      <c r="IUT57" s="37"/>
      <c r="IUU57" s="37"/>
      <c r="IUV57" s="37"/>
      <c r="IUW57" s="37"/>
      <c r="IUX57" s="37"/>
      <c r="IUY57" s="37"/>
      <c r="IUZ57" s="37"/>
      <c r="IVA57" s="37"/>
      <c r="IVB57" s="37"/>
      <c r="IVC57" s="37"/>
      <c r="IVD57" s="37"/>
      <c r="IVE57" s="37"/>
      <c r="IVF57" s="37"/>
      <c r="IVG57" s="37"/>
      <c r="IVH57" s="37"/>
      <c r="IVI57" s="37"/>
      <c r="IVJ57" s="37"/>
      <c r="IVK57" s="37"/>
      <c r="IVL57" s="37"/>
      <c r="IVM57" s="37"/>
      <c r="IVN57" s="37"/>
      <c r="IVO57" s="37"/>
      <c r="IVP57" s="37"/>
      <c r="IVQ57" s="37"/>
      <c r="IVR57" s="37"/>
      <c r="IVS57" s="37"/>
      <c r="IVT57" s="37"/>
      <c r="IVU57" s="37"/>
      <c r="IVV57" s="37"/>
      <c r="IVW57" s="37"/>
      <c r="IVX57" s="37"/>
      <c r="IVY57" s="37"/>
      <c r="IVZ57" s="37"/>
      <c r="IWA57" s="37"/>
      <c r="IWB57" s="37"/>
      <c r="IWC57" s="37"/>
      <c r="IWD57" s="37"/>
      <c r="IWE57" s="37"/>
      <c r="IWF57" s="37"/>
      <c r="IWG57" s="37"/>
      <c r="IWH57" s="37"/>
      <c r="IWI57" s="37"/>
      <c r="IWJ57" s="37"/>
      <c r="IWK57" s="37"/>
      <c r="IWL57" s="37"/>
      <c r="IWM57" s="37"/>
      <c r="IWN57" s="37"/>
      <c r="IWO57" s="37"/>
      <c r="IWP57" s="37"/>
      <c r="IWQ57" s="37"/>
      <c r="IWR57" s="37"/>
      <c r="IWS57" s="37"/>
      <c r="IWT57" s="37"/>
      <c r="IWU57" s="37"/>
      <c r="IWV57" s="37"/>
      <c r="IWW57" s="37"/>
      <c r="IWX57" s="37"/>
      <c r="IWY57" s="37"/>
      <c r="IWZ57" s="37"/>
      <c r="IXA57" s="37"/>
      <c r="IXB57" s="37"/>
      <c r="IXC57" s="37"/>
      <c r="IXD57" s="37"/>
      <c r="IXE57" s="37"/>
      <c r="IXF57" s="37"/>
      <c r="IXG57" s="37"/>
      <c r="IXH57" s="37"/>
      <c r="IXI57" s="37"/>
      <c r="IXJ57" s="37"/>
      <c r="IXK57" s="37"/>
      <c r="IXL57" s="37"/>
      <c r="IXM57" s="37"/>
      <c r="IXN57" s="37"/>
      <c r="IXO57" s="37"/>
      <c r="IXP57" s="37"/>
      <c r="IXQ57" s="37"/>
      <c r="IXR57" s="37"/>
      <c r="IXS57" s="37"/>
      <c r="IXT57" s="37"/>
      <c r="IXU57" s="37"/>
      <c r="IXV57" s="37"/>
      <c r="IXW57" s="37"/>
      <c r="IXX57" s="37"/>
      <c r="IXY57" s="37"/>
      <c r="IXZ57" s="37"/>
      <c r="IYA57" s="37"/>
      <c r="IYB57" s="37"/>
      <c r="IYC57" s="37"/>
      <c r="IYD57" s="37"/>
      <c r="IYE57" s="37"/>
      <c r="IYF57" s="37"/>
      <c r="IYG57" s="37"/>
      <c r="IYH57" s="37"/>
      <c r="IYI57" s="37"/>
      <c r="IYJ57" s="37"/>
      <c r="IYK57" s="37"/>
      <c r="IYL57" s="37"/>
      <c r="IYM57" s="37"/>
      <c r="IYN57" s="37"/>
      <c r="IYO57" s="37"/>
      <c r="IYP57" s="37"/>
      <c r="IYQ57" s="37"/>
      <c r="IYR57" s="37"/>
      <c r="IYS57" s="37"/>
      <c r="IYT57" s="37"/>
      <c r="IYU57" s="37"/>
      <c r="IYV57" s="37"/>
      <c r="IYW57" s="37"/>
      <c r="IYX57" s="37"/>
      <c r="IYY57" s="37"/>
      <c r="IYZ57" s="37"/>
      <c r="IZA57" s="37"/>
      <c r="IZB57" s="37"/>
      <c r="IZC57" s="37"/>
      <c r="IZD57" s="37"/>
      <c r="IZE57" s="37"/>
      <c r="IZF57" s="37"/>
      <c r="IZG57" s="37"/>
      <c r="IZH57" s="37"/>
      <c r="IZI57" s="37"/>
      <c r="IZJ57" s="37"/>
      <c r="IZK57" s="37"/>
      <c r="IZL57" s="37"/>
      <c r="IZM57" s="37"/>
      <c r="IZN57" s="37"/>
      <c r="IZO57" s="37"/>
      <c r="IZP57" s="37"/>
      <c r="IZQ57" s="37"/>
      <c r="IZR57" s="37"/>
      <c r="IZS57" s="37"/>
      <c r="IZT57" s="37"/>
      <c r="IZU57" s="37"/>
      <c r="IZV57" s="37"/>
      <c r="IZW57" s="37"/>
      <c r="IZX57" s="37"/>
      <c r="IZY57" s="37"/>
      <c r="IZZ57" s="37"/>
      <c r="JAA57" s="37"/>
      <c r="JAB57" s="37"/>
      <c r="JAC57" s="37"/>
      <c r="JAD57" s="37"/>
      <c r="JAE57" s="37"/>
      <c r="JAF57" s="37"/>
      <c r="JAG57" s="37"/>
      <c r="JAH57" s="37"/>
      <c r="JAI57" s="37"/>
      <c r="JAJ57" s="37"/>
      <c r="JAK57" s="37"/>
      <c r="JAL57" s="37"/>
      <c r="JAM57" s="37"/>
      <c r="JAN57" s="37"/>
      <c r="JAO57" s="37"/>
      <c r="JAP57" s="37"/>
      <c r="JAQ57" s="37"/>
      <c r="JAR57" s="37"/>
      <c r="JAS57" s="37"/>
      <c r="JAT57" s="37"/>
      <c r="JAU57" s="37"/>
      <c r="JAV57" s="37"/>
      <c r="JAW57" s="37"/>
      <c r="JAX57" s="37"/>
      <c r="JAY57" s="37"/>
      <c r="JAZ57" s="37"/>
      <c r="JBA57" s="37"/>
      <c r="JBB57" s="37"/>
      <c r="JBC57" s="37"/>
      <c r="JBD57" s="37"/>
      <c r="JBE57" s="37"/>
      <c r="JBF57" s="37"/>
      <c r="JBG57" s="37"/>
      <c r="JBH57" s="37"/>
      <c r="JBI57" s="37"/>
      <c r="JBJ57" s="37"/>
      <c r="JBK57" s="37"/>
      <c r="JBL57" s="37"/>
      <c r="JBM57" s="37"/>
      <c r="JBN57" s="37"/>
      <c r="JBO57" s="37"/>
      <c r="JBP57" s="37"/>
      <c r="JBQ57" s="37"/>
      <c r="JBR57" s="37"/>
      <c r="JBS57" s="37"/>
      <c r="JBT57" s="37"/>
      <c r="JBU57" s="37"/>
      <c r="JBV57" s="37"/>
      <c r="JBW57" s="37"/>
      <c r="JBX57" s="37"/>
      <c r="JBY57" s="37"/>
      <c r="JBZ57" s="37"/>
      <c r="JCA57" s="37"/>
      <c r="JCB57" s="37"/>
      <c r="JCC57" s="37"/>
      <c r="JCD57" s="37"/>
      <c r="JCE57" s="37"/>
      <c r="JCF57" s="37"/>
      <c r="JCG57" s="37"/>
      <c r="JCH57" s="37"/>
      <c r="JCI57" s="37"/>
      <c r="JCJ57" s="37"/>
      <c r="JCK57" s="37"/>
      <c r="JCL57" s="37"/>
      <c r="JCM57" s="37"/>
      <c r="JCN57" s="37"/>
      <c r="JCO57" s="37"/>
      <c r="JCP57" s="37"/>
      <c r="JCQ57" s="37"/>
      <c r="JCR57" s="37"/>
      <c r="JCS57" s="37"/>
      <c r="JCT57" s="37"/>
      <c r="JCU57" s="37"/>
      <c r="JCV57" s="37"/>
      <c r="JCW57" s="37"/>
      <c r="JCX57" s="37"/>
      <c r="JCY57" s="37"/>
      <c r="JCZ57" s="37"/>
      <c r="JDA57" s="37"/>
      <c r="JDB57" s="37"/>
      <c r="JDC57" s="37"/>
      <c r="JDD57" s="37"/>
      <c r="JDE57" s="37"/>
      <c r="JDF57" s="37"/>
      <c r="JDG57" s="37"/>
      <c r="JDH57" s="37"/>
      <c r="JDI57" s="37"/>
      <c r="JDJ57" s="37"/>
      <c r="JDK57" s="37"/>
      <c r="JDL57" s="37"/>
      <c r="JDM57" s="37"/>
      <c r="JDN57" s="37"/>
      <c r="JDO57" s="37"/>
      <c r="JDP57" s="37"/>
      <c r="JDQ57" s="37"/>
      <c r="JDR57" s="37"/>
      <c r="JDS57" s="37"/>
      <c r="JDT57" s="37"/>
      <c r="JDU57" s="37"/>
      <c r="JDV57" s="37"/>
      <c r="JDW57" s="37"/>
      <c r="JDX57" s="37"/>
      <c r="JDY57" s="37"/>
      <c r="JDZ57" s="37"/>
      <c r="JEA57" s="37"/>
      <c r="JEB57" s="37"/>
      <c r="JEC57" s="37"/>
      <c r="JED57" s="37"/>
      <c r="JEE57" s="37"/>
      <c r="JEF57" s="37"/>
      <c r="JEG57" s="37"/>
      <c r="JEH57" s="37"/>
      <c r="JEI57" s="37"/>
      <c r="JEJ57" s="37"/>
      <c r="JEK57" s="37"/>
      <c r="JEL57" s="37"/>
      <c r="JEM57" s="37"/>
      <c r="JEN57" s="37"/>
      <c r="JEO57" s="37"/>
      <c r="JEP57" s="37"/>
      <c r="JEQ57" s="37"/>
      <c r="JER57" s="37"/>
      <c r="JES57" s="37"/>
      <c r="JET57" s="37"/>
      <c r="JEU57" s="37"/>
      <c r="JEV57" s="37"/>
      <c r="JEW57" s="37"/>
      <c r="JEX57" s="37"/>
      <c r="JEY57" s="37"/>
      <c r="JEZ57" s="37"/>
      <c r="JFA57" s="37"/>
      <c r="JFB57" s="37"/>
      <c r="JFC57" s="37"/>
      <c r="JFD57" s="37"/>
      <c r="JFE57" s="37"/>
      <c r="JFF57" s="37"/>
      <c r="JFG57" s="37"/>
      <c r="JFH57" s="37"/>
      <c r="JFI57" s="37"/>
      <c r="JFJ57" s="37"/>
      <c r="JFK57" s="37"/>
      <c r="JFL57" s="37"/>
      <c r="JFM57" s="37"/>
      <c r="JFN57" s="37"/>
      <c r="JFO57" s="37"/>
      <c r="JFP57" s="37"/>
      <c r="JFQ57" s="37"/>
      <c r="JFR57" s="37"/>
      <c r="JFS57" s="37"/>
      <c r="JFT57" s="37"/>
      <c r="JFU57" s="37"/>
      <c r="JFV57" s="37"/>
      <c r="JFW57" s="37"/>
      <c r="JFX57" s="37"/>
      <c r="JFY57" s="37"/>
      <c r="JFZ57" s="37"/>
      <c r="JGA57" s="37"/>
      <c r="JGB57" s="37"/>
      <c r="JGC57" s="37"/>
      <c r="JGD57" s="37"/>
      <c r="JGE57" s="37"/>
      <c r="JGF57" s="37"/>
      <c r="JGG57" s="37"/>
      <c r="JGH57" s="37"/>
      <c r="JGI57" s="37"/>
      <c r="JGJ57" s="37"/>
      <c r="JGK57" s="37"/>
      <c r="JGL57" s="37"/>
      <c r="JGM57" s="37"/>
      <c r="JGN57" s="37"/>
      <c r="JGO57" s="37"/>
      <c r="JGP57" s="37"/>
      <c r="JGQ57" s="37"/>
      <c r="JGR57" s="37"/>
      <c r="JGS57" s="37"/>
      <c r="JGT57" s="37"/>
      <c r="JGU57" s="37"/>
      <c r="JGV57" s="37"/>
      <c r="JGW57" s="37"/>
      <c r="JGX57" s="37"/>
      <c r="JGY57" s="37"/>
      <c r="JGZ57" s="37"/>
      <c r="JHA57" s="37"/>
      <c r="JHB57" s="37"/>
      <c r="JHC57" s="37"/>
      <c r="JHD57" s="37"/>
      <c r="JHE57" s="37"/>
      <c r="JHF57" s="37"/>
      <c r="JHG57" s="37"/>
      <c r="JHH57" s="37"/>
      <c r="JHI57" s="37"/>
      <c r="JHJ57" s="37"/>
      <c r="JHK57" s="37"/>
      <c r="JHL57" s="37"/>
      <c r="JHM57" s="37"/>
      <c r="JHN57" s="37"/>
      <c r="JHO57" s="37"/>
      <c r="JHP57" s="37"/>
      <c r="JHQ57" s="37"/>
      <c r="JHR57" s="37"/>
      <c r="JHS57" s="37"/>
      <c r="JHT57" s="37"/>
      <c r="JHU57" s="37"/>
      <c r="JHV57" s="37"/>
      <c r="JHW57" s="37"/>
      <c r="JHX57" s="37"/>
      <c r="JHY57" s="37"/>
      <c r="JHZ57" s="37"/>
      <c r="JIA57" s="37"/>
      <c r="JIB57" s="37"/>
      <c r="JIC57" s="37"/>
      <c r="JID57" s="37"/>
      <c r="JIE57" s="37"/>
      <c r="JIF57" s="37"/>
      <c r="JIG57" s="37"/>
      <c r="JIH57" s="37"/>
      <c r="JII57" s="37"/>
      <c r="JIJ57" s="37"/>
      <c r="JIK57" s="37"/>
      <c r="JIL57" s="37"/>
      <c r="JIM57" s="37"/>
      <c r="JIN57" s="37"/>
      <c r="JIO57" s="37"/>
      <c r="JIP57" s="37"/>
      <c r="JIQ57" s="37"/>
      <c r="JIR57" s="37"/>
      <c r="JIS57" s="37"/>
      <c r="JIT57" s="37"/>
      <c r="JIU57" s="37"/>
      <c r="JIV57" s="37"/>
      <c r="JIW57" s="37"/>
      <c r="JIX57" s="37"/>
      <c r="JIY57" s="37"/>
      <c r="JIZ57" s="37"/>
      <c r="JJA57" s="37"/>
      <c r="JJB57" s="37"/>
      <c r="JJC57" s="37"/>
      <c r="JJD57" s="37"/>
      <c r="JJE57" s="37"/>
      <c r="JJF57" s="37"/>
      <c r="JJG57" s="37"/>
      <c r="JJH57" s="37"/>
      <c r="JJI57" s="37"/>
      <c r="JJJ57" s="37"/>
      <c r="JJK57" s="37"/>
      <c r="JJL57" s="37"/>
      <c r="JJM57" s="37"/>
      <c r="JJN57" s="37"/>
      <c r="JJO57" s="37"/>
      <c r="JJP57" s="37"/>
      <c r="JJQ57" s="37"/>
      <c r="JJR57" s="37"/>
      <c r="JJS57" s="37"/>
      <c r="JJT57" s="37"/>
      <c r="JJU57" s="37"/>
      <c r="JJV57" s="37"/>
      <c r="JJW57" s="37"/>
      <c r="JJX57" s="37"/>
      <c r="JJY57" s="37"/>
      <c r="JJZ57" s="37"/>
      <c r="JKA57" s="37"/>
      <c r="JKB57" s="37"/>
      <c r="JKC57" s="37"/>
      <c r="JKD57" s="37"/>
      <c r="JKE57" s="37"/>
      <c r="JKF57" s="37"/>
      <c r="JKG57" s="37"/>
      <c r="JKH57" s="37"/>
      <c r="JKI57" s="37"/>
      <c r="JKJ57" s="37"/>
      <c r="JKK57" s="37"/>
      <c r="JKL57" s="37"/>
      <c r="JKM57" s="37"/>
      <c r="JKN57" s="37"/>
      <c r="JKO57" s="37"/>
      <c r="JKP57" s="37"/>
      <c r="JKQ57" s="37"/>
      <c r="JKR57" s="37"/>
      <c r="JKS57" s="37"/>
      <c r="JKT57" s="37"/>
      <c r="JKU57" s="37"/>
      <c r="JKV57" s="37"/>
      <c r="JKW57" s="37"/>
      <c r="JKX57" s="37"/>
      <c r="JKY57" s="37"/>
      <c r="JKZ57" s="37"/>
      <c r="JLA57" s="37"/>
      <c r="JLB57" s="37"/>
      <c r="JLC57" s="37"/>
      <c r="JLD57" s="37"/>
      <c r="JLE57" s="37"/>
      <c r="JLF57" s="37"/>
      <c r="JLG57" s="37"/>
      <c r="JLH57" s="37"/>
      <c r="JLI57" s="37"/>
      <c r="JLJ57" s="37"/>
      <c r="JLK57" s="37"/>
      <c r="JLL57" s="37"/>
      <c r="JLM57" s="37"/>
      <c r="JLN57" s="37"/>
      <c r="JLO57" s="37"/>
      <c r="JLP57" s="37"/>
      <c r="JLQ57" s="37"/>
      <c r="JLR57" s="37"/>
      <c r="JLS57" s="37"/>
      <c r="JLT57" s="37"/>
      <c r="JLU57" s="37"/>
      <c r="JLV57" s="37"/>
      <c r="JLW57" s="37"/>
      <c r="JLX57" s="37"/>
      <c r="JLY57" s="37"/>
      <c r="JLZ57" s="37"/>
      <c r="JMA57" s="37"/>
      <c r="JMB57" s="37"/>
      <c r="JMC57" s="37"/>
      <c r="JMD57" s="37"/>
      <c r="JME57" s="37"/>
      <c r="JMF57" s="37"/>
      <c r="JMG57" s="37"/>
      <c r="JMH57" s="37"/>
      <c r="JMI57" s="37"/>
      <c r="JMJ57" s="37"/>
      <c r="JMK57" s="37"/>
      <c r="JML57" s="37"/>
      <c r="JMM57" s="37"/>
      <c r="JMN57" s="37"/>
      <c r="JMO57" s="37"/>
      <c r="JMP57" s="37"/>
      <c r="JMQ57" s="37"/>
      <c r="JMR57" s="37"/>
      <c r="JMS57" s="37"/>
      <c r="JMT57" s="37"/>
      <c r="JMU57" s="37"/>
      <c r="JMV57" s="37"/>
      <c r="JMW57" s="37"/>
      <c r="JMX57" s="37"/>
      <c r="JMY57" s="37"/>
      <c r="JMZ57" s="37"/>
      <c r="JNA57" s="37"/>
      <c r="JNB57" s="37"/>
      <c r="JNC57" s="37"/>
      <c r="JND57" s="37"/>
      <c r="JNE57" s="37"/>
      <c r="JNF57" s="37"/>
      <c r="JNG57" s="37"/>
      <c r="JNH57" s="37"/>
      <c r="JNI57" s="37"/>
      <c r="JNJ57" s="37"/>
      <c r="JNK57" s="37"/>
      <c r="JNL57" s="37"/>
      <c r="JNM57" s="37"/>
      <c r="JNN57" s="37"/>
      <c r="JNO57" s="37"/>
      <c r="JNP57" s="37"/>
      <c r="JNQ57" s="37"/>
      <c r="JNR57" s="37"/>
      <c r="JNS57" s="37"/>
      <c r="JNT57" s="37"/>
      <c r="JNU57" s="37"/>
      <c r="JNV57" s="37"/>
      <c r="JNW57" s="37"/>
      <c r="JNX57" s="37"/>
      <c r="JNY57" s="37"/>
      <c r="JNZ57" s="37"/>
      <c r="JOA57" s="37"/>
      <c r="JOB57" s="37"/>
      <c r="JOC57" s="37"/>
      <c r="JOD57" s="37"/>
      <c r="JOE57" s="37"/>
      <c r="JOF57" s="37"/>
      <c r="JOG57" s="37"/>
      <c r="JOH57" s="37"/>
      <c r="JOI57" s="37"/>
      <c r="JOJ57" s="37"/>
      <c r="JOK57" s="37"/>
      <c r="JOL57" s="37"/>
      <c r="JOM57" s="37"/>
      <c r="JON57" s="37"/>
      <c r="JOO57" s="37"/>
      <c r="JOP57" s="37"/>
      <c r="JOQ57" s="37"/>
      <c r="JOR57" s="37"/>
      <c r="JOS57" s="37"/>
      <c r="JOT57" s="37"/>
      <c r="JOU57" s="37"/>
      <c r="JOV57" s="37"/>
      <c r="JOW57" s="37"/>
      <c r="JOX57" s="37"/>
      <c r="JOY57" s="37"/>
      <c r="JOZ57" s="37"/>
      <c r="JPA57" s="37"/>
      <c r="JPB57" s="37"/>
      <c r="JPC57" s="37"/>
      <c r="JPD57" s="37"/>
      <c r="JPE57" s="37"/>
      <c r="JPF57" s="37"/>
      <c r="JPG57" s="37"/>
      <c r="JPH57" s="37"/>
      <c r="JPI57" s="37"/>
      <c r="JPJ57" s="37"/>
      <c r="JPK57" s="37"/>
      <c r="JPL57" s="37"/>
      <c r="JPM57" s="37"/>
      <c r="JPN57" s="37"/>
      <c r="JPO57" s="37"/>
      <c r="JPP57" s="37"/>
      <c r="JPQ57" s="37"/>
      <c r="JPR57" s="37"/>
      <c r="JPS57" s="37"/>
      <c r="JPT57" s="37"/>
      <c r="JPU57" s="37"/>
      <c r="JPV57" s="37"/>
      <c r="JPW57" s="37"/>
      <c r="JPX57" s="37"/>
      <c r="JPY57" s="37"/>
      <c r="JPZ57" s="37"/>
      <c r="JQA57" s="37"/>
      <c r="JQB57" s="37"/>
      <c r="JQC57" s="37"/>
      <c r="JQD57" s="37"/>
      <c r="JQE57" s="37"/>
      <c r="JQF57" s="37"/>
      <c r="JQG57" s="37"/>
      <c r="JQH57" s="37"/>
      <c r="JQI57" s="37"/>
      <c r="JQJ57" s="37"/>
      <c r="JQK57" s="37"/>
      <c r="JQL57" s="37"/>
      <c r="JQM57" s="37"/>
      <c r="JQN57" s="37"/>
      <c r="JQO57" s="37"/>
      <c r="JQP57" s="37"/>
      <c r="JQQ57" s="37"/>
      <c r="JQR57" s="37"/>
      <c r="JQS57" s="37"/>
      <c r="JQT57" s="37"/>
      <c r="JQU57" s="37"/>
      <c r="JQV57" s="37"/>
      <c r="JQW57" s="37"/>
      <c r="JQX57" s="37"/>
      <c r="JQY57" s="37"/>
      <c r="JQZ57" s="37"/>
      <c r="JRA57" s="37"/>
      <c r="JRB57" s="37"/>
      <c r="JRC57" s="37"/>
      <c r="JRD57" s="37"/>
      <c r="JRE57" s="37"/>
      <c r="JRF57" s="37"/>
      <c r="JRG57" s="37"/>
      <c r="JRH57" s="37"/>
      <c r="JRI57" s="37"/>
      <c r="JRJ57" s="37"/>
      <c r="JRK57" s="37"/>
      <c r="JRL57" s="37"/>
      <c r="JRM57" s="37"/>
      <c r="JRN57" s="37"/>
      <c r="JRO57" s="37"/>
      <c r="JRP57" s="37"/>
      <c r="JRQ57" s="37"/>
      <c r="JRR57" s="37"/>
      <c r="JRS57" s="37"/>
      <c r="JRT57" s="37"/>
      <c r="JRU57" s="37"/>
      <c r="JRV57" s="37"/>
      <c r="JRW57" s="37"/>
      <c r="JRX57" s="37"/>
      <c r="JRY57" s="37"/>
      <c r="JRZ57" s="37"/>
      <c r="JSA57" s="37"/>
      <c r="JSB57" s="37"/>
      <c r="JSC57" s="37"/>
      <c r="JSD57" s="37"/>
      <c r="JSE57" s="37"/>
      <c r="JSF57" s="37"/>
      <c r="JSG57" s="37"/>
      <c r="JSH57" s="37"/>
      <c r="JSI57" s="37"/>
      <c r="JSJ57" s="37"/>
      <c r="JSK57" s="37"/>
      <c r="JSL57" s="37"/>
      <c r="JSM57" s="37"/>
      <c r="JSN57" s="37"/>
      <c r="JSO57" s="37"/>
      <c r="JSP57" s="37"/>
      <c r="JSQ57" s="37"/>
      <c r="JSR57" s="37"/>
      <c r="JSS57" s="37"/>
      <c r="JST57" s="37"/>
      <c r="JSU57" s="37"/>
      <c r="JSV57" s="37"/>
      <c r="JSW57" s="37"/>
      <c r="JSX57" s="37"/>
      <c r="JSY57" s="37"/>
      <c r="JSZ57" s="37"/>
      <c r="JTA57" s="37"/>
      <c r="JTB57" s="37"/>
      <c r="JTC57" s="37"/>
      <c r="JTD57" s="37"/>
      <c r="JTE57" s="37"/>
      <c r="JTF57" s="37"/>
      <c r="JTG57" s="37"/>
      <c r="JTH57" s="37"/>
      <c r="JTI57" s="37"/>
      <c r="JTJ57" s="37"/>
      <c r="JTK57" s="37"/>
      <c r="JTL57" s="37"/>
      <c r="JTM57" s="37"/>
      <c r="JTN57" s="37"/>
      <c r="JTO57" s="37"/>
      <c r="JTP57" s="37"/>
      <c r="JTQ57" s="37"/>
      <c r="JTR57" s="37"/>
      <c r="JTS57" s="37"/>
      <c r="JTT57" s="37"/>
      <c r="JTU57" s="37"/>
      <c r="JTV57" s="37"/>
      <c r="JTW57" s="37"/>
      <c r="JTX57" s="37"/>
      <c r="JTY57" s="37"/>
      <c r="JTZ57" s="37"/>
      <c r="JUA57" s="37"/>
      <c r="JUB57" s="37"/>
      <c r="JUC57" s="37"/>
      <c r="JUD57" s="37"/>
      <c r="JUE57" s="37"/>
      <c r="JUF57" s="37"/>
      <c r="JUG57" s="37"/>
      <c r="JUH57" s="37"/>
      <c r="JUI57" s="37"/>
      <c r="JUJ57" s="37"/>
      <c r="JUK57" s="37"/>
      <c r="JUL57" s="37"/>
      <c r="JUM57" s="37"/>
      <c r="JUN57" s="37"/>
      <c r="JUO57" s="37"/>
      <c r="JUP57" s="37"/>
      <c r="JUQ57" s="37"/>
      <c r="JUR57" s="37"/>
      <c r="JUS57" s="37"/>
      <c r="JUT57" s="37"/>
      <c r="JUU57" s="37"/>
      <c r="JUV57" s="37"/>
      <c r="JUW57" s="37"/>
      <c r="JUX57" s="37"/>
      <c r="JUY57" s="37"/>
      <c r="JUZ57" s="37"/>
      <c r="JVA57" s="37"/>
      <c r="JVB57" s="37"/>
      <c r="JVC57" s="37"/>
      <c r="JVD57" s="37"/>
      <c r="JVE57" s="37"/>
      <c r="JVF57" s="37"/>
      <c r="JVG57" s="37"/>
      <c r="JVH57" s="37"/>
      <c r="JVI57" s="37"/>
      <c r="JVJ57" s="37"/>
      <c r="JVK57" s="37"/>
      <c r="JVL57" s="37"/>
      <c r="JVM57" s="37"/>
      <c r="JVN57" s="37"/>
      <c r="JVO57" s="37"/>
      <c r="JVP57" s="37"/>
      <c r="JVQ57" s="37"/>
      <c r="JVR57" s="37"/>
      <c r="JVS57" s="37"/>
      <c r="JVT57" s="37"/>
      <c r="JVU57" s="37"/>
      <c r="JVV57" s="37"/>
      <c r="JVW57" s="37"/>
      <c r="JVX57" s="37"/>
      <c r="JVY57" s="37"/>
      <c r="JVZ57" s="37"/>
      <c r="JWA57" s="37"/>
      <c r="JWB57" s="37"/>
      <c r="JWC57" s="37"/>
      <c r="JWD57" s="37"/>
      <c r="JWE57" s="37"/>
      <c r="JWF57" s="37"/>
      <c r="JWG57" s="37"/>
      <c r="JWH57" s="37"/>
      <c r="JWI57" s="37"/>
      <c r="JWJ57" s="37"/>
      <c r="JWK57" s="37"/>
      <c r="JWL57" s="37"/>
      <c r="JWM57" s="37"/>
      <c r="JWN57" s="37"/>
      <c r="JWO57" s="37"/>
      <c r="JWP57" s="37"/>
      <c r="JWQ57" s="37"/>
      <c r="JWR57" s="37"/>
      <c r="JWS57" s="37"/>
      <c r="JWT57" s="37"/>
      <c r="JWU57" s="37"/>
      <c r="JWV57" s="37"/>
      <c r="JWW57" s="37"/>
      <c r="JWX57" s="37"/>
      <c r="JWY57" s="37"/>
      <c r="JWZ57" s="37"/>
      <c r="JXA57" s="37"/>
      <c r="JXB57" s="37"/>
      <c r="JXC57" s="37"/>
      <c r="JXD57" s="37"/>
      <c r="JXE57" s="37"/>
      <c r="JXF57" s="37"/>
      <c r="JXG57" s="37"/>
      <c r="JXH57" s="37"/>
      <c r="JXI57" s="37"/>
      <c r="JXJ57" s="37"/>
      <c r="JXK57" s="37"/>
      <c r="JXL57" s="37"/>
      <c r="JXM57" s="37"/>
      <c r="JXN57" s="37"/>
      <c r="JXO57" s="37"/>
      <c r="JXP57" s="37"/>
      <c r="JXQ57" s="37"/>
      <c r="JXR57" s="37"/>
      <c r="JXS57" s="37"/>
      <c r="JXT57" s="37"/>
      <c r="JXU57" s="37"/>
      <c r="JXV57" s="37"/>
      <c r="JXW57" s="37"/>
      <c r="JXX57" s="37"/>
      <c r="JXY57" s="37"/>
      <c r="JXZ57" s="37"/>
      <c r="JYA57" s="37"/>
      <c r="JYB57" s="37"/>
      <c r="JYC57" s="37"/>
      <c r="JYD57" s="37"/>
      <c r="JYE57" s="37"/>
      <c r="JYF57" s="37"/>
      <c r="JYG57" s="37"/>
      <c r="JYH57" s="37"/>
      <c r="JYI57" s="37"/>
      <c r="JYJ57" s="37"/>
      <c r="JYK57" s="37"/>
      <c r="JYL57" s="37"/>
      <c r="JYM57" s="37"/>
      <c r="JYN57" s="37"/>
      <c r="JYO57" s="37"/>
      <c r="JYP57" s="37"/>
      <c r="JYQ57" s="37"/>
      <c r="JYR57" s="37"/>
      <c r="JYS57" s="37"/>
      <c r="JYT57" s="37"/>
      <c r="JYU57" s="37"/>
      <c r="JYV57" s="37"/>
      <c r="JYW57" s="37"/>
      <c r="JYX57" s="37"/>
      <c r="JYY57" s="37"/>
      <c r="JYZ57" s="37"/>
      <c r="JZA57" s="37"/>
      <c r="JZB57" s="37"/>
      <c r="JZC57" s="37"/>
      <c r="JZD57" s="37"/>
      <c r="JZE57" s="37"/>
      <c r="JZF57" s="37"/>
      <c r="JZG57" s="37"/>
      <c r="JZH57" s="37"/>
      <c r="JZI57" s="37"/>
      <c r="JZJ57" s="37"/>
      <c r="JZK57" s="37"/>
      <c r="JZL57" s="37"/>
      <c r="JZM57" s="37"/>
      <c r="JZN57" s="37"/>
      <c r="JZO57" s="37"/>
      <c r="JZP57" s="37"/>
      <c r="JZQ57" s="37"/>
      <c r="JZR57" s="37"/>
      <c r="JZS57" s="37"/>
      <c r="JZT57" s="37"/>
      <c r="JZU57" s="37"/>
      <c r="JZV57" s="37"/>
      <c r="JZW57" s="37"/>
      <c r="JZX57" s="37"/>
      <c r="JZY57" s="37"/>
      <c r="JZZ57" s="37"/>
      <c r="KAA57" s="37"/>
      <c r="KAB57" s="37"/>
      <c r="KAC57" s="37"/>
      <c r="KAD57" s="37"/>
      <c r="KAE57" s="37"/>
      <c r="KAF57" s="37"/>
      <c r="KAG57" s="37"/>
      <c r="KAH57" s="37"/>
      <c r="KAI57" s="37"/>
      <c r="KAJ57" s="37"/>
      <c r="KAK57" s="37"/>
      <c r="KAL57" s="37"/>
      <c r="KAM57" s="37"/>
      <c r="KAN57" s="37"/>
      <c r="KAO57" s="37"/>
      <c r="KAP57" s="37"/>
      <c r="KAQ57" s="37"/>
      <c r="KAR57" s="37"/>
      <c r="KAS57" s="37"/>
      <c r="KAT57" s="37"/>
      <c r="KAU57" s="37"/>
      <c r="KAV57" s="37"/>
      <c r="KAW57" s="37"/>
      <c r="KAX57" s="37"/>
      <c r="KAY57" s="37"/>
      <c r="KAZ57" s="37"/>
      <c r="KBA57" s="37"/>
      <c r="KBB57" s="37"/>
      <c r="KBC57" s="37"/>
      <c r="KBD57" s="37"/>
      <c r="KBE57" s="37"/>
      <c r="KBF57" s="37"/>
      <c r="KBG57" s="37"/>
      <c r="KBH57" s="37"/>
      <c r="KBI57" s="37"/>
      <c r="KBJ57" s="37"/>
      <c r="KBK57" s="37"/>
      <c r="KBL57" s="37"/>
      <c r="KBM57" s="37"/>
      <c r="KBN57" s="37"/>
      <c r="KBO57" s="37"/>
      <c r="KBP57" s="37"/>
      <c r="KBQ57" s="37"/>
      <c r="KBR57" s="37"/>
      <c r="KBS57" s="37"/>
      <c r="KBT57" s="37"/>
      <c r="KBU57" s="37"/>
      <c r="KBV57" s="37"/>
      <c r="KBW57" s="37"/>
      <c r="KBX57" s="37"/>
      <c r="KBY57" s="37"/>
      <c r="KBZ57" s="37"/>
      <c r="KCA57" s="37"/>
      <c r="KCB57" s="37"/>
      <c r="KCC57" s="37"/>
      <c r="KCD57" s="37"/>
      <c r="KCE57" s="37"/>
      <c r="KCF57" s="37"/>
      <c r="KCG57" s="37"/>
      <c r="KCH57" s="37"/>
      <c r="KCI57" s="37"/>
      <c r="KCJ57" s="37"/>
      <c r="KCK57" s="37"/>
      <c r="KCL57" s="37"/>
      <c r="KCM57" s="37"/>
      <c r="KCN57" s="37"/>
      <c r="KCO57" s="37"/>
      <c r="KCP57" s="37"/>
      <c r="KCQ57" s="37"/>
      <c r="KCR57" s="37"/>
      <c r="KCS57" s="37"/>
      <c r="KCT57" s="37"/>
      <c r="KCU57" s="37"/>
      <c r="KCV57" s="37"/>
      <c r="KCW57" s="37"/>
      <c r="KCX57" s="37"/>
      <c r="KCY57" s="37"/>
      <c r="KCZ57" s="37"/>
      <c r="KDA57" s="37"/>
      <c r="KDB57" s="37"/>
      <c r="KDC57" s="37"/>
      <c r="KDD57" s="37"/>
      <c r="KDE57" s="37"/>
      <c r="KDF57" s="37"/>
      <c r="KDG57" s="37"/>
      <c r="KDH57" s="37"/>
      <c r="KDI57" s="37"/>
      <c r="KDJ57" s="37"/>
      <c r="KDK57" s="37"/>
      <c r="KDL57" s="37"/>
      <c r="KDM57" s="37"/>
      <c r="KDN57" s="37"/>
      <c r="KDO57" s="37"/>
      <c r="KDP57" s="37"/>
      <c r="KDQ57" s="37"/>
      <c r="KDR57" s="37"/>
      <c r="KDS57" s="37"/>
      <c r="KDT57" s="37"/>
      <c r="KDU57" s="37"/>
      <c r="KDV57" s="37"/>
      <c r="KDW57" s="37"/>
      <c r="KDX57" s="37"/>
      <c r="KDY57" s="37"/>
      <c r="KDZ57" s="37"/>
      <c r="KEA57" s="37"/>
      <c r="KEB57" s="37"/>
      <c r="KEC57" s="37"/>
      <c r="KED57" s="37"/>
      <c r="KEE57" s="37"/>
      <c r="KEF57" s="37"/>
      <c r="KEG57" s="37"/>
      <c r="KEH57" s="37"/>
      <c r="KEI57" s="37"/>
      <c r="KEJ57" s="37"/>
      <c r="KEK57" s="37"/>
      <c r="KEL57" s="37"/>
      <c r="KEM57" s="37"/>
      <c r="KEN57" s="37"/>
      <c r="KEO57" s="37"/>
      <c r="KEP57" s="37"/>
      <c r="KEQ57" s="37"/>
      <c r="KER57" s="37"/>
      <c r="KES57" s="37"/>
      <c r="KET57" s="37"/>
      <c r="KEU57" s="37"/>
      <c r="KEV57" s="37"/>
      <c r="KEW57" s="37"/>
      <c r="KEX57" s="37"/>
      <c r="KEY57" s="37"/>
      <c r="KEZ57" s="37"/>
      <c r="KFA57" s="37"/>
      <c r="KFB57" s="37"/>
      <c r="KFC57" s="37"/>
      <c r="KFD57" s="37"/>
      <c r="KFE57" s="37"/>
      <c r="KFF57" s="37"/>
      <c r="KFG57" s="37"/>
      <c r="KFH57" s="37"/>
      <c r="KFI57" s="37"/>
      <c r="KFJ57" s="37"/>
      <c r="KFK57" s="37"/>
      <c r="KFL57" s="37"/>
      <c r="KFM57" s="37"/>
      <c r="KFN57" s="37"/>
      <c r="KFO57" s="37"/>
      <c r="KFP57" s="37"/>
      <c r="KFQ57" s="37"/>
      <c r="KFR57" s="37"/>
      <c r="KFS57" s="37"/>
      <c r="KFT57" s="37"/>
      <c r="KFU57" s="37"/>
      <c r="KFV57" s="37"/>
      <c r="KFW57" s="37"/>
      <c r="KFX57" s="37"/>
      <c r="KFY57" s="37"/>
      <c r="KFZ57" s="37"/>
      <c r="KGA57" s="37"/>
      <c r="KGB57" s="37"/>
      <c r="KGC57" s="37"/>
      <c r="KGD57" s="37"/>
      <c r="KGE57" s="37"/>
      <c r="KGF57" s="37"/>
      <c r="KGG57" s="37"/>
      <c r="KGH57" s="37"/>
      <c r="KGI57" s="37"/>
      <c r="KGJ57" s="37"/>
      <c r="KGK57" s="37"/>
      <c r="KGL57" s="37"/>
      <c r="KGM57" s="37"/>
      <c r="KGN57" s="37"/>
      <c r="KGO57" s="37"/>
      <c r="KGP57" s="37"/>
      <c r="KGQ57" s="37"/>
      <c r="KGR57" s="37"/>
      <c r="KGS57" s="37"/>
      <c r="KGT57" s="37"/>
      <c r="KGU57" s="37"/>
      <c r="KGV57" s="37"/>
      <c r="KGW57" s="37"/>
      <c r="KGX57" s="37"/>
      <c r="KGY57" s="37"/>
      <c r="KGZ57" s="37"/>
      <c r="KHA57" s="37"/>
      <c r="KHB57" s="37"/>
      <c r="KHC57" s="37"/>
      <c r="KHD57" s="37"/>
      <c r="KHE57" s="37"/>
      <c r="KHF57" s="37"/>
      <c r="KHG57" s="37"/>
      <c r="KHH57" s="37"/>
      <c r="KHI57" s="37"/>
      <c r="KHJ57" s="37"/>
      <c r="KHK57" s="37"/>
      <c r="KHL57" s="37"/>
      <c r="KHM57" s="37"/>
      <c r="KHN57" s="37"/>
      <c r="KHO57" s="37"/>
      <c r="KHP57" s="37"/>
      <c r="KHQ57" s="37"/>
      <c r="KHR57" s="37"/>
      <c r="KHS57" s="37"/>
      <c r="KHT57" s="37"/>
      <c r="KHU57" s="37"/>
      <c r="KHV57" s="37"/>
      <c r="KHW57" s="37"/>
      <c r="KHX57" s="37"/>
      <c r="KHY57" s="37"/>
      <c r="KHZ57" s="37"/>
      <c r="KIA57" s="37"/>
      <c r="KIB57" s="37"/>
      <c r="KIC57" s="37"/>
      <c r="KID57" s="37"/>
      <c r="KIE57" s="37"/>
      <c r="KIF57" s="37"/>
      <c r="KIG57" s="37"/>
      <c r="KIH57" s="37"/>
      <c r="KII57" s="37"/>
      <c r="KIJ57" s="37"/>
      <c r="KIK57" s="37"/>
      <c r="KIL57" s="37"/>
      <c r="KIM57" s="37"/>
      <c r="KIN57" s="37"/>
      <c r="KIO57" s="37"/>
      <c r="KIP57" s="37"/>
      <c r="KIQ57" s="37"/>
      <c r="KIR57" s="37"/>
      <c r="KIS57" s="37"/>
      <c r="KIT57" s="37"/>
      <c r="KIU57" s="37"/>
      <c r="KIV57" s="37"/>
      <c r="KIW57" s="37"/>
      <c r="KIX57" s="37"/>
      <c r="KIY57" s="37"/>
      <c r="KIZ57" s="37"/>
      <c r="KJA57" s="37"/>
      <c r="KJB57" s="37"/>
      <c r="KJC57" s="37"/>
      <c r="KJD57" s="37"/>
      <c r="KJE57" s="37"/>
      <c r="KJF57" s="37"/>
      <c r="KJG57" s="37"/>
      <c r="KJH57" s="37"/>
      <c r="KJI57" s="37"/>
      <c r="KJJ57" s="37"/>
      <c r="KJK57" s="37"/>
      <c r="KJL57" s="37"/>
      <c r="KJM57" s="37"/>
      <c r="KJN57" s="37"/>
      <c r="KJO57" s="37"/>
      <c r="KJP57" s="37"/>
      <c r="KJQ57" s="37"/>
      <c r="KJR57" s="37"/>
      <c r="KJS57" s="37"/>
      <c r="KJT57" s="37"/>
      <c r="KJU57" s="37"/>
      <c r="KJV57" s="37"/>
      <c r="KJW57" s="37"/>
      <c r="KJX57" s="37"/>
      <c r="KJY57" s="37"/>
      <c r="KJZ57" s="37"/>
      <c r="KKA57" s="37"/>
      <c r="KKB57" s="37"/>
      <c r="KKC57" s="37"/>
      <c r="KKD57" s="37"/>
      <c r="KKE57" s="37"/>
      <c r="KKF57" s="37"/>
      <c r="KKG57" s="37"/>
      <c r="KKH57" s="37"/>
      <c r="KKI57" s="37"/>
      <c r="KKJ57" s="37"/>
      <c r="KKK57" s="37"/>
      <c r="KKL57" s="37"/>
      <c r="KKM57" s="37"/>
      <c r="KKN57" s="37"/>
      <c r="KKO57" s="37"/>
      <c r="KKP57" s="37"/>
      <c r="KKQ57" s="37"/>
      <c r="KKR57" s="37"/>
      <c r="KKS57" s="37"/>
      <c r="KKT57" s="37"/>
      <c r="KKU57" s="37"/>
      <c r="KKV57" s="37"/>
      <c r="KKW57" s="37"/>
      <c r="KKX57" s="37"/>
      <c r="KKY57" s="37"/>
      <c r="KKZ57" s="37"/>
      <c r="KLA57" s="37"/>
      <c r="KLB57" s="37"/>
      <c r="KLC57" s="37"/>
      <c r="KLD57" s="37"/>
      <c r="KLE57" s="37"/>
      <c r="KLF57" s="37"/>
      <c r="KLG57" s="37"/>
      <c r="KLH57" s="37"/>
      <c r="KLI57" s="37"/>
      <c r="KLJ57" s="37"/>
      <c r="KLK57" s="37"/>
      <c r="KLL57" s="37"/>
      <c r="KLM57" s="37"/>
      <c r="KLN57" s="37"/>
      <c r="KLO57" s="37"/>
      <c r="KLP57" s="37"/>
      <c r="KLQ57" s="37"/>
      <c r="KLR57" s="37"/>
      <c r="KLS57" s="37"/>
      <c r="KLT57" s="37"/>
      <c r="KLU57" s="37"/>
      <c r="KLV57" s="37"/>
      <c r="KLW57" s="37"/>
      <c r="KLX57" s="37"/>
      <c r="KLY57" s="37"/>
      <c r="KLZ57" s="37"/>
      <c r="KMA57" s="37"/>
      <c r="KMB57" s="37"/>
      <c r="KMC57" s="37"/>
      <c r="KMD57" s="37"/>
      <c r="KME57" s="37"/>
      <c r="KMF57" s="37"/>
      <c r="KMG57" s="37"/>
      <c r="KMH57" s="37"/>
      <c r="KMI57" s="37"/>
      <c r="KMJ57" s="37"/>
      <c r="KMK57" s="37"/>
      <c r="KML57" s="37"/>
      <c r="KMM57" s="37"/>
      <c r="KMN57" s="37"/>
      <c r="KMO57" s="37"/>
      <c r="KMP57" s="37"/>
      <c r="KMQ57" s="37"/>
      <c r="KMR57" s="37"/>
      <c r="KMS57" s="37"/>
      <c r="KMT57" s="37"/>
      <c r="KMU57" s="37"/>
      <c r="KMV57" s="37"/>
      <c r="KMW57" s="37"/>
      <c r="KMX57" s="37"/>
      <c r="KMY57" s="37"/>
      <c r="KMZ57" s="37"/>
      <c r="KNA57" s="37"/>
      <c r="KNB57" s="37"/>
      <c r="KNC57" s="37"/>
      <c r="KND57" s="37"/>
      <c r="KNE57" s="37"/>
      <c r="KNF57" s="37"/>
      <c r="KNG57" s="37"/>
      <c r="KNH57" s="37"/>
      <c r="KNI57" s="37"/>
      <c r="KNJ57" s="37"/>
      <c r="KNK57" s="37"/>
      <c r="KNL57" s="37"/>
      <c r="KNM57" s="37"/>
      <c r="KNN57" s="37"/>
      <c r="KNO57" s="37"/>
      <c r="KNP57" s="37"/>
      <c r="KNQ57" s="37"/>
      <c r="KNR57" s="37"/>
      <c r="KNS57" s="37"/>
      <c r="KNT57" s="37"/>
      <c r="KNU57" s="37"/>
      <c r="KNV57" s="37"/>
      <c r="KNW57" s="37"/>
      <c r="KNX57" s="37"/>
      <c r="KNY57" s="37"/>
      <c r="KNZ57" s="37"/>
      <c r="KOA57" s="37"/>
      <c r="KOB57" s="37"/>
      <c r="KOC57" s="37"/>
      <c r="KOD57" s="37"/>
      <c r="KOE57" s="37"/>
      <c r="KOF57" s="37"/>
      <c r="KOG57" s="37"/>
      <c r="KOH57" s="37"/>
      <c r="KOI57" s="37"/>
      <c r="KOJ57" s="37"/>
      <c r="KOK57" s="37"/>
      <c r="KOL57" s="37"/>
      <c r="KOM57" s="37"/>
      <c r="KON57" s="37"/>
      <c r="KOO57" s="37"/>
      <c r="KOP57" s="37"/>
      <c r="KOQ57" s="37"/>
      <c r="KOR57" s="37"/>
      <c r="KOS57" s="37"/>
      <c r="KOT57" s="37"/>
      <c r="KOU57" s="37"/>
      <c r="KOV57" s="37"/>
      <c r="KOW57" s="37"/>
      <c r="KOX57" s="37"/>
      <c r="KOY57" s="37"/>
      <c r="KOZ57" s="37"/>
      <c r="KPA57" s="37"/>
      <c r="KPB57" s="37"/>
      <c r="KPC57" s="37"/>
      <c r="KPD57" s="37"/>
      <c r="KPE57" s="37"/>
      <c r="KPF57" s="37"/>
      <c r="KPG57" s="37"/>
      <c r="KPH57" s="37"/>
      <c r="KPI57" s="37"/>
      <c r="KPJ57" s="37"/>
      <c r="KPK57" s="37"/>
      <c r="KPL57" s="37"/>
      <c r="KPM57" s="37"/>
      <c r="KPN57" s="37"/>
      <c r="KPO57" s="37"/>
      <c r="KPP57" s="37"/>
      <c r="KPQ57" s="37"/>
      <c r="KPR57" s="37"/>
      <c r="KPS57" s="37"/>
      <c r="KPT57" s="37"/>
      <c r="KPU57" s="37"/>
      <c r="KPV57" s="37"/>
      <c r="KPW57" s="37"/>
      <c r="KPX57" s="37"/>
      <c r="KPY57" s="37"/>
      <c r="KPZ57" s="37"/>
      <c r="KQA57" s="37"/>
      <c r="KQB57" s="37"/>
      <c r="KQC57" s="37"/>
      <c r="KQD57" s="37"/>
      <c r="KQE57" s="37"/>
      <c r="KQF57" s="37"/>
      <c r="KQG57" s="37"/>
      <c r="KQH57" s="37"/>
      <c r="KQI57" s="37"/>
      <c r="KQJ57" s="37"/>
      <c r="KQK57" s="37"/>
      <c r="KQL57" s="37"/>
      <c r="KQM57" s="37"/>
      <c r="KQN57" s="37"/>
      <c r="KQO57" s="37"/>
      <c r="KQP57" s="37"/>
      <c r="KQQ57" s="37"/>
      <c r="KQR57" s="37"/>
      <c r="KQS57" s="37"/>
      <c r="KQT57" s="37"/>
      <c r="KQU57" s="37"/>
      <c r="KQV57" s="37"/>
      <c r="KQW57" s="37"/>
      <c r="KQX57" s="37"/>
      <c r="KQY57" s="37"/>
      <c r="KQZ57" s="37"/>
      <c r="KRA57" s="37"/>
      <c r="KRB57" s="37"/>
      <c r="KRC57" s="37"/>
      <c r="KRD57" s="37"/>
      <c r="KRE57" s="37"/>
      <c r="KRF57" s="37"/>
      <c r="KRG57" s="37"/>
      <c r="KRH57" s="37"/>
      <c r="KRI57" s="37"/>
      <c r="KRJ57" s="37"/>
      <c r="KRK57" s="37"/>
      <c r="KRL57" s="37"/>
      <c r="KRM57" s="37"/>
      <c r="KRN57" s="37"/>
      <c r="KRO57" s="37"/>
      <c r="KRP57" s="37"/>
      <c r="KRQ57" s="37"/>
      <c r="KRR57" s="37"/>
      <c r="KRS57" s="37"/>
      <c r="KRT57" s="37"/>
      <c r="KRU57" s="37"/>
      <c r="KRV57" s="37"/>
      <c r="KRW57" s="37"/>
      <c r="KRX57" s="37"/>
      <c r="KRY57" s="37"/>
      <c r="KRZ57" s="37"/>
      <c r="KSA57" s="37"/>
      <c r="KSB57" s="37"/>
      <c r="KSC57" s="37"/>
      <c r="KSD57" s="37"/>
      <c r="KSE57" s="37"/>
      <c r="KSF57" s="37"/>
      <c r="KSG57" s="37"/>
      <c r="KSH57" s="37"/>
      <c r="KSI57" s="37"/>
      <c r="KSJ57" s="37"/>
      <c r="KSK57" s="37"/>
      <c r="KSL57" s="37"/>
      <c r="KSM57" s="37"/>
      <c r="KSN57" s="37"/>
      <c r="KSO57" s="37"/>
      <c r="KSP57" s="37"/>
      <c r="KSQ57" s="37"/>
      <c r="KSR57" s="37"/>
      <c r="KSS57" s="37"/>
      <c r="KST57" s="37"/>
      <c r="KSU57" s="37"/>
      <c r="KSV57" s="37"/>
      <c r="KSW57" s="37"/>
      <c r="KSX57" s="37"/>
      <c r="KSY57" s="37"/>
      <c r="KSZ57" s="37"/>
      <c r="KTA57" s="37"/>
      <c r="KTB57" s="37"/>
      <c r="KTC57" s="37"/>
      <c r="KTD57" s="37"/>
      <c r="KTE57" s="37"/>
      <c r="KTF57" s="37"/>
      <c r="KTG57" s="37"/>
      <c r="KTH57" s="37"/>
      <c r="KTI57" s="37"/>
      <c r="KTJ57" s="37"/>
      <c r="KTK57" s="37"/>
      <c r="KTL57" s="37"/>
      <c r="KTM57" s="37"/>
      <c r="KTN57" s="37"/>
      <c r="KTO57" s="37"/>
      <c r="KTP57" s="37"/>
      <c r="KTQ57" s="37"/>
      <c r="KTR57" s="37"/>
      <c r="KTS57" s="37"/>
      <c r="KTT57" s="37"/>
      <c r="KTU57" s="37"/>
      <c r="KTV57" s="37"/>
      <c r="KTW57" s="37"/>
      <c r="KTX57" s="37"/>
      <c r="KTY57" s="37"/>
      <c r="KTZ57" s="37"/>
      <c r="KUA57" s="37"/>
      <c r="KUB57" s="37"/>
      <c r="KUC57" s="37"/>
      <c r="KUD57" s="37"/>
      <c r="KUE57" s="37"/>
      <c r="KUF57" s="37"/>
      <c r="KUG57" s="37"/>
      <c r="KUH57" s="37"/>
      <c r="KUI57" s="37"/>
      <c r="KUJ57" s="37"/>
      <c r="KUK57" s="37"/>
      <c r="KUL57" s="37"/>
      <c r="KUM57" s="37"/>
      <c r="KUN57" s="37"/>
      <c r="KUO57" s="37"/>
      <c r="KUP57" s="37"/>
      <c r="KUQ57" s="37"/>
      <c r="KUR57" s="37"/>
      <c r="KUS57" s="37"/>
      <c r="KUT57" s="37"/>
      <c r="KUU57" s="37"/>
      <c r="KUV57" s="37"/>
      <c r="KUW57" s="37"/>
      <c r="KUX57" s="37"/>
      <c r="KUY57" s="37"/>
      <c r="KUZ57" s="37"/>
      <c r="KVA57" s="37"/>
      <c r="KVB57" s="37"/>
      <c r="KVC57" s="37"/>
      <c r="KVD57" s="37"/>
      <c r="KVE57" s="37"/>
      <c r="KVF57" s="37"/>
      <c r="KVG57" s="37"/>
      <c r="KVH57" s="37"/>
      <c r="KVI57" s="37"/>
      <c r="KVJ57" s="37"/>
      <c r="KVK57" s="37"/>
      <c r="KVL57" s="37"/>
      <c r="KVM57" s="37"/>
      <c r="KVN57" s="37"/>
      <c r="KVO57" s="37"/>
      <c r="KVP57" s="37"/>
      <c r="KVQ57" s="37"/>
      <c r="KVR57" s="37"/>
      <c r="KVS57" s="37"/>
      <c r="KVT57" s="37"/>
      <c r="KVU57" s="37"/>
      <c r="KVV57" s="37"/>
      <c r="KVW57" s="37"/>
      <c r="KVX57" s="37"/>
      <c r="KVY57" s="37"/>
      <c r="KVZ57" s="37"/>
      <c r="KWA57" s="37"/>
      <c r="KWB57" s="37"/>
      <c r="KWC57" s="37"/>
      <c r="KWD57" s="37"/>
      <c r="KWE57" s="37"/>
      <c r="KWF57" s="37"/>
      <c r="KWG57" s="37"/>
      <c r="KWH57" s="37"/>
      <c r="KWI57" s="37"/>
      <c r="KWJ57" s="37"/>
      <c r="KWK57" s="37"/>
      <c r="KWL57" s="37"/>
      <c r="KWM57" s="37"/>
      <c r="KWN57" s="37"/>
      <c r="KWO57" s="37"/>
      <c r="KWP57" s="37"/>
      <c r="KWQ57" s="37"/>
      <c r="KWR57" s="37"/>
      <c r="KWS57" s="37"/>
      <c r="KWT57" s="37"/>
      <c r="KWU57" s="37"/>
      <c r="KWV57" s="37"/>
      <c r="KWW57" s="37"/>
      <c r="KWX57" s="37"/>
      <c r="KWY57" s="37"/>
      <c r="KWZ57" s="37"/>
      <c r="KXA57" s="37"/>
      <c r="KXB57" s="37"/>
      <c r="KXC57" s="37"/>
      <c r="KXD57" s="37"/>
      <c r="KXE57" s="37"/>
      <c r="KXF57" s="37"/>
      <c r="KXG57" s="37"/>
      <c r="KXH57" s="37"/>
      <c r="KXI57" s="37"/>
      <c r="KXJ57" s="37"/>
      <c r="KXK57" s="37"/>
      <c r="KXL57" s="37"/>
      <c r="KXM57" s="37"/>
      <c r="KXN57" s="37"/>
      <c r="KXO57" s="37"/>
      <c r="KXP57" s="37"/>
      <c r="KXQ57" s="37"/>
      <c r="KXR57" s="37"/>
      <c r="KXS57" s="37"/>
      <c r="KXT57" s="37"/>
      <c r="KXU57" s="37"/>
      <c r="KXV57" s="37"/>
      <c r="KXW57" s="37"/>
      <c r="KXX57" s="37"/>
      <c r="KXY57" s="37"/>
      <c r="KXZ57" s="37"/>
      <c r="KYA57" s="37"/>
      <c r="KYB57" s="37"/>
      <c r="KYC57" s="37"/>
      <c r="KYD57" s="37"/>
      <c r="KYE57" s="37"/>
      <c r="KYF57" s="37"/>
      <c r="KYG57" s="37"/>
      <c r="KYH57" s="37"/>
      <c r="KYI57" s="37"/>
      <c r="KYJ57" s="37"/>
      <c r="KYK57" s="37"/>
      <c r="KYL57" s="37"/>
      <c r="KYM57" s="37"/>
      <c r="KYN57" s="37"/>
      <c r="KYO57" s="37"/>
      <c r="KYP57" s="37"/>
      <c r="KYQ57" s="37"/>
      <c r="KYR57" s="37"/>
      <c r="KYS57" s="37"/>
      <c r="KYT57" s="37"/>
      <c r="KYU57" s="37"/>
      <c r="KYV57" s="37"/>
      <c r="KYW57" s="37"/>
      <c r="KYX57" s="37"/>
      <c r="KYY57" s="37"/>
      <c r="KYZ57" s="37"/>
      <c r="KZA57" s="37"/>
      <c r="KZB57" s="37"/>
      <c r="KZC57" s="37"/>
      <c r="KZD57" s="37"/>
      <c r="KZE57" s="37"/>
      <c r="KZF57" s="37"/>
      <c r="KZG57" s="37"/>
      <c r="KZH57" s="37"/>
      <c r="KZI57" s="37"/>
      <c r="KZJ57" s="37"/>
      <c r="KZK57" s="37"/>
      <c r="KZL57" s="37"/>
      <c r="KZM57" s="37"/>
      <c r="KZN57" s="37"/>
      <c r="KZO57" s="37"/>
      <c r="KZP57" s="37"/>
      <c r="KZQ57" s="37"/>
      <c r="KZR57" s="37"/>
      <c r="KZS57" s="37"/>
      <c r="KZT57" s="37"/>
      <c r="KZU57" s="37"/>
      <c r="KZV57" s="37"/>
      <c r="KZW57" s="37"/>
      <c r="KZX57" s="37"/>
      <c r="KZY57" s="37"/>
      <c r="KZZ57" s="37"/>
      <c r="LAA57" s="37"/>
      <c r="LAB57" s="37"/>
      <c r="LAC57" s="37"/>
      <c r="LAD57" s="37"/>
      <c r="LAE57" s="37"/>
      <c r="LAF57" s="37"/>
      <c r="LAG57" s="37"/>
      <c r="LAH57" s="37"/>
      <c r="LAI57" s="37"/>
      <c r="LAJ57" s="37"/>
      <c r="LAK57" s="37"/>
      <c r="LAL57" s="37"/>
      <c r="LAM57" s="37"/>
      <c r="LAN57" s="37"/>
      <c r="LAO57" s="37"/>
      <c r="LAP57" s="37"/>
      <c r="LAQ57" s="37"/>
      <c r="LAR57" s="37"/>
      <c r="LAS57" s="37"/>
      <c r="LAT57" s="37"/>
      <c r="LAU57" s="37"/>
      <c r="LAV57" s="37"/>
      <c r="LAW57" s="37"/>
      <c r="LAX57" s="37"/>
      <c r="LAY57" s="37"/>
      <c r="LAZ57" s="37"/>
      <c r="LBA57" s="37"/>
      <c r="LBB57" s="37"/>
      <c r="LBC57" s="37"/>
      <c r="LBD57" s="37"/>
      <c r="LBE57" s="37"/>
      <c r="LBF57" s="37"/>
      <c r="LBG57" s="37"/>
      <c r="LBH57" s="37"/>
      <c r="LBI57" s="37"/>
      <c r="LBJ57" s="37"/>
      <c r="LBK57" s="37"/>
      <c r="LBL57" s="37"/>
      <c r="LBM57" s="37"/>
      <c r="LBN57" s="37"/>
      <c r="LBO57" s="37"/>
      <c r="LBP57" s="37"/>
      <c r="LBQ57" s="37"/>
      <c r="LBR57" s="37"/>
      <c r="LBS57" s="37"/>
      <c r="LBT57" s="37"/>
      <c r="LBU57" s="37"/>
      <c r="LBV57" s="37"/>
      <c r="LBW57" s="37"/>
      <c r="LBX57" s="37"/>
      <c r="LBY57" s="37"/>
      <c r="LBZ57" s="37"/>
      <c r="LCA57" s="37"/>
      <c r="LCB57" s="37"/>
      <c r="LCC57" s="37"/>
      <c r="LCD57" s="37"/>
      <c r="LCE57" s="37"/>
      <c r="LCF57" s="37"/>
      <c r="LCG57" s="37"/>
      <c r="LCH57" s="37"/>
      <c r="LCI57" s="37"/>
      <c r="LCJ57" s="37"/>
      <c r="LCK57" s="37"/>
      <c r="LCL57" s="37"/>
      <c r="LCM57" s="37"/>
      <c r="LCN57" s="37"/>
      <c r="LCO57" s="37"/>
      <c r="LCP57" s="37"/>
      <c r="LCQ57" s="37"/>
      <c r="LCR57" s="37"/>
      <c r="LCS57" s="37"/>
      <c r="LCT57" s="37"/>
      <c r="LCU57" s="37"/>
      <c r="LCV57" s="37"/>
      <c r="LCW57" s="37"/>
      <c r="LCX57" s="37"/>
      <c r="LCY57" s="37"/>
      <c r="LCZ57" s="37"/>
      <c r="LDA57" s="37"/>
      <c r="LDB57" s="37"/>
      <c r="LDC57" s="37"/>
      <c r="LDD57" s="37"/>
      <c r="LDE57" s="37"/>
      <c r="LDF57" s="37"/>
      <c r="LDG57" s="37"/>
      <c r="LDH57" s="37"/>
      <c r="LDI57" s="37"/>
      <c r="LDJ57" s="37"/>
      <c r="LDK57" s="37"/>
      <c r="LDL57" s="37"/>
      <c r="LDM57" s="37"/>
      <c r="LDN57" s="37"/>
      <c r="LDO57" s="37"/>
      <c r="LDP57" s="37"/>
      <c r="LDQ57" s="37"/>
      <c r="LDR57" s="37"/>
      <c r="LDS57" s="37"/>
      <c r="LDT57" s="37"/>
      <c r="LDU57" s="37"/>
      <c r="LDV57" s="37"/>
      <c r="LDW57" s="37"/>
      <c r="LDX57" s="37"/>
      <c r="LDY57" s="37"/>
      <c r="LDZ57" s="37"/>
      <c r="LEA57" s="37"/>
      <c r="LEB57" s="37"/>
      <c r="LEC57" s="37"/>
      <c r="LED57" s="37"/>
      <c r="LEE57" s="37"/>
      <c r="LEF57" s="37"/>
      <c r="LEG57" s="37"/>
      <c r="LEH57" s="37"/>
      <c r="LEI57" s="37"/>
      <c r="LEJ57" s="37"/>
      <c r="LEK57" s="37"/>
      <c r="LEL57" s="37"/>
      <c r="LEM57" s="37"/>
      <c r="LEN57" s="37"/>
      <c r="LEO57" s="37"/>
      <c r="LEP57" s="37"/>
      <c r="LEQ57" s="37"/>
      <c r="LER57" s="37"/>
      <c r="LES57" s="37"/>
      <c r="LET57" s="37"/>
      <c r="LEU57" s="37"/>
      <c r="LEV57" s="37"/>
      <c r="LEW57" s="37"/>
      <c r="LEX57" s="37"/>
      <c r="LEY57" s="37"/>
      <c r="LEZ57" s="37"/>
      <c r="LFA57" s="37"/>
      <c r="LFB57" s="37"/>
      <c r="LFC57" s="37"/>
      <c r="LFD57" s="37"/>
      <c r="LFE57" s="37"/>
      <c r="LFF57" s="37"/>
      <c r="LFG57" s="37"/>
      <c r="LFH57" s="37"/>
      <c r="LFI57" s="37"/>
      <c r="LFJ57" s="37"/>
      <c r="LFK57" s="37"/>
      <c r="LFL57" s="37"/>
      <c r="LFM57" s="37"/>
      <c r="LFN57" s="37"/>
      <c r="LFO57" s="37"/>
      <c r="LFP57" s="37"/>
      <c r="LFQ57" s="37"/>
      <c r="LFR57" s="37"/>
      <c r="LFS57" s="37"/>
      <c r="LFT57" s="37"/>
      <c r="LFU57" s="37"/>
      <c r="LFV57" s="37"/>
      <c r="LFW57" s="37"/>
      <c r="LFX57" s="37"/>
      <c r="LFY57" s="37"/>
      <c r="LFZ57" s="37"/>
      <c r="LGA57" s="37"/>
      <c r="LGB57" s="37"/>
      <c r="LGC57" s="37"/>
      <c r="LGD57" s="37"/>
      <c r="LGE57" s="37"/>
      <c r="LGF57" s="37"/>
      <c r="LGG57" s="37"/>
      <c r="LGH57" s="37"/>
      <c r="LGI57" s="37"/>
      <c r="LGJ57" s="37"/>
      <c r="LGK57" s="37"/>
      <c r="LGL57" s="37"/>
      <c r="LGM57" s="37"/>
      <c r="LGN57" s="37"/>
      <c r="LGO57" s="37"/>
      <c r="LGP57" s="37"/>
      <c r="LGQ57" s="37"/>
      <c r="LGR57" s="37"/>
      <c r="LGS57" s="37"/>
      <c r="LGT57" s="37"/>
      <c r="LGU57" s="37"/>
      <c r="LGV57" s="37"/>
      <c r="LGW57" s="37"/>
      <c r="LGX57" s="37"/>
      <c r="LGY57" s="37"/>
      <c r="LGZ57" s="37"/>
      <c r="LHA57" s="37"/>
      <c r="LHB57" s="37"/>
      <c r="LHC57" s="37"/>
      <c r="LHD57" s="37"/>
      <c r="LHE57" s="37"/>
      <c r="LHF57" s="37"/>
      <c r="LHG57" s="37"/>
      <c r="LHH57" s="37"/>
      <c r="LHI57" s="37"/>
      <c r="LHJ57" s="37"/>
      <c r="LHK57" s="37"/>
      <c r="LHL57" s="37"/>
      <c r="LHM57" s="37"/>
      <c r="LHN57" s="37"/>
      <c r="LHO57" s="37"/>
      <c r="LHP57" s="37"/>
      <c r="LHQ57" s="37"/>
      <c r="LHR57" s="37"/>
      <c r="LHS57" s="37"/>
      <c r="LHT57" s="37"/>
      <c r="LHU57" s="37"/>
      <c r="LHV57" s="37"/>
      <c r="LHW57" s="37"/>
      <c r="LHX57" s="37"/>
      <c r="LHY57" s="37"/>
      <c r="LHZ57" s="37"/>
      <c r="LIA57" s="37"/>
      <c r="LIB57" s="37"/>
      <c r="LIC57" s="37"/>
      <c r="LID57" s="37"/>
      <c r="LIE57" s="37"/>
      <c r="LIF57" s="37"/>
      <c r="LIG57" s="37"/>
      <c r="LIH57" s="37"/>
      <c r="LII57" s="37"/>
      <c r="LIJ57" s="37"/>
      <c r="LIK57" s="37"/>
      <c r="LIL57" s="37"/>
      <c r="LIM57" s="37"/>
      <c r="LIN57" s="37"/>
      <c r="LIO57" s="37"/>
      <c r="LIP57" s="37"/>
      <c r="LIQ57" s="37"/>
      <c r="LIR57" s="37"/>
      <c r="LIS57" s="37"/>
      <c r="LIT57" s="37"/>
      <c r="LIU57" s="37"/>
      <c r="LIV57" s="37"/>
      <c r="LIW57" s="37"/>
      <c r="LIX57" s="37"/>
      <c r="LIY57" s="37"/>
      <c r="LIZ57" s="37"/>
      <c r="LJA57" s="37"/>
      <c r="LJB57" s="37"/>
      <c r="LJC57" s="37"/>
      <c r="LJD57" s="37"/>
      <c r="LJE57" s="37"/>
      <c r="LJF57" s="37"/>
      <c r="LJG57" s="37"/>
      <c r="LJH57" s="37"/>
      <c r="LJI57" s="37"/>
      <c r="LJJ57" s="37"/>
      <c r="LJK57" s="37"/>
      <c r="LJL57" s="37"/>
      <c r="LJM57" s="37"/>
      <c r="LJN57" s="37"/>
      <c r="LJO57" s="37"/>
      <c r="LJP57" s="37"/>
      <c r="LJQ57" s="37"/>
      <c r="LJR57" s="37"/>
      <c r="LJS57" s="37"/>
      <c r="LJT57" s="37"/>
      <c r="LJU57" s="37"/>
      <c r="LJV57" s="37"/>
      <c r="LJW57" s="37"/>
      <c r="LJX57" s="37"/>
      <c r="LJY57" s="37"/>
      <c r="LJZ57" s="37"/>
      <c r="LKA57" s="37"/>
      <c r="LKB57" s="37"/>
      <c r="LKC57" s="37"/>
      <c r="LKD57" s="37"/>
      <c r="LKE57" s="37"/>
      <c r="LKF57" s="37"/>
      <c r="LKG57" s="37"/>
      <c r="LKH57" s="37"/>
      <c r="LKI57" s="37"/>
      <c r="LKJ57" s="37"/>
      <c r="LKK57" s="37"/>
      <c r="LKL57" s="37"/>
      <c r="LKM57" s="37"/>
      <c r="LKN57" s="37"/>
      <c r="LKO57" s="37"/>
      <c r="LKP57" s="37"/>
      <c r="LKQ57" s="37"/>
      <c r="LKR57" s="37"/>
      <c r="LKS57" s="37"/>
      <c r="LKT57" s="37"/>
      <c r="LKU57" s="37"/>
      <c r="LKV57" s="37"/>
      <c r="LKW57" s="37"/>
      <c r="LKX57" s="37"/>
      <c r="LKY57" s="37"/>
      <c r="LKZ57" s="37"/>
      <c r="LLA57" s="37"/>
      <c r="LLB57" s="37"/>
      <c r="LLC57" s="37"/>
      <c r="LLD57" s="37"/>
      <c r="LLE57" s="37"/>
      <c r="LLF57" s="37"/>
      <c r="LLG57" s="37"/>
      <c r="LLH57" s="37"/>
      <c r="LLI57" s="37"/>
      <c r="LLJ57" s="37"/>
      <c r="LLK57" s="37"/>
      <c r="LLL57" s="37"/>
      <c r="LLM57" s="37"/>
      <c r="LLN57" s="37"/>
      <c r="LLO57" s="37"/>
      <c r="LLP57" s="37"/>
      <c r="LLQ57" s="37"/>
      <c r="LLR57" s="37"/>
      <c r="LLS57" s="37"/>
      <c r="LLT57" s="37"/>
      <c r="LLU57" s="37"/>
      <c r="LLV57" s="37"/>
      <c r="LLW57" s="37"/>
      <c r="LLX57" s="37"/>
      <c r="LLY57" s="37"/>
      <c r="LLZ57" s="37"/>
      <c r="LMA57" s="37"/>
      <c r="LMB57" s="37"/>
      <c r="LMC57" s="37"/>
      <c r="LMD57" s="37"/>
      <c r="LME57" s="37"/>
      <c r="LMF57" s="37"/>
      <c r="LMG57" s="37"/>
      <c r="LMH57" s="37"/>
      <c r="LMI57" s="37"/>
      <c r="LMJ57" s="37"/>
      <c r="LMK57" s="37"/>
      <c r="LML57" s="37"/>
      <c r="LMM57" s="37"/>
      <c r="LMN57" s="37"/>
      <c r="LMO57" s="37"/>
      <c r="LMP57" s="37"/>
      <c r="LMQ57" s="37"/>
      <c r="LMR57" s="37"/>
      <c r="LMS57" s="37"/>
      <c r="LMT57" s="37"/>
      <c r="LMU57" s="37"/>
      <c r="LMV57" s="37"/>
      <c r="LMW57" s="37"/>
      <c r="LMX57" s="37"/>
      <c r="LMY57" s="37"/>
      <c r="LMZ57" s="37"/>
      <c r="LNA57" s="37"/>
      <c r="LNB57" s="37"/>
      <c r="LNC57" s="37"/>
      <c r="LND57" s="37"/>
      <c r="LNE57" s="37"/>
      <c r="LNF57" s="37"/>
      <c r="LNG57" s="37"/>
      <c r="LNH57" s="37"/>
      <c r="LNI57" s="37"/>
      <c r="LNJ57" s="37"/>
      <c r="LNK57" s="37"/>
      <c r="LNL57" s="37"/>
      <c r="LNM57" s="37"/>
      <c r="LNN57" s="37"/>
      <c r="LNO57" s="37"/>
      <c r="LNP57" s="37"/>
      <c r="LNQ57" s="37"/>
      <c r="LNR57" s="37"/>
      <c r="LNS57" s="37"/>
      <c r="LNT57" s="37"/>
      <c r="LNU57" s="37"/>
      <c r="LNV57" s="37"/>
      <c r="LNW57" s="37"/>
      <c r="LNX57" s="37"/>
      <c r="LNY57" s="37"/>
      <c r="LNZ57" s="37"/>
      <c r="LOA57" s="37"/>
      <c r="LOB57" s="37"/>
      <c r="LOC57" s="37"/>
      <c r="LOD57" s="37"/>
      <c r="LOE57" s="37"/>
      <c r="LOF57" s="37"/>
      <c r="LOG57" s="37"/>
      <c r="LOH57" s="37"/>
      <c r="LOI57" s="37"/>
      <c r="LOJ57" s="37"/>
      <c r="LOK57" s="37"/>
      <c r="LOL57" s="37"/>
      <c r="LOM57" s="37"/>
      <c r="LON57" s="37"/>
      <c r="LOO57" s="37"/>
      <c r="LOP57" s="37"/>
      <c r="LOQ57" s="37"/>
      <c r="LOR57" s="37"/>
      <c r="LOS57" s="37"/>
      <c r="LOT57" s="37"/>
      <c r="LOU57" s="37"/>
      <c r="LOV57" s="37"/>
      <c r="LOW57" s="37"/>
      <c r="LOX57" s="37"/>
      <c r="LOY57" s="37"/>
      <c r="LOZ57" s="37"/>
      <c r="LPA57" s="37"/>
      <c r="LPB57" s="37"/>
      <c r="LPC57" s="37"/>
      <c r="LPD57" s="37"/>
      <c r="LPE57" s="37"/>
      <c r="LPF57" s="37"/>
      <c r="LPG57" s="37"/>
      <c r="LPH57" s="37"/>
      <c r="LPI57" s="37"/>
      <c r="LPJ57" s="37"/>
      <c r="LPK57" s="37"/>
      <c r="LPL57" s="37"/>
      <c r="LPM57" s="37"/>
      <c r="LPN57" s="37"/>
      <c r="LPO57" s="37"/>
      <c r="LPP57" s="37"/>
      <c r="LPQ57" s="37"/>
      <c r="LPR57" s="37"/>
      <c r="LPS57" s="37"/>
      <c r="LPT57" s="37"/>
      <c r="LPU57" s="37"/>
      <c r="LPV57" s="37"/>
      <c r="LPW57" s="37"/>
      <c r="LPX57" s="37"/>
      <c r="LPY57" s="37"/>
      <c r="LPZ57" s="37"/>
      <c r="LQA57" s="37"/>
      <c r="LQB57" s="37"/>
      <c r="LQC57" s="37"/>
      <c r="LQD57" s="37"/>
      <c r="LQE57" s="37"/>
      <c r="LQF57" s="37"/>
      <c r="LQG57" s="37"/>
      <c r="LQH57" s="37"/>
      <c r="LQI57" s="37"/>
      <c r="LQJ57" s="37"/>
      <c r="LQK57" s="37"/>
      <c r="LQL57" s="37"/>
      <c r="LQM57" s="37"/>
      <c r="LQN57" s="37"/>
      <c r="LQO57" s="37"/>
      <c r="LQP57" s="37"/>
      <c r="LQQ57" s="37"/>
      <c r="LQR57" s="37"/>
      <c r="LQS57" s="37"/>
      <c r="LQT57" s="37"/>
      <c r="LQU57" s="37"/>
      <c r="LQV57" s="37"/>
      <c r="LQW57" s="37"/>
      <c r="LQX57" s="37"/>
      <c r="LQY57" s="37"/>
      <c r="LQZ57" s="37"/>
      <c r="LRA57" s="37"/>
      <c r="LRB57" s="37"/>
      <c r="LRC57" s="37"/>
      <c r="LRD57" s="37"/>
      <c r="LRE57" s="37"/>
      <c r="LRF57" s="37"/>
      <c r="LRG57" s="37"/>
      <c r="LRH57" s="37"/>
      <c r="LRI57" s="37"/>
      <c r="LRJ57" s="37"/>
      <c r="LRK57" s="37"/>
      <c r="LRL57" s="37"/>
      <c r="LRM57" s="37"/>
      <c r="LRN57" s="37"/>
      <c r="LRO57" s="37"/>
      <c r="LRP57" s="37"/>
      <c r="LRQ57" s="37"/>
      <c r="LRR57" s="37"/>
      <c r="LRS57" s="37"/>
      <c r="LRT57" s="37"/>
      <c r="LRU57" s="37"/>
      <c r="LRV57" s="37"/>
      <c r="LRW57" s="37"/>
      <c r="LRX57" s="37"/>
      <c r="LRY57" s="37"/>
      <c r="LRZ57" s="37"/>
      <c r="LSA57" s="37"/>
      <c r="LSB57" s="37"/>
      <c r="LSC57" s="37"/>
      <c r="LSD57" s="37"/>
      <c r="LSE57" s="37"/>
      <c r="LSF57" s="37"/>
      <c r="LSG57" s="37"/>
      <c r="LSH57" s="37"/>
      <c r="LSI57" s="37"/>
      <c r="LSJ57" s="37"/>
      <c r="LSK57" s="37"/>
      <c r="LSL57" s="37"/>
      <c r="LSM57" s="37"/>
      <c r="LSN57" s="37"/>
      <c r="LSO57" s="37"/>
      <c r="LSP57" s="37"/>
      <c r="LSQ57" s="37"/>
      <c r="LSR57" s="37"/>
      <c r="LSS57" s="37"/>
      <c r="LST57" s="37"/>
      <c r="LSU57" s="37"/>
      <c r="LSV57" s="37"/>
      <c r="LSW57" s="37"/>
      <c r="LSX57" s="37"/>
      <c r="LSY57" s="37"/>
      <c r="LSZ57" s="37"/>
      <c r="LTA57" s="37"/>
      <c r="LTB57" s="37"/>
      <c r="LTC57" s="37"/>
      <c r="LTD57" s="37"/>
      <c r="LTE57" s="37"/>
      <c r="LTF57" s="37"/>
      <c r="LTG57" s="37"/>
      <c r="LTH57" s="37"/>
      <c r="LTI57" s="37"/>
      <c r="LTJ57" s="37"/>
      <c r="LTK57" s="37"/>
      <c r="LTL57" s="37"/>
      <c r="LTM57" s="37"/>
      <c r="LTN57" s="37"/>
      <c r="LTO57" s="37"/>
      <c r="LTP57" s="37"/>
      <c r="LTQ57" s="37"/>
      <c r="LTR57" s="37"/>
      <c r="LTS57" s="37"/>
      <c r="LTT57" s="37"/>
      <c r="LTU57" s="37"/>
      <c r="LTV57" s="37"/>
      <c r="LTW57" s="37"/>
      <c r="LTX57" s="37"/>
      <c r="LTY57" s="37"/>
      <c r="LTZ57" s="37"/>
      <c r="LUA57" s="37"/>
      <c r="LUB57" s="37"/>
      <c r="LUC57" s="37"/>
      <c r="LUD57" s="37"/>
      <c r="LUE57" s="37"/>
      <c r="LUF57" s="37"/>
      <c r="LUG57" s="37"/>
      <c r="LUH57" s="37"/>
      <c r="LUI57" s="37"/>
      <c r="LUJ57" s="37"/>
      <c r="LUK57" s="37"/>
      <c r="LUL57" s="37"/>
      <c r="LUM57" s="37"/>
      <c r="LUN57" s="37"/>
      <c r="LUO57" s="37"/>
      <c r="LUP57" s="37"/>
      <c r="LUQ57" s="37"/>
      <c r="LUR57" s="37"/>
      <c r="LUS57" s="37"/>
      <c r="LUT57" s="37"/>
      <c r="LUU57" s="37"/>
      <c r="LUV57" s="37"/>
      <c r="LUW57" s="37"/>
      <c r="LUX57" s="37"/>
      <c r="LUY57" s="37"/>
      <c r="LUZ57" s="37"/>
      <c r="LVA57" s="37"/>
      <c r="LVB57" s="37"/>
      <c r="LVC57" s="37"/>
      <c r="LVD57" s="37"/>
      <c r="LVE57" s="37"/>
      <c r="LVF57" s="37"/>
      <c r="LVG57" s="37"/>
      <c r="LVH57" s="37"/>
      <c r="LVI57" s="37"/>
      <c r="LVJ57" s="37"/>
      <c r="LVK57" s="37"/>
      <c r="LVL57" s="37"/>
      <c r="LVM57" s="37"/>
      <c r="LVN57" s="37"/>
      <c r="LVO57" s="37"/>
      <c r="LVP57" s="37"/>
      <c r="LVQ57" s="37"/>
      <c r="LVR57" s="37"/>
      <c r="LVS57" s="37"/>
      <c r="LVT57" s="37"/>
      <c r="LVU57" s="37"/>
      <c r="LVV57" s="37"/>
      <c r="LVW57" s="37"/>
      <c r="LVX57" s="37"/>
      <c r="LVY57" s="37"/>
      <c r="LVZ57" s="37"/>
      <c r="LWA57" s="37"/>
      <c r="LWB57" s="37"/>
      <c r="LWC57" s="37"/>
      <c r="LWD57" s="37"/>
      <c r="LWE57" s="37"/>
      <c r="LWF57" s="37"/>
      <c r="LWG57" s="37"/>
      <c r="LWH57" s="37"/>
      <c r="LWI57" s="37"/>
      <c r="LWJ57" s="37"/>
      <c r="LWK57" s="37"/>
      <c r="LWL57" s="37"/>
      <c r="LWM57" s="37"/>
      <c r="LWN57" s="37"/>
      <c r="LWO57" s="37"/>
      <c r="LWP57" s="37"/>
      <c r="LWQ57" s="37"/>
      <c r="LWR57" s="37"/>
      <c r="LWS57" s="37"/>
      <c r="LWT57" s="37"/>
      <c r="LWU57" s="37"/>
      <c r="LWV57" s="37"/>
      <c r="LWW57" s="37"/>
      <c r="LWX57" s="37"/>
      <c r="LWY57" s="37"/>
      <c r="LWZ57" s="37"/>
      <c r="LXA57" s="37"/>
      <c r="LXB57" s="37"/>
      <c r="LXC57" s="37"/>
      <c r="LXD57" s="37"/>
      <c r="LXE57" s="37"/>
      <c r="LXF57" s="37"/>
      <c r="LXG57" s="37"/>
      <c r="LXH57" s="37"/>
      <c r="LXI57" s="37"/>
      <c r="LXJ57" s="37"/>
      <c r="LXK57" s="37"/>
      <c r="LXL57" s="37"/>
      <c r="LXM57" s="37"/>
      <c r="LXN57" s="37"/>
      <c r="LXO57" s="37"/>
      <c r="LXP57" s="37"/>
      <c r="LXQ57" s="37"/>
      <c r="LXR57" s="37"/>
      <c r="LXS57" s="37"/>
      <c r="LXT57" s="37"/>
      <c r="LXU57" s="37"/>
      <c r="LXV57" s="37"/>
      <c r="LXW57" s="37"/>
      <c r="LXX57" s="37"/>
      <c r="LXY57" s="37"/>
      <c r="LXZ57" s="37"/>
      <c r="LYA57" s="37"/>
      <c r="LYB57" s="37"/>
      <c r="LYC57" s="37"/>
      <c r="LYD57" s="37"/>
      <c r="LYE57" s="37"/>
      <c r="LYF57" s="37"/>
      <c r="LYG57" s="37"/>
      <c r="LYH57" s="37"/>
      <c r="LYI57" s="37"/>
      <c r="LYJ57" s="37"/>
      <c r="LYK57" s="37"/>
      <c r="LYL57" s="37"/>
      <c r="LYM57" s="37"/>
      <c r="LYN57" s="37"/>
      <c r="LYO57" s="37"/>
      <c r="LYP57" s="37"/>
      <c r="LYQ57" s="37"/>
      <c r="LYR57" s="37"/>
      <c r="LYS57" s="37"/>
      <c r="LYT57" s="37"/>
      <c r="LYU57" s="37"/>
      <c r="LYV57" s="37"/>
      <c r="LYW57" s="37"/>
      <c r="LYX57" s="37"/>
      <c r="LYY57" s="37"/>
      <c r="LYZ57" s="37"/>
      <c r="LZA57" s="37"/>
      <c r="LZB57" s="37"/>
      <c r="LZC57" s="37"/>
      <c r="LZD57" s="37"/>
      <c r="LZE57" s="37"/>
      <c r="LZF57" s="37"/>
      <c r="LZG57" s="37"/>
      <c r="LZH57" s="37"/>
      <c r="LZI57" s="37"/>
      <c r="LZJ57" s="37"/>
      <c r="LZK57" s="37"/>
      <c r="LZL57" s="37"/>
      <c r="LZM57" s="37"/>
      <c r="LZN57" s="37"/>
      <c r="LZO57" s="37"/>
      <c r="LZP57" s="37"/>
      <c r="LZQ57" s="37"/>
      <c r="LZR57" s="37"/>
      <c r="LZS57" s="37"/>
      <c r="LZT57" s="37"/>
      <c r="LZU57" s="37"/>
      <c r="LZV57" s="37"/>
      <c r="LZW57" s="37"/>
      <c r="LZX57" s="37"/>
      <c r="LZY57" s="37"/>
      <c r="LZZ57" s="37"/>
      <c r="MAA57" s="37"/>
      <c r="MAB57" s="37"/>
      <c r="MAC57" s="37"/>
      <c r="MAD57" s="37"/>
      <c r="MAE57" s="37"/>
      <c r="MAF57" s="37"/>
      <c r="MAG57" s="37"/>
      <c r="MAH57" s="37"/>
      <c r="MAI57" s="37"/>
      <c r="MAJ57" s="37"/>
      <c r="MAK57" s="37"/>
      <c r="MAL57" s="37"/>
      <c r="MAM57" s="37"/>
      <c r="MAN57" s="37"/>
      <c r="MAO57" s="37"/>
      <c r="MAP57" s="37"/>
      <c r="MAQ57" s="37"/>
      <c r="MAR57" s="37"/>
      <c r="MAS57" s="37"/>
      <c r="MAT57" s="37"/>
      <c r="MAU57" s="37"/>
      <c r="MAV57" s="37"/>
      <c r="MAW57" s="37"/>
      <c r="MAX57" s="37"/>
      <c r="MAY57" s="37"/>
      <c r="MAZ57" s="37"/>
      <c r="MBA57" s="37"/>
      <c r="MBB57" s="37"/>
      <c r="MBC57" s="37"/>
      <c r="MBD57" s="37"/>
      <c r="MBE57" s="37"/>
      <c r="MBF57" s="37"/>
      <c r="MBG57" s="37"/>
      <c r="MBH57" s="37"/>
      <c r="MBI57" s="37"/>
      <c r="MBJ57" s="37"/>
      <c r="MBK57" s="37"/>
      <c r="MBL57" s="37"/>
      <c r="MBM57" s="37"/>
      <c r="MBN57" s="37"/>
      <c r="MBO57" s="37"/>
      <c r="MBP57" s="37"/>
      <c r="MBQ57" s="37"/>
      <c r="MBR57" s="37"/>
      <c r="MBS57" s="37"/>
      <c r="MBT57" s="37"/>
      <c r="MBU57" s="37"/>
      <c r="MBV57" s="37"/>
      <c r="MBW57" s="37"/>
      <c r="MBX57" s="37"/>
      <c r="MBY57" s="37"/>
      <c r="MBZ57" s="37"/>
      <c r="MCA57" s="37"/>
      <c r="MCB57" s="37"/>
      <c r="MCC57" s="37"/>
      <c r="MCD57" s="37"/>
      <c r="MCE57" s="37"/>
      <c r="MCF57" s="37"/>
      <c r="MCG57" s="37"/>
      <c r="MCH57" s="37"/>
      <c r="MCI57" s="37"/>
      <c r="MCJ57" s="37"/>
      <c r="MCK57" s="37"/>
      <c r="MCL57" s="37"/>
      <c r="MCM57" s="37"/>
      <c r="MCN57" s="37"/>
      <c r="MCO57" s="37"/>
      <c r="MCP57" s="37"/>
      <c r="MCQ57" s="37"/>
      <c r="MCR57" s="37"/>
      <c r="MCS57" s="37"/>
      <c r="MCT57" s="37"/>
      <c r="MCU57" s="37"/>
      <c r="MCV57" s="37"/>
      <c r="MCW57" s="37"/>
      <c r="MCX57" s="37"/>
      <c r="MCY57" s="37"/>
      <c r="MCZ57" s="37"/>
      <c r="MDA57" s="37"/>
      <c r="MDB57" s="37"/>
      <c r="MDC57" s="37"/>
      <c r="MDD57" s="37"/>
      <c r="MDE57" s="37"/>
      <c r="MDF57" s="37"/>
      <c r="MDG57" s="37"/>
      <c r="MDH57" s="37"/>
      <c r="MDI57" s="37"/>
      <c r="MDJ57" s="37"/>
      <c r="MDK57" s="37"/>
      <c r="MDL57" s="37"/>
      <c r="MDM57" s="37"/>
      <c r="MDN57" s="37"/>
      <c r="MDO57" s="37"/>
      <c r="MDP57" s="37"/>
      <c r="MDQ57" s="37"/>
      <c r="MDR57" s="37"/>
      <c r="MDS57" s="37"/>
      <c r="MDT57" s="37"/>
      <c r="MDU57" s="37"/>
      <c r="MDV57" s="37"/>
      <c r="MDW57" s="37"/>
      <c r="MDX57" s="37"/>
      <c r="MDY57" s="37"/>
      <c r="MDZ57" s="37"/>
      <c r="MEA57" s="37"/>
      <c r="MEB57" s="37"/>
      <c r="MEC57" s="37"/>
      <c r="MED57" s="37"/>
      <c r="MEE57" s="37"/>
      <c r="MEF57" s="37"/>
      <c r="MEG57" s="37"/>
      <c r="MEH57" s="37"/>
      <c r="MEI57" s="37"/>
      <c r="MEJ57" s="37"/>
      <c r="MEK57" s="37"/>
      <c r="MEL57" s="37"/>
      <c r="MEM57" s="37"/>
      <c r="MEN57" s="37"/>
      <c r="MEO57" s="37"/>
      <c r="MEP57" s="37"/>
      <c r="MEQ57" s="37"/>
      <c r="MER57" s="37"/>
      <c r="MES57" s="37"/>
      <c r="MET57" s="37"/>
      <c r="MEU57" s="37"/>
      <c r="MEV57" s="37"/>
      <c r="MEW57" s="37"/>
      <c r="MEX57" s="37"/>
      <c r="MEY57" s="37"/>
      <c r="MEZ57" s="37"/>
      <c r="MFA57" s="37"/>
      <c r="MFB57" s="37"/>
      <c r="MFC57" s="37"/>
      <c r="MFD57" s="37"/>
      <c r="MFE57" s="37"/>
      <c r="MFF57" s="37"/>
      <c r="MFG57" s="37"/>
      <c r="MFH57" s="37"/>
      <c r="MFI57" s="37"/>
      <c r="MFJ57" s="37"/>
      <c r="MFK57" s="37"/>
      <c r="MFL57" s="37"/>
      <c r="MFM57" s="37"/>
      <c r="MFN57" s="37"/>
      <c r="MFO57" s="37"/>
      <c r="MFP57" s="37"/>
      <c r="MFQ57" s="37"/>
      <c r="MFR57" s="37"/>
      <c r="MFS57" s="37"/>
      <c r="MFT57" s="37"/>
      <c r="MFU57" s="37"/>
      <c r="MFV57" s="37"/>
      <c r="MFW57" s="37"/>
      <c r="MFX57" s="37"/>
      <c r="MFY57" s="37"/>
      <c r="MFZ57" s="37"/>
      <c r="MGA57" s="37"/>
      <c r="MGB57" s="37"/>
      <c r="MGC57" s="37"/>
      <c r="MGD57" s="37"/>
      <c r="MGE57" s="37"/>
      <c r="MGF57" s="37"/>
      <c r="MGG57" s="37"/>
      <c r="MGH57" s="37"/>
      <c r="MGI57" s="37"/>
      <c r="MGJ57" s="37"/>
      <c r="MGK57" s="37"/>
      <c r="MGL57" s="37"/>
      <c r="MGM57" s="37"/>
      <c r="MGN57" s="37"/>
      <c r="MGO57" s="37"/>
      <c r="MGP57" s="37"/>
      <c r="MGQ57" s="37"/>
      <c r="MGR57" s="37"/>
      <c r="MGS57" s="37"/>
      <c r="MGT57" s="37"/>
      <c r="MGU57" s="37"/>
      <c r="MGV57" s="37"/>
      <c r="MGW57" s="37"/>
      <c r="MGX57" s="37"/>
      <c r="MGY57" s="37"/>
      <c r="MGZ57" s="37"/>
      <c r="MHA57" s="37"/>
      <c r="MHB57" s="37"/>
      <c r="MHC57" s="37"/>
      <c r="MHD57" s="37"/>
      <c r="MHE57" s="37"/>
      <c r="MHF57" s="37"/>
      <c r="MHG57" s="37"/>
      <c r="MHH57" s="37"/>
      <c r="MHI57" s="37"/>
      <c r="MHJ57" s="37"/>
      <c r="MHK57" s="37"/>
      <c r="MHL57" s="37"/>
      <c r="MHM57" s="37"/>
      <c r="MHN57" s="37"/>
      <c r="MHO57" s="37"/>
      <c r="MHP57" s="37"/>
      <c r="MHQ57" s="37"/>
      <c r="MHR57" s="37"/>
      <c r="MHS57" s="37"/>
      <c r="MHT57" s="37"/>
      <c r="MHU57" s="37"/>
      <c r="MHV57" s="37"/>
      <c r="MHW57" s="37"/>
      <c r="MHX57" s="37"/>
      <c r="MHY57" s="37"/>
      <c r="MHZ57" s="37"/>
      <c r="MIA57" s="37"/>
      <c r="MIB57" s="37"/>
      <c r="MIC57" s="37"/>
      <c r="MID57" s="37"/>
      <c r="MIE57" s="37"/>
      <c r="MIF57" s="37"/>
      <c r="MIG57" s="37"/>
      <c r="MIH57" s="37"/>
      <c r="MII57" s="37"/>
      <c r="MIJ57" s="37"/>
      <c r="MIK57" s="37"/>
      <c r="MIL57" s="37"/>
      <c r="MIM57" s="37"/>
      <c r="MIN57" s="37"/>
      <c r="MIO57" s="37"/>
      <c r="MIP57" s="37"/>
      <c r="MIQ57" s="37"/>
      <c r="MIR57" s="37"/>
      <c r="MIS57" s="37"/>
      <c r="MIT57" s="37"/>
      <c r="MIU57" s="37"/>
      <c r="MIV57" s="37"/>
      <c r="MIW57" s="37"/>
      <c r="MIX57" s="37"/>
      <c r="MIY57" s="37"/>
      <c r="MIZ57" s="37"/>
      <c r="MJA57" s="37"/>
      <c r="MJB57" s="37"/>
      <c r="MJC57" s="37"/>
      <c r="MJD57" s="37"/>
      <c r="MJE57" s="37"/>
      <c r="MJF57" s="37"/>
      <c r="MJG57" s="37"/>
      <c r="MJH57" s="37"/>
      <c r="MJI57" s="37"/>
      <c r="MJJ57" s="37"/>
      <c r="MJK57" s="37"/>
      <c r="MJL57" s="37"/>
      <c r="MJM57" s="37"/>
      <c r="MJN57" s="37"/>
      <c r="MJO57" s="37"/>
      <c r="MJP57" s="37"/>
      <c r="MJQ57" s="37"/>
      <c r="MJR57" s="37"/>
      <c r="MJS57" s="37"/>
      <c r="MJT57" s="37"/>
      <c r="MJU57" s="37"/>
      <c r="MJV57" s="37"/>
      <c r="MJW57" s="37"/>
      <c r="MJX57" s="37"/>
      <c r="MJY57" s="37"/>
      <c r="MJZ57" s="37"/>
      <c r="MKA57" s="37"/>
      <c r="MKB57" s="37"/>
      <c r="MKC57" s="37"/>
      <c r="MKD57" s="37"/>
      <c r="MKE57" s="37"/>
      <c r="MKF57" s="37"/>
      <c r="MKG57" s="37"/>
      <c r="MKH57" s="37"/>
      <c r="MKI57" s="37"/>
      <c r="MKJ57" s="37"/>
      <c r="MKK57" s="37"/>
      <c r="MKL57" s="37"/>
      <c r="MKM57" s="37"/>
      <c r="MKN57" s="37"/>
      <c r="MKO57" s="37"/>
      <c r="MKP57" s="37"/>
      <c r="MKQ57" s="37"/>
      <c r="MKR57" s="37"/>
      <c r="MKS57" s="37"/>
      <c r="MKT57" s="37"/>
      <c r="MKU57" s="37"/>
      <c r="MKV57" s="37"/>
      <c r="MKW57" s="37"/>
      <c r="MKX57" s="37"/>
      <c r="MKY57" s="37"/>
      <c r="MKZ57" s="37"/>
      <c r="MLA57" s="37"/>
      <c r="MLB57" s="37"/>
      <c r="MLC57" s="37"/>
      <c r="MLD57" s="37"/>
      <c r="MLE57" s="37"/>
      <c r="MLF57" s="37"/>
      <c r="MLG57" s="37"/>
      <c r="MLH57" s="37"/>
      <c r="MLI57" s="37"/>
      <c r="MLJ57" s="37"/>
      <c r="MLK57" s="37"/>
      <c r="MLL57" s="37"/>
      <c r="MLM57" s="37"/>
      <c r="MLN57" s="37"/>
      <c r="MLO57" s="37"/>
      <c r="MLP57" s="37"/>
      <c r="MLQ57" s="37"/>
      <c r="MLR57" s="37"/>
      <c r="MLS57" s="37"/>
      <c r="MLT57" s="37"/>
      <c r="MLU57" s="37"/>
      <c r="MLV57" s="37"/>
      <c r="MLW57" s="37"/>
      <c r="MLX57" s="37"/>
      <c r="MLY57" s="37"/>
      <c r="MLZ57" s="37"/>
      <c r="MMA57" s="37"/>
      <c r="MMB57" s="37"/>
      <c r="MMC57" s="37"/>
      <c r="MMD57" s="37"/>
      <c r="MME57" s="37"/>
      <c r="MMF57" s="37"/>
      <c r="MMG57" s="37"/>
      <c r="MMH57" s="37"/>
      <c r="MMI57" s="37"/>
      <c r="MMJ57" s="37"/>
      <c r="MMK57" s="37"/>
      <c r="MML57" s="37"/>
      <c r="MMM57" s="37"/>
      <c r="MMN57" s="37"/>
      <c r="MMO57" s="37"/>
      <c r="MMP57" s="37"/>
      <c r="MMQ57" s="37"/>
      <c r="MMR57" s="37"/>
      <c r="MMS57" s="37"/>
      <c r="MMT57" s="37"/>
      <c r="MMU57" s="37"/>
      <c r="MMV57" s="37"/>
      <c r="MMW57" s="37"/>
      <c r="MMX57" s="37"/>
      <c r="MMY57" s="37"/>
      <c r="MMZ57" s="37"/>
      <c r="MNA57" s="37"/>
      <c r="MNB57" s="37"/>
      <c r="MNC57" s="37"/>
      <c r="MND57" s="37"/>
      <c r="MNE57" s="37"/>
      <c r="MNF57" s="37"/>
      <c r="MNG57" s="37"/>
      <c r="MNH57" s="37"/>
      <c r="MNI57" s="37"/>
      <c r="MNJ57" s="37"/>
      <c r="MNK57" s="37"/>
      <c r="MNL57" s="37"/>
      <c r="MNM57" s="37"/>
      <c r="MNN57" s="37"/>
      <c r="MNO57" s="37"/>
      <c r="MNP57" s="37"/>
      <c r="MNQ57" s="37"/>
      <c r="MNR57" s="37"/>
      <c r="MNS57" s="37"/>
      <c r="MNT57" s="37"/>
      <c r="MNU57" s="37"/>
      <c r="MNV57" s="37"/>
      <c r="MNW57" s="37"/>
      <c r="MNX57" s="37"/>
      <c r="MNY57" s="37"/>
      <c r="MNZ57" s="37"/>
      <c r="MOA57" s="37"/>
      <c r="MOB57" s="37"/>
      <c r="MOC57" s="37"/>
      <c r="MOD57" s="37"/>
      <c r="MOE57" s="37"/>
      <c r="MOF57" s="37"/>
      <c r="MOG57" s="37"/>
      <c r="MOH57" s="37"/>
      <c r="MOI57" s="37"/>
      <c r="MOJ57" s="37"/>
      <c r="MOK57" s="37"/>
      <c r="MOL57" s="37"/>
      <c r="MOM57" s="37"/>
      <c r="MON57" s="37"/>
      <c r="MOO57" s="37"/>
      <c r="MOP57" s="37"/>
      <c r="MOQ57" s="37"/>
      <c r="MOR57" s="37"/>
      <c r="MOS57" s="37"/>
      <c r="MOT57" s="37"/>
      <c r="MOU57" s="37"/>
      <c r="MOV57" s="37"/>
      <c r="MOW57" s="37"/>
      <c r="MOX57" s="37"/>
      <c r="MOY57" s="37"/>
      <c r="MOZ57" s="37"/>
      <c r="MPA57" s="37"/>
      <c r="MPB57" s="37"/>
      <c r="MPC57" s="37"/>
      <c r="MPD57" s="37"/>
      <c r="MPE57" s="37"/>
      <c r="MPF57" s="37"/>
      <c r="MPG57" s="37"/>
      <c r="MPH57" s="37"/>
      <c r="MPI57" s="37"/>
      <c r="MPJ57" s="37"/>
      <c r="MPK57" s="37"/>
      <c r="MPL57" s="37"/>
      <c r="MPM57" s="37"/>
      <c r="MPN57" s="37"/>
      <c r="MPO57" s="37"/>
      <c r="MPP57" s="37"/>
      <c r="MPQ57" s="37"/>
      <c r="MPR57" s="37"/>
      <c r="MPS57" s="37"/>
      <c r="MPT57" s="37"/>
      <c r="MPU57" s="37"/>
      <c r="MPV57" s="37"/>
      <c r="MPW57" s="37"/>
      <c r="MPX57" s="37"/>
      <c r="MPY57" s="37"/>
      <c r="MPZ57" s="37"/>
      <c r="MQA57" s="37"/>
      <c r="MQB57" s="37"/>
      <c r="MQC57" s="37"/>
      <c r="MQD57" s="37"/>
      <c r="MQE57" s="37"/>
      <c r="MQF57" s="37"/>
      <c r="MQG57" s="37"/>
      <c r="MQH57" s="37"/>
      <c r="MQI57" s="37"/>
      <c r="MQJ57" s="37"/>
      <c r="MQK57" s="37"/>
      <c r="MQL57" s="37"/>
      <c r="MQM57" s="37"/>
      <c r="MQN57" s="37"/>
      <c r="MQO57" s="37"/>
      <c r="MQP57" s="37"/>
      <c r="MQQ57" s="37"/>
      <c r="MQR57" s="37"/>
      <c r="MQS57" s="37"/>
      <c r="MQT57" s="37"/>
      <c r="MQU57" s="37"/>
      <c r="MQV57" s="37"/>
      <c r="MQW57" s="37"/>
      <c r="MQX57" s="37"/>
      <c r="MQY57" s="37"/>
      <c r="MQZ57" s="37"/>
      <c r="MRA57" s="37"/>
      <c r="MRB57" s="37"/>
      <c r="MRC57" s="37"/>
      <c r="MRD57" s="37"/>
      <c r="MRE57" s="37"/>
      <c r="MRF57" s="37"/>
      <c r="MRG57" s="37"/>
      <c r="MRH57" s="37"/>
      <c r="MRI57" s="37"/>
      <c r="MRJ57" s="37"/>
      <c r="MRK57" s="37"/>
      <c r="MRL57" s="37"/>
      <c r="MRM57" s="37"/>
      <c r="MRN57" s="37"/>
      <c r="MRO57" s="37"/>
      <c r="MRP57" s="37"/>
      <c r="MRQ57" s="37"/>
      <c r="MRR57" s="37"/>
      <c r="MRS57" s="37"/>
      <c r="MRT57" s="37"/>
      <c r="MRU57" s="37"/>
      <c r="MRV57" s="37"/>
      <c r="MRW57" s="37"/>
      <c r="MRX57" s="37"/>
      <c r="MRY57" s="37"/>
      <c r="MRZ57" s="37"/>
      <c r="MSA57" s="37"/>
      <c r="MSB57" s="37"/>
      <c r="MSC57" s="37"/>
      <c r="MSD57" s="37"/>
      <c r="MSE57" s="37"/>
      <c r="MSF57" s="37"/>
      <c r="MSG57" s="37"/>
      <c r="MSH57" s="37"/>
      <c r="MSI57" s="37"/>
      <c r="MSJ57" s="37"/>
      <c r="MSK57" s="37"/>
      <c r="MSL57" s="37"/>
      <c r="MSM57" s="37"/>
      <c r="MSN57" s="37"/>
      <c r="MSO57" s="37"/>
      <c r="MSP57" s="37"/>
      <c r="MSQ57" s="37"/>
      <c r="MSR57" s="37"/>
      <c r="MSS57" s="37"/>
      <c r="MST57" s="37"/>
      <c r="MSU57" s="37"/>
      <c r="MSV57" s="37"/>
      <c r="MSW57" s="37"/>
      <c r="MSX57" s="37"/>
      <c r="MSY57" s="37"/>
      <c r="MSZ57" s="37"/>
      <c r="MTA57" s="37"/>
      <c r="MTB57" s="37"/>
      <c r="MTC57" s="37"/>
      <c r="MTD57" s="37"/>
      <c r="MTE57" s="37"/>
      <c r="MTF57" s="37"/>
      <c r="MTG57" s="37"/>
      <c r="MTH57" s="37"/>
      <c r="MTI57" s="37"/>
      <c r="MTJ57" s="37"/>
      <c r="MTK57" s="37"/>
      <c r="MTL57" s="37"/>
      <c r="MTM57" s="37"/>
      <c r="MTN57" s="37"/>
      <c r="MTO57" s="37"/>
      <c r="MTP57" s="37"/>
      <c r="MTQ57" s="37"/>
      <c r="MTR57" s="37"/>
      <c r="MTS57" s="37"/>
      <c r="MTT57" s="37"/>
      <c r="MTU57" s="37"/>
      <c r="MTV57" s="37"/>
      <c r="MTW57" s="37"/>
      <c r="MTX57" s="37"/>
      <c r="MTY57" s="37"/>
      <c r="MTZ57" s="37"/>
      <c r="MUA57" s="37"/>
      <c r="MUB57" s="37"/>
      <c r="MUC57" s="37"/>
      <c r="MUD57" s="37"/>
      <c r="MUE57" s="37"/>
      <c r="MUF57" s="37"/>
      <c r="MUG57" s="37"/>
      <c r="MUH57" s="37"/>
      <c r="MUI57" s="37"/>
      <c r="MUJ57" s="37"/>
      <c r="MUK57" s="37"/>
      <c r="MUL57" s="37"/>
      <c r="MUM57" s="37"/>
      <c r="MUN57" s="37"/>
      <c r="MUO57" s="37"/>
      <c r="MUP57" s="37"/>
      <c r="MUQ57" s="37"/>
      <c r="MUR57" s="37"/>
      <c r="MUS57" s="37"/>
      <c r="MUT57" s="37"/>
      <c r="MUU57" s="37"/>
      <c r="MUV57" s="37"/>
      <c r="MUW57" s="37"/>
      <c r="MUX57" s="37"/>
      <c r="MUY57" s="37"/>
      <c r="MUZ57" s="37"/>
      <c r="MVA57" s="37"/>
      <c r="MVB57" s="37"/>
      <c r="MVC57" s="37"/>
      <c r="MVD57" s="37"/>
      <c r="MVE57" s="37"/>
      <c r="MVF57" s="37"/>
      <c r="MVG57" s="37"/>
      <c r="MVH57" s="37"/>
      <c r="MVI57" s="37"/>
      <c r="MVJ57" s="37"/>
      <c r="MVK57" s="37"/>
      <c r="MVL57" s="37"/>
      <c r="MVM57" s="37"/>
      <c r="MVN57" s="37"/>
      <c r="MVO57" s="37"/>
      <c r="MVP57" s="37"/>
      <c r="MVQ57" s="37"/>
      <c r="MVR57" s="37"/>
      <c r="MVS57" s="37"/>
      <c r="MVT57" s="37"/>
      <c r="MVU57" s="37"/>
      <c r="MVV57" s="37"/>
      <c r="MVW57" s="37"/>
      <c r="MVX57" s="37"/>
      <c r="MVY57" s="37"/>
      <c r="MVZ57" s="37"/>
      <c r="MWA57" s="37"/>
      <c r="MWB57" s="37"/>
      <c r="MWC57" s="37"/>
      <c r="MWD57" s="37"/>
      <c r="MWE57" s="37"/>
      <c r="MWF57" s="37"/>
      <c r="MWG57" s="37"/>
      <c r="MWH57" s="37"/>
      <c r="MWI57" s="37"/>
      <c r="MWJ57" s="37"/>
      <c r="MWK57" s="37"/>
      <c r="MWL57" s="37"/>
      <c r="MWM57" s="37"/>
      <c r="MWN57" s="37"/>
      <c r="MWO57" s="37"/>
      <c r="MWP57" s="37"/>
      <c r="MWQ57" s="37"/>
      <c r="MWR57" s="37"/>
      <c r="MWS57" s="37"/>
      <c r="MWT57" s="37"/>
      <c r="MWU57" s="37"/>
      <c r="MWV57" s="37"/>
      <c r="MWW57" s="37"/>
      <c r="MWX57" s="37"/>
      <c r="MWY57" s="37"/>
      <c r="MWZ57" s="37"/>
      <c r="MXA57" s="37"/>
      <c r="MXB57" s="37"/>
      <c r="MXC57" s="37"/>
      <c r="MXD57" s="37"/>
      <c r="MXE57" s="37"/>
      <c r="MXF57" s="37"/>
      <c r="MXG57" s="37"/>
      <c r="MXH57" s="37"/>
      <c r="MXI57" s="37"/>
      <c r="MXJ57" s="37"/>
      <c r="MXK57" s="37"/>
      <c r="MXL57" s="37"/>
      <c r="MXM57" s="37"/>
      <c r="MXN57" s="37"/>
      <c r="MXO57" s="37"/>
      <c r="MXP57" s="37"/>
      <c r="MXQ57" s="37"/>
      <c r="MXR57" s="37"/>
      <c r="MXS57" s="37"/>
      <c r="MXT57" s="37"/>
      <c r="MXU57" s="37"/>
      <c r="MXV57" s="37"/>
      <c r="MXW57" s="37"/>
      <c r="MXX57" s="37"/>
      <c r="MXY57" s="37"/>
      <c r="MXZ57" s="37"/>
      <c r="MYA57" s="37"/>
      <c r="MYB57" s="37"/>
      <c r="MYC57" s="37"/>
      <c r="MYD57" s="37"/>
      <c r="MYE57" s="37"/>
      <c r="MYF57" s="37"/>
      <c r="MYG57" s="37"/>
      <c r="MYH57" s="37"/>
      <c r="MYI57" s="37"/>
      <c r="MYJ57" s="37"/>
      <c r="MYK57" s="37"/>
      <c r="MYL57" s="37"/>
      <c r="MYM57" s="37"/>
      <c r="MYN57" s="37"/>
      <c r="MYO57" s="37"/>
      <c r="MYP57" s="37"/>
      <c r="MYQ57" s="37"/>
      <c r="MYR57" s="37"/>
      <c r="MYS57" s="37"/>
      <c r="MYT57" s="37"/>
      <c r="MYU57" s="37"/>
      <c r="MYV57" s="37"/>
      <c r="MYW57" s="37"/>
      <c r="MYX57" s="37"/>
      <c r="MYY57" s="37"/>
      <c r="MYZ57" s="37"/>
      <c r="MZA57" s="37"/>
      <c r="MZB57" s="37"/>
      <c r="MZC57" s="37"/>
      <c r="MZD57" s="37"/>
      <c r="MZE57" s="37"/>
      <c r="MZF57" s="37"/>
      <c r="MZG57" s="37"/>
      <c r="MZH57" s="37"/>
      <c r="MZI57" s="37"/>
      <c r="MZJ57" s="37"/>
      <c r="MZK57" s="37"/>
      <c r="MZL57" s="37"/>
      <c r="MZM57" s="37"/>
      <c r="MZN57" s="37"/>
      <c r="MZO57" s="37"/>
      <c r="MZP57" s="37"/>
      <c r="MZQ57" s="37"/>
      <c r="MZR57" s="37"/>
      <c r="MZS57" s="37"/>
      <c r="MZT57" s="37"/>
      <c r="MZU57" s="37"/>
      <c r="MZV57" s="37"/>
      <c r="MZW57" s="37"/>
      <c r="MZX57" s="37"/>
      <c r="MZY57" s="37"/>
      <c r="MZZ57" s="37"/>
      <c r="NAA57" s="37"/>
      <c r="NAB57" s="37"/>
      <c r="NAC57" s="37"/>
      <c r="NAD57" s="37"/>
      <c r="NAE57" s="37"/>
      <c r="NAF57" s="37"/>
      <c r="NAG57" s="37"/>
      <c r="NAH57" s="37"/>
      <c r="NAI57" s="37"/>
      <c r="NAJ57" s="37"/>
      <c r="NAK57" s="37"/>
      <c r="NAL57" s="37"/>
      <c r="NAM57" s="37"/>
      <c r="NAN57" s="37"/>
      <c r="NAO57" s="37"/>
      <c r="NAP57" s="37"/>
      <c r="NAQ57" s="37"/>
      <c r="NAR57" s="37"/>
      <c r="NAS57" s="37"/>
      <c r="NAT57" s="37"/>
      <c r="NAU57" s="37"/>
      <c r="NAV57" s="37"/>
      <c r="NAW57" s="37"/>
      <c r="NAX57" s="37"/>
      <c r="NAY57" s="37"/>
      <c r="NAZ57" s="37"/>
      <c r="NBA57" s="37"/>
      <c r="NBB57" s="37"/>
      <c r="NBC57" s="37"/>
      <c r="NBD57" s="37"/>
      <c r="NBE57" s="37"/>
      <c r="NBF57" s="37"/>
      <c r="NBG57" s="37"/>
      <c r="NBH57" s="37"/>
      <c r="NBI57" s="37"/>
      <c r="NBJ57" s="37"/>
      <c r="NBK57" s="37"/>
      <c r="NBL57" s="37"/>
      <c r="NBM57" s="37"/>
      <c r="NBN57" s="37"/>
      <c r="NBO57" s="37"/>
      <c r="NBP57" s="37"/>
      <c r="NBQ57" s="37"/>
      <c r="NBR57" s="37"/>
      <c r="NBS57" s="37"/>
      <c r="NBT57" s="37"/>
      <c r="NBU57" s="37"/>
      <c r="NBV57" s="37"/>
      <c r="NBW57" s="37"/>
      <c r="NBX57" s="37"/>
      <c r="NBY57" s="37"/>
      <c r="NBZ57" s="37"/>
      <c r="NCA57" s="37"/>
      <c r="NCB57" s="37"/>
      <c r="NCC57" s="37"/>
      <c r="NCD57" s="37"/>
      <c r="NCE57" s="37"/>
      <c r="NCF57" s="37"/>
      <c r="NCG57" s="37"/>
      <c r="NCH57" s="37"/>
      <c r="NCI57" s="37"/>
      <c r="NCJ57" s="37"/>
      <c r="NCK57" s="37"/>
      <c r="NCL57" s="37"/>
      <c r="NCM57" s="37"/>
      <c r="NCN57" s="37"/>
      <c r="NCO57" s="37"/>
      <c r="NCP57" s="37"/>
      <c r="NCQ57" s="37"/>
      <c r="NCR57" s="37"/>
      <c r="NCS57" s="37"/>
      <c r="NCT57" s="37"/>
      <c r="NCU57" s="37"/>
      <c r="NCV57" s="37"/>
      <c r="NCW57" s="37"/>
      <c r="NCX57" s="37"/>
      <c r="NCY57" s="37"/>
      <c r="NCZ57" s="37"/>
      <c r="NDA57" s="37"/>
      <c r="NDB57" s="37"/>
      <c r="NDC57" s="37"/>
      <c r="NDD57" s="37"/>
      <c r="NDE57" s="37"/>
      <c r="NDF57" s="37"/>
      <c r="NDG57" s="37"/>
      <c r="NDH57" s="37"/>
      <c r="NDI57" s="37"/>
      <c r="NDJ57" s="37"/>
      <c r="NDK57" s="37"/>
      <c r="NDL57" s="37"/>
      <c r="NDM57" s="37"/>
      <c r="NDN57" s="37"/>
      <c r="NDO57" s="37"/>
      <c r="NDP57" s="37"/>
      <c r="NDQ57" s="37"/>
      <c r="NDR57" s="37"/>
      <c r="NDS57" s="37"/>
      <c r="NDT57" s="37"/>
      <c r="NDU57" s="37"/>
      <c r="NDV57" s="37"/>
      <c r="NDW57" s="37"/>
      <c r="NDX57" s="37"/>
      <c r="NDY57" s="37"/>
      <c r="NDZ57" s="37"/>
      <c r="NEA57" s="37"/>
      <c r="NEB57" s="37"/>
      <c r="NEC57" s="37"/>
      <c r="NED57" s="37"/>
      <c r="NEE57" s="37"/>
      <c r="NEF57" s="37"/>
      <c r="NEG57" s="37"/>
      <c r="NEH57" s="37"/>
      <c r="NEI57" s="37"/>
      <c r="NEJ57" s="37"/>
      <c r="NEK57" s="37"/>
      <c r="NEL57" s="37"/>
      <c r="NEM57" s="37"/>
      <c r="NEN57" s="37"/>
      <c r="NEO57" s="37"/>
      <c r="NEP57" s="37"/>
      <c r="NEQ57" s="37"/>
      <c r="NER57" s="37"/>
      <c r="NES57" s="37"/>
      <c r="NET57" s="37"/>
      <c r="NEU57" s="37"/>
      <c r="NEV57" s="37"/>
      <c r="NEW57" s="37"/>
      <c r="NEX57" s="37"/>
      <c r="NEY57" s="37"/>
      <c r="NEZ57" s="37"/>
      <c r="NFA57" s="37"/>
      <c r="NFB57" s="37"/>
      <c r="NFC57" s="37"/>
      <c r="NFD57" s="37"/>
      <c r="NFE57" s="37"/>
      <c r="NFF57" s="37"/>
      <c r="NFG57" s="37"/>
      <c r="NFH57" s="37"/>
      <c r="NFI57" s="37"/>
      <c r="NFJ57" s="37"/>
      <c r="NFK57" s="37"/>
      <c r="NFL57" s="37"/>
      <c r="NFM57" s="37"/>
      <c r="NFN57" s="37"/>
      <c r="NFO57" s="37"/>
      <c r="NFP57" s="37"/>
      <c r="NFQ57" s="37"/>
      <c r="NFR57" s="37"/>
      <c r="NFS57" s="37"/>
      <c r="NFT57" s="37"/>
      <c r="NFU57" s="37"/>
      <c r="NFV57" s="37"/>
      <c r="NFW57" s="37"/>
      <c r="NFX57" s="37"/>
      <c r="NFY57" s="37"/>
      <c r="NFZ57" s="37"/>
      <c r="NGA57" s="37"/>
      <c r="NGB57" s="37"/>
      <c r="NGC57" s="37"/>
      <c r="NGD57" s="37"/>
      <c r="NGE57" s="37"/>
      <c r="NGF57" s="37"/>
      <c r="NGG57" s="37"/>
      <c r="NGH57" s="37"/>
      <c r="NGI57" s="37"/>
      <c r="NGJ57" s="37"/>
      <c r="NGK57" s="37"/>
      <c r="NGL57" s="37"/>
      <c r="NGM57" s="37"/>
      <c r="NGN57" s="37"/>
      <c r="NGO57" s="37"/>
      <c r="NGP57" s="37"/>
      <c r="NGQ57" s="37"/>
      <c r="NGR57" s="37"/>
      <c r="NGS57" s="37"/>
      <c r="NGT57" s="37"/>
      <c r="NGU57" s="37"/>
      <c r="NGV57" s="37"/>
      <c r="NGW57" s="37"/>
      <c r="NGX57" s="37"/>
      <c r="NGY57" s="37"/>
      <c r="NGZ57" s="37"/>
      <c r="NHA57" s="37"/>
      <c r="NHB57" s="37"/>
      <c r="NHC57" s="37"/>
      <c r="NHD57" s="37"/>
      <c r="NHE57" s="37"/>
      <c r="NHF57" s="37"/>
      <c r="NHG57" s="37"/>
      <c r="NHH57" s="37"/>
      <c r="NHI57" s="37"/>
      <c r="NHJ57" s="37"/>
      <c r="NHK57" s="37"/>
      <c r="NHL57" s="37"/>
      <c r="NHM57" s="37"/>
      <c r="NHN57" s="37"/>
      <c r="NHO57" s="37"/>
      <c r="NHP57" s="37"/>
      <c r="NHQ57" s="37"/>
      <c r="NHR57" s="37"/>
      <c r="NHS57" s="37"/>
      <c r="NHT57" s="37"/>
      <c r="NHU57" s="37"/>
      <c r="NHV57" s="37"/>
      <c r="NHW57" s="37"/>
      <c r="NHX57" s="37"/>
      <c r="NHY57" s="37"/>
      <c r="NHZ57" s="37"/>
      <c r="NIA57" s="37"/>
      <c r="NIB57" s="37"/>
      <c r="NIC57" s="37"/>
      <c r="NID57" s="37"/>
      <c r="NIE57" s="37"/>
      <c r="NIF57" s="37"/>
      <c r="NIG57" s="37"/>
      <c r="NIH57" s="37"/>
      <c r="NII57" s="37"/>
      <c r="NIJ57" s="37"/>
      <c r="NIK57" s="37"/>
      <c r="NIL57" s="37"/>
      <c r="NIM57" s="37"/>
      <c r="NIN57" s="37"/>
      <c r="NIO57" s="37"/>
      <c r="NIP57" s="37"/>
      <c r="NIQ57" s="37"/>
      <c r="NIR57" s="37"/>
      <c r="NIS57" s="37"/>
      <c r="NIT57" s="37"/>
      <c r="NIU57" s="37"/>
      <c r="NIV57" s="37"/>
      <c r="NIW57" s="37"/>
      <c r="NIX57" s="37"/>
      <c r="NIY57" s="37"/>
      <c r="NIZ57" s="37"/>
      <c r="NJA57" s="37"/>
      <c r="NJB57" s="37"/>
      <c r="NJC57" s="37"/>
      <c r="NJD57" s="37"/>
      <c r="NJE57" s="37"/>
      <c r="NJF57" s="37"/>
      <c r="NJG57" s="37"/>
      <c r="NJH57" s="37"/>
      <c r="NJI57" s="37"/>
      <c r="NJJ57" s="37"/>
      <c r="NJK57" s="37"/>
      <c r="NJL57" s="37"/>
      <c r="NJM57" s="37"/>
      <c r="NJN57" s="37"/>
      <c r="NJO57" s="37"/>
      <c r="NJP57" s="37"/>
      <c r="NJQ57" s="37"/>
      <c r="NJR57" s="37"/>
      <c r="NJS57" s="37"/>
      <c r="NJT57" s="37"/>
      <c r="NJU57" s="37"/>
      <c r="NJV57" s="37"/>
      <c r="NJW57" s="37"/>
      <c r="NJX57" s="37"/>
      <c r="NJY57" s="37"/>
      <c r="NJZ57" s="37"/>
      <c r="NKA57" s="37"/>
      <c r="NKB57" s="37"/>
      <c r="NKC57" s="37"/>
      <c r="NKD57" s="37"/>
      <c r="NKE57" s="37"/>
      <c r="NKF57" s="37"/>
      <c r="NKG57" s="37"/>
      <c r="NKH57" s="37"/>
      <c r="NKI57" s="37"/>
      <c r="NKJ57" s="37"/>
      <c r="NKK57" s="37"/>
      <c r="NKL57" s="37"/>
      <c r="NKM57" s="37"/>
      <c r="NKN57" s="37"/>
      <c r="NKO57" s="37"/>
      <c r="NKP57" s="37"/>
      <c r="NKQ57" s="37"/>
      <c r="NKR57" s="37"/>
      <c r="NKS57" s="37"/>
      <c r="NKT57" s="37"/>
      <c r="NKU57" s="37"/>
      <c r="NKV57" s="37"/>
      <c r="NKW57" s="37"/>
      <c r="NKX57" s="37"/>
      <c r="NKY57" s="37"/>
      <c r="NKZ57" s="37"/>
      <c r="NLA57" s="37"/>
      <c r="NLB57" s="37"/>
      <c r="NLC57" s="37"/>
      <c r="NLD57" s="37"/>
      <c r="NLE57" s="37"/>
      <c r="NLF57" s="37"/>
      <c r="NLG57" s="37"/>
      <c r="NLH57" s="37"/>
      <c r="NLI57" s="37"/>
      <c r="NLJ57" s="37"/>
      <c r="NLK57" s="37"/>
      <c r="NLL57" s="37"/>
      <c r="NLM57" s="37"/>
      <c r="NLN57" s="37"/>
      <c r="NLO57" s="37"/>
      <c r="NLP57" s="37"/>
      <c r="NLQ57" s="37"/>
      <c r="NLR57" s="37"/>
      <c r="NLS57" s="37"/>
      <c r="NLT57" s="37"/>
      <c r="NLU57" s="37"/>
      <c r="NLV57" s="37"/>
      <c r="NLW57" s="37"/>
      <c r="NLX57" s="37"/>
      <c r="NLY57" s="37"/>
      <c r="NLZ57" s="37"/>
      <c r="NMA57" s="37"/>
      <c r="NMB57" s="37"/>
      <c r="NMC57" s="37"/>
      <c r="NMD57" s="37"/>
      <c r="NME57" s="37"/>
      <c r="NMF57" s="37"/>
      <c r="NMG57" s="37"/>
      <c r="NMH57" s="37"/>
      <c r="NMI57" s="37"/>
      <c r="NMJ57" s="37"/>
      <c r="NMK57" s="37"/>
      <c r="NML57" s="37"/>
      <c r="NMM57" s="37"/>
      <c r="NMN57" s="37"/>
      <c r="NMO57" s="37"/>
      <c r="NMP57" s="37"/>
      <c r="NMQ57" s="37"/>
      <c r="NMR57" s="37"/>
      <c r="NMS57" s="37"/>
      <c r="NMT57" s="37"/>
      <c r="NMU57" s="37"/>
      <c r="NMV57" s="37"/>
      <c r="NMW57" s="37"/>
      <c r="NMX57" s="37"/>
      <c r="NMY57" s="37"/>
      <c r="NMZ57" s="37"/>
      <c r="NNA57" s="37"/>
      <c r="NNB57" s="37"/>
      <c r="NNC57" s="37"/>
      <c r="NND57" s="37"/>
      <c r="NNE57" s="37"/>
      <c r="NNF57" s="37"/>
      <c r="NNG57" s="37"/>
      <c r="NNH57" s="37"/>
      <c r="NNI57" s="37"/>
      <c r="NNJ57" s="37"/>
      <c r="NNK57" s="37"/>
      <c r="NNL57" s="37"/>
      <c r="NNM57" s="37"/>
      <c r="NNN57" s="37"/>
      <c r="NNO57" s="37"/>
      <c r="NNP57" s="37"/>
      <c r="NNQ57" s="37"/>
      <c r="NNR57" s="37"/>
      <c r="NNS57" s="37"/>
      <c r="NNT57" s="37"/>
      <c r="NNU57" s="37"/>
      <c r="NNV57" s="37"/>
      <c r="NNW57" s="37"/>
      <c r="NNX57" s="37"/>
      <c r="NNY57" s="37"/>
      <c r="NNZ57" s="37"/>
      <c r="NOA57" s="37"/>
      <c r="NOB57" s="37"/>
      <c r="NOC57" s="37"/>
      <c r="NOD57" s="37"/>
      <c r="NOE57" s="37"/>
      <c r="NOF57" s="37"/>
      <c r="NOG57" s="37"/>
      <c r="NOH57" s="37"/>
      <c r="NOI57" s="37"/>
      <c r="NOJ57" s="37"/>
      <c r="NOK57" s="37"/>
      <c r="NOL57" s="37"/>
      <c r="NOM57" s="37"/>
      <c r="NON57" s="37"/>
      <c r="NOO57" s="37"/>
      <c r="NOP57" s="37"/>
      <c r="NOQ57" s="37"/>
      <c r="NOR57" s="37"/>
      <c r="NOS57" s="37"/>
      <c r="NOT57" s="37"/>
      <c r="NOU57" s="37"/>
      <c r="NOV57" s="37"/>
      <c r="NOW57" s="37"/>
      <c r="NOX57" s="37"/>
      <c r="NOY57" s="37"/>
      <c r="NOZ57" s="37"/>
      <c r="NPA57" s="37"/>
      <c r="NPB57" s="37"/>
      <c r="NPC57" s="37"/>
      <c r="NPD57" s="37"/>
      <c r="NPE57" s="37"/>
      <c r="NPF57" s="37"/>
      <c r="NPG57" s="37"/>
      <c r="NPH57" s="37"/>
      <c r="NPI57" s="37"/>
      <c r="NPJ57" s="37"/>
      <c r="NPK57" s="37"/>
      <c r="NPL57" s="37"/>
      <c r="NPM57" s="37"/>
      <c r="NPN57" s="37"/>
      <c r="NPO57" s="37"/>
      <c r="NPP57" s="37"/>
      <c r="NPQ57" s="37"/>
      <c r="NPR57" s="37"/>
      <c r="NPS57" s="37"/>
      <c r="NPT57" s="37"/>
      <c r="NPU57" s="37"/>
      <c r="NPV57" s="37"/>
      <c r="NPW57" s="37"/>
      <c r="NPX57" s="37"/>
      <c r="NPY57" s="37"/>
      <c r="NPZ57" s="37"/>
      <c r="NQA57" s="37"/>
      <c r="NQB57" s="37"/>
      <c r="NQC57" s="37"/>
      <c r="NQD57" s="37"/>
      <c r="NQE57" s="37"/>
      <c r="NQF57" s="37"/>
      <c r="NQG57" s="37"/>
      <c r="NQH57" s="37"/>
      <c r="NQI57" s="37"/>
      <c r="NQJ57" s="37"/>
      <c r="NQK57" s="37"/>
      <c r="NQL57" s="37"/>
      <c r="NQM57" s="37"/>
      <c r="NQN57" s="37"/>
      <c r="NQO57" s="37"/>
      <c r="NQP57" s="37"/>
      <c r="NQQ57" s="37"/>
      <c r="NQR57" s="37"/>
      <c r="NQS57" s="37"/>
      <c r="NQT57" s="37"/>
      <c r="NQU57" s="37"/>
      <c r="NQV57" s="37"/>
      <c r="NQW57" s="37"/>
      <c r="NQX57" s="37"/>
      <c r="NQY57" s="37"/>
      <c r="NQZ57" s="37"/>
      <c r="NRA57" s="37"/>
      <c r="NRB57" s="37"/>
      <c r="NRC57" s="37"/>
      <c r="NRD57" s="37"/>
      <c r="NRE57" s="37"/>
      <c r="NRF57" s="37"/>
      <c r="NRG57" s="37"/>
      <c r="NRH57" s="37"/>
      <c r="NRI57" s="37"/>
      <c r="NRJ57" s="37"/>
      <c r="NRK57" s="37"/>
      <c r="NRL57" s="37"/>
      <c r="NRM57" s="37"/>
      <c r="NRN57" s="37"/>
      <c r="NRO57" s="37"/>
      <c r="NRP57" s="37"/>
      <c r="NRQ57" s="37"/>
      <c r="NRR57" s="37"/>
      <c r="NRS57" s="37"/>
      <c r="NRT57" s="37"/>
      <c r="NRU57" s="37"/>
      <c r="NRV57" s="37"/>
      <c r="NRW57" s="37"/>
      <c r="NRX57" s="37"/>
      <c r="NRY57" s="37"/>
      <c r="NRZ57" s="37"/>
      <c r="NSA57" s="37"/>
      <c r="NSB57" s="37"/>
      <c r="NSC57" s="37"/>
      <c r="NSD57" s="37"/>
      <c r="NSE57" s="37"/>
      <c r="NSF57" s="37"/>
      <c r="NSG57" s="37"/>
      <c r="NSH57" s="37"/>
      <c r="NSI57" s="37"/>
      <c r="NSJ57" s="37"/>
      <c r="NSK57" s="37"/>
      <c r="NSL57" s="37"/>
      <c r="NSM57" s="37"/>
      <c r="NSN57" s="37"/>
      <c r="NSO57" s="37"/>
      <c r="NSP57" s="37"/>
      <c r="NSQ57" s="37"/>
      <c r="NSR57" s="37"/>
      <c r="NSS57" s="37"/>
      <c r="NST57" s="37"/>
      <c r="NSU57" s="37"/>
      <c r="NSV57" s="37"/>
      <c r="NSW57" s="37"/>
      <c r="NSX57" s="37"/>
      <c r="NSY57" s="37"/>
      <c r="NSZ57" s="37"/>
      <c r="NTA57" s="37"/>
      <c r="NTB57" s="37"/>
      <c r="NTC57" s="37"/>
      <c r="NTD57" s="37"/>
      <c r="NTE57" s="37"/>
      <c r="NTF57" s="37"/>
      <c r="NTG57" s="37"/>
      <c r="NTH57" s="37"/>
      <c r="NTI57" s="37"/>
      <c r="NTJ57" s="37"/>
      <c r="NTK57" s="37"/>
      <c r="NTL57" s="37"/>
      <c r="NTM57" s="37"/>
      <c r="NTN57" s="37"/>
      <c r="NTO57" s="37"/>
      <c r="NTP57" s="37"/>
      <c r="NTQ57" s="37"/>
      <c r="NTR57" s="37"/>
      <c r="NTS57" s="37"/>
      <c r="NTT57" s="37"/>
      <c r="NTU57" s="37"/>
      <c r="NTV57" s="37"/>
      <c r="NTW57" s="37"/>
      <c r="NTX57" s="37"/>
      <c r="NTY57" s="37"/>
      <c r="NTZ57" s="37"/>
      <c r="NUA57" s="37"/>
      <c r="NUB57" s="37"/>
      <c r="NUC57" s="37"/>
      <c r="NUD57" s="37"/>
      <c r="NUE57" s="37"/>
      <c r="NUF57" s="37"/>
      <c r="NUG57" s="37"/>
      <c r="NUH57" s="37"/>
      <c r="NUI57" s="37"/>
      <c r="NUJ57" s="37"/>
      <c r="NUK57" s="37"/>
      <c r="NUL57" s="37"/>
      <c r="NUM57" s="37"/>
      <c r="NUN57" s="37"/>
      <c r="NUO57" s="37"/>
      <c r="NUP57" s="37"/>
      <c r="NUQ57" s="37"/>
      <c r="NUR57" s="37"/>
      <c r="NUS57" s="37"/>
      <c r="NUT57" s="37"/>
      <c r="NUU57" s="37"/>
      <c r="NUV57" s="37"/>
      <c r="NUW57" s="37"/>
      <c r="NUX57" s="37"/>
      <c r="NUY57" s="37"/>
      <c r="NUZ57" s="37"/>
      <c r="NVA57" s="37"/>
      <c r="NVB57" s="37"/>
      <c r="NVC57" s="37"/>
      <c r="NVD57" s="37"/>
      <c r="NVE57" s="37"/>
      <c r="NVF57" s="37"/>
      <c r="NVG57" s="37"/>
      <c r="NVH57" s="37"/>
      <c r="NVI57" s="37"/>
      <c r="NVJ57" s="37"/>
      <c r="NVK57" s="37"/>
      <c r="NVL57" s="37"/>
      <c r="NVM57" s="37"/>
      <c r="NVN57" s="37"/>
      <c r="NVO57" s="37"/>
      <c r="NVP57" s="37"/>
      <c r="NVQ57" s="37"/>
      <c r="NVR57" s="37"/>
      <c r="NVS57" s="37"/>
      <c r="NVT57" s="37"/>
      <c r="NVU57" s="37"/>
      <c r="NVV57" s="37"/>
      <c r="NVW57" s="37"/>
      <c r="NVX57" s="37"/>
      <c r="NVY57" s="37"/>
      <c r="NVZ57" s="37"/>
      <c r="NWA57" s="37"/>
      <c r="NWB57" s="37"/>
      <c r="NWC57" s="37"/>
      <c r="NWD57" s="37"/>
      <c r="NWE57" s="37"/>
      <c r="NWF57" s="37"/>
      <c r="NWG57" s="37"/>
      <c r="NWH57" s="37"/>
      <c r="NWI57" s="37"/>
      <c r="NWJ57" s="37"/>
      <c r="NWK57" s="37"/>
      <c r="NWL57" s="37"/>
      <c r="NWM57" s="37"/>
      <c r="NWN57" s="37"/>
      <c r="NWO57" s="37"/>
      <c r="NWP57" s="37"/>
      <c r="NWQ57" s="37"/>
      <c r="NWR57" s="37"/>
      <c r="NWS57" s="37"/>
      <c r="NWT57" s="37"/>
      <c r="NWU57" s="37"/>
      <c r="NWV57" s="37"/>
      <c r="NWW57" s="37"/>
      <c r="NWX57" s="37"/>
      <c r="NWY57" s="37"/>
      <c r="NWZ57" s="37"/>
      <c r="NXA57" s="37"/>
      <c r="NXB57" s="37"/>
      <c r="NXC57" s="37"/>
      <c r="NXD57" s="37"/>
      <c r="NXE57" s="37"/>
      <c r="NXF57" s="37"/>
      <c r="NXG57" s="37"/>
      <c r="NXH57" s="37"/>
      <c r="NXI57" s="37"/>
      <c r="NXJ57" s="37"/>
      <c r="NXK57" s="37"/>
      <c r="NXL57" s="37"/>
      <c r="NXM57" s="37"/>
      <c r="NXN57" s="37"/>
      <c r="NXO57" s="37"/>
      <c r="NXP57" s="37"/>
      <c r="NXQ57" s="37"/>
      <c r="NXR57" s="37"/>
      <c r="NXS57" s="37"/>
      <c r="NXT57" s="37"/>
      <c r="NXU57" s="37"/>
      <c r="NXV57" s="37"/>
      <c r="NXW57" s="37"/>
      <c r="NXX57" s="37"/>
      <c r="NXY57" s="37"/>
      <c r="NXZ57" s="37"/>
      <c r="NYA57" s="37"/>
      <c r="NYB57" s="37"/>
      <c r="NYC57" s="37"/>
      <c r="NYD57" s="37"/>
      <c r="NYE57" s="37"/>
      <c r="NYF57" s="37"/>
      <c r="NYG57" s="37"/>
      <c r="NYH57" s="37"/>
      <c r="NYI57" s="37"/>
      <c r="NYJ57" s="37"/>
      <c r="NYK57" s="37"/>
      <c r="NYL57" s="37"/>
      <c r="NYM57" s="37"/>
      <c r="NYN57" s="37"/>
      <c r="NYO57" s="37"/>
      <c r="NYP57" s="37"/>
      <c r="NYQ57" s="37"/>
      <c r="NYR57" s="37"/>
      <c r="NYS57" s="37"/>
      <c r="NYT57" s="37"/>
      <c r="NYU57" s="37"/>
      <c r="NYV57" s="37"/>
      <c r="NYW57" s="37"/>
      <c r="NYX57" s="37"/>
      <c r="NYY57" s="37"/>
      <c r="NYZ57" s="37"/>
      <c r="NZA57" s="37"/>
      <c r="NZB57" s="37"/>
      <c r="NZC57" s="37"/>
      <c r="NZD57" s="37"/>
      <c r="NZE57" s="37"/>
      <c r="NZF57" s="37"/>
      <c r="NZG57" s="37"/>
      <c r="NZH57" s="37"/>
      <c r="NZI57" s="37"/>
      <c r="NZJ57" s="37"/>
      <c r="NZK57" s="37"/>
      <c r="NZL57" s="37"/>
      <c r="NZM57" s="37"/>
      <c r="NZN57" s="37"/>
      <c r="NZO57" s="37"/>
      <c r="NZP57" s="37"/>
      <c r="NZQ57" s="37"/>
      <c r="NZR57" s="37"/>
      <c r="NZS57" s="37"/>
      <c r="NZT57" s="37"/>
      <c r="NZU57" s="37"/>
      <c r="NZV57" s="37"/>
      <c r="NZW57" s="37"/>
      <c r="NZX57" s="37"/>
      <c r="NZY57" s="37"/>
      <c r="NZZ57" s="37"/>
      <c r="OAA57" s="37"/>
      <c r="OAB57" s="37"/>
      <c r="OAC57" s="37"/>
      <c r="OAD57" s="37"/>
      <c r="OAE57" s="37"/>
      <c r="OAF57" s="37"/>
      <c r="OAG57" s="37"/>
      <c r="OAH57" s="37"/>
      <c r="OAI57" s="37"/>
      <c r="OAJ57" s="37"/>
      <c r="OAK57" s="37"/>
      <c r="OAL57" s="37"/>
      <c r="OAM57" s="37"/>
      <c r="OAN57" s="37"/>
      <c r="OAO57" s="37"/>
      <c r="OAP57" s="37"/>
      <c r="OAQ57" s="37"/>
      <c r="OAR57" s="37"/>
      <c r="OAS57" s="37"/>
      <c r="OAT57" s="37"/>
      <c r="OAU57" s="37"/>
      <c r="OAV57" s="37"/>
      <c r="OAW57" s="37"/>
      <c r="OAX57" s="37"/>
      <c r="OAY57" s="37"/>
      <c r="OAZ57" s="37"/>
      <c r="OBA57" s="37"/>
      <c r="OBB57" s="37"/>
      <c r="OBC57" s="37"/>
      <c r="OBD57" s="37"/>
      <c r="OBE57" s="37"/>
      <c r="OBF57" s="37"/>
      <c r="OBG57" s="37"/>
      <c r="OBH57" s="37"/>
      <c r="OBI57" s="37"/>
      <c r="OBJ57" s="37"/>
      <c r="OBK57" s="37"/>
      <c r="OBL57" s="37"/>
      <c r="OBM57" s="37"/>
      <c r="OBN57" s="37"/>
      <c r="OBO57" s="37"/>
      <c r="OBP57" s="37"/>
      <c r="OBQ57" s="37"/>
      <c r="OBR57" s="37"/>
      <c r="OBS57" s="37"/>
      <c r="OBT57" s="37"/>
      <c r="OBU57" s="37"/>
      <c r="OBV57" s="37"/>
      <c r="OBW57" s="37"/>
      <c r="OBX57" s="37"/>
      <c r="OBY57" s="37"/>
      <c r="OBZ57" s="37"/>
      <c r="OCA57" s="37"/>
      <c r="OCB57" s="37"/>
      <c r="OCC57" s="37"/>
      <c r="OCD57" s="37"/>
      <c r="OCE57" s="37"/>
      <c r="OCF57" s="37"/>
      <c r="OCG57" s="37"/>
      <c r="OCH57" s="37"/>
      <c r="OCI57" s="37"/>
      <c r="OCJ57" s="37"/>
      <c r="OCK57" s="37"/>
      <c r="OCL57" s="37"/>
      <c r="OCM57" s="37"/>
      <c r="OCN57" s="37"/>
      <c r="OCO57" s="37"/>
      <c r="OCP57" s="37"/>
      <c r="OCQ57" s="37"/>
      <c r="OCR57" s="37"/>
      <c r="OCS57" s="37"/>
      <c r="OCT57" s="37"/>
      <c r="OCU57" s="37"/>
      <c r="OCV57" s="37"/>
      <c r="OCW57" s="37"/>
      <c r="OCX57" s="37"/>
      <c r="OCY57" s="37"/>
      <c r="OCZ57" s="37"/>
      <c r="ODA57" s="37"/>
      <c r="ODB57" s="37"/>
      <c r="ODC57" s="37"/>
      <c r="ODD57" s="37"/>
      <c r="ODE57" s="37"/>
      <c r="ODF57" s="37"/>
      <c r="ODG57" s="37"/>
      <c r="ODH57" s="37"/>
      <c r="ODI57" s="37"/>
      <c r="ODJ57" s="37"/>
      <c r="ODK57" s="37"/>
      <c r="ODL57" s="37"/>
      <c r="ODM57" s="37"/>
      <c r="ODN57" s="37"/>
      <c r="ODO57" s="37"/>
      <c r="ODP57" s="37"/>
      <c r="ODQ57" s="37"/>
      <c r="ODR57" s="37"/>
      <c r="ODS57" s="37"/>
      <c r="ODT57" s="37"/>
      <c r="ODU57" s="37"/>
      <c r="ODV57" s="37"/>
      <c r="ODW57" s="37"/>
      <c r="ODX57" s="37"/>
      <c r="ODY57" s="37"/>
      <c r="ODZ57" s="37"/>
      <c r="OEA57" s="37"/>
      <c r="OEB57" s="37"/>
      <c r="OEC57" s="37"/>
      <c r="OED57" s="37"/>
      <c r="OEE57" s="37"/>
      <c r="OEF57" s="37"/>
      <c r="OEG57" s="37"/>
      <c r="OEH57" s="37"/>
      <c r="OEI57" s="37"/>
      <c r="OEJ57" s="37"/>
      <c r="OEK57" s="37"/>
      <c r="OEL57" s="37"/>
      <c r="OEM57" s="37"/>
      <c r="OEN57" s="37"/>
      <c r="OEO57" s="37"/>
      <c r="OEP57" s="37"/>
      <c r="OEQ57" s="37"/>
      <c r="OER57" s="37"/>
      <c r="OES57" s="37"/>
      <c r="OET57" s="37"/>
      <c r="OEU57" s="37"/>
      <c r="OEV57" s="37"/>
      <c r="OEW57" s="37"/>
      <c r="OEX57" s="37"/>
      <c r="OEY57" s="37"/>
      <c r="OEZ57" s="37"/>
      <c r="OFA57" s="37"/>
      <c r="OFB57" s="37"/>
      <c r="OFC57" s="37"/>
      <c r="OFD57" s="37"/>
      <c r="OFE57" s="37"/>
      <c r="OFF57" s="37"/>
      <c r="OFG57" s="37"/>
      <c r="OFH57" s="37"/>
      <c r="OFI57" s="37"/>
      <c r="OFJ57" s="37"/>
      <c r="OFK57" s="37"/>
      <c r="OFL57" s="37"/>
      <c r="OFM57" s="37"/>
      <c r="OFN57" s="37"/>
      <c r="OFO57" s="37"/>
      <c r="OFP57" s="37"/>
      <c r="OFQ57" s="37"/>
      <c r="OFR57" s="37"/>
      <c r="OFS57" s="37"/>
      <c r="OFT57" s="37"/>
      <c r="OFU57" s="37"/>
      <c r="OFV57" s="37"/>
      <c r="OFW57" s="37"/>
      <c r="OFX57" s="37"/>
      <c r="OFY57" s="37"/>
      <c r="OFZ57" s="37"/>
      <c r="OGA57" s="37"/>
      <c r="OGB57" s="37"/>
      <c r="OGC57" s="37"/>
      <c r="OGD57" s="37"/>
      <c r="OGE57" s="37"/>
      <c r="OGF57" s="37"/>
      <c r="OGG57" s="37"/>
      <c r="OGH57" s="37"/>
      <c r="OGI57" s="37"/>
      <c r="OGJ57" s="37"/>
      <c r="OGK57" s="37"/>
      <c r="OGL57" s="37"/>
      <c r="OGM57" s="37"/>
      <c r="OGN57" s="37"/>
      <c r="OGO57" s="37"/>
      <c r="OGP57" s="37"/>
      <c r="OGQ57" s="37"/>
      <c r="OGR57" s="37"/>
      <c r="OGS57" s="37"/>
      <c r="OGT57" s="37"/>
      <c r="OGU57" s="37"/>
      <c r="OGV57" s="37"/>
      <c r="OGW57" s="37"/>
      <c r="OGX57" s="37"/>
      <c r="OGY57" s="37"/>
      <c r="OGZ57" s="37"/>
      <c r="OHA57" s="37"/>
      <c r="OHB57" s="37"/>
      <c r="OHC57" s="37"/>
      <c r="OHD57" s="37"/>
      <c r="OHE57" s="37"/>
      <c r="OHF57" s="37"/>
      <c r="OHG57" s="37"/>
      <c r="OHH57" s="37"/>
      <c r="OHI57" s="37"/>
      <c r="OHJ57" s="37"/>
      <c r="OHK57" s="37"/>
      <c r="OHL57" s="37"/>
      <c r="OHM57" s="37"/>
      <c r="OHN57" s="37"/>
      <c r="OHO57" s="37"/>
      <c r="OHP57" s="37"/>
      <c r="OHQ57" s="37"/>
      <c r="OHR57" s="37"/>
      <c r="OHS57" s="37"/>
      <c r="OHT57" s="37"/>
      <c r="OHU57" s="37"/>
      <c r="OHV57" s="37"/>
      <c r="OHW57" s="37"/>
      <c r="OHX57" s="37"/>
      <c r="OHY57" s="37"/>
      <c r="OHZ57" s="37"/>
      <c r="OIA57" s="37"/>
      <c r="OIB57" s="37"/>
      <c r="OIC57" s="37"/>
      <c r="OID57" s="37"/>
      <c r="OIE57" s="37"/>
      <c r="OIF57" s="37"/>
      <c r="OIG57" s="37"/>
      <c r="OIH57" s="37"/>
      <c r="OII57" s="37"/>
      <c r="OIJ57" s="37"/>
      <c r="OIK57" s="37"/>
      <c r="OIL57" s="37"/>
      <c r="OIM57" s="37"/>
      <c r="OIN57" s="37"/>
      <c r="OIO57" s="37"/>
      <c r="OIP57" s="37"/>
      <c r="OIQ57" s="37"/>
      <c r="OIR57" s="37"/>
      <c r="OIS57" s="37"/>
      <c r="OIT57" s="37"/>
      <c r="OIU57" s="37"/>
      <c r="OIV57" s="37"/>
      <c r="OIW57" s="37"/>
      <c r="OIX57" s="37"/>
      <c r="OIY57" s="37"/>
      <c r="OIZ57" s="37"/>
      <c r="OJA57" s="37"/>
      <c r="OJB57" s="37"/>
      <c r="OJC57" s="37"/>
      <c r="OJD57" s="37"/>
      <c r="OJE57" s="37"/>
      <c r="OJF57" s="37"/>
      <c r="OJG57" s="37"/>
      <c r="OJH57" s="37"/>
      <c r="OJI57" s="37"/>
      <c r="OJJ57" s="37"/>
      <c r="OJK57" s="37"/>
      <c r="OJL57" s="37"/>
      <c r="OJM57" s="37"/>
      <c r="OJN57" s="37"/>
      <c r="OJO57" s="37"/>
      <c r="OJP57" s="37"/>
      <c r="OJQ57" s="37"/>
      <c r="OJR57" s="37"/>
      <c r="OJS57" s="37"/>
      <c r="OJT57" s="37"/>
      <c r="OJU57" s="37"/>
      <c r="OJV57" s="37"/>
      <c r="OJW57" s="37"/>
      <c r="OJX57" s="37"/>
      <c r="OJY57" s="37"/>
      <c r="OJZ57" s="37"/>
      <c r="OKA57" s="37"/>
      <c r="OKB57" s="37"/>
      <c r="OKC57" s="37"/>
      <c r="OKD57" s="37"/>
      <c r="OKE57" s="37"/>
      <c r="OKF57" s="37"/>
      <c r="OKG57" s="37"/>
      <c r="OKH57" s="37"/>
      <c r="OKI57" s="37"/>
      <c r="OKJ57" s="37"/>
      <c r="OKK57" s="37"/>
      <c r="OKL57" s="37"/>
      <c r="OKM57" s="37"/>
      <c r="OKN57" s="37"/>
      <c r="OKO57" s="37"/>
      <c r="OKP57" s="37"/>
      <c r="OKQ57" s="37"/>
      <c r="OKR57" s="37"/>
      <c r="OKS57" s="37"/>
      <c r="OKT57" s="37"/>
      <c r="OKU57" s="37"/>
      <c r="OKV57" s="37"/>
      <c r="OKW57" s="37"/>
      <c r="OKX57" s="37"/>
      <c r="OKY57" s="37"/>
      <c r="OKZ57" s="37"/>
      <c r="OLA57" s="37"/>
      <c r="OLB57" s="37"/>
      <c r="OLC57" s="37"/>
      <c r="OLD57" s="37"/>
      <c r="OLE57" s="37"/>
      <c r="OLF57" s="37"/>
      <c r="OLG57" s="37"/>
      <c r="OLH57" s="37"/>
      <c r="OLI57" s="37"/>
      <c r="OLJ57" s="37"/>
      <c r="OLK57" s="37"/>
      <c r="OLL57" s="37"/>
      <c r="OLM57" s="37"/>
      <c r="OLN57" s="37"/>
      <c r="OLO57" s="37"/>
      <c r="OLP57" s="37"/>
      <c r="OLQ57" s="37"/>
      <c r="OLR57" s="37"/>
      <c r="OLS57" s="37"/>
      <c r="OLT57" s="37"/>
      <c r="OLU57" s="37"/>
      <c r="OLV57" s="37"/>
      <c r="OLW57" s="37"/>
      <c r="OLX57" s="37"/>
      <c r="OLY57" s="37"/>
      <c r="OLZ57" s="37"/>
      <c r="OMA57" s="37"/>
      <c r="OMB57" s="37"/>
      <c r="OMC57" s="37"/>
      <c r="OMD57" s="37"/>
      <c r="OME57" s="37"/>
      <c r="OMF57" s="37"/>
      <c r="OMG57" s="37"/>
      <c r="OMH57" s="37"/>
      <c r="OMI57" s="37"/>
      <c r="OMJ57" s="37"/>
      <c r="OMK57" s="37"/>
      <c r="OML57" s="37"/>
      <c r="OMM57" s="37"/>
      <c r="OMN57" s="37"/>
      <c r="OMO57" s="37"/>
      <c r="OMP57" s="37"/>
      <c r="OMQ57" s="37"/>
      <c r="OMR57" s="37"/>
      <c r="OMS57" s="37"/>
      <c r="OMT57" s="37"/>
      <c r="OMU57" s="37"/>
      <c r="OMV57" s="37"/>
      <c r="OMW57" s="37"/>
      <c r="OMX57" s="37"/>
      <c r="OMY57" s="37"/>
      <c r="OMZ57" s="37"/>
      <c r="ONA57" s="37"/>
      <c r="ONB57" s="37"/>
      <c r="ONC57" s="37"/>
      <c r="OND57" s="37"/>
      <c r="ONE57" s="37"/>
      <c r="ONF57" s="37"/>
      <c r="ONG57" s="37"/>
      <c r="ONH57" s="37"/>
      <c r="ONI57" s="37"/>
      <c r="ONJ57" s="37"/>
      <c r="ONK57" s="37"/>
      <c r="ONL57" s="37"/>
      <c r="ONM57" s="37"/>
      <c r="ONN57" s="37"/>
      <c r="ONO57" s="37"/>
      <c r="ONP57" s="37"/>
      <c r="ONQ57" s="37"/>
      <c r="ONR57" s="37"/>
      <c r="ONS57" s="37"/>
      <c r="ONT57" s="37"/>
      <c r="ONU57" s="37"/>
      <c r="ONV57" s="37"/>
      <c r="ONW57" s="37"/>
      <c r="ONX57" s="37"/>
      <c r="ONY57" s="37"/>
      <c r="ONZ57" s="37"/>
      <c r="OOA57" s="37"/>
      <c r="OOB57" s="37"/>
      <c r="OOC57" s="37"/>
      <c r="OOD57" s="37"/>
      <c r="OOE57" s="37"/>
      <c r="OOF57" s="37"/>
      <c r="OOG57" s="37"/>
      <c r="OOH57" s="37"/>
      <c r="OOI57" s="37"/>
      <c r="OOJ57" s="37"/>
      <c r="OOK57" s="37"/>
      <c r="OOL57" s="37"/>
      <c r="OOM57" s="37"/>
      <c r="OON57" s="37"/>
      <c r="OOO57" s="37"/>
      <c r="OOP57" s="37"/>
      <c r="OOQ57" s="37"/>
      <c r="OOR57" s="37"/>
      <c r="OOS57" s="37"/>
      <c r="OOT57" s="37"/>
      <c r="OOU57" s="37"/>
      <c r="OOV57" s="37"/>
      <c r="OOW57" s="37"/>
      <c r="OOX57" s="37"/>
      <c r="OOY57" s="37"/>
      <c r="OOZ57" s="37"/>
      <c r="OPA57" s="37"/>
      <c r="OPB57" s="37"/>
      <c r="OPC57" s="37"/>
      <c r="OPD57" s="37"/>
      <c r="OPE57" s="37"/>
      <c r="OPF57" s="37"/>
      <c r="OPG57" s="37"/>
      <c r="OPH57" s="37"/>
      <c r="OPI57" s="37"/>
      <c r="OPJ57" s="37"/>
      <c r="OPK57" s="37"/>
      <c r="OPL57" s="37"/>
      <c r="OPM57" s="37"/>
      <c r="OPN57" s="37"/>
      <c r="OPO57" s="37"/>
      <c r="OPP57" s="37"/>
      <c r="OPQ57" s="37"/>
      <c r="OPR57" s="37"/>
      <c r="OPS57" s="37"/>
      <c r="OPT57" s="37"/>
      <c r="OPU57" s="37"/>
      <c r="OPV57" s="37"/>
      <c r="OPW57" s="37"/>
      <c r="OPX57" s="37"/>
      <c r="OPY57" s="37"/>
      <c r="OPZ57" s="37"/>
      <c r="OQA57" s="37"/>
      <c r="OQB57" s="37"/>
      <c r="OQC57" s="37"/>
      <c r="OQD57" s="37"/>
      <c r="OQE57" s="37"/>
      <c r="OQF57" s="37"/>
      <c r="OQG57" s="37"/>
      <c r="OQH57" s="37"/>
      <c r="OQI57" s="37"/>
      <c r="OQJ57" s="37"/>
      <c r="OQK57" s="37"/>
      <c r="OQL57" s="37"/>
      <c r="OQM57" s="37"/>
      <c r="OQN57" s="37"/>
      <c r="OQO57" s="37"/>
      <c r="OQP57" s="37"/>
      <c r="OQQ57" s="37"/>
      <c r="OQR57" s="37"/>
      <c r="OQS57" s="37"/>
      <c r="OQT57" s="37"/>
      <c r="OQU57" s="37"/>
      <c r="OQV57" s="37"/>
      <c r="OQW57" s="37"/>
      <c r="OQX57" s="37"/>
      <c r="OQY57" s="37"/>
      <c r="OQZ57" s="37"/>
      <c r="ORA57" s="37"/>
      <c r="ORB57" s="37"/>
      <c r="ORC57" s="37"/>
      <c r="ORD57" s="37"/>
      <c r="ORE57" s="37"/>
      <c r="ORF57" s="37"/>
      <c r="ORG57" s="37"/>
      <c r="ORH57" s="37"/>
      <c r="ORI57" s="37"/>
      <c r="ORJ57" s="37"/>
      <c r="ORK57" s="37"/>
      <c r="ORL57" s="37"/>
      <c r="ORM57" s="37"/>
      <c r="ORN57" s="37"/>
      <c r="ORO57" s="37"/>
      <c r="ORP57" s="37"/>
      <c r="ORQ57" s="37"/>
      <c r="ORR57" s="37"/>
      <c r="ORS57" s="37"/>
      <c r="ORT57" s="37"/>
      <c r="ORU57" s="37"/>
      <c r="ORV57" s="37"/>
      <c r="ORW57" s="37"/>
      <c r="ORX57" s="37"/>
      <c r="ORY57" s="37"/>
      <c r="ORZ57" s="37"/>
      <c r="OSA57" s="37"/>
      <c r="OSB57" s="37"/>
      <c r="OSC57" s="37"/>
      <c r="OSD57" s="37"/>
      <c r="OSE57" s="37"/>
      <c r="OSF57" s="37"/>
      <c r="OSG57" s="37"/>
      <c r="OSH57" s="37"/>
      <c r="OSI57" s="37"/>
      <c r="OSJ57" s="37"/>
      <c r="OSK57" s="37"/>
      <c r="OSL57" s="37"/>
      <c r="OSM57" s="37"/>
      <c r="OSN57" s="37"/>
      <c r="OSO57" s="37"/>
      <c r="OSP57" s="37"/>
      <c r="OSQ57" s="37"/>
      <c r="OSR57" s="37"/>
      <c r="OSS57" s="37"/>
      <c r="OST57" s="37"/>
      <c r="OSU57" s="37"/>
      <c r="OSV57" s="37"/>
      <c r="OSW57" s="37"/>
      <c r="OSX57" s="37"/>
      <c r="OSY57" s="37"/>
      <c r="OSZ57" s="37"/>
      <c r="OTA57" s="37"/>
      <c r="OTB57" s="37"/>
      <c r="OTC57" s="37"/>
      <c r="OTD57" s="37"/>
      <c r="OTE57" s="37"/>
      <c r="OTF57" s="37"/>
      <c r="OTG57" s="37"/>
      <c r="OTH57" s="37"/>
      <c r="OTI57" s="37"/>
      <c r="OTJ57" s="37"/>
      <c r="OTK57" s="37"/>
      <c r="OTL57" s="37"/>
      <c r="OTM57" s="37"/>
      <c r="OTN57" s="37"/>
      <c r="OTO57" s="37"/>
      <c r="OTP57" s="37"/>
      <c r="OTQ57" s="37"/>
      <c r="OTR57" s="37"/>
      <c r="OTS57" s="37"/>
      <c r="OTT57" s="37"/>
      <c r="OTU57" s="37"/>
      <c r="OTV57" s="37"/>
      <c r="OTW57" s="37"/>
      <c r="OTX57" s="37"/>
      <c r="OTY57" s="37"/>
      <c r="OTZ57" s="37"/>
      <c r="OUA57" s="37"/>
      <c r="OUB57" s="37"/>
      <c r="OUC57" s="37"/>
      <c r="OUD57" s="37"/>
      <c r="OUE57" s="37"/>
      <c r="OUF57" s="37"/>
      <c r="OUG57" s="37"/>
      <c r="OUH57" s="37"/>
      <c r="OUI57" s="37"/>
      <c r="OUJ57" s="37"/>
      <c r="OUK57" s="37"/>
      <c r="OUL57" s="37"/>
      <c r="OUM57" s="37"/>
      <c r="OUN57" s="37"/>
      <c r="OUO57" s="37"/>
      <c r="OUP57" s="37"/>
      <c r="OUQ57" s="37"/>
      <c r="OUR57" s="37"/>
      <c r="OUS57" s="37"/>
      <c r="OUT57" s="37"/>
      <c r="OUU57" s="37"/>
      <c r="OUV57" s="37"/>
      <c r="OUW57" s="37"/>
      <c r="OUX57" s="37"/>
      <c r="OUY57" s="37"/>
      <c r="OUZ57" s="37"/>
      <c r="OVA57" s="37"/>
      <c r="OVB57" s="37"/>
      <c r="OVC57" s="37"/>
      <c r="OVD57" s="37"/>
      <c r="OVE57" s="37"/>
      <c r="OVF57" s="37"/>
      <c r="OVG57" s="37"/>
      <c r="OVH57" s="37"/>
      <c r="OVI57" s="37"/>
      <c r="OVJ57" s="37"/>
      <c r="OVK57" s="37"/>
      <c r="OVL57" s="37"/>
      <c r="OVM57" s="37"/>
      <c r="OVN57" s="37"/>
      <c r="OVO57" s="37"/>
      <c r="OVP57" s="37"/>
      <c r="OVQ57" s="37"/>
      <c r="OVR57" s="37"/>
      <c r="OVS57" s="37"/>
      <c r="OVT57" s="37"/>
      <c r="OVU57" s="37"/>
      <c r="OVV57" s="37"/>
      <c r="OVW57" s="37"/>
      <c r="OVX57" s="37"/>
      <c r="OVY57" s="37"/>
      <c r="OVZ57" s="37"/>
      <c r="OWA57" s="37"/>
      <c r="OWB57" s="37"/>
      <c r="OWC57" s="37"/>
      <c r="OWD57" s="37"/>
      <c r="OWE57" s="37"/>
      <c r="OWF57" s="37"/>
      <c r="OWG57" s="37"/>
      <c r="OWH57" s="37"/>
      <c r="OWI57" s="37"/>
      <c r="OWJ57" s="37"/>
      <c r="OWK57" s="37"/>
      <c r="OWL57" s="37"/>
      <c r="OWM57" s="37"/>
      <c r="OWN57" s="37"/>
      <c r="OWO57" s="37"/>
      <c r="OWP57" s="37"/>
      <c r="OWQ57" s="37"/>
      <c r="OWR57" s="37"/>
      <c r="OWS57" s="37"/>
      <c r="OWT57" s="37"/>
      <c r="OWU57" s="37"/>
      <c r="OWV57" s="37"/>
      <c r="OWW57" s="37"/>
      <c r="OWX57" s="37"/>
      <c r="OWY57" s="37"/>
      <c r="OWZ57" s="37"/>
      <c r="OXA57" s="37"/>
      <c r="OXB57" s="37"/>
      <c r="OXC57" s="37"/>
      <c r="OXD57" s="37"/>
      <c r="OXE57" s="37"/>
      <c r="OXF57" s="37"/>
      <c r="OXG57" s="37"/>
      <c r="OXH57" s="37"/>
      <c r="OXI57" s="37"/>
      <c r="OXJ57" s="37"/>
      <c r="OXK57" s="37"/>
      <c r="OXL57" s="37"/>
      <c r="OXM57" s="37"/>
      <c r="OXN57" s="37"/>
      <c r="OXO57" s="37"/>
      <c r="OXP57" s="37"/>
      <c r="OXQ57" s="37"/>
      <c r="OXR57" s="37"/>
      <c r="OXS57" s="37"/>
      <c r="OXT57" s="37"/>
      <c r="OXU57" s="37"/>
      <c r="OXV57" s="37"/>
      <c r="OXW57" s="37"/>
      <c r="OXX57" s="37"/>
      <c r="OXY57" s="37"/>
      <c r="OXZ57" s="37"/>
      <c r="OYA57" s="37"/>
      <c r="OYB57" s="37"/>
      <c r="OYC57" s="37"/>
      <c r="OYD57" s="37"/>
      <c r="OYE57" s="37"/>
      <c r="OYF57" s="37"/>
      <c r="OYG57" s="37"/>
      <c r="OYH57" s="37"/>
      <c r="OYI57" s="37"/>
      <c r="OYJ57" s="37"/>
      <c r="OYK57" s="37"/>
      <c r="OYL57" s="37"/>
      <c r="OYM57" s="37"/>
      <c r="OYN57" s="37"/>
      <c r="OYO57" s="37"/>
      <c r="OYP57" s="37"/>
      <c r="OYQ57" s="37"/>
      <c r="OYR57" s="37"/>
      <c r="OYS57" s="37"/>
      <c r="OYT57" s="37"/>
      <c r="OYU57" s="37"/>
      <c r="OYV57" s="37"/>
      <c r="OYW57" s="37"/>
      <c r="OYX57" s="37"/>
      <c r="OYY57" s="37"/>
      <c r="OYZ57" s="37"/>
      <c r="OZA57" s="37"/>
      <c r="OZB57" s="37"/>
      <c r="OZC57" s="37"/>
      <c r="OZD57" s="37"/>
      <c r="OZE57" s="37"/>
      <c r="OZF57" s="37"/>
      <c r="OZG57" s="37"/>
      <c r="OZH57" s="37"/>
      <c r="OZI57" s="37"/>
      <c r="OZJ57" s="37"/>
      <c r="OZK57" s="37"/>
      <c r="OZL57" s="37"/>
      <c r="OZM57" s="37"/>
      <c r="OZN57" s="37"/>
      <c r="OZO57" s="37"/>
      <c r="OZP57" s="37"/>
      <c r="OZQ57" s="37"/>
      <c r="OZR57" s="37"/>
      <c r="OZS57" s="37"/>
      <c r="OZT57" s="37"/>
      <c r="OZU57" s="37"/>
      <c r="OZV57" s="37"/>
      <c r="OZW57" s="37"/>
      <c r="OZX57" s="37"/>
      <c r="OZY57" s="37"/>
      <c r="OZZ57" s="37"/>
      <c r="PAA57" s="37"/>
      <c r="PAB57" s="37"/>
      <c r="PAC57" s="37"/>
      <c r="PAD57" s="37"/>
      <c r="PAE57" s="37"/>
      <c r="PAF57" s="37"/>
      <c r="PAG57" s="37"/>
      <c r="PAH57" s="37"/>
      <c r="PAI57" s="37"/>
      <c r="PAJ57" s="37"/>
      <c r="PAK57" s="37"/>
      <c r="PAL57" s="37"/>
      <c r="PAM57" s="37"/>
      <c r="PAN57" s="37"/>
      <c r="PAO57" s="37"/>
      <c r="PAP57" s="37"/>
      <c r="PAQ57" s="37"/>
      <c r="PAR57" s="37"/>
      <c r="PAS57" s="37"/>
      <c r="PAT57" s="37"/>
      <c r="PAU57" s="37"/>
      <c r="PAV57" s="37"/>
      <c r="PAW57" s="37"/>
      <c r="PAX57" s="37"/>
      <c r="PAY57" s="37"/>
      <c r="PAZ57" s="37"/>
      <c r="PBA57" s="37"/>
      <c r="PBB57" s="37"/>
      <c r="PBC57" s="37"/>
      <c r="PBD57" s="37"/>
      <c r="PBE57" s="37"/>
      <c r="PBF57" s="37"/>
      <c r="PBG57" s="37"/>
      <c r="PBH57" s="37"/>
      <c r="PBI57" s="37"/>
      <c r="PBJ57" s="37"/>
      <c r="PBK57" s="37"/>
      <c r="PBL57" s="37"/>
      <c r="PBM57" s="37"/>
      <c r="PBN57" s="37"/>
      <c r="PBO57" s="37"/>
      <c r="PBP57" s="37"/>
      <c r="PBQ57" s="37"/>
      <c r="PBR57" s="37"/>
      <c r="PBS57" s="37"/>
      <c r="PBT57" s="37"/>
      <c r="PBU57" s="37"/>
      <c r="PBV57" s="37"/>
      <c r="PBW57" s="37"/>
      <c r="PBX57" s="37"/>
      <c r="PBY57" s="37"/>
      <c r="PBZ57" s="37"/>
      <c r="PCA57" s="37"/>
      <c r="PCB57" s="37"/>
      <c r="PCC57" s="37"/>
      <c r="PCD57" s="37"/>
      <c r="PCE57" s="37"/>
      <c r="PCF57" s="37"/>
      <c r="PCG57" s="37"/>
      <c r="PCH57" s="37"/>
      <c r="PCI57" s="37"/>
      <c r="PCJ57" s="37"/>
      <c r="PCK57" s="37"/>
      <c r="PCL57" s="37"/>
      <c r="PCM57" s="37"/>
      <c r="PCN57" s="37"/>
      <c r="PCO57" s="37"/>
      <c r="PCP57" s="37"/>
      <c r="PCQ57" s="37"/>
      <c r="PCR57" s="37"/>
      <c r="PCS57" s="37"/>
      <c r="PCT57" s="37"/>
      <c r="PCU57" s="37"/>
      <c r="PCV57" s="37"/>
      <c r="PCW57" s="37"/>
      <c r="PCX57" s="37"/>
      <c r="PCY57" s="37"/>
      <c r="PCZ57" s="37"/>
      <c r="PDA57" s="37"/>
      <c r="PDB57" s="37"/>
      <c r="PDC57" s="37"/>
      <c r="PDD57" s="37"/>
      <c r="PDE57" s="37"/>
      <c r="PDF57" s="37"/>
      <c r="PDG57" s="37"/>
      <c r="PDH57" s="37"/>
      <c r="PDI57" s="37"/>
      <c r="PDJ57" s="37"/>
      <c r="PDK57" s="37"/>
      <c r="PDL57" s="37"/>
      <c r="PDM57" s="37"/>
      <c r="PDN57" s="37"/>
      <c r="PDO57" s="37"/>
      <c r="PDP57" s="37"/>
      <c r="PDQ57" s="37"/>
      <c r="PDR57" s="37"/>
      <c r="PDS57" s="37"/>
      <c r="PDT57" s="37"/>
      <c r="PDU57" s="37"/>
      <c r="PDV57" s="37"/>
      <c r="PDW57" s="37"/>
      <c r="PDX57" s="37"/>
      <c r="PDY57" s="37"/>
      <c r="PDZ57" s="37"/>
      <c r="PEA57" s="37"/>
      <c r="PEB57" s="37"/>
      <c r="PEC57" s="37"/>
      <c r="PED57" s="37"/>
      <c r="PEE57" s="37"/>
      <c r="PEF57" s="37"/>
      <c r="PEG57" s="37"/>
      <c r="PEH57" s="37"/>
      <c r="PEI57" s="37"/>
      <c r="PEJ57" s="37"/>
      <c r="PEK57" s="37"/>
      <c r="PEL57" s="37"/>
      <c r="PEM57" s="37"/>
      <c r="PEN57" s="37"/>
      <c r="PEO57" s="37"/>
      <c r="PEP57" s="37"/>
      <c r="PEQ57" s="37"/>
      <c r="PER57" s="37"/>
      <c r="PES57" s="37"/>
      <c r="PET57" s="37"/>
      <c r="PEU57" s="37"/>
      <c r="PEV57" s="37"/>
      <c r="PEW57" s="37"/>
      <c r="PEX57" s="37"/>
      <c r="PEY57" s="37"/>
      <c r="PEZ57" s="37"/>
      <c r="PFA57" s="37"/>
      <c r="PFB57" s="37"/>
      <c r="PFC57" s="37"/>
      <c r="PFD57" s="37"/>
      <c r="PFE57" s="37"/>
      <c r="PFF57" s="37"/>
      <c r="PFG57" s="37"/>
      <c r="PFH57" s="37"/>
      <c r="PFI57" s="37"/>
      <c r="PFJ57" s="37"/>
      <c r="PFK57" s="37"/>
      <c r="PFL57" s="37"/>
      <c r="PFM57" s="37"/>
      <c r="PFN57" s="37"/>
      <c r="PFO57" s="37"/>
      <c r="PFP57" s="37"/>
      <c r="PFQ57" s="37"/>
      <c r="PFR57" s="37"/>
      <c r="PFS57" s="37"/>
      <c r="PFT57" s="37"/>
      <c r="PFU57" s="37"/>
      <c r="PFV57" s="37"/>
      <c r="PFW57" s="37"/>
      <c r="PFX57" s="37"/>
      <c r="PFY57" s="37"/>
      <c r="PFZ57" s="37"/>
      <c r="PGA57" s="37"/>
      <c r="PGB57" s="37"/>
      <c r="PGC57" s="37"/>
      <c r="PGD57" s="37"/>
      <c r="PGE57" s="37"/>
      <c r="PGF57" s="37"/>
      <c r="PGG57" s="37"/>
      <c r="PGH57" s="37"/>
      <c r="PGI57" s="37"/>
      <c r="PGJ57" s="37"/>
      <c r="PGK57" s="37"/>
      <c r="PGL57" s="37"/>
      <c r="PGM57" s="37"/>
      <c r="PGN57" s="37"/>
      <c r="PGO57" s="37"/>
      <c r="PGP57" s="37"/>
      <c r="PGQ57" s="37"/>
      <c r="PGR57" s="37"/>
      <c r="PGS57" s="37"/>
      <c r="PGT57" s="37"/>
      <c r="PGU57" s="37"/>
      <c r="PGV57" s="37"/>
      <c r="PGW57" s="37"/>
      <c r="PGX57" s="37"/>
      <c r="PGY57" s="37"/>
      <c r="PGZ57" s="37"/>
      <c r="PHA57" s="37"/>
      <c r="PHB57" s="37"/>
      <c r="PHC57" s="37"/>
      <c r="PHD57" s="37"/>
      <c r="PHE57" s="37"/>
      <c r="PHF57" s="37"/>
      <c r="PHG57" s="37"/>
      <c r="PHH57" s="37"/>
      <c r="PHI57" s="37"/>
      <c r="PHJ57" s="37"/>
      <c r="PHK57" s="37"/>
      <c r="PHL57" s="37"/>
      <c r="PHM57" s="37"/>
      <c r="PHN57" s="37"/>
      <c r="PHO57" s="37"/>
      <c r="PHP57" s="37"/>
      <c r="PHQ57" s="37"/>
      <c r="PHR57" s="37"/>
      <c r="PHS57" s="37"/>
      <c r="PHT57" s="37"/>
      <c r="PHU57" s="37"/>
      <c r="PHV57" s="37"/>
      <c r="PHW57" s="37"/>
      <c r="PHX57" s="37"/>
      <c r="PHY57" s="37"/>
      <c r="PHZ57" s="37"/>
      <c r="PIA57" s="37"/>
      <c r="PIB57" s="37"/>
      <c r="PIC57" s="37"/>
      <c r="PID57" s="37"/>
      <c r="PIE57" s="37"/>
      <c r="PIF57" s="37"/>
      <c r="PIG57" s="37"/>
      <c r="PIH57" s="37"/>
      <c r="PII57" s="37"/>
      <c r="PIJ57" s="37"/>
      <c r="PIK57" s="37"/>
      <c r="PIL57" s="37"/>
      <c r="PIM57" s="37"/>
      <c r="PIN57" s="37"/>
      <c r="PIO57" s="37"/>
      <c r="PIP57" s="37"/>
      <c r="PIQ57" s="37"/>
      <c r="PIR57" s="37"/>
      <c r="PIS57" s="37"/>
      <c r="PIT57" s="37"/>
      <c r="PIU57" s="37"/>
      <c r="PIV57" s="37"/>
      <c r="PIW57" s="37"/>
      <c r="PIX57" s="37"/>
      <c r="PIY57" s="37"/>
      <c r="PIZ57" s="37"/>
      <c r="PJA57" s="37"/>
      <c r="PJB57" s="37"/>
      <c r="PJC57" s="37"/>
      <c r="PJD57" s="37"/>
      <c r="PJE57" s="37"/>
      <c r="PJF57" s="37"/>
      <c r="PJG57" s="37"/>
      <c r="PJH57" s="37"/>
      <c r="PJI57" s="37"/>
      <c r="PJJ57" s="37"/>
      <c r="PJK57" s="37"/>
      <c r="PJL57" s="37"/>
      <c r="PJM57" s="37"/>
      <c r="PJN57" s="37"/>
      <c r="PJO57" s="37"/>
      <c r="PJP57" s="37"/>
      <c r="PJQ57" s="37"/>
      <c r="PJR57" s="37"/>
      <c r="PJS57" s="37"/>
      <c r="PJT57" s="37"/>
      <c r="PJU57" s="37"/>
      <c r="PJV57" s="37"/>
      <c r="PJW57" s="37"/>
      <c r="PJX57" s="37"/>
      <c r="PJY57" s="37"/>
      <c r="PJZ57" s="37"/>
      <c r="PKA57" s="37"/>
      <c r="PKB57" s="37"/>
      <c r="PKC57" s="37"/>
      <c r="PKD57" s="37"/>
      <c r="PKE57" s="37"/>
      <c r="PKF57" s="37"/>
      <c r="PKG57" s="37"/>
      <c r="PKH57" s="37"/>
      <c r="PKI57" s="37"/>
      <c r="PKJ57" s="37"/>
      <c r="PKK57" s="37"/>
      <c r="PKL57" s="37"/>
      <c r="PKM57" s="37"/>
      <c r="PKN57" s="37"/>
      <c r="PKO57" s="37"/>
      <c r="PKP57" s="37"/>
      <c r="PKQ57" s="37"/>
      <c r="PKR57" s="37"/>
      <c r="PKS57" s="37"/>
      <c r="PKT57" s="37"/>
      <c r="PKU57" s="37"/>
      <c r="PKV57" s="37"/>
      <c r="PKW57" s="37"/>
      <c r="PKX57" s="37"/>
      <c r="PKY57" s="37"/>
      <c r="PKZ57" s="37"/>
      <c r="PLA57" s="37"/>
      <c r="PLB57" s="37"/>
      <c r="PLC57" s="37"/>
      <c r="PLD57" s="37"/>
      <c r="PLE57" s="37"/>
      <c r="PLF57" s="37"/>
      <c r="PLG57" s="37"/>
      <c r="PLH57" s="37"/>
      <c r="PLI57" s="37"/>
      <c r="PLJ57" s="37"/>
      <c r="PLK57" s="37"/>
      <c r="PLL57" s="37"/>
      <c r="PLM57" s="37"/>
      <c r="PLN57" s="37"/>
      <c r="PLO57" s="37"/>
      <c r="PLP57" s="37"/>
      <c r="PLQ57" s="37"/>
      <c r="PLR57" s="37"/>
      <c r="PLS57" s="37"/>
      <c r="PLT57" s="37"/>
      <c r="PLU57" s="37"/>
      <c r="PLV57" s="37"/>
      <c r="PLW57" s="37"/>
      <c r="PLX57" s="37"/>
      <c r="PLY57" s="37"/>
      <c r="PLZ57" s="37"/>
      <c r="PMA57" s="37"/>
      <c r="PMB57" s="37"/>
      <c r="PMC57" s="37"/>
      <c r="PMD57" s="37"/>
      <c r="PME57" s="37"/>
      <c r="PMF57" s="37"/>
      <c r="PMG57" s="37"/>
      <c r="PMH57" s="37"/>
      <c r="PMI57" s="37"/>
      <c r="PMJ57" s="37"/>
      <c r="PMK57" s="37"/>
      <c r="PML57" s="37"/>
      <c r="PMM57" s="37"/>
      <c r="PMN57" s="37"/>
      <c r="PMO57" s="37"/>
      <c r="PMP57" s="37"/>
      <c r="PMQ57" s="37"/>
      <c r="PMR57" s="37"/>
      <c r="PMS57" s="37"/>
      <c r="PMT57" s="37"/>
      <c r="PMU57" s="37"/>
      <c r="PMV57" s="37"/>
      <c r="PMW57" s="37"/>
      <c r="PMX57" s="37"/>
      <c r="PMY57" s="37"/>
      <c r="PMZ57" s="37"/>
      <c r="PNA57" s="37"/>
      <c r="PNB57" s="37"/>
      <c r="PNC57" s="37"/>
      <c r="PND57" s="37"/>
      <c r="PNE57" s="37"/>
      <c r="PNF57" s="37"/>
      <c r="PNG57" s="37"/>
      <c r="PNH57" s="37"/>
      <c r="PNI57" s="37"/>
      <c r="PNJ57" s="37"/>
      <c r="PNK57" s="37"/>
      <c r="PNL57" s="37"/>
      <c r="PNM57" s="37"/>
      <c r="PNN57" s="37"/>
      <c r="PNO57" s="37"/>
      <c r="PNP57" s="37"/>
      <c r="PNQ57" s="37"/>
      <c r="PNR57" s="37"/>
      <c r="PNS57" s="37"/>
      <c r="PNT57" s="37"/>
      <c r="PNU57" s="37"/>
      <c r="PNV57" s="37"/>
      <c r="PNW57" s="37"/>
      <c r="PNX57" s="37"/>
      <c r="PNY57" s="37"/>
      <c r="PNZ57" s="37"/>
      <c r="POA57" s="37"/>
      <c r="POB57" s="37"/>
      <c r="POC57" s="37"/>
      <c r="POD57" s="37"/>
      <c r="POE57" s="37"/>
      <c r="POF57" s="37"/>
      <c r="POG57" s="37"/>
      <c r="POH57" s="37"/>
      <c r="POI57" s="37"/>
      <c r="POJ57" s="37"/>
      <c r="POK57" s="37"/>
      <c r="POL57" s="37"/>
      <c r="POM57" s="37"/>
      <c r="PON57" s="37"/>
      <c r="POO57" s="37"/>
      <c r="POP57" s="37"/>
      <c r="POQ57" s="37"/>
      <c r="POR57" s="37"/>
      <c r="POS57" s="37"/>
      <c r="POT57" s="37"/>
      <c r="POU57" s="37"/>
      <c r="POV57" s="37"/>
      <c r="POW57" s="37"/>
      <c r="POX57" s="37"/>
      <c r="POY57" s="37"/>
      <c r="POZ57" s="37"/>
      <c r="PPA57" s="37"/>
      <c r="PPB57" s="37"/>
      <c r="PPC57" s="37"/>
      <c r="PPD57" s="37"/>
      <c r="PPE57" s="37"/>
      <c r="PPF57" s="37"/>
      <c r="PPG57" s="37"/>
      <c r="PPH57" s="37"/>
      <c r="PPI57" s="37"/>
      <c r="PPJ57" s="37"/>
      <c r="PPK57" s="37"/>
      <c r="PPL57" s="37"/>
      <c r="PPM57" s="37"/>
      <c r="PPN57" s="37"/>
      <c r="PPO57" s="37"/>
      <c r="PPP57" s="37"/>
      <c r="PPQ57" s="37"/>
      <c r="PPR57" s="37"/>
      <c r="PPS57" s="37"/>
      <c r="PPT57" s="37"/>
      <c r="PPU57" s="37"/>
      <c r="PPV57" s="37"/>
      <c r="PPW57" s="37"/>
      <c r="PPX57" s="37"/>
      <c r="PPY57" s="37"/>
      <c r="PPZ57" s="37"/>
      <c r="PQA57" s="37"/>
      <c r="PQB57" s="37"/>
      <c r="PQC57" s="37"/>
      <c r="PQD57" s="37"/>
      <c r="PQE57" s="37"/>
      <c r="PQF57" s="37"/>
      <c r="PQG57" s="37"/>
      <c r="PQH57" s="37"/>
      <c r="PQI57" s="37"/>
      <c r="PQJ57" s="37"/>
      <c r="PQK57" s="37"/>
      <c r="PQL57" s="37"/>
      <c r="PQM57" s="37"/>
      <c r="PQN57" s="37"/>
      <c r="PQO57" s="37"/>
      <c r="PQP57" s="37"/>
      <c r="PQQ57" s="37"/>
      <c r="PQR57" s="37"/>
      <c r="PQS57" s="37"/>
      <c r="PQT57" s="37"/>
      <c r="PQU57" s="37"/>
      <c r="PQV57" s="37"/>
      <c r="PQW57" s="37"/>
      <c r="PQX57" s="37"/>
      <c r="PQY57" s="37"/>
      <c r="PQZ57" s="37"/>
      <c r="PRA57" s="37"/>
      <c r="PRB57" s="37"/>
      <c r="PRC57" s="37"/>
      <c r="PRD57" s="37"/>
      <c r="PRE57" s="37"/>
      <c r="PRF57" s="37"/>
      <c r="PRG57" s="37"/>
      <c r="PRH57" s="37"/>
      <c r="PRI57" s="37"/>
      <c r="PRJ57" s="37"/>
      <c r="PRK57" s="37"/>
      <c r="PRL57" s="37"/>
      <c r="PRM57" s="37"/>
      <c r="PRN57" s="37"/>
      <c r="PRO57" s="37"/>
      <c r="PRP57" s="37"/>
      <c r="PRQ57" s="37"/>
      <c r="PRR57" s="37"/>
      <c r="PRS57" s="37"/>
      <c r="PRT57" s="37"/>
      <c r="PRU57" s="37"/>
      <c r="PRV57" s="37"/>
      <c r="PRW57" s="37"/>
      <c r="PRX57" s="37"/>
      <c r="PRY57" s="37"/>
      <c r="PRZ57" s="37"/>
      <c r="PSA57" s="37"/>
      <c r="PSB57" s="37"/>
      <c r="PSC57" s="37"/>
      <c r="PSD57" s="37"/>
      <c r="PSE57" s="37"/>
      <c r="PSF57" s="37"/>
      <c r="PSG57" s="37"/>
      <c r="PSH57" s="37"/>
      <c r="PSI57" s="37"/>
      <c r="PSJ57" s="37"/>
      <c r="PSK57" s="37"/>
      <c r="PSL57" s="37"/>
      <c r="PSM57" s="37"/>
      <c r="PSN57" s="37"/>
      <c r="PSO57" s="37"/>
      <c r="PSP57" s="37"/>
      <c r="PSQ57" s="37"/>
      <c r="PSR57" s="37"/>
      <c r="PSS57" s="37"/>
      <c r="PST57" s="37"/>
      <c r="PSU57" s="37"/>
      <c r="PSV57" s="37"/>
      <c r="PSW57" s="37"/>
      <c r="PSX57" s="37"/>
      <c r="PSY57" s="37"/>
      <c r="PSZ57" s="37"/>
      <c r="PTA57" s="37"/>
      <c r="PTB57" s="37"/>
      <c r="PTC57" s="37"/>
      <c r="PTD57" s="37"/>
      <c r="PTE57" s="37"/>
      <c r="PTF57" s="37"/>
      <c r="PTG57" s="37"/>
      <c r="PTH57" s="37"/>
      <c r="PTI57" s="37"/>
      <c r="PTJ57" s="37"/>
      <c r="PTK57" s="37"/>
      <c r="PTL57" s="37"/>
      <c r="PTM57" s="37"/>
      <c r="PTN57" s="37"/>
      <c r="PTO57" s="37"/>
      <c r="PTP57" s="37"/>
      <c r="PTQ57" s="37"/>
      <c r="PTR57" s="37"/>
      <c r="PTS57" s="37"/>
      <c r="PTT57" s="37"/>
      <c r="PTU57" s="37"/>
      <c r="PTV57" s="37"/>
      <c r="PTW57" s="37"/>
      <c r="PTX57" s="37"/>
      <c r="PTY57" s="37"/>
      <c r="PTZ57" s="37"/>
      <c r="PUA57" s="37"/>
      <c r="PUB57" s="37"/>
      <c r="PUC57" s="37"/>
      <c r="PUD57" s="37"/>
      <c r="PUE57" s="37"/>
      <c r="PUF57" s="37"/>
      <c r="PUG57" s="37"/>
      <c r="PUH57" s="37"/>
      <c r="PUI57" s="37"/>
      <c r="PUJ57" s="37"/>
      <c r="PUK57" s="37"/>
      <c r="PUL57" s="37"/>
      <c r="PUM57" s="37"/>
      <c r="PUN57" s="37"/>
      <c r="PUO57" s="37"/>
      <c r="PUP57" s="37"/>
      <c r="PUQ57" s="37"/>
      <c r="PUR57" s="37"/>
      <c r="PUS57" s="37"/>
      <c r="PUT57" s="37"/>
      <c r="PUU57" s="37"/>
      <c r="PUV57" s="37"/>
      <c r="PUW57" s="37"/>
      <c r="PUX57" s="37"/>
      <c r="PUY57" s="37"/>
      <c r="PUZ57" s="37"/>
      <c r="PVA57" s="37"/>
      <c r="PVB57" s="37"/>
      <c r="PVC57" s="37"/>
      <c r="PVD57" s="37"/>
      <c r="PVE57" s="37"/>
      <c r="PVF57" s="37"/>
      <c r="PVG57" s="37"/>
      <c r="PVH57" s="37"/>
      <c r="PVI57" s="37"/>
      <c r="PVJ57" s="37"/>
      <c r="PVK57" s="37"/>
      <c r="PVL57" s="37"/>
      <c r="PVM57" s="37"/>
      <c r="PVN57" s="37"/>
      <c r="PVO57" s="37"/>
      <c r="PVP57" s="37"/>
      <c r="PVQ57" s="37"/>
      <c r="PVR57" s="37"/>
      <c r="PVS57" s="37"/>
      <c r="PVT57" s="37"/>
      <c r="PVU57" s="37"/>
      <c r="PVV57" s="37"/>
      <c r="PVW57" s="37"/>
      <c r="PVX57" s="37"/>
      <c r="PVY57" s="37"/>
      <c r="PVZ57" s="37"/>
      <c r="PWA57" s="37"/>
      <c r="PWB57" s="37"/>
      <c r="PWC57" s="37"/>
      <c r="PWD57" s="37"/>
      <c r="PWE57" s="37"/>
      <c r="PWF57" s="37"/>
      <c r="PWG57" s="37"/>
      <c r="PWH57" s="37"/>
      <c r="PWI57" s="37"/>
      <c r="PWJ57" s="37"/>
      <c r="PWK57" s="37"/>
      <c r="PWL57" s="37"/>
      <c r="PWM57" s="37"/>
      <c r="PWN57" s="37"/>
      <c r="PWO57" s="37"/>
      <c r="PWP57" s="37"/>
      <c r="PWQ57" s="37"/>
      <c r="PWR57" s="37"/>
      <c r="PWS57" s="37"/>
      <c r="PWT57" s="37"/>
      <c r="PWU57" s="37"/>
      <c r="PWV57" s="37"/>
      <c r="PWW57" s="37"/>
      <c r="PWX57" s="37"/>
      <c r="PWY57" s="37"/>
      <c r="PWZ57" s="37"/>
      <c r="PXA57" s="37"/>
      <c r="PXB57" s="37"/>
      <c r="PXC57" s="37"/>
      <c r="PXD57" s="37"/>
      <c r="PXE57" s="37"/>
      <c r="PXF57" s="37"/>
      <c r="PXG57" s="37"/>
      <c r="PXH57" s="37"/>
      <c r="PXI57" s="37"/>
      <c r="PXJ57" s="37"/>
      <c r="PXK57" s="37"/>
      <c r="PXL57" s="37"/>
      <c r="PXM57" s="37"/>
      <c r="PXN57" s="37"/>
      <c r="PXO57" s="37"/>
      <c r="PXP57" s="37"/>
      <c r="PXQ57" s="37"/>
      <c r="PXR57" s="37"/>
      <c r="PXS57" s="37"/>
      <c r="PXT57" s="37"/>
      <c r="PXU57" s="37"/>
      <c r="PXV57" s="37"/>
      <c r="PXW57" s="37"/>
      <c r="PXX57" s="37"/>
      <c r="PXY57" s="37"/>
      <c r="PXZ57" s="37"/>
      <c r="PYA57" s="37"/>
      <c r="PYB57" s="37"/>
      <c r="PYC57" s="37"/>
      <c r="PYD57" s="37"/>
      <c r="PYE57" s="37"/>
      <c r="PYF57" s="37"/>
      <c r="PYG57" s="37"/>
      <c r="PYH57" s="37"/>
      <c r="PYI57" s="37"/>
      <c r="PYJ57" s="37"/>
      <c r="PYK57" s="37"/>
      <c r="PYL57" s="37"/>
      <c r="PYM57" s="37"/>
      <c r="PYN57" s="37"/>
      <c r="PYO57" s="37"/>
      <c r="PYP57" s="37"/>
      <c r="PYQ57" s="37"/>
      <c r="PYR57" s="37"/>
      <c r="PYS57" s="37"/>
      <c r="PYT57" s="37"/>
      <c r="PYU57" s="37"/>
      <c r="PYV57" s="37"/>
      <c r="PYW57" s="37"/>
      <c r="PYX57" s="37"/>
      <c r="PYY57" s="37"/>
      <c r="PYZ57" s="37"/>
      <c r="PZA57" s="37"/>
      <c r="PZB57" s="37"/>
      <c r="PZC57" s="37"/>
      <c r="PZD57" s="37"/>
      <c r="PZE57" s="37"/>
      <c r="PZF57" s="37"/>
      <c r="PZG57" s="37"/>
      <c r="PZH57" s="37"/>
      <c r="PZI57" s="37"/>
      <c r="PZJ57" s="37"/>
      <c r="PZK57" s="37"/>
      <c r="PZL57" s="37"/>
      <c r="PZM57" s="37"/>
      <c r="PZN57" s="37"/>
      <c r="PZO57" s="37"/>
      <c r="PZP57" s="37"/>
      <c r="PZQ57" s="37"/>
      <c r="PZR57" s="37"/>
      <c r="PZS57" s="37"/>
      <c r="PZT57" s="37"/>
      <c r="PZU57" s="37"/>
      <c r="PZV57" s="37"/>
      <c r="PZW57" s="37"/>
      <c r="PZX57" s="37"/>
      <c r="PZY57" s="37"/>
      <c r="PZZ57" s="37"/>
      <c r="QAA57" s="37"/>
      <c r="QAB57" s="37"/>
      <c r="QAC57" s="37"/>
      <c r="QAD57" s="37"/>
      <c r="QAE57" s="37"/>
      <c r="QAF57" s="37"/>
      <c r="QAG57" s="37"/>
      <c r="QAH57" s="37"/>
      <c r="QAI57" s="37"/>
      <c r="QAJ57" s="37"/>
      <c r="QAK57" s="37"/>
      <c r="QAL57" s="37"/>
      <c r="QAM57" s="37"/>
      <c r="QAN57" s="37"/>
      <c r="QAO57" s="37"/>
      <c r="QAP57" s="37"/>
      <c r="QAQ57" s="37"/>
      <c r="QAR57" s="37"/>
      <c r="QAS57" s="37"/>
      <c r="QAT57" s="37"/>
      <c r="QAU57" s="37"/>
      <c r="QAV57" s="37"/>
      <c r="QAW57" s="37"/>
      <c r="QAX57" s="37"/>
      <c r="QAY57" s="37"/>
      <c r="QAZ57" s="37"/>
      <c r="QBA57" s="37"/>
      <c r="QBB57" s="37"/>
      <c r="QBC57" s="37"/>
      <c r="QBD57" s="37"/>
      <c r="QBE57" s="37"/>
      <c r="QBF57" s="37"/>
      <c r="QBG57" s="37"/>
      <c r="QBH57" s="37"/>
      <c r="QBI57" s="37"/>
      <c r="QBJ57" s="37"/>
      <c r="QBK57" s="37"/>
      <c r="QBL57" s="37"/>
      <c r="QBM57" s="37"/>
      <c r="QBN57" s="37"/>
      <c r="QBO57" s="37"/>
      <c r="QBP57" s="37"/>
      <c r="QBQ57" s="37"/>
      <c r="QBR57" s="37"/>
      <c r="QBS57" s="37"/>
      <c r="QBT57" s="37"/>
      <c r="QBU57" s="37"/>
      <c r="QBV57" s="37"/>
      <c r="QBW57" s="37"/>
      <c r="QBX57" s="37"/>
      <c r="QBY57" s="37"/>
      <c r="QBZ57" s="37"/>
      <c r="QCA57" s="37"/>
      <c r="QCB57" s="37"/>
      <c r="QCC57" s="37"/>
      <c r="QCD57" s="37"/>
      <c r="QCE57" s="37"/>
      <c r="QCF57" s="37"/>
      <c r="QCG57" s="37"/>
      <c r="QCH57" s="37"/>
      <c r="QCI57" s="37"/>
      <c r="QCJ57" s="37"/>
      <c r="QCK57" s="37"/>
      <c r="QCL57" s="37"/>
      <c r="QCM57" s="37"/>
      <c r="QCN57" s="37"/>
      <c r="QCO57" s="37"/>
      <c r="QCP57" s="37"/>
      <c r="QCQ57" s="37"/>
      <c r="QCR57" s="37"/>
      <c r="QCS57" s="37"/>
      <c r="QCT57" s="37"/>
      <c r="QCU57" s="37"/>
      <c r="QCV57" s="37"/>
      <c r="QCW57" s="37"/>
      <c r="QCX57" s="37"/>
      <c r="QCY57" s="37"/>
      <c r="QCZ57" s="37"/>
      <c r="QDA57" s="37"/>
      <c r="QDB57" s="37"/>
      <c r="QDC57" s="37"/>
      <c r="QDD57" s="37"/>
      <c r="QDE57" s="37"/>
      <c r="QDF57" s="37"/>
      <c r="QDG57" s="37"/>
      <c r="QDH57" s="37"/>
      <c r="QDI57" s="37"/>
      <c r="QDJ57" s="37"/>
      <c r="QDK57" s="37"/>
      <c r="QDL57" s="37"/>
      <c r="QDM57" s="37"/>
      <c r="QDN57" s="37"/>
      <c r="QDO57" s="37"/>
      <c r="QDP57" s="37"/>
      <c r="QDQ57" s="37"/>
      <c r="QDR57" s="37"/>
      <c r="QDS57" s="37"/>
      <c r="QDT57" s="37"/>
      <c r="QDU57" s="37"/>
      <c r="QDV57" s="37"/>
      <c r="QDW57" s="37"/>
      <c r="QDX57" s="37"/>
      <c r="QDY57" s="37"/>
      <c r="QDZ57" s="37"/>
      <c r="QEA57" s="37"/>
      <c r="QEB57" s="37"/>
      <c r="QEC57" s="37"/>
      <c r="QED57" s="37"/>
      <c r="QEE57" s="37"/>
      <c r="QEF57" s="37"/>
      <c r="QEG57" s="37"/>
      <c r="QEH57" s="37"/>
      <c r="QEI57" s="37"/>
      <c r="QEJ57" s="37"/>
      <c r="QEK57" s="37"/>
      <c r="QEL57" s="37"/>
      <c r="QEM57" s="37"/>
      <c r="QEN57" s="37"/>
      <c r="QEO57" s="37"/>
      <c r="QEP57" s="37"/>
      <c r="QEQ57" s="37"/>
      <c r="QER57" s="37"/>
      <c r="QES57" s="37"/>
      <c r="QET57" s="37"/>
      <c r="QEU57" s="37"/>
      <c r="QEV57" s="37"/>
      <c r="QEW57" s="37"/>
      <c r="QEX57" s="37"/>
      <c r="QEY57" s="37"/>
      <c r="QEZ57" s="37"/>
      <c r="QFA57" s="37"/>
      <c r="QFB57" s="37"/>
      <c r="QFC57" s="37"/>
      <c r="QFD57" s="37"/>
      <c r="QFE57" s="37"/>
      <c r="QFF57" s="37"/>
      <c r="QFG57" s="37"/>
      <c r="QFH57" s="37"/>
      <c r="QFI57" s="37"/>
      <c r="QFJ57" s="37"/>
      <c r="QFK57" s="37"/>
      <c r="QFL57" s="37"/>
      <c r="QFM57" s="37"/>
      <c r="QFN57" s="37"/>
      <c r="QFO57" s="37"/>
      <c r="QFP57" s="37"/>
      <c r="QFQ57" s="37"/>
      <c r="QFR57" s="37"/>
      <c r="QFS57" s="37"/>
      <c r="QFT57" s="37"/>
      <c r="QFU57" s="37"/>
      <c r="QFV57" s="37"/>
      <c r="QFW57" s="37"/>
      <c r="QFX57" s="37"/>
      <c r="QFY57" s="37"/>
      <c r="QFZ57" s="37"/>
      <c r="QGA57" s="37"/>
      <c r="QGB57" s="37"/>
      <c r="QGC57" s="37"/>
      <c r="QGD57" s="37"/>
      <c r="QGE57" s="37"/>
      <c r="QGF57" s="37"/>
      <c r="QGG57" s="37"/>
      <c r="QGH57" s="37"/>
      <c r="QGI57" s="37"/>
      <c r="QGJ57" s="37"/>
      <c r="QGK57" s="37"/>
      <c r="QGL57" s="37"/>
      <c r="QGM57" s="37"/>
      <c r="QGN57" s="37"/>
      <c r="QGO57" s="37"/>
      <c r="QGP57" s="37"/>
      <c r="QGQ57" s="37"/>
      <c r="QGR57" s="37"/>
      <c r="QGS57" s="37"/>
      <c r="QGT57" s="37"/>
      <c r="QGU57" s="37"/>
      <c r="QGV57" s="37"/>
      <c r="QGW57" s="37"/>
      <c r="QGX57" s="37"/>
      <c r="QGY57" s="37"/>
      <c r="QGZ57" s="37"/>
      <c r="QHA57" s="37"/>
      <c r="QHB57" s="37"/>
      <c r="QHC57" s="37"/>
      <c r="QHD57" s="37"/>
      <c r="QHE57" s="37"/>
      <c r="QHF57" s="37"/>
      <c r="QHG57" s="37"/>
      <c r="QHH57" s="37"/>
      <c r="QHI57" s="37"/>
      <c r="QHJ57" s="37"/>
      <c r="QHK57" s="37"/>
      <c r="QHL57" s="37"/>
      <c r="QHM57" s="37"/>
      <c r="QHN57" s="37"/>
      <c r="QHO57" s="37"/>
      <c r="QHP57" s="37"/>
      <c r="QHQ57" s="37"/>
      <c r="QHR57" s="37"/>
      <c r="QHS57" s="37"/>
      <c r="QHT57" s="37"/>
      <c r="QHU57" s="37"/>
      <c r="QHV57" s="37"/>
      <c r="QHW57" s="37"/>
      <c r="QHX57" s="37"/>
      <c r="QHY57" s="37"/>
      <c r="QHZ57" s="37"/>
      <c r="QIA57" s="37"/>
      <c r="QIB57" s="37"/>
      <c r="QIC57" s="37"/>
      <c r="QID57" s="37"/>
      <c r="QIE57" s="37"/>
      <c r="QIF57" s="37"/>
      <c r="QIG57" s="37"/>
      <c r="QIH57" s="37"/>
      <c r="QII57" s="37"/>
      <c r="QIJ57" s="37"/>
      <c r="QIK57" s="37"/>
      <c r="QIL57" s="37"/>
      <c r="QIM57" s="37"/>
      <c r="QIN57" s="37"/>
      <c r="QIO57" s="37"/>
      <c r="QIP57" s="37"/>
      <c r="QIQ57" s="37"/>
      <c r="QIR57" s="37"/>
      <c r="QIS57" s="37"/>
      <c r="QIT57" s="37"/>
      <c r="QIU57" s="37"/>
      <c r="QIV57" s="37"/>
      <c r="QIW57" s="37"/>
      <c r="QIX57" s="37"/>
      <c r="QIY57" s="37"/>
      <c r="QIZ57" s="37"/>
      <c r="QJA57" s="37"/>
      <c r="QJB57" s="37"/>
      <c r="QJC57" s="37"/>
      <c r="QJD57" s="37"/>
      <c r="QJE57" s="37"/>
      <c r="QJF57" s="37"/>
      <c r="QJG57" s="37"/>
      <c r="QJH57" s="37"/>
      <c r="QJI57" s="37"/>
      <c r="QJJ57" s="37"/>
      <c r="QJK57" s="37"/>
      <c r="QJL57" s="37"/>
      <c r="QJM57" s="37"/>
      <c r="QJN57" s="37"/>
      <c r="QJO57" s="37"/>
      <c r="QJP57" s="37"/>
      <c r="QJQ57" s="37"/>
      <c r="QJR57" s="37"/>
      <c r="QJS57" s="37"/>
      <c r="QJT57" s="37"/>
      <c r="QJU57" s="37"/>
      <c r="QJV57" s="37"/>
      <c r="QJW57" s="37"/>
      <c r="QJX57" s="37"/>
      <c r="QJY57" s="37"/>
      <c r="QJZ57" s="37"/>
      <c r="QKA57" s="37"/>
      <c r="QKB57" s="37"/>
      <c r="QKC57" s="37"/>
      <c r="QKD57" s="37"/>
      <c r="QKE57" s="37"/>
      <c r="QKF57" s="37"/>
      <c r="QKG57" s="37"/>
      <c r="QKH57" s="37"/>
      <c r="QKI57" s="37"/>
      <c r="QKJ57" s="37"/>
      <c r="QKK57" s="37"/>
      <c r="QKL57" s="37"/>
      <c r="QKM57" s="37"/>
      <c r="QKN57" s="37"/>
      <c r="QKO57" s="37"/>
      <c r="QKP57" s="37"/>
      <c r="QKQ57" s="37"/>
      <c r="QKR57" s="37"/>
      <c r="QKS57" s="37"/>
      <c r="QKT57" s="37"/>
      <c r="QKU57" s="37"/>
      <c r="QKV57" s="37"/>
      <c r="QKW57" s="37"/>
      <c r="QKX57" s="37"/>
      <c r="QKY57" s="37"/>
      <c r="QKZ57" s="37"/>
      <c r="QLA57" s="37"/>
      <c r="QLB57" s="37"/>
      <c r="QLC57" s="37"/>
      <c r="QLD57" s="37"/>
      <c r="QLE57" s="37"/>
      <c r="QLF57" s="37"/>
      <c r="QLG57" s="37"/>
      <c r="QLH57" s="37"/>
      <c r="QLI57" s="37"/>
      <c r="QLJ57" s="37"/>
      <c r="QLK57" s="37"/>
      <c r="QLL57" s="37"/>
      <c r="QLM57" s="37"/>
      <c r="QLN57" s="37"/>
      <c r="QLO57" s="37"/>
      <c r="QLP57" s="37"/>
      <c r="QLQ57" s="37"/>
      <c r="QLR57" s="37"/>
      <c r="QLS57" s="37"/>
      <c r="QLT57" s="37"/>
      <c r="QLU57" s="37"/>
      <c r="QLV57" s="37"/>
      <c r="QLW57" s="37"/>
      <c r="QLX57" s="37"/>
      <c r="QLY57" s="37"/>
      <c r="QLZ57" s="37"/>
      <c r="QMA57" s="37"/>
      <c r="QMB57" s="37"/>
      <c r="QMC57" s="37"/>
      <c r="QMD57" s="37"/>
      <c r="QME57" s="37"/>
      <c r="QMF57" s="37"/>
      <c r="QMG57" s="37"/>
      <c r="QMH57" s="37"/>
      <c r="QMI57" s="37"/>
      <c r="QMJ57" s="37"/>
      <c r="QMK57" s="37"/>
      <c r="QML57" s="37"/>
      <c r="QMM57" s="37"/>
      <c r="QMN57" s="37"/>
      <c r="QMO57" s="37"/>
      <c r="QMP57" s="37"/>
      <c r="QMQ57" s="37"/>
      <c r="QMR57" s="37"/>
      <c r="QMS57" s="37"/>
      <c r="QMT57" s="37"/>
      <c r="QMU57" s="37"/>
      <c r="QMV57" s="37"/>
      <c r="QMW57" s="37"/>
      <c r="QMX57" s="37"/>
      <c r="QMY57" s="37"/>
      <c r="QMZ57" s="37"/>
      <c r="QNA57" s="37"/>
      <c r="QNB57" s="37"/>
      <c r="QNC57" s="37"/>
      <c r="QND57" s="37"/>
      <c r="QNE57" s="37"/>
      <c r="QNF57" s="37"/>
      <c r="QNG57" s="37"/>
      <c r="QNH57" s="37"/>
      <c r="QNI57" s="37"/>
      <c r="QNJ57" s="37"/>
      <c r="QNK57" s="37"/>
      <c r="QNL57" s="37"/>
      <c r="QNM57" s="37"/>
      <c r="QNN57" s="37"/>
      <c r="QNO57" s="37"/>
      <c r="QNP57" s="37"/>
      <c r="QNQ57" s="37"/>
      <c r="QNR57" s="37"/>
      <c r="QNS57" s="37"/>
      <c r="QNT57" s="37"/>
      <c r="QNU57" s="37"/>
      <c r="QNV57" s="37"/>
      <c r="QNW57" s="37"/>
      <c r="QNX57" s="37"/>
      <c r="QNY57" s="37"/>
      <c r="QNZ57" s="37"/>
      <c r="QOA57" s="37"/>
      <c r="QOB57" s="37"/>
      <c r="QOC57" s="37"/>
      <c r="QOD57" s="37"/>
      <c r="QOE57" s="37"/>
      <c r="QOF57" s="37"/>
      <c r="QOG57" s="37"/>
      <c r="QOH57" s="37"/>
      <c r="QOI57" s="37"/>
      <c r="QOJ57" s="37"/>
      <c r="QOK57" s="37"/>
      <c r="QOL57" s="37"/>
      <c r="QOM57" s="37"/>
      <c r="QON57" s="37"/>
      <c r="QOO57" s="37"/>
      <c r="QOP57" s="37"/>
      <c r="QOQ57" s="37"/>
      <c r="QOR57" s="37"/>
      <c r="QOS57" s="37"/>
      <c r="QOT57" s="37"/>
      <c r="QOU57" s="37"/>
      <c r="QOV57" s="37"/>
      <c r="QOW57" s="37"/>
      <c r="QOX57" s="37"/>
      <c r="QOY57" s="37"/>
      <c r="QOZ57" s="37"/>
      <c r="QPA57" s="37"/>
      <c r="QPB57" s="37"/>
      <c r="QPC57" s="37"/>
      <c r="QPD57" s="37"/>
      <c r="QPE57" s="37"/>
      <c r="QPF57" s="37"/>
      <c r="QPG57" s="37"/>
      <c r="QPH57" s="37"/>
      <c r="QPI57" s="37"/>
      <c r="QPJ57" s="37"/>
      <c r="QPK57" s="37"/>
      <c r="QPL57" s="37"/>
      <c r="QPM57" s="37"/>
      <c r="QPN57" s="37"/>
      <c r="QPO57" s="37"/>
      <c r="QPP57" s="37"/>
      <c r="QPQ57" s="37"/>
      <c r="QPR57" s="37"/>
      <c r="QPS57" s="37"/>
      <c r="QPT57" s="37"/>
      <c r="QPU57" s="37"/>
      <c r="QPV57" s="37"/>
      <c r="QPW57" s="37"/>
      <c r="QPX57" s="37"/>
      <c r="QPY57" s="37"/>
      <c r="QPZ57" s="37"/>
      <c r="QQA57" s="37"/>
      <c r="QQB57" s="37"/>
      <c r="QQC57" s="37"/>
      <c r="QQD57" s="37"/>
      <c r="QQE57" s="37"/>
      <c r="QQF57" s="37"/>
      <c r="QQG57" s="37"/>
      <c r="QQH57" s="37"/>
      <c r="QQI57" s="37"/>
      <c r="QQJ57" s="37"/>
      <c r="QQK57" s="37"/>
      <c r="QQL57" s="37"/>
      <c r="QQM57" s="37"/>
      <c r="QQN57" s="37"/>
      <c r="QQO57" s="37"/>
      <c r="QQP57" s="37"/>
      <c r="QQQ57" s="37"/>
      <c r="QQR57" s="37"/>
      <c r="QQS57" s="37"/>
      <c r="QQT57" s="37"/>
      <c r="QQU57" s="37"/>
      <c r="QQV57" s="37"/>
      <c r="QQW57" s="37"/>
      <c r="QQX57" s="37"/>
      <c r="QQY57" s="37"/>
      <c r="QQZ57" s="37"/>
      <c r="QRA57" s="37"/>
      <c r="QRB57" s="37"/>
      <c r="QRC57" s="37"/>
      <c r="QRD57" s="37"/>
      <c r="QRE57" s="37"/>
      <c r="QRF57" s="37"/>
      <c r="QRG57" s="37"/>
      <c r="QRH57" s="37"/>
      <c r="QRI57" s="37"/>
      <c r="QRJ57" s="37"/>
      <c r="QRK57" s="37"/>
      <c r="QRL57" s="37"/>
      <c r="QRM57" s="37"/>
      <c r="QRN57" s="37"/>
      <c r="QRO57" s="37"/>
      <c r="QRP57" s="37"/>
      <c r="QRQ57" s="37"/>
      <c r="QRR57" s="37"/>
      <c r="QRS57" s="37"/>
      <c r="QRT57" s="37"/>
      <c r="QRU57" s="37"/>
      <c r="QRV57" s="37"/>
      <c r="QRW57" s="37"/>
      <c r="QRX57" s="37"/>
      <c r="QRY57" s="37"/>
      <c r="QRZ57" s="37"/>
      <c r="QSA57" s="37"/>
      <c r="QSB57" s="37"/>
      <c r="QSC57" s="37"/>
      <c r="QSD57" s="37"/>
      <c r="QSE57" s="37"/>
      <c r="QSF57" s="37"/>
      <c r="QSG57" s="37"/>
      <c r="QSH57" s="37"/>
      <c r="QSI57" s="37"/>
      <c r="QSJ57" s="37"/>
      <c r="QSK57" s="37"/>
      <c r="QSL57" s="37"/>
      <c r="QSM57" s="37"/>
      <c r="QSN57" s="37"/>
      <c r="QSO57" s="37"/>
      <c r="QSP57" s="37"/>
      <c r="QSQ57" s="37"/>
      <c r="QSR57" s="37"/>
      <c r="QSS57" s="37"/>
      <c r="QST57" s="37"/>
      <c r="QSU57" s="37"/>
      <c r="QSV57" s="37"/>
      <c r="QSW57" s="37"/>
      <c r="QSX57" s="37"/>
      <c r="QSY57" s="37"/>
      <c r="QSZ57" s="37"/>
      <c r="QTA57" s="37"/>
      <c r="QTB57" s="37"/>
      <c r="QTC57" s="37"/>
      <c r="QTD57" s="37"/>
      <c r="QTE57" s="37"/>
      <c r="QTF57" s="37"/>
      <c r="QTG57" s="37"/>
      <c r="QTH57" s="37"/>
      <c r="QTI57" s="37"/>
      <c r="QTJ57" s="37"/>
      <c r="QTK57" s="37"/>
      <c r="QTL57" s="37"/>
      <c r="QTM57" s="37"/>
      <c r="QTN57" s="37"/>
      <c r="QTO57" s="37"/>
      <c r="QTP57" s="37"/>
      <c r="QTQ57" s="37"/>
      <c r="QTR57" s="37"/>
      <c r="QTS57" s="37"/>
      <c r="QTT57" s="37"/>
      <c r="QTU57" s="37"/>
      <c r="QTV57" s="37"/>
      <c r="QTW57" s="37"/>
      <c r="QTX57" s="37"/>
      <c r="QTY57" s="37"/>
      <c r="QTZ57" s="37"/>
      <c r="QUA57" s="37"/>
      <c r="QUB57" s="37"/>
      <c r="QUC57" s="37"/>
      <c r="QUD57" s="37"/>
      <c r="QUE57" s="37"/>
      <c r="QUF57" s="37"/>
      <c r="QUG57" s="37"/>
      <c r="QUH57" s="37"/>
      <c r="QUI57" s="37"/>
      <c r="QUJ57" s="37"/>
      <c r="QUK57" s="37"/>
      <c r="QUL57" s="37"/>
      <c r="QUM57" s="37"/>
      <c r="QUN57" s="37"/>
      <c r="QUO57" s="37"/>
      <c r="QUP57" s="37"/>
      <c r="QUQ57" s="37"/>
      <c r="QUR57" s="37"/>
      <c r="QUS57" s="37"/>
      <c r="QUT57" s="37"/>
      <c r="QUU57" s="37"/>
      <c r="QUV57" s="37"/>
      <c r="QUW57" s="37"/>
      <c r="QUX57" s="37"/>
      <c r="QUY57" s="37"/>
      <c r="QUZ57" s="37"/>
      <c r="QVA57" s="37"/>
      <c r="QVB57" s="37"/>
      <c r="QVC57" s="37"/>
      <c r="QVD57" s="37"/>
      <c r="QVE57" s="37"/>
      <c r="QVF57" s="37"/>
      <c r="QVG57" s="37"/>
      <c r="QVH57" s="37"/>
      <c r="QVI57" s="37"/>
      <c r="QVJ57" s="37"/>
      <c r="QVK57" s="37"/>
      <c r="QVL57" s="37"/>
      <c r="QVM57" s="37"/>
      <c r="QVN57" s="37"/>
      <c r="QVO57" s="37"/>
      <c r="QVP57" s="37"/>
      <c r="QVQ57" s="37"/>
      <c r="QVR57" s="37"/>
      <c r="QVS57" s="37"/>
      <c r="QVT57" s="37"/>
      <c r="QVU57" s="37"/>
      <c r="QVV57" s="37"/>
      <c r="QVW57" s="37"/>
      <c r="QVX57" s="37"/>
      <c r="QVY57" s="37"/>
      <c r="QVZ57" s="37"/>
      <c r="QWA57" s="37"/>
      <c r="QWB57" s="37"/>
      <c r="QWC57" s="37"/>
      <c r="QWD57" s="37"/>
      <c r="QWE57" s="37"/>
      <c r="QWF57" s="37"/>
      <c r="QWG57" s="37"/>
      <c r="QWH57" s="37"/>
      <c r="QWI57" s="37"/>
      <c r="QWJ57" s="37"/>
      <c r="QWK57" s="37"/>
      <c r="QWL57" s="37"/>
      <c r="QWM57" s="37"/>
      <c r="QWN57" s="37"/>
      <c r="QWO57" s="37"/>
      <c r="QWP57" s="37"/>
      <c r="QWQ57" s="37"/>
      <c r="QWR57" s="37"/>
      <c r="QWS57" s="37"/>
      <c r="QWT57" s="37"/>
      <c r="QWU57" s="37"/>
      <c r="QWV57" s="37"/>
      <c r="QWW57" s="37"/>
      <c r="QWX57" s="37"/>
      <c r="QWY57" s="37"/>
      <c r="QWZ57" s="37"/>
      <c r="QXA57" s="37"/>
      <c r="QXB57" s="37"/>
      <c r="QXC57" s="37"/>
      <c r="QXD57" s="37"/>
      <c r="QXE57" s="37"/>
      <c r="QXF57" s="37"/>
      <c r="QXG57" s="37"/>
      <c r="QXH57" s="37"/>
      <c r="QXI57" s="37"/>
      <c r="QXJ57" s="37"/>
      <c r="QXK57" s="37"/>
      <c r="QXL57" s="37"/>
      <c r="QXM57" s="37"/>
      <c r="QXN57" s="37"/>
      <c r="QXO57" s="37"/>
      <c r="QXP57" s="37"/>
      <c r="QXQ57" s="37"/>
      <c r="QXR57" s="37"/>
      <c r="QXS57" s="37"/>
      <c r="QXT57" s="37"/>
      <c r="QXU57" s="37"/>
      <c r="QXV57" s="37"/>
      <c r="QXW57" s="37"/>
      <c r="QXX57" s="37"/>
      <c r="QXY57" s="37"/>
      <c r="QXZ57" s="37"/>
      <c r="QYA57" s="37"/>
      <c r="QYB57" s="37"/>
      <c r="QYC57" s="37"/>
      <c r="QYD57" s="37"/>
      <c r="QYE57" s="37"/>
      <c r="QYF57" s="37"/>
      <c r="QYG57" s="37"/>
      <c r="QYH57" s="37"/>
      <c r="QYI57" s="37"/>
      <c r="QYJ57" s="37"/>
      <c r="QYK57" s="37"/>
      <c r="QYL57" s="37"/>
      <c r="QYM57" s="37"/>
      <c r="QYN57" s="37"/>
      <c r="QYO57" s="37"/>
      <c r="QYP57" s="37"/>
      <c r="QYQ57" s="37"/>
      <c r="QYR57" s="37"/>
      <c r="QYS57" s="37"/>
      <c r="QYT57" s="37"/>
      <c r="QYU57" s="37"/>
      <c r="QYV57" s="37"/>
      <c r="QYW57" s="37"/>
      <c r="QYX57" s="37"/>
      <c r="QYY57" s="37"/>
      <c r="QYZ57" s="37"/>
      <c r="QZA57" s="37"/>
      <c r="QZB57" s="37"/>
      <c r="QZC57" s="37"/>
      <c r="QZD57" s="37"/>
      <c r="QZE57" s="37"/>
      <c r="QZF57" s="37"/>
      <c r="QZG57" s="37"/>
      <c r="QZH57" s="37"/>
      <c r="QZI57" s="37"/>
      <c r="QZJ57" s="37"/>
      <c r="QZK57" s="37"/>
      <c r="QZL57" s="37"/>
      <c r="QZM57" s="37"/>
      <c r="QZN57" s="37"/>
      <c r="QZO57" s="37"/>
      <c r="QZP57" s="37"/>
      <c r="QZQ57" s="37"/>
      <c r="QZR57" s="37"/>
      <c r="QZS57" s="37"/>
      <c r="QZT57" s="37"/>
      <c r="QZU57" s="37"/>
      <c r="QZV57" s="37"/>
      <c r="QZW57" s="37"/>
      <c r="QZX57" s="37"/>
      <c r="QZY57" s="37"/>
      <c r="QZZ57" s="37"/>
      <c r="RAA57" s="37"/>
      <c r="RAB57" s="37"/>
      <c r="RAC57" s="37"/>
      <c r="RAD57" s="37"/>
      <c r="RAE57" s="37"/>
      <c r="RAF57" s="37"/>
      <c r="RAG57" s="37"/>
      <c r="RAH57" s="37"/>
      <c r="RAI57" s="37"/>
      <c r="RAJ57" s="37"/>
      <c r="RAK57" s="37"/>
      <c r="RAL57" s="37"/>
      <c r="RAM57" s="37"/>
      <c r="RAN57" s="37"/>
      <c r="RAO57" s="37"/>
      <c r="RAP57" s="37"/>
      <c r="RAQ57" s="37"/>
      <c r="RAR57" s="37"/>
      <c r="RAS57" s="37"/>
      <c r="RAT57" s="37"/>
      <c r="RAU57" s="37"/>
      <c r="RAV57" s="37"/>
      <c r="RAW57" s="37"/>
      <c r="RAX57" s="37"/>
      <c r="RAY57" s="37"/>
      <c r="RAZ57" s="37"/>
      <c r="RBA57" s="37"/>
      <c r="RBB57" s="37"/>
      <c r="RBC57" s="37"/>
      <c r="RBD57" s="37"/>
      <c r="RBE57" s="37"/>
      <c r="RBF57" s="37"/>
      <c r="RBG57" s="37"/>
      <c r="RBH57" s="37"/>
      <c r="RBI57" s="37"/>
      <c r="RBJ57" s="37"/>
      <c r="RBK57" s="37"/>
      <c r="RBL57" s="37"/>
      <c r="RBM57" s="37"/>
      <c r="RBN57" s="37"/>
      <c r="RBO57" s="37"/>
      <c r="RBP57" s="37"/>
      <c r="RBQ57" s="37"/>
      <c r="RBR57" s="37"/>
      <c r="RBS57" s="37"/>
      <c r="RBT57" s="37"/>
      <c r="RBU57" s="37"/>
      <c r="RBV57" s="37"/>
      <c r="RBW57" s="37"/>
      <c r="RBX57" s="37"/>
      <c r="RBY57" s="37"/>
      <c r="RBZ57" s="37"/>
      <c r="RCA57" s="37"/>
      <c r="RCB57" s="37"/>
      <c r="RCC57" s="37"/>
      <c r="RCD57" s="37"/>
      <c r="RCE57" s="37"/>
      <c r="RCF57" s="37"/>
      <c r="RCG57" s="37"/>
      <c r="RCH57" s="37"/>
      <c r="RCI57" s="37"/>
      <c r="RCJ57" s="37"/>
      <c r="RCK57" s="37"/>
      <c r="RCL57" s="37"/>
      <c r="RCM57" s="37"/>
      <c r="RCN57" s="37"/>
      <c r="RCO57" s="37"/>
      <c r="RCP57" s="37"/>
      <c r="RCQ57" s="37"/>
      <c r="RCR57" s="37"/>
      <c r="RCS57" s="37"/>
      <c r="RCT57" s="37"/>
      <c r="RCU57" s="37"/>
      <c r="RCV57" s="37"/>
      <c r="RCW57" s="37"/>
      <c r="RCX57" s="37"/>
      <c r="RCY57" s="37"/>
      <c r="RCZ57" s="37"/>
      <c r="RDA57" s="37"/>
      <c r="RDB57" s="37"/>
      <c r="RDC57" s="37"/>
      <c r="RDD57" s="37"/>
      <c r="RDE57" s="37"/>
      <c r="RDF57" s="37"/>
      <c r="RDG57" s="37"/>
      <c r="RDH57" s="37"/>
      <c r="RDI57" s="37"/>
      <c r="RDJ57" s="37"/>
      <c r="RDK57" s="37"/>
      <c r="RDL57" s="37"/>
      <c r="RDM57" s="37"/>
      <c r="RDN57" s="37"/>
      <c r="RDO57" s="37"/>
      <c r="RDP57" s="37"/>
      <c r="RDQ57" s="37"/>
      <c r="RDR57" s="37"/>
      <c r="RDS57" s="37"/>
      <c r="RDT57" s="37"/>
      <c r="RDU57" s="37"/>
      <c r="RDV57" s="37"/>
      <c r="RDW57" s="37"/>
      <c r="RDX57" s="37"/>
      <c r="RDY57" s="37"/>
      <c r="RDZ57" s="37"/>
      <c r="REA57" s="37"/>
      <c r="REB57" s="37"/>
      <c r="REC57" s="37"/>
      <c r="RED57" s="37"/>
      <c r="REE57" s="37"/>
      <c r="REF57" s="37"/>
      <c r="REG57" s="37"/>
      <c r="REH57" s="37"/>
      <c r="REI57" s="37"/>
      <c r="REJ57" s="37"/>
      <c r="REK57" s="37"/>
      <c r="REL57" s="37"/>
      <c r="REM57" s="37"/>
      <c r="REN57" s="37"/>
      <c r="REO57" s="37"/>
      <c r="REP57" s="37"/>
      <c r="REQ57" s="37"/>
      <c r="RER57" s="37"/>
      <c r="RES57" s="37"/>
      <c r="RET57" s="37"/>
      <c r="REU57" s="37"/>
      <c r="REV57" s="37"/>
      <c r="REW57" s="37"/>
      <c r="REX57" s="37"/>
      <c r="REY57" s="37"/>
      <c r="REZ57" s="37"/>
      <c r="RFA57" s="37"/>
      <c r="RFB57" s="37"/>
      <c r="RFC57" s="37"/>
      <c r="RFD57" s="37"/>
      <c r="RFE57" s="37"/>
      <c r="RFF57" s="37"/>
      <c r="RFG57" s="37"/>
      <c r="RFH57" s="37"/>
      <c r="RFI57" s="37"/>
      <c r="RFJ57" s="37"/>
      <c r="RFK57" s="37"/>
      <c r="RFL57" s="37"/>
      <c r="RFM57" s="37"/>
      <c r="RFN57" s="37"/>
      <c r="RFO57" s="37"/>
      <c r="RFP57" s="37"/>
      <c r="RFQ57" s="37"/>
      <c r="RFR57" s="37"/>
      <c r="RFS57" s="37"/>
      <c r="RFT57" s="37"/>
      <c r="RFU57" s="37"/>
      <c r="RFV57" s="37"/>
      <c r="RFW57" s="37"/>
      <c r="RFX57" s="37"/>
      <c r="RFY57" s="37"/>
      <c r="RFZ57" s="37"/>
      <c r="RGA57" s="37"/>
      <c r="RGB57" s="37"/>
      <c r="RGC57" s="37"/>
      <c r="RGD57" s="37"/>
      <c r="RGE57" s="37"/>
      <c r="RGF57" s="37"/>
      <c r="RGG57" s="37"/>
      <c r="RGH57" s="37"/>
      <c r="RGI57" s="37"/>
      <c r="RGJ57" s="37"/>
      <c r="RGK57" s="37"/>
      <c r="RGL57" s="37"/>
      <c r="RGM57" s="37"/>
      <c r="RGN57" s="37"/>
      <c r="RGO57" s="37"/>
      <c r="RGP57" s="37"/>
      <c r="RGQ57" s="37"/>
      <c r="RGR57" s="37"/>
      <c r="RGS57" s="37"/>
      <c r="RGT57" s="37"/>
      <c r="RGU57" s="37"/>
      <c r="RGV57" s="37"/>
      <c r="RGW57" s="37"/>
      <c r="RGX57" s="37"/>
      <c r="RGY57" s="37"/>
      <c r="RGZ57" s="37"/>
      <c r="RHA57" s="37"/>
      <c r="RHB57" s="37"/>
      <c r="RHC57" s="37"/>
      <c r="RHD57" s="37"/>
      <c r="RHE57" s="37"/>
      <c r="RHF57" s="37"/>
      <c r="RHG57" s="37"/>
      <c r="RHH57" s="37"/>
      <c r="RHI57" s="37"/>
      <c r="RHJ57" s="37"/>
      <c r="RHK57" s="37"/>
      <c r="RHL57" s="37"/>
      <c r="RHM57" s="37"/>
      <c r="RHN57" s="37"/>
      <c r="RHO57" s="37"/>
      <c r="RHP57" s="37"/>
      <c r="RHQ57" s="37"/>
      <c r="RHR57" s="37"/>
      <c r="RHS57" s="37"/>
      <c r="RHT57" s="37"/>
      <c r="RHU57" s="37"/>
      <c r="RHV57" s="37"/>
      <c r="RHW57" s="37"/>
      <c r="RHX57" s="37"/>
      <c r="RHY57" s="37"/>
      <c r="RHZ57" s="37"/>
      <c r="RIA57" s="37"/>
      <c r="RIB57" s="37"/>
      <c r="RIC57" s="37"/>
      <c r="RID57" s="37"/>
      <c r="RIE57" s="37"/>
      <c r="RIF57" s="37"/>
      <c r="RIG57" s="37"/>
      <c r="RIH57" s="37"/>
      <c r="RII57" s="37"/>
      <c r="RIJ57" s="37"/>
      <c r="RIK57" s="37"/>
      <c r="RIL57" s="37"/>
      <c r="RIM57" s="37"/>
      <c r="RIN57" s="37"/>
      <c r="RIO57" s="37"/>
      <c r="RIP57" s="37"/>
      <c r="RIQ57" s="37"/>
      <c r="RIR57" s="37"/>
      <c r="RIS57" s="37"/>
      <c r="RIT57" s="37"/>
      <c r="RIU57" s="37"/>
      <c r="RIV57" s="37"/>
      <c r="RIW57" s="37"/>
      <c r="RIX57" s="37"/>
      <c r="RIY57" s="37"/>
      <c r="RIZ57" s="37"/>
      <c r="RJA57" s="37"/>
      <c r="RJB57" s="37"/>
      <c r="RJC57" s="37"/>
      <c r="RJD57" s="37"/>
      <c r="RJE57" s="37"/>
      <c r="RJF57" s="37"/>
      <c r="RJG57" s="37"/>
      <c r="RJH57" s="37"/>
      <c r="RJI57" s="37"/>
      <c r="RJJ57" s="37"/>
      <c r="RJK57" s="37"/>
      <c r="RJL57" s="37"/>
      <c r="RJM57" s="37"/>
      <c r="RJN57" s="37"/>
      <c r="RJO57" s="37"/>
      <c r="RJP57" s="37"/>
      <c r="RJQ57" s="37"/>
      <c r="RJR57" s="37"/>
      <c r="RJS57" s="37"/>
      <c r="RJT57" s="37"/>
      <c r="RJU57" s="37"/>
      <c r="RJV57" s="37"/>
      <c r="RJW57" s="37"/>
      <c r="RJX57" s="37"/>
      <c r="RJY57" s="37"/>
      <c r="RJZ57" s="37"/>
      <c r="RKA57" s="37"/>
      <c r="RKB57" s="37"/>
      <c r="RKC57" s="37"/>
      <c r="RKD57" s="37"/>
      <c r="RKE57" s="37"/>
      <c r="RKF57" s="37"/>
      <c r="RKG57" s="37"/>
      <c r="RKH57" s="37"/>
      <c r="RKI57" s="37"/>
      <c r="RKJ57" s="37"/>
      <c r="RKK57" s="37"/>
      <c r="RKL57" s="37"/>
      <c r="RKM57" s="37"/>
      <c r="RKN57" s="37"/>
      <c r="RKO57" s="37"/>
      <c r="RKP57" s="37"/>
      <c r="RKQ57" s="37"/>
      <c r="RKR57" s="37"/>
      <c r="RKS57" s="37"/>
      <c r="RKT57" s="37"/>
      <c r="RKU57" s="37"/>
      <c r="RKV57" s="37"/>
      <c r="RKW57" s="37"/>
      <c r="RKX57" s="37"/>
      <c r="RKY57" s="37"/>
      <c r="RKZ57" s="37"/>
      <c r="RLA57" s="37"/>
      <c r="RLB57" s="37"/>
      <c r="RLC57" s="37"/>
      <c r="RLD57" s="37"/>
      <c r="RLE57" s="37"/>
      <c r="RLF57" s="37"/>
      <c r="RLG57" s="37"/>
      <c r="RLH57" s="37"/>
      <c r="RLI57" s="37"/>
      <c r="RLJ57" s="37"/>
      <c r="RLK57" s="37"/>
      <c r="RLL57" s="37"/>
      <c r="RLM57" s="37"/>
      <c r="RLN57" s="37"/>
      <c r="RLO57" s="37"/>
      <c r="RLP57" s="37"/>
      <c r="RLQ57" s="37"/>
      <c r="RLR57" s="37"/>
      <c r="RLS57" s="37"/>
      <c r="RLT57" s="37"/>
      <c r="RLU57" s="37"/>
      <c r="RLV57" s="37"/>
      <c r="RLW57" s="37"/>
      <c r="RLX57" s="37"/>
      <c r="RLY57" s="37"/>
      <c r="RLZ57" s="37"/>
      <c r="RMA57" s="37"/>
      <c r="RMB57" s="37"/>
      <c r="RMC57" s="37"/>
      <c r="RMD57" s="37"/>
      <c r="RME57" s="37"/>
      <c r="RMF57" s="37"/>
      <c r="RMG57" s="37"/>
      <c r="RMH57" s="37"/>
      <c r="RMI57" s="37"/>
      <c r="RMJ57" s="37"/>
      <c r="RMK57" s="37"/>
      <c r="RML57" s="37"/>
      <c r="RMM57" s="37"/>
      <c r="RMN57" s="37"/>
      <c r="RMO57" s="37"/>
      <c r="RMP57" s="37"/>
      <c r="RMQ57" s="37"/>
      <c r="RMR57" s="37"/>
      <c r="RMS57" s="37"/>
      <c r="RMT57" s="37"/>
      <c r="RMU57" s="37"/>
      <c r="RMV57" s="37"/>
      <c r="RMW57" s="37"/>
      <c r="RMX57" s="37"/>
      <c r="RMY57" s="37"/>
      <c r="RMZ57" s="37"/>
      <c r="RNA57" s="37"/>
      <c r="RNB57" s="37"/>
      <c r="RNC57" s="37"/>
      <c r="RND57" s="37"/>
      <c r="RNE57" s="37"/>
      <c r="RNF57" s="37"/>
      <c r="RNG57" s="37"/>
      <c r="RNH57" s="37"/>
      <c r="RNI57" s="37"/>
      <c r="RNJ57" s="37"/>
      <c r="RNK57" s="37"/>
      <c r="RNL57" s="37"/>
      <c r="RNM57" s="37"/>
      <c r="RNN57" s="37"/>
      <c r="RNO57" s="37"/>
      <c r="RNP57" s="37"/>
      <c r="RNQ57" s="37"/>
      <c r="RNR57" s="37"/>
      <c r="RNS57" s="37"/>
      <c r="RNT57" s="37"/>
      <c r="RNU57" s="37"/>
      <c r="RNV57" s="37"/>
      <c r="RNW57" s="37"/>
      <c r="RNX57" s="37"/>
      <c r="RNY57" s="37"/>
      <c r="RNZ57" s="37"/>
      <c r="ROA57" s="37"/>
      <c r="ROB57" s="37"/>
      <c r="ROC57" s="37"/>
      <c r="ROD57" s="37"/>
      <c r="ROE57" s="37"/>
      <c r="ROF57" s="37"/>
      <c r="ROG57" s="37"/>
      <c r="ROH57" s="37"/>
      <c r="ROI57" s="37"/>
      <c r="ROJ57" s="37"/>
      <c r="ROK57" s="37"/>
      <c r="ROL57" s="37"/>
      <c r="ROM57" s="37"/>
      <c r="RON57" s="37"/>
      <c r="ROO57" s="37"/>
      <c r="ROP57" s="37"/>
      <c r="ROQ57" s="37"/>
      <c r="ROR57" s="37"/>
      <c r="ROS57" s="37"/>
      <c r="ROT57" s="37"/>
      <c r="ROU57" s="37"/>
      <c r="ROV57" s="37"/>
      <c r="ROW57" s="37"/>
      <c r="ROX57" s="37"/>
      <c r="ROY57" s="37"/>
      <c r="ROZ57" s="37"/>
      <c r="RPA57" s="37"/>
      <c r="RPB57" s="37"/>
      <c r="RPC57" s="37"/>
      <c r="RPD57" s="37"/>
      <c r="RPE57" s="37"/>
      <c r="RPF57" s="37"/>
      <c r="RPG57" s="37"/>
      <c r="RPH57" s="37"/>
      <c r="RPI57" s="37"/>
      <c r="RPJ57" s="37"/>
      <c r="RPK57" s="37"/>
      <c r="RPL57" s="37"/>
      <c r="RPM57" s="37"/>
      <c r="RPN57" s="37"/>
      <c r="RPO57" s="37"/>
      <c r="RPP57" s="37"/>
      <c r="RPQ57" s="37"/>
      <c r="RPR57" s="37"/>
      <c r="RPS57" s="37"/>
      <c r="RPT57" s="37"/>
      <c r="RPU57" s="37"/>
      <c r="RPV57" s="37"/>
      <c r="RPW57" s="37"/>
      <c r="RPX57" s="37"/>
      <c r="RPY57" s="37"/>
      <c r="RPZ57" s="37"/>
      <c r="RQA57" s="37"/>
      <c r="RQB57" s="37"/>
      <c r="RQC57" s="37"/>
      <c r="RQD57" s="37"/>
      <c r="RQE57" s="37"/>
      <c r="RQF57" s="37"/>
      <c r="RQG57" s="37"/>
      <c r="RQH57" s="37"/>
      <c r="RQI57" s="37"/>
      <c r="RQJ57" s="37"/>
      <c r="RQK57" s="37"/>
      <c r="RQL57" s="37"/>
      <c r="RQM57" s="37"/>
      <c r="RQN57" s="37"/>
      <c r="RQO57" s="37"/>
      <c r="RQP57" s="37"/>
      <c r="RQQ57" s="37"/>
      <c r="RQR57" s="37"/>
      <c r="RQS57" s="37"/>
      <c r="RQT57" s="37"/>
      <c r="RQU57" s="37"/>
      <c r="RQV57" s="37"/>
      <c r="RQW57" s="37"/>
      <c r="RQX57" s="37"/>
      <c r="RQY57" s="37"/>
      <c r="RQZ57" s="37"/>
      <c r="RRA57" s="37"/>
      <c r="RRB57" s="37"/>
      <c r="RRC57" s="37"/>
      <c r="RRD57" s="37"/>
      <c r="RRE57" s="37"/>
      <c r="RRF57" s="37"/>
      <c r="RRG57" s="37"/>
      <c r="RRH57" s="37"/>
      <c r="RRI57" s="37"/>
      <c r="RRJ57" s="37"/>
      <c r="RRK57" s="37"/>
      <c r="RRL57" s="37"/>
      <c r="RRM57" s="37"/>
      <c r="RRN57" s="37"/>
      <c r="RRO57" s="37"/>
      <c r="RRP57" s="37"/>
      <c r="RRQ57" s="37"/>
      <c r="RRR57" s="37"/>
      <c r="RRS57" s="37"/>
      <c r="RRT57" s="37"/>
      <c r="RRU57" s="37"/>
      <c r="RRV57" s="37"/>
      <c r="RRW57" s="37"/>
      <c r="RRX57" s="37"/>
      <c r="RRY57" s="37"/>
      <c r="RRZ57" s="37"/>
      <c r="RSA57" s="37"/>
      <c r="RSB57" s="37"/>
      <c r="RSC57" s="37"/>
      <c r="RSD57" s="37"/>
      <c r="RSE57" s="37"/>
      <c r="RSF57" s="37"/>
      <c r="RSG57" s="37"/>
      <c r="RSH57" s="37"/>
      <c r="RSI57" s="37"/>
      <c r="RSJ57" s="37"/>
      <c r="RSK57" s="37"/>
      <c r="RSL57" s="37"/>
      <c r="RSM57" s="37"/>
      <c r="RSN57" s="37"/>
      <c r="RSO57" s="37"/>
      <c r="RSP57" s="37"/>
      <c r="RSQ57" s="37"/>
      <c r="RSR57" s="37"/>
      <c r="RSS57" s="37"/>
      <c r="RST57" s="37"/>
      <c r="RSU57" s="37"/>
      <c r="RSV57" s="37"/>
      <c r="RSW57" s="37"/>
      <c r="RSX57" s="37"/>
      <c r="RSY57" s="37"/>
      <c r="RSZ57" s="37"/>
      <c r="RTA57" s="37"/>
      <c r="RTB57" s="37"/>
      <c r="RTC57" s="37"/>
      <c r="RTD57" s="37"/>
      <c r="RTE57" s="37"/>
      <c r="RTF57" s="37"/>
      <c r="RTG57" s="37"/>
      <c r="RTH57" s="37"/>
      <c r="RTI57" s="37"/>
      <c r="RTJ57" s="37"/>
      <c r="RTK57" s="37"/>
      <c r="RTL57" s="37"/>
      <c r="RTM57" s="37"/>
      <c r="RTN57" s="37"/>
      <c r="RTO57" s="37"/>
      <c r="RTP57" s="37"/>
      <c r="RTQ57" s="37"/>
      <c r="RTR57" s="37"/>
      <c r="RTS57" s="37"/>
      <c r="RTT57" s="37"/>
      <c r="RTU57" s="37"/>
      <c r="RTV57" s="37"/>
      <c r="RTW57" s="37"/>
      <c r="RTX57" s="37"/>
      <c r="RTY57" s="37"/>
      <c r="RTZ57" s="37"/>
      <c r="RUA57" s="37"/>
      <c r="RUB57" s="37"/>
      <c r="RUC57" s="37"/>
      <c r="RUD57" s="37"/>
      <c r="RUE57" s="37"/>
      <c r="RUF57" s="37"/>
      <c r="RUG57" s="37"/>
      <c r="RUH57" s="37"/>
      <c r="RUI57" s="37"/>
      <c r="RUJ57" s="37"/>
      <c r="RUK57" s="37"/>
      <c r="RUL57" s="37"/>
      <c r="RUM57" s="37"/>
      <c r="RUN57" s="37"/>
      <c r="RUO57" s="37"/>
      <c r="RUP57" s="37"/>
      <c r="RUQ57" s="37"/>
      <c r="RUR57" s="37"/>
      <c r="RUS57" s="37"/>
      <c r="RUT57" s="37"/>
      <c r="RUU57" s="37"/>
      <c r="RUV57" s="37"/>
      <c r="RUW57" s="37"/>
      <c r="RUX57" s="37"/>
      <c r="RUY57" s="37"/>
      <c r="RUZ57" s="37"/>
      <c r="RVA57" s="37"/>
      <c r="RVB57" s="37"/>
      <c r="RVC57" s="37"/>
      <c r="RVD57" s="37"/>
      <c r="RVE57" s="37"/>
      <c r="RVF57" s="37"/>
      <c r="RVG57" s="37"/>
      <c r="RVH57" s="37"/>
      <c r="RVI57" s="37"/>
      <c r="RVJ57" s="37"/>
      <c r="RVK57" s="37"/>
      <c r="RVL57" s="37"/>
      <c r="RVM57" s="37"/>
      <c r="RVN57" s="37"/>
      <c r="RVO57" s="37"/>
      <c r="RVP57" s="37"/>
      <c r="RVQ57" s="37"/>
      <c r="RVR57" s="37"/>
      <c r="RVS57" s="37"/>
      <c r="RVT57" s="37"/>
      <c r="RVU57" s="37"/>
      <c r="RVV57" s="37"/>
      <c r="RVW57" s="37"/>
      <c r="RVX57" s="37"/>
      <c r="RVY57" s="37"/>
      <c r="RVZ57" s="37"/>
      <c r="RWA57" s="37"/>
      <c r="RWB57" s="37"/>
      <c r="RWC57" s="37"/>
      <c r="RWD57" s="37"/>
      <c r="RWE57" s="37"/>
      <c r="RWF57" s="37"/>
      <c r="RWG57" s="37"/>
      <c r="RWH57" s="37"/>
      <c r="RWI57" s="37"/>
      <c r="RWJ57" s="37"/>
      <c r="RWK57" s="37"/>
      <c r="RWL57" s="37"/>
      <c r="RWM57" s="37"/>
      <c r="RWN57" s="37"/>
      <c r="RWO57" s="37"/>
      <c r="RWP57" s="37"/>
      <c r="RWQ57" s="37"/>
      <c r="RWR57" s="37"/>
      <c r="RWS57" s="37"/>
      <c r="RWT57" s="37"/>
      <c r="RWU57" s="37"/>
      <c r="RWV57" s="37"/>
      <c r="RWW57" s="37"/>
      <c r="RWX57" s="37"/>
      <c r="RWY57" s="37"/>
      <c r="RWZ57" s="37"/>
      <c r="RXA57" s="37"/>
      <c r="RXB57" s="37"/>
      <c r="RXC57" s="37"/>
      <c r="RXD57" s="37"/>
      <c r="RXE57" s="37"/>
      <c r="RXF57" s="37"/>
      <c r="RXG57" s="37"/>
      <c r="RXH57" s="37"/>
      <c r="RXI57" s="37"/>
      <c r="RXJ57" s="37"/>
      <c r="RXK57" s="37"/>
      <c r="RXL57" s="37"/>
      <c r="RXM57" s="37"/>
      <c r="RXN57" s="37"/>
      <c r="RXO57" s="37"/>
      <c r="RXP57" s="37"/>
      <c r="RXQ57" s="37"/>
      <c r="RXR57" s="37"/>
      <c r="RXS57" s="37"/>
      <c r="RXT57" s="37"/>
      <c r="RXU57" s="37"/>
      <c r="RXV57" s="37"/>
      <c r="RXW57" s="37"/>
      <c r="RXX57" s="37"/>
      <c r="RXY57" s="37"/>
      <c r="RXZ57" s="37"/>
      <c r="RYA57" s="37"/>
      <c r="RYB57" s="37"/>
      <c r="RYC57" s="37"/>
      <c r="RYD57" s="37"/>
      <c r="RYE57" s="37"/>
      <c r="RYF57" s="37"/>
      <c r="RYG57" s="37"/>
      <c r="RYH57" s="37"/>
      <c r="RYI57" s="37"/>
      <c r="RYJ57" s="37"/>
      <c r="RYK57" s="37"/>
      <c r="RYL57" s="37"/>
      <c r="RYM57" s="37"/>
      <c r="RYN57" s="37"/>
      <c r="RYO57" s="37"/>
      <c r="RYP57" s="37"/>
      <c r="RYQ57" s="37"/>
      <c r="RYR57" s="37"/>
      <c r="RYS57" s="37"/>
      <c r="RYT57" s="37"/>
      <c r="RYU57" s="37"/>
      <c r="RYV57" s="37"/>
      <c r="RYW57" s="37"/>
      <c r="RYX57" s="37"/>
      <c r="RYY57" s="37"/>
      <c r="RYZ57" s="37"/>
      <c r="RZA57" s="37"/>
      <c r="RZB57" s="37"/>
      <c r="RZC57" s="37"/>
      <c r="RZD57" s="37"/>
      <c r="RZE57" s="37"/>
      <c r="RZF57" s="37"/>
      <c r="RZG57" s="37"/>
      <c r="RZH57" s="37"/>
      <c r="RZI57" s="37"/>
      <c r="RZJ57" s="37"/>
      <c r="RZK57" s="37"/>
      <c r="RZL57" s="37"/>
      <c r="RZM57" s="37"/>
      <c r="RZN57" s="37"/>
      <c r="RZO57" s="37"/>
      <c r="RZP57" s="37"/>
      <c r="RZQ57" s="37"/>
      <c r="RZR57" s="37"/>
      <c r="RZS57" s="37"/>
      <c r="RZT57" s="37"/>
      <c r="RZU57" s="37"/>
      <c r="RZV57" s="37"/>
      <c r="RZW57" s="37"/>
      <c r="RZX57" s="37"/>
      <c r="RZY57" s="37"/>
      <c r="RZZ57" s="37"/>
      <c r="SAA57" s="37"/>
      <c r="SAB57" s="37"/>
      <c r="SAC57" s="37"/>
      <c r="SAD57" s="37"/>
      <c r="SAE57" s="37"/>
      <c r="SAF57" s="37"/>
      <c r="SAG57" s="37"/>
      <c r="SAH57" s="37"/>
      <c r="SAI57" s="37"/>
      <c r="SAJ57" s="37"/>
      <c r="SAK57" s="37"/>
      <c r="SAL57" s="37"/>
      <c r="SAM57" s="37"/>
      <c r="SAN57" s="37"/>
      <c r="SAO57" s="37"/>
      <c r="SAP57" s="37"/>
      <c r="SAQ57" s="37"/>
      <c r="SAR57" s="37"/>
      <c r="SAS57" s="37"/>
      <c r="SAT57" s="37"/>
      <c r="SAU57" s="37"/>
      <c r="SAV57" s="37"/>
      <c r="SAW57" s="37"/>
      <c r="SAX57" s="37"/>
      <c r="SAY57" s="37"/>
      <c r="SAZ57" s="37"/>
      <c r="SBA57" s="37"/>
      <c r="SBB57" s="37"/>
      <c r="SBC57" s="37"/>
      <c r="SBD57" s="37"/>
      <c r="SBE57" s="37"/>
      <c r="SBF57" s="37"/>
      <c r="SBG57" s="37"/>
      <c r="SBH57" s="37"/>
      <c r="SBI57" s="37"/>
      <c r="SBJ57" s="37"/>
      <c r="SBK57" s="37"/>
      <c r="SBL57" s="37"/>
      <c r="SBM57" s="37"/>
      <c r="SBN57" s="37"/>
      <c r="SBO57" s="37"/>
      <c r="SBP57" s="37"/>
      <c r="SBQ57" s="37"/>
      <c r="SBR57" s="37"/>
      <c r="SBS57" s="37"/>
      <c r="SBT57" s="37"/>
      <c r="SBU57" s="37"/>
      <c r="SBV57" s="37"/>
      <c r="SBW57" s="37"/>
      <c r="SBX57" s="37"/>
      <c r="SBY57" s="37"/>
      <c r="SBZ57" s="37"/>
      <c r="SCA57" s="37"/>
      <c r="SCB57" s="37"/>
      <c r="SCC57" s="37"/>
      <c r="SCD57" s="37"/>
      <c r="SCE57" s="37"/>
      <c r="SCF57" s="37"/>
      <c r="SCG57" s="37"/>
      <c r="SCH57" s="37"/>
      <c r="SCI57" s="37"/>
      <c r="SCJ57" s="37"/>
      <c r="SCK57" s="37"/>
      <c r="SCL57" s="37"/>
      <c r="SCM57" s="37"/>
      <c r="SCN57" s="37"/>
      <c r="SCO57" s="37"/>
      <c r="SCP57" s="37"/>
      <c r="SCQ57" s="37"/>
      <c r="SCR57" s="37"/>
      <c r="SCS57" s="37"/>
      <c r="SCT57" s="37"/>
      <c r="SCU57" s="37"/>
      <c r="SCV57" s="37"/>
      <c r="SCW57" s="37"/>
      <c r="SCX57" s="37"/>
      <c r="SCY57" s="37"/>
      <c r="SCZ57" s="37"/>
      <c r="SDA57" s="37"/>
      <c r="SDB57" s="37"/>
      <c r="SDC57" s="37"/>
      <c r="SDD57" s="37"/>
      <c r="SDE57" s="37"/>
      <c r="SDF57" s="37"/>
      <c r="SDG57" s="37"/>
      <c r="SDH57" s="37"/>
      <c r="SDI57" s="37"/>
      <c r="SDJ57" s="37"/>
      <c r="SDK57" s="37"/>
      <c r="SDL57" s="37"/>
      <c r="SDM57" s="37"/>
      <c r="SDN57" s="37"/>
      <c r="SDO57" s="37"/>
      <c r="SDP57" s="37"/>
      <c r="SDQ57" s="37"/>
      <c r="SDR57" s="37"/>
      <c r="SDS57" s="37"/>
      <c r="SDT57" s="37"/>
      <c r="SDU57" s="37"/>
      <c r="SDV57" s="37"/>
      <c r="SDW57" s="37"/>
      <c r="SDX57" s="37"/>
      <c r="SDY57" s="37"/>
      <c r="SDZ57" s="37"/>
      <c r="SEA57" s="37"/>
      <c r="SEB57" s="37"/>
      <c r="SEC57" s="37"/>
      <c r="SED57" s="37"/>
      <c r="SEE57" s="37"/>
      <c r="SEF57" s="37"/>
      <c r="SEG57" s="37"/>
      <c r="SEH57" s="37"/>
      <c r="SEI57" s="37"/>
      <c r="SEJ57" s="37"/>
      <c r="SEK57" s="37"/>
      <c r="SEL57" s="37"/>
      <c r="SEM57" s="37"/>
      <c r="SEN57" s="37"/>
      <c r="SEO57" s="37"/>
      <c r="SEP57" s="37"/>
      <c r="SEQ57" s="37"/>
      <c r="SER57" s="37"/>
      <c r="SES57" s="37"/>
      <c r="SET57" s="37"/>
      <c r="SEU57" s="37"/>
      <c r="SEV57" s="37"/>
      <c r="SEW57" s="37"/>
      <c r="SEX57" s="37"/>
      <c r="SEY57" s="37"/>
      <c r="SEZ57" s="37"/>
      <c r="SFA57" s="37"/>
      <c r="SFB57" s="37"/>
      <c r="SFC57" s="37"/>
      <c r="SFD57" s="37"/>
      <c r="SFE57" s="37"/>
      <c r="SFF57" s="37"/>
      <c r="SFG57" s="37"/>
      <c r="SFH57" s="37"/>
      <c r="SFI57" s="37"/>
      <c r="SFJ57" s="37"/>
      <c r="SFK57" s="37"/>
      <c r="SFL57" s="37"/>
      <c r="SFM57" s="37"/>
      <c r="SFN57" s="37"/>
      <c r="SFO57" s="37"/>
      <c r="SFP57" s="37"/>
      <c r="SFQ57" s="37"/>
      <c r="SFR57" s="37"/>
      <c r="SFS57" s="37"/>
      <c r="SFT57" s="37"/>
      <c r="SFU57" s="37"/>
      <c r="SFV57" s="37"/>
      <c r="SFW57" s="37"/>
      <c r="SFX57" s="37"/>
      <c r="SFY57" s="37"/>
      <c r="SFZ57" s="37"/>
      <c r="SGA57" s="37"/>
      <c r="SGB57" s="37"/>
      <c r="SGC57" s="37"/>
      <c r="SGD57" s="37"/>
      <c r="SGE57" s="37"/>
      <c r="SGF57" s="37"/>
      <c r="SGG57" s="37"/>
      <c r="SGH57" s="37"/>
      <c r="SGI57" s="37"/>
      <c r="SGJ57" s="37"/>
      <c r="SGK57" s="37"/>
      <c r="SGL57" s="37"/>
      <c r="SGM57" s="37"/>
      <c r="SGN57" s="37"/>
      <c r="SGO57" s="37"/>
      <c r="SGP57" s="37"/>
      <c r="SGQ57" s="37"/>
      <c r="SGR57" s="37"/>
      <c r="SGS57" s="37"/>
      <c r="SGT57" s="37"/>
      <c r="SGU57" s="37"/>
      <c r="SGV57" s="37"/>
      <c r="SGW57" s="37"/>
      <c r="SGX57" s="37"/>
      <c r="SGY57" s="37"/>
      <c r="SGZ57" s="37"/>
      <c r="SHA57" s="37"/>
      <c r="SHB57" s="37"/>
      <c r="SHC57" s="37"/>
      <c r="SHD57" s="37"/>
      <c r="SHE57" s="37"/>
      <c r="SHF57" s="37"/>
      <c r="SHG57" s="37"/>
      <c r="SHH57" s="37"/>
      <c r="SHI57" s="37"/>
      <c r="SHJ57" s="37"/>
      <c r="SHK57" s="37"/>
      <c r="SHL57" s="37"/>
      <c r="SHM57" s="37"/>
      <c r="SHN57" s="37"/>
      <c r="SHO57" s="37"/>
      <c r="SHP57" s="37"/>
      <c r="SHQ57" s="37"/>
      <c r="SHR57" s="37"/>
      <c r="SHS57" s="37"/>
      <c r="SHT57" s="37"/>
      <c r="SHU57" s="37"/>
      <c r="SHV57" s="37"/>
      <c r="SHW57" s="37"/>
      <c r="SHX57" s="37"/>
      <c r="SHY57" s="37"/>
      <c r="SHZ57" s="37"/>
      <c r="SIA57" s="37"/>
      <c r="SIB57" s="37"/>
      <c r="SIC57" s="37"/>
      <c r="SID57" s="37"/>
      <c r="SIE57" s="37"/>
      <c r="SIF57" s="37"/>
      <c r="SIG57" s="37"/>
      <c r="SIH57" s="37"/>
      <c r="SII57" s="37"/>
      <c r="SIJ57" s="37"/>
      <c r="SIK57" s="37"/>
      <c r="SIL57" s="37"/>
      <c r="SIM57" s="37"/>
      <c r="SIN57" s="37"/>
      <c r="SIO57" s="37"/>
      <c r="SIP57" s="37"/>
      <c r="SIQ57" s="37"/>
      <c r="SIR57" s="37"/>
      <c r="SIS57" s="37"/>
      <c r="SIT57" s="37"/>
      <c r="SIU57" s="37"/>
      <c r="SIV57" s="37"/>
      <c r="SIW57" s="37"/>
      <c r="SIX57" s="37"/>
      <c r="SIY57" s="37"/>
      <c r="SIZ57" s="37"/>
      <c r="SJA57" s="37"/>
      <c r="SJB57" s="37"/>
      <c r="SJC57" s="37"/>
      <c r="SJD57" s="37"/>
      <c r="SJE57" s="37"/>
      <c r="SJF57" s="37"/>
      <c r="SJG57" s="37"/>
      <c r="SJH57" s="37"/>
      <c r="SJI57" s="37"/>
      <c r="SJJ57" s="37"/>
      <c r="SJK57" s="37"/>
      <c r="SJL57" s="37"/>
      <c r="SJM57" s="37"/>
      <c r="SJN57" s="37"/>
      <c r="SJO57" s="37"/>
      <c r="SJP57" s="37"/>
      <c r="SJQ57" s="37"/>
      <c r="SJR57" s="37"/>
      <c r="SJS57" s="37"/>
      <c r="SJT57" s="37"/>
      <c r="SJU57" s="37"/>
      <c r="SJV57" s="37"/>
      <c r="SJW57" s="37"/>
      <c r="SJX57" s="37"/>
      <c r="SJY57" s="37"/>
      <c r="SJZ57" s="37"/>
      <c r="SKA57" s="37"/>
      <c r="SKB57" s="37"/>
      <c r="SKC57" s="37"/>
      <c r="SKD57" s="37"/>
      <c r="SKE57" s="37"/>
      <c r="SKF57" s="37"/>
      <c r="SKG57" s="37"/>
      <c r="SKH57" s="37"/>
      <c r="SKI57" s="37"/>
      <c r="SKJ57" s="37"/>
      <c r="SKK57" s="37"/>
      <c r="SKL57" s="37"/>
      <c r="SKM57" s="37"/>
      <c r="SKN57" s="37"/>
      <c r="SKO57" s="37"/>
      <c r="SKP57" s="37"/>
      <c r="SKQ57" s="37"/>
      <c r="SKR57" s="37"/>
      <c r="SKS57" s="37"/>
      <c r="SKT57" s="37"/>
      <c r="SKU57" s="37"/>
      <c r="SKV57" s="37"/>
      <c r="SKW57" s="37"/>
      <c r="SKX57" s="37"/>
      <c r="SKY57" s="37"/>
      <c r="SKZ57" s="37"/>
      <c r="SLA57" s="37"/>
      <c r="SLB57" s="37"/>
      <c r="SLC57" s="37"/>
      <c r="SLD57" s="37"/>
      <c r="SLE57" s="37"/>
      <c r="SLF57" s="37"/>
      <c r="SLG57" s="37"/>
      <c r="SLH57" s="37"/>
      <c r="SLI57" s="37"/>
      <c r="SLJ57" s="37"/>
      <c r="SLK57" s="37"/>
      <c r="SLL57" s="37"/>
      <c r="SLM57" s="37"/>
      <c r="SLN57" s="37"/>
      <c r="SLO57" s="37"/>
      <c r="SLP57" s="37"/>
      <c r="SLQ57" s="37"/>
      <c r="SLR57" s="37"/>
      <c r="SLS57" s="37"/>
      <c r="SLT57" s="37"/>
      <c r="SLU57" s="37"/>
      <c r="SLV57" s="37"/>
      <c r="SLW57" s="37"/>
      <c r="SLX57" s="37"/>
      <c r="SLY57" s="37"/>
      <c r="SLZ57" s="37"/>
      <c r="SMA57" s="37"/>
      <c r="SMB57" s="37"/>
      <c r="SMC57" s="37"/>
      <c r="SMD57" s="37"/>
      <c r="SME57" s="37"/>
      <c r="SMF57" s="37"/>
      <c r="SMG57" s="37"/>
      <c r="SMH57" s="37"/>
      <c r="SMI57" s="37"/>
      <c r="SMJ57" s="37"/>
      <c r="SMK57" s="37"/>
      <c r="SML57" s="37"/>
      <c r="SMM57" s="37"/>
      <c r="SMN57" s="37"/>
      <c r="SMO57" s="37"/>
      <c r="SMP57" s="37"/>
      <c r="SMQ57" s="37"/>
      <c r="SMR57" s="37"/>
      <c r="SMS57" s="37"/>
      <c r="SMT57" s="37"/>
      <c r="SMU57" s="37"/>
      <c r="SMV57" s="37"/>
      <c r="SMW57" s="37"/>
      <c r="SMX57" s="37"/>
      <c r="SMY57" s="37"/>
      <c r="SMZ57" s="37"/>
      <c r="SNA57" s="37"/>
      <c r="SNB57" s="37"/>
      <c r="SNC57" s="37"/>
      <c r="SND57" s="37"/>
      <c r="SNE57" s="37"/>
      <c r="SNF57" s="37"/>
      <c r="SNG57" s="37"/>
      <c r="SNH57" s="37"/>
      <c r="SNI57" s="37"/>
      <c r="SNJ57" s="37"/>
      <c r="SNK57" s="37"/>
      <c r="SNL57" s="37"/>
      <c r="SNM57" s="37"/>
      <c r="SNN57" s="37"/>
      <c r="SNO57" s="37"/>
      <c r="SNP57" s="37"/>
      <c r="SNQ57" s="37"/>
      <c r="SNR57" s="37"/>
      <c r="SNS57" s="37"/>
      <c r="SNT57" s="37"/>
      <c r="SNU57" s="37"/>
      <c r="SNV57" s="37"/>
      <c r="SNW57" s="37"/>
      <c r="SNX57" s="37"/>
      <c r="SNY57" s="37"/>
      <c r="SNZ57" s="37"/>
      <c r="SOA57" s="37"/>
      <c r="SOB57" s="37"/>
      <c r="SOC57" s="37"/>
      <c r="SOD57" s="37"/>
      <c r="SOE57" s="37"/>
      <c r="SOF57" s="37"/>
      <c r="SOG57" s="37"/>
      <c r="SOH57" s="37"/>
      <c r="SOI57" s="37"/>
      <c r="SOJ57" s="37"/>
      <c r="SOK57" s="37"/>
      <c r="SOL57" s="37"/>
      <c r="SOM57" s="37"/>
      <c r="SON57" s="37"/>
      <c r="SOO57" s="37"/>
      <c r="SOP57" s="37"/>
      <c r="SOQ57" s="37"/>
      <c r="SOR57" s="37"/>
      <c r="SOS57" s="37"/>
      <c r="SOT57" s="37"/>
      <c r="SOU57" s="37"/>
      <c r="SOV57" s="37"/>
      <c r="SOW57" s="37"/>
      <c r="SOX57" s="37"/>
      <c r="SOY57" s="37"/>
      <c r="SOZ57" s="37"/>
      <c r="SPA57" s="37"/>
      <c r="SPB57" s="37"/>
      <c r="SPC57" s="37"/>
      <c r="SPD57" s="37"/>
      <c r="SPE57" s="37"/>
      <c r="SPF57" s="37"/>
      <c r="SPG57" s="37"/>
      <c r="SPH57" s="37"/>
      <c r="SPI57" s="37"/>
      <c r="SPJ57" s="37"/>
      <c r="SPK57" s="37"/>
      <c r="SPL57" s="37"/>
      <c r="SPM57" s="37"/>
      <c r="SPN57" s="37"/>
      <c r="SPO57" s="37"/>
      <c r="SPP57" s="37"/>
      <c r="SPQ57" s="37"/>
      <c r="SPR57" s="37"/>
      <c r="SPS57" s="37"/>
      <c r="SPT57" s="37"/>
      <c r="SPU57" s="37"/>
      <c r="SPV57" s="37"/>
      <c r="SPW57" s="37"/>
      <c r="SPX57" s="37"/>
      <c r="SPY57" s="37"/>
      <c r="SPZ57" s="37"/>
      <c r="SQA57" s="37"/>
      <c r="SQB57" s="37"/>
      <c r="SQC57" s="37"/>
      <c r="SQD57" s="37"/>
      <c r="SQE57" s="37"/>
      <c r="SQF57" s="37"/>
      <c r="SQG57" s="37"/>
      <c r="SQH57" s="37"/>
      <c r="SQI57" s="37"/>
      <c r="SQJ57" s="37"/>
      <c r="SQK57" s="37"/>
      <c r="SQL57" s="37"/>
      <c r="SQM57" s="37"/>
      <c r="SQN57" s="37"/>
      <c r="SQO57" s="37"/>
      <c r="SQP57" s="37"/>
      <c r="SQQ57" s="37"/>
      <c r="SQR57" s="37"/>
      <c r="SQS57" s="37"/>
      <c r="SQT57" s="37"/>
      <c r="SQU57" s="37"/>
      <c r="SQV57" s="37"/>
      <c r="SQW57" s="37"/>
      <c r="SQX57" s="37"/>
      <c r="SQY57" s="37"/>
      <c r="SQZ57" s="37"/>
      <c r="SRA57" s="37"/>
      <c r="SRB57" s="37"/>
      <c r="SRC57" s="37"/>
      <c r="SRD57" s="37"/>
      <c r="SRE57" s="37"/>
      <c r="SRF57" s="37"/>
      <c r="SRG57" s="37"/>
      <c r="SRH57" s="37"/>
      <c r="SRI57" s="37"/>
      <c r="SRJ57" s="37"/>
      <c r="SRK57" s="37"/>
      <c r="SRL57" s="37"/>
      <c r="SRM57" s="37"/>
      <c r="SRN57" s="37"/>
      <c r="SRO57" s="37"/>
      <c r="SRP57" s="37"/>
      <c r="SRQ57" s="37"/>
      <c r="SRR57" s="37"/>
      <c r="SRS57" s="37"/>
      <c r="SRT57" s="37"/>
      <c r="SRU57" s="37"/>
      <c r="SRV57" s="37"/>
      <c r="SRW57" s="37"/>
      <c r="SRX57" s="37"/>
      <c r="SRY57" s="37"/>
      <c r="SRZ57" s="37"/>
      <c r="SSA57" s="37"/>
      <c r="SSB57" s="37"/>
      <c r="SSC57" s="37"/>
      <c r="SSD57" s="37"/>
      <c r="SSE57" s="37"/>
      <c r="SSF57" s="37"/>
      <c r="SSG57" s="37"/>
      <c r="SSH57" s="37"/>
      <c r="SSI57" s="37"/>
      <c r="SSJ57" s="37"/>
      <c r="SSK57" s="37"/>
      <c r="SSL57" s="37"/>
      <c r="SSM57" s="37"/>
      <c r="SSN57" s="37"/>
      <c r="SSO57" s="37"/>
      <c r="SSP57" s="37"/>
      <c r="SSQ57" s="37"/>
      <c r="SSR57" s="37"/>
      <c r="SSS57" s="37"/>
      <c r="SST57" s="37"/>
      <c r="SSU57" s="37"/>
      <c r="SSV57" s="37"/>
      <c r="SSW57" s="37"/>
      <c r="SSX57" s="37"/>
      <c r="SSY57" s="37"/>
      <c r="SSZ57" s="37"/>
      <c r="STA57" s="37"/>
      <c r="STB57" s="37"/>
      <c r="STC57" s="37"/>
      <c r="STD57" s="37"/>
      <c r="STE57" s="37"/>
      <c r="STF57" s="37"/>
      <c r="STG57" s="37"/>
      <c r="STH57" s="37"/>
      <c r="STI57" s="37"/>
      <c r="STJ57" s="37"/>
      <c r="STK57" s="37"/>
      <c r="STL57" s="37"/>
      <c r="STM57" s="37"/>
      <c r="STN57" s="37"/>
      <c r="STO57" s="37"/>
      <c r="STP57" s="37"/>
      <c r="STQ57" s="37"/>
      <c r="STR57" s="37"/>
      <c r="STS57" s="37"/>
      <c r="STT57" s="37"/>
      <c r="STU57" s="37"/>
      <c r="STV57" s="37"/>
      <c r="STW57" s="37"/>
      <c r="STX57" s="37"/>
      <c r="STY57" s="37"/>
      <c r="STZ57" s="37"/>
      <c r="SUA57" s="37"/>
      <c r="SUB57" s="37"/>
      <c r="SUC57" s="37"/>
      <c r="SUD57" s="37"/>
      <c r="SUE57" s="37"/>
      <c r="SUF57" s="37"/>
      <c r="SUG57" s="37"/>
      <c r="SUH57" s="37"/>
      <c r="SUI57" s="37"/>
      <c r="SUJ57" s="37"/>
      <c r="SUK57" s="37"/>
      <c r="SUL57" s="37"/>
      <c r="SUM57" s="37"/>
      <c r="SUN57" s="37"/>
      <c r="SUO57" s="37"/>
      <c r="SUP57" s="37"/>
      <c r="SUQ57" s="37"/>
      <c r="SUR57" s="37"/>
      <c r="SUS57" s="37"/>
      <c r="SUT57" s="37"/>
      <c r="SUU57" s="37"/>
      <c r="SUV57" s="37"/>
      <c r="SUW57" s="37"/>
      <c r="SUX57" s="37"/>
      <c r="SUY57" s="37"/>
      <c r="SUZ57" s="37"/>
      <c r="SVA57" s="37"/>
      <c r="SVB57" s="37"/>
      <c r="SVC57" s="37"/>
      <c r="SVD57" s="37"/>
      <c r="SVE57" s="37"/>
      <c r="SVF57" s="37"/>
      <c r="SVG57" s="37"/>
      <c r="SVH57" s="37"/>
      <c r="SVI57" s="37"/>
      <c r="SVJ57" s="37"/>
      <c r="SVK57" s="37"/>
      <c r="SVL57" s="37"/>
      <c r="SVM57" s="37"/>
      <c r="SVN57" s="37"/>
      <c r="SVO57" s="37"/>
      <c r="SVP57" s="37"/>
      <c r="SVQ57" s="37"/>
      <c r="SVR57" s="37"/>
      <c r="SVS57" s="37"/>
      <c r="SVT57" s="37"/>
      <c r="SVU57" s="37"/>
      <c r="SVV57" s="37"/>
      <c r="SVW57" s="37"/>
      <c r="SVX57" s="37"/>
      <c r="SVY57" s="37"/>
      <c r="SVZ57" s="37"/>
      <c r="SWA57" s="37"/>
      <c r="SWB57" s="37"/>
      <c r="SWC57" s="37"/>
      <c r="SWD57" s="37"/>
      <c r="SWE57" s="37"/>
      <c r="SWF57" s="37"/>
      <c r="SWG57" s="37"/>
      <c r="SWH57" s="37"/>
      <c r="SWI57" s="37"/>
      <c r="SWJ57" s="37"/>
      <c r="SWK57" s="37"/>
      <c r="SWL57" s="37"/>
      <c r="SWM57" s="37"/>
      <c r="SWN57" s="37"/>
      <c r="SWO57" s="37"/>
      <c r="SWP57" s="37"/>
      <c r="SWQ57" s="37"/>
      <c r="SWR57" s="37"/>
      <c r="SWS57" s="37"/>
      <c r="SWT57" s="37"/>
      <c r="SWU57" s="37"/>
      <c r="SWV57" s="37"/>
      <c r="SWW57" s="37"/>
      <c r="SWX57" s="37"/>
      <c r="SWY57" s="37"/>
      <c r="SWZ57" s="37"/>
      <c r="SXA57" s="37"/>
      <c r="SXB57" s="37"/>
      <c r="SXC57" s="37"/>
      <c r="SXD57" s="37"/>
      <c r="SXE57" s="37"/>
      <c r="SXF57" s="37"/>
      <c r="SXG57" s="37"/>
      <c r="SXH57" s="37"/>
      <c r="SXI57" s="37"/>
      <c r="SXJ57" s="37"/>
      <c r="SXK57" s="37"/>
      <c r="SXL57" s="37"/>
      <c r="SXM57" s="37"/>
      <c r="SXN57" s="37"/>
      <c r="SXO57" s="37"/>
      <c r="SXP57" s="37"/>
      <c r="SXQ57" s="37"/>
      <c r="SXR57" s="37"/>
      <c r="SXS57" s="37"/>
      <c r="SXT57" s="37"/>
      <c r="SXU57" s="37"/>
      <c r="SXV57" s="37"/>
      <c r="SXW57" s="37"/>
      <c r="SXX57" s="37"/>
      <c r="SXY57" s="37"/>
      <c r="SXZ57" s="37"/>
      <c r="SYA57" s="37"/>
      <c r="SYB57" s="37"/>
      <c r="SYC57" s="37"/>
      <c r="SYD57" s="37"/>
      <c r="SYE57" s="37"/>
      <c r="SYF57" s="37"/>
      <c r="SYG57" s="37"/>
      <c r="SYH57" s="37"/>
      <c r="SYI57" s="37"/>
      <c r="SYJ57" s="37"/>
      <c r="SYK57" s="37"/>
      <c r="SYL57" s="37"/>
      <c r="SYM57" s="37"/>
      <c r="SYN57" s="37"/>
      <c r="SYO57" s="37"/>
      <c r="SYP57" s="37"/>
      <c r="SYQ57" s="37"/>
      <c r="SYR57" s="37"/>
      <c r="SYS57" s="37"/>
      <c r="SYT57" s="37"/>
      <c r="SYU57" s="37"/>
      <c r="SYV57" s="37"/>
      <c r="SYW57" s="37"/>
      <c r="SYX57" s="37"/>
      <c r="SYY57" s="37"/>
      <c r="SYZ57" s="37"/>
      <c r="SZA57" s="37"/>
      <c r="SZB57" s="37"/>
      <c r="SZC57" s="37"/>
      <c r="SZD57" s="37"/>
      <c r="SZE57" s="37"/>
      <c r="SZF57" s="37"/>
      <c r="SZG57" s="37"/>
      <c r="SZH57" s="37"/>
      <c r="SZI57" s="37"/>
      <c r="SZJ57" s="37"/>
      <c r="SZK57" s="37"/>
      <c r="SZL57" s="37"/>
      <c r="SZM57" s="37"/>
      <c r="SZN57" s="37"/>
      <c r="SZO57" s="37"/>
      <c r="SZP57" s="37"/>
      <c r="SZQ57" s="37"/>
      <c r="SZR57" s="37"/>
      <c r="SZS57" s="37"/>
      <c r="SZT57" s="37"/>
      <c r="SZU57" s="37"/>
      <c r="SZV57" s="37"/>
      <c r="SZW57" s="37"/>
      <c r="SZX57" s="37"/>
      <c r="SZY57" s="37"/>
      <c r="SZZ57" s="37"/>
      <c r="TAA57" s="37"/>
      <c r="TAB57" s="37"/>
      <c r="TAC57" s="37"/>
      <c r="TAD57" s="37"/>
      <c r="TAE57" s="37"/>
      <c r="TAF57" s="37"/>
      <c r="TAG57" s="37"/>
      <c r="TAH57" s="37"/>
      <c r="TAI57" s="37"/>
      <c r="TAJ57" s="37"/>
      <c r="TAK57" s="37"/>
      <c r="TAL57" s="37"/>
      <c r="TAM57" s="37"/>
      <c r="TAN57" s="37"/>
      <c r="TAO57" s="37"/>
      <c r="TAP57" s="37"/>
      <c r="TAQ57" s="37"/>
      <c r="TAR57" s="37"/>
      <c r="TAS57" s="37"/>
      <c r="TAT57" s="37"/>
      <c r="TAU57" s="37"/>
      <c r="TAV57" s="37"/>
      <c r="TAW57" s="37"/>
      <c r="TAX57" s="37"/>
      <c r="TAY57" s="37"/>
      <c r="TAZ57" s="37"/>
      <c r="TBA57" s="37"/>
      <c r="TBB57" s="37"/>
      <c r="TBC57" s="37"/>
      <c r="TBD57" s="37"/>
      <c r="TBE57" s="37"/>
      <c r="TBF57" s="37"/>
      <c r="TBG57" s="37"/>
      <c r="TBH57" s="37"/>
      <c r="TBI57" s="37"/>
      <c r="TBJ57" s="37"/>
      <c r="TBK57" s="37"/>
      <c r="TBL57" s="37"/>
      <c r="TBM57" s="37"/>
      <c r="TBN57" s="37"/>
      <c r="TBO57" s="37"/>
      <c r="TBP57" s="37"/>
      <c r="TBQ57" s="37"/>
      <c r="TBR57" s="37"/>
      <c r="TBS57" s="37"/>
      <c r="TBT57" s="37"/>
      <c r="TBU57" s="37"/>
      <c r="TBV57" s="37"/>
      <c r="TBW57" s="37"/>
      <c r="TBX57" s="37"/>
      <c r="TBY57" s="37"/>
      <c r="TBZ57" s="37"/>
      <c r="TCA57" s="37"/>
      <c r="TCB57" s="37"/>
      <c r="TCC57" s="37"/>
      <c r="TCD57" s="37"/>
      <c r="TCE57" s="37"/>
      <c r="TCF57" s="37"/>
      <c r="TCG57" s="37"/>
      <c r="TCH57" s="37"/>
      <c r="TCI57" s="37"/>
      <c r="TCJ57" s="37"/>
      <c r="TCK57" s="37"/>
      <c r="TCL57" s="37"/>
      <c r="TCM57" s="37"/>
      <c r="TCN57" s="37"/>
      <c r="TCO57" s="37"/>
      <c r="TCP57" s="37"/>
      <c r="TCQ57" s="37"/>
      <c r="TCR57" s="37"/>
      <c r="TCS57" s="37"/>
      <c r="TCT57" s="37"/>
      <c r="TCU57" s="37"/>
      <c r="TCV57" s="37"/>
      <c r="TCW57" s="37"/>
      <c r="TCX57" s="37"/>
      <c r="TCY57" s="37"/>
      <c r="TCZ57" s="37"/>
      <c r="TDA57" s="37"/>
      <c r="TDB57" s="37"/>
      <c r="TDC57" s="37"/>
      <c r="TDD57" s="37"/>
      <c r="TDE57" s="37"/>
      <c r="TDF57" s="37"/>
      <c r="TDG57" s="37"/>
      <c r="TDH57" s="37"/>
      <c r="TDI57" s="37"/>
      <c r="TDJ57" s="37"/>
      <c r="TDK57" s="37"/>
      <c r="TDL57" s="37"/>
      <c r="TDM57" s="37"/>
      <c r="TDN57" s="37"/>
      <c r="TDO57" s="37"/>
      <c r="TDP57" s="37"/>
      <c r="TDQ57" s="37"/>
      <c r="TDR57" s="37"/>
      <c r="TDS57" s="37"/>
      <c r="TDT57" s="37"/>
      <c r="TDU57" s="37"/>
      <c r="TDV57" s="37"/>
      <c r="TDW57" s="37"/>
      <c r="TDX57" s="37"/>
      <c r="TDY57" s="37"/>
      <c r="TDZ57" s="37"/>
      <c r="TEA57" s="37"/>
      <c r="TEB57" s="37"/>
      <c r="TEC57" s="37"/>
      <c r="TED57" s="37"/>
      <c r="TEE57" s="37"/>
      <c r="TEF57" s="37"/>
      <c r="TEG57" s="37"/>
      <c r="TEH57" s="37"/>
      <c r="TEI57" s="37"/>
      <c r="TEJ57" s="37"/>
      <c r="TEK57" s="37"/>
      <c r="TEL57" s="37"/>
      <c r="TEM57" s="37"/>
      <c r="TEN57" s="37"/>
      <c r="TEO57" s="37"/>
      <c r="TEP57" s="37"/>
      <c r="TEQ57" s="37"/>
      <c r="TER57" s="37"/>
      <c r="TES57" s="37"/>
      <c r="TET57" s="37"/>
      <c r="TEU57" s="37"/>
      <c r="TEV57" s="37"/>
      <c r="TEW57" s="37"/>
      <c r="TEX57" s="37"/>
      <c r="TEY57" s="37"/>
      <c r="TEZ57" s="37"/>
      <c r="TFA57" s="37"/>
      <c r="TFB57" s="37"/>
      <c r="TFC57" s="37"/>
      <c r="TFD57" s="37"/>
      <c r="TFE57" s="37"/>
      <c r="TFF57" s="37"/>
      <c r="TFG57" s="37"/>
      <c r="TFH57" s="37"/>
      <c r="TFI57" s="37"/>
      <c r="TFJ57" s="37"/>
      <c r="TFK57" s="37"/>
      <c r="TFL57" s="37"/>
      <c r="TFM57" s="37"/>
      <c r="TFN57" s="37"/>
      <c r="TFO57" s="37"/>
      <c r="TFP57" s="37"/>
      <c r="TFQ57" s="37"/>
      <c r="TFR57" s="37"/>
      <c r="TFS57" s="37"/>
      <c r="TFT57" s="37"/>
      <c r="TFU57" s="37"/>
      <c r="TFV57" s="37"/>
      <c r="TFW57" s="37"/>
      <c r="TFX57" s="37"/>
      <c r="TFY57" s="37"/>
      <c r="TFZ57" s="37"/>
      <c r="TGA57" s="37"/>
      <c r="TGB57" s="37"/>
      <c r="TGC57" s="37"/>
      <c r="TGD57" s="37"/>
      <c r="TGE57" s="37"/>
      <c r="TGF57" s="37"/>
      <c r="TGG57" s="37"/>
      <c r="TGH57" s="37"/>
      <c r="TGI57" s="37"/>
      <c r="TGJ57" s="37"/>
      <c r="TGK57" s="37"/>
      <c r="TGL57" s="37"/>
      <c r="TGM57" s="37"/>
      <c r="TGN57" s="37"/>
      <c r="TGO57" s="37"/>
      <c r="TGP57" s="37"/>
      <c r="TGQ57" s="37"/>
      <c r="TGR57" s="37"/>
      <c r="TGS57" s="37"/>
      <c r="TGT57" s="37"/>
      <c r="TGU57" s="37"/>
      <c r="TGV57" s="37"/>
      <c r="TGW57" s="37"/>
      <c r="TGX57" s="37"/>
      <c r="TGY57" s="37"/>
      <c r="TGZ57" s="37"/>
      <c r="THA57" s="37"/>
      <c r="THB57" s="37"/>
      <c r="THC57" s="37"/>
      <c r="THD57" s="37"/>
      <c r="THE57" s="37"/>
      <c r="THF57" s="37"/>
      <c r="THG57" s="37"/>
      <c r="THH57" s="37"/>
      <c r="THI57" s="37"/>
      <c r="THJ57" s="37"/>
      <c r="THK57" s="37"/>
      <c r="THL57" s="37"/>
      <c r="THM57" s="37"/>
      <c r="THN57" s="37"/>
      <c r="THO57" s="37"/>
      <c r="THP57" s="37"/>
      <c r="THQ57" s="37"/>
      <c r="THR57" s="37"/>
      <c r="THS57" s="37"/>
      <c r="THT57" s="37"/>
      <c r="THU57" s="37"/>
      <c r="THV57" s="37"/>
      <c r="THW57" s="37"/>
      <c r="THX57" s="37"/>
      <c r="THY57" s="37"/>
      <c r="THZ57" s="37"/>
      <c r="TIA57" s="37"/>
      <c r="TIB57" s="37"/>
      <c r="TIC57" s="37"/>
      <c r="TID57" s="37"/>
      <c r="TIE57" s="37"/>
      <c r="TIF57" s="37"/>
      <c r="TIG57" s="37"/>
      <c r="TIH57" s="37"/>
      <c r="TII57" s="37"/>
      <c r="TIJ57" s="37"/>
      <c r="TIK57" s="37"/>
      <c r="TIL57" s="37"/>
      <c r="TIM57" s="37"/>
      <c r="TIN57" s="37"/>
      <c r="TIO57" s="37"/>
      <c r="TIP57" s="37"/>
      <c r="TIQ57" s="37"/>
      <c r="TIR57" s="37"/>
      <c r="TIS57" s="37"/>
      <c r="TIT57" s="37"/>
      <c r="TIU57" s="37"/>
      <c r="TIV57" s="37"/>
      <c r="TIW57" s="37"/>
      <c r="TIX57" s="37"/>
      <c r="TIY57" s="37"/>
      <c r="TIZ57" s="37"/>
      <c r="TJA57" s="37"/>
      <c r="TJB57" s="37"/>
      <c r="TJC57" s="37"/>
      <c r="TJD57" s="37"/>
      <c r="TJE57" s="37"/>
      <c r="TJF57" s="37"/>
      <c r="TJG57" s="37"/>
      <c r="TJH57" s="37"/>
      <c r="TJI57" s="37"/>
      <c r="TJJ57" s="37"/>
      <c r="TJK57" s="37"/>
      <c r="TJL57" s="37"/>
      <c r="TJM57" s="37"/>
      <c r="TJN57" s="37"/>
      <c r="TJO57" s="37"/>
      <c r="TJP57" s="37"/>
      <c r="TJQ57" s="37"/>
      <c r="TJR57" s="37"/>
      <c r="TJS57" s="37"/>
      <c r="TJT57" s="37"/>
      <c r="TJU57" s="37"/>
      <c r="TJV57" s="37"/>
      <c r="TJW57" s="37"/>
      <c r="TJX57" s="37"/>
      <c r="TJY57" s="37"/>
      <c r="TJZ57" s="37"/>
      <c r="TKA57" s="37"/>
      <c r="TKB57" s="37"/>
      <c r="TKC57" s="37"/>
      <c r="TKD57" s="37"/>
      <c r="TKE57" s="37"/>
      <c r="TKF57" s="37"/>
      <c r="TKG57" s="37"/>
      <c r="TKH57" s="37"/>
      <c r="TKI57" s="37"/>
      <c r="TKJ57" s="37"/>
      <c r="TKK57" s="37"/>
      <c r="TKL57" s="37"/>
      <c r="TKM57" s="37"/>
      <c r="TKN57" s="37"/>
      <c r="TKO57" s="37"/>
      <c r="TKP57" s="37"/>
      <c r="TKQ57" s="37"/>
      <c r="TKR57" s="37"/>
      <c r="TKS57" s="37"/>
      <c r="TKT57" s="37"/>
      <c r="TKU57" s="37"/>
      <c r="TKV57" s="37"/>
      <c r="TKW57" s="37"/>
      <c r="TKX57" s="37"/>
      <c r="TKY57" s="37"/>
      <c r="TKZ57" s="37"/>
      <c r="TLA57" s="37"/>
      <c r="TLB57" s="37"/>
      <c r="TLC57" s="37"/>
      <c r="TLD57" s="37"/>
      <c r="TLE57" s="37"/>
      <c r="TLF57" s="37"/>
      <c r="TLG57" s="37"/>
      <c r="TLH57" s="37"/>
      <c r="TLI57" s="37"/>
      <c r="TLJ57" s="37"/>
      <c r="TLK57" s="37"/>
      <c r="TLL57" s="37"/>
      <c r="TLM57" s="37"/>
      <c r="TLN57" s="37"/>
      <c r="TLO57" s="37"/>
      <c r="TLP57" s="37"/>
      <c r="TLQ57" s="37"/>
      <c r="TLR57" s="37"/>
      <c r="TLS57" s="37"/>
      <c r="TLT57" s="37"/>
      <c r="TLU57" s="37"/>
      <c r="TLV57" s="37"/>
      <c r="TLW57" s="37"/>
      <c r="TLX57" s="37"/>
      <c r="TLY57" s="37"/>
      <c r="TLZ57" s="37"/>
      <c r="TMA57" s="37"/>
      <c r="TMB57" s="37"/>
      <c r="TMC57" s="37"/>
      <c r="TMD57" s="37"/>
      <c r="TME57" s="37"/>
      <c r="TMF57" s="37"/>
      <c r="TMG57" s="37"/>
      <c r="TMH57" s="37"/>
      <c r="TMI57" s="37"/>
      <c r="TMJ57" s="37"/>
      <c r="TMK57" s="37"/>
      <c r="TML57" s="37"/>
      <c r="TMM57" s="37"/>
      <c r="TMN57" s="37"/>
      <c r="TMO57" s="37"/>
      <c r="TMP57" s="37"/>
      <c r="TMQ57" s="37"/>
      <c r="TMR57" s="37"/>
      <c r="TMS57" s="37"/>
      <c r="TMT57" s="37"/>
      <c r="TMU57" s="37"/>
      <c r="TMV57" s="37"/>
      <c r="TMW57" s="37"/>
      <c r="TMX57" s="37"/>
      <c r="TMY57" s="37"/>
      <c r="TMZ57" s="37"/>
      <c r="TNA57" s="37"/>
      <c r="TNB57" s="37"/>
      <c r="TNC57" s="37"/>
      <c r="TND57" s="37"/>
      <c r="TNE57" s="37"/>
      <c r="TNF57" s="37"/>
      <c r="TNG57" s="37"/>
      <c r="TNH57" s="37"/>
      <c r="TNI57" s="37"/>
      <c r="TNJ57" s="37"/>
      <c r="TNK57" s="37"/>
      <c r="TNL57" s="37"/>
      <c r="TNM57" s="37"/>
      <c r="TNN57" s="37"/>
      <c r="TNO57" s="37"/>
      <c r="TNP57" s="37"/>
      <c r="TNQ57" s="37"/>
      <c r="TNR57" s="37"/>
      <c r="TNS57" s="37"/>
      <c r="TNT57" s="37"/>
      <c r="TNU57" s="37"/>
      <c r="TNV57" s="37"/>
      <c r="TNW57" s="37"/>
      <c r="TNX57" s="37"/>
      <c r="TNY57" s="37"/>
      <c r="TNZ57" s="37"/>
      <c r="TOA57" s="37"/>
      <c r="TOB57" s="37"/>
      <c r="TOC57" s="37"/>
      <c r="TOD57" s="37"/>
      <c r="TOE57" s="37"/>
      <c r="TOF57" s="37"/>
      <c r="TOG57" s="37"/>
      <c r="TOH57" s="37"/>
      <c r="TOI57" s="37"/>
      <c r="TOJ57" s="37"/>
      <c r="TOK57" s="37"/>
      <c r="TOL57" s="37"/>
      <c r="TOM57" s="37"/>
      <c r="TON57" s="37"/>
      <c r="TOO57" s="37"/>
      <c r="TOP57" s="37"/>
      <c r="TOQ57" s="37"/>
      <c r="TOR57" s="37"/>
      <c r="TOS57" s="37"/>
      <c r="TOT57" s="37"/>
      <c r="TOU57" s="37"/>
      <c r="TOV57" s="37"/>
      <c r="TOW57" s="37"/>
      <c r="TOX57" s="37"/>
      <c r="TOY57" s="37"/>
      <c r="TOZ57" s="37"/>
      <c r="TPA57" s="37"/>
      <c r="TPB57" s="37"/>
      <c r="TPC57" s="37"/>
      <c r="TPD57" s="37"/>
      <c r="TPE57" s="37"/>
      <c r="TPF57" s="37"/>
      <c r="TPG57" s="37"/>
      <c r="TPH57" s="37"/>
      <c r="TPI57" s="37"/>
      <c r="TPJ57" s="37"/>
      <c r="TPK57" s="37"/>
      <c r="TPL57" s="37"/>
      <c r="TPM57" s="37"/>
      <c r="TPN57" s="37"/>
      <c r="TPO57" s="37"/>
      <c r="TPP57" s="37"/>
      <c r="TPQ57" s="37"/>
      <c r="TPR57" s="37"/>
      <c r="TPS57" s="37"/>
      <c r="TPT57" s="37"/>
      <c r="TPU57" s="37"/>
      <c r="TPV57" s="37"/>
      <c r="TPW57" s="37"/>
      <c r="TPX57" s="37"/>
      <c r="TPY57" s="37"/>
      <c r="TPZ57" s="37"/>
      <c r="TQA57" s="37"/>
      <c r="TQB57" s="37"/>
      <c r="TQC57" s="37"/>
      <c r="TQD57" s="37"/>
      <c r="TQE57" s="37"/>
      <c r="TQF57" s="37"/>
      <c r="TQG57" s="37"/>
      <c r="TQH57" s="37"/>
      <c r="TQI57" s="37"/>
      <c r="TQJ57" s="37"/>
      <c r="TQK57" s="37"/>
      <c r="TQL57" s="37"/>
      <c r="TQM57" s="37"/>
      <c r="TQN57" s="37"/>
      <c r="TQO57" s="37"/>
      <c r="TQP57" s="37"/>
      <c r="TQQ57" s="37"/>
      <c r="TQR57" s="37"/>
      <c r="TQS57" s="37"/>
      <c r="TQT57" s="37"/>
      <c r="TQU57" s="37"/>
      <c r="TQV57" s="37"/>
      <c r="TQW57" s="37"/>
      <c r="TQX57" s="37"/>
      <c r="TQY57" s="37"/>
      <c r="TQZ57" s="37"/>
      <c r="TRA57" s="37"/>
      <c r="TRB57" s="37"/>
      <c r="TRC57" s="37"/>
      <c r="TRD57" s="37"/>
      <c r="TRE57" s="37"/>
      <c r="TRF57" s="37"/>
      <c r="TRG57" s="37"/>
      <c r="TRH57" s="37"/>
      <c r="TRI57" s="37"/>
      <c r="TRJ57" s="37"/>
      <c r="TRK57" s="37"/>
      <c r="TRL57" s="37"/>
      <c r="TRM57" s="37"/>
      <c r="TRN57" s="37"/>
      <c r="TRO57" s="37"/>
      <c r="TRP57" s="37"/>
      <c r="TRQ57" s="37"/>
      <c r="TRR57" s="37"/>
      <c r="TRS57" s="37"/>
      <c r="TRT57" s="37"/>
      <c r="TRU57" s="37"/>
      <c r="TRV57" s="37"/>
      <c r="TRW57" s="37"/>
      <c r="TRX57" s="37"/>
      <c r="TRY57" s="37"/>
      <c r="TRZ57" s="37"/>
      <c r="TSA57" s="37"/>
      <c r="TSB57" s="37"/>
      <c r="TSC57" s="37"/>
      <c r="TSD57" s="37"/>
      <c r="TSE57" s="37"/>
      <c r="TSF57" s="37"/>
      <c r="TSG57" s="37"/>
      <c r="TSH57" s="37"/>
      <c r="TSI57" s="37"/>
      <c r="TSJ57" s="37"/>
      <c r="TSK57" s="37"/>
      <c r="TSL57" s="37"/>
      <c r="TSM57" s="37"/>
      <c r="TSN57" s="37"/>
      <c r="TSO57" s="37"/>
      <c r="TSP57" s="37"/>
      <c r="TSQ57" s="37"/>
      <c r="TSR57" s="37"/>
      <c r="TSS57" s="37"/>
      <c r="TST57" s="37"/>
      <c r="TSU57" s="37"/>
      <c r="TSV57" s="37"/>
      <c r="TSW57" s="37"/>
      <c r="TSX57" s="37"/>
      <c r="TSY57" s="37"/>
      <c r="TSZ57" s="37"/>
      <c r="TTA57" s="37"/>
      <c r="TTB57" s="37"/>
      <c r="TTC57" s="37"/>
      <c r="TTD57" s="37"/>
      <c r="TTE57" s="37"/>
      <c r="TTF57" s="37"/>
      <c r="TTG57" s="37"/>
      <c r="TTH57" s="37"/>
      <c r="TTI57" s="37"/>
      <c r="TTJ57" s="37"/>
      <c r="TTK57" s="37"/>
      <c r="TTL57" s="37"/>
      <c r="TTM57" s="37"/>
      <c r="TTN57" s="37"/>
      <c r="TTO57" s="37"/>
      <c r="TTP57" s="37"/>
      <c r="TTQ57" s="37"/>
      <c r="TTR57" s="37"/>
      <c r="TTS57" s="37"/>
      <c r="TTT57" s="37"/>
      <c r="TTU57" s="37"/>
      <c r="TTV57" s="37"/>
      <c r="TTW57" s="37"/>
      <c r="TTX57" s="37"/>
      <c r="TTY57" s="37"/>
      <c r="TTZ57" s="37"/>
      <c r="TUA57" s="37"/>
      <c r="TUB57" s="37"/>
      <c r="TUC57" s="37"/>
      <c r="TUD57" s="37"/>
      <c r="TUE57" s="37"/>
      <c r="TUF57" s="37"/>
      <c r="TUG57" s="37"/>
      <c r="TUH57" s="37"/>
      <c r="TUI57" s="37"/>
      <c r="TUJ57" s="37"/>
      <c r="TUK57" s="37"/>
      <c r="TUL57" s="37"/>
      <c r="TUM57" s="37"/>
      <c r="TUN57" s="37"/>
      <c r="TUO57" s="37"/>
      <c r="TUP57" s="37"/>
      <c r="TUQ57" s="37"/>
      <c r="TUR57" s="37"/>
      <c r="TUS57" s="37"/>
      <c r="TUT57" s="37"/>
      <c r="TUU57" s="37"/>
      <c r="TUV57" s="37"/>
      <c r="TUW57" s="37"/>
      <c r="TUX57" s="37"/>
      <c r="TUY57" s="37"/>
      <c r="TUZ57" s="37"/>
      <c r="TVA57" s="37"/>
      <c r="TVB57" s="37"/>
      <c r="TVC57" s="37"/>
      <c r="TVD57" s="37"/>
      <c r="TVE57" s="37"/>
      <c r="TVF57" s="37"/>
      <c r="TVG57" s="37"/>
      <c r="TVH57" s="37"/>
      <c r="TVI57" s="37"/>
      <c r="TVJ57" s="37"/>
      <c r="TVK57" s="37"/>
      <c r="TVL57" s="37"/>
      <c r="TVM57" s="37"/>
      <c r="TVN57" s="37"/>
      <c r="TVO57" s="37"/>
      <c r="TVP57" s="37"/>
      <c r="TVQ57" s="37"/>
      <c r="TVR57" s="37"/>
      <c r="TVS57" s="37"/>
      <c r="TVT57" s="37"/>
      <c r="TVU57" s="37"/>
      <c r="TVV57" s="37"/>
      <c r="TVW57" s="37"/>
      <c r="TVX57" s="37"/>
      <c r="TVY57" s="37"/>
      <c r="TVZ57" s="37"/>
      <c r="TWA57" s="37"/>
      <c r="TWB57" s="37"/>
      <c r="TWC57" s="37"/>
      <c r="TWD57" s="37"/>
      <c r="TWE57" s="37"/>
      <c r="TWF57" s="37"/>
      <c r="TWG57" s="37"/>
      <c r="TWH57" s="37"/>
      <c r="TWI57" s="37"/>
      <c r="TWJ57" s="37"/>
      <c r="TWK57" s="37"/>
      <c r="TWL57" s="37"/>
      <c r="TWM57" s="37"/>
      <c r="TWN57" s="37"/>
      <c r="TWO57" s="37"/>
      <c r="TWP57" s="37"/>
      <c r="TWQ57" s="37"/>
      <c r="TWR57" s="37"/>
      <c r="TWS57" s="37"/>
      <c r="TWT57" s="37"/>
      <c r="TWU57" s="37"/>
      <c r="TWV57" s="37"/>
      <c r="TWW57" s="37"/>
      <c r="TWX57" s="37"/>
      <c r="TWY57" s="37"/>
      <c r="TWZ57" s="37"/>
      <c r="TXA57" s="37"/>
      <c r="TXB57" s="37"/>
      <c r="TXC57" s="37"/>
      <c r="TXD57" s="37"/>
      <c r="TXE57" s="37"/>
      <c r="TXF57" s="37"/>
      <c r="TXG57" s="37"/>
      <c r="TXH57" s="37"/>
      <c r="TXI57" s="37"/>
      <c r="TXJ57" s="37"/>
      <c r="TXK57" s="37"/>
      <c r="TXL57" s="37"/>
      <c r="TXM57" s="37"/>
      <c r="TXN57" s="37"/>
      <c r="TXO57" s="37"/>
      <c r="TXP57" s="37"/>
      <c r="TXQ57" s="37"/>
      <c r="TXR57" s="37"/>
      <c r="TXS57" s="37"/>
      <c r="TXT57" s="37"/>
      <c r="TXU57" s="37"/>
      <c r="TXV57" s="37"/>
      <c r="TXW57" s="37"/>
      <c r="TXX57" s="37"/>
      <c r="TXY57" s="37"/>
      <c r="TXZ57" s="37"/>
      <c r="TYA57" s="37"/>
      <c r="TYB57" s="37"/>
      <c r="TYC57" s="37"/>
      <c r="TYD57" s="37"/>
      <c r="TYE57" s="37"/>
      <c r="TYF57" s="37"/>
      <c r="TYG57" s="37"/>
      <c r="TYH57" s="37"/>
      <c r="TYI57" s="37"/>
      <c r="TYJ57" s="37"/>
      <c r="TYK57" s="37"/>
      <c r="TYL57" s="37"/>
      <c r="TYM57" s="37"/>
      <c r="TYN57" s="37"/>
      <c r="TYO57" s="37"/>
      <c r="TYP57" s="37"/>
      <c r="TYQ57" s="37"/>
      <c r="TYR57" s="37"/>
      <c r="TYS57" s="37"/>
      <c r="TYT57" s="37"/>
      <c r="TYU57" s="37"/>
      <c r="TYV57" s="37"/>
      <c r="TYW57" s="37"/>
      <c r="TYX57" s="37"/>
      <c r="TYY57" s="37"/>
      <c r="TYZ57" s="37"/>
      <c r="TZA57" s="37"/>
      <c r="TZB57" s="37"/>
      <c r="TZC57" s="37"/>
      <c r="TZD57" s="37"/>
      <c r="TZE57" s="37"/>
      <c r="TZF57" s="37"/>
      <c r="TZG57" s="37"/>
      <c r="TZH57" s="37"/>
      <c r="TZI57" s="37"/>
      <c r="TZJ57" s="37"/>
      <c r="TZK57" s="37"/>
      <c r="TZL57" s="37"/>
      <c r="TZM57" s="37"/>
      <c r="TZN57" s="37"/>
      <c r="TZO57" s="37"/>
      <c r="TZP57" s="37"/>
      <c r="TZQ57" s="37"/>
      <c r="TZR57" s="37"/>
      <c r="TZS57" s="37"/>
      <c r="TZT57" s="37"/>
      <c r="TZU57" s="37"/>
      <c r="TZV57" s="37"/>
      <c r="TZW57" s="37"/>
      <c r="TZX57" s="37"/>
      <c r="TZY57" s="37"/>
      <c r="TZZ57" s="37"/>
      <c r="UAA57" s="37"/>
      <c r="UAB57" s="37"/>
      <c r="UAC57" s="37"/>
      <c r="UAD57" s="37"/>
      <c r="UAE57" s="37"/>
      <c r="UAF57" s="37"/>
      <c r="UAG57" s="37"/>
      <c r="UAH57" s="37"/>
      <c r="UAI57" s="37"/>
      <c r="UAJ57" s="37"/>
      <c r="UAK57" s="37"/>
      <c r="UAL57" s="37"/>
      <c r="UAM57" s="37"/>
      <c r="UAN57" s="37"/>
      <c r="UAO57" s="37"/>
      <c r="UAP57" s="37"/>
      <c r="UAQ57" s="37"/>
      <c r="UAR57" s="37"/>
      <c r="UAS57" s="37"/>
      <c r="UAT57" s="37"/>
      <c r="UAU57" s="37"/>
      <c r="UAV57" s="37"/>
      <c r="UAW57" s="37"/>
      <c r="UAX57" s="37"/>
      <c r="UAY57" s="37"/>
      <c r="UAZ57" s="37"/>
      <c r="UBA57" s="37"/>
      <c r="UBB57" s="37"/>
      <c r="UBC57" s="37"/>
      <c r="UBD57" s="37"/>
      <c r="UBE57" s="37"/>
      <c r="UBF57" s="37"/>
      <c r="UBG57" s="37"/>
      <c r="UBH57" s="37"/>
      <c r="UBI57" s="37"/>
      <c r="UBJ57" s="37"/>
      <c r="UBK57" s="37"/>
      <c r="UBL57" s="37"/>
      <c r="UBM57" s="37"/>
      <c r="UBN57" s="37"/>
      <c r="UBO57" s="37"/>
      <c r="UBP57" s="37"/>
      <c r="UBQ57" s="37"/>
      <c r="UBR57" s="37"/>
      <c r="UBS57" s="37"/>
      <c r="UBT57" s="37"/>
      <c r="UBU57" s="37"/>
      <c r="UBV57" s="37"/>
      <c r="UBW57" s="37"/>
      <c r="UBX57" s="37"/>
      <c r="UBY57" s="37"/>
      <c r="UBZ57" s="37"/>
      <c r="UCA57" s="37"/>
      <c r="UCB57" s="37"/>
      <c r="UCC57" s="37"/>
      <c r="UCD57" s="37"/>
      <c r="UCE57" s="37"/>
      <c r="UCF57" s="37"/>
      <c r="UCG57" s="37"/>
      <c r="UCH57" s="37"/>
      <c r="UCI57" s="37"/>
      <c r="UCJ57" s="37"/>
      <c r="UCK57" s="37"/>
      <c r="UCL57" s="37"/>
      <c r="UCM57" s="37"/>
      <c r="UCN57" s="37"/>
      <c r="UCO57" s="37"/>
      <c r="UCP57" s="37"/>
      <c r="UCQ57" s="37"/>
      <c r="UCR57" s="37"/>
      <c r="UCS57" s="37"/>
      <c r="UCT57" s="37"/>
      <c r="UCU57" s="37"/>
      <c r="UCV57" s="37"/>
      <c r="UCW57" s="37"/>
      <c r="UCX57" s="37"/>
      <c r="UCY57" s="37"/>
      <c r="UCZ57" s="37"/>
      <c r="UDA57" s="37"/>
      <c r="UDB57" s="37"/>
      <c r="UDC57" s="37"/>
      <c r="UDD57" s="37"/>
      <c r="UDE57" s="37"/>
      <c r="UDF57" s="37"/>
      <c r="UDG57" s="37"/>
      <c r="UDH57" s="37"/>
      <c r="UDI57" s="37"/>
      <c r="UDJ57" s="37"/>
      <c r="UDK57" s="37"/>
      <c r="UDL57" s="37"/>
      <c r="UDM57" s="37"/>
      <c r="UDN57" s="37"/>
      <c r="UDO57" s="37"/>
      <c r="UDP57" s="37"/>
      <c r="UDQ57" s="37"/>
      <c r="UDR57" s="37"/>
      <c r="UDS57" s="37"/>
      <c r="UDT57" s="37"/>
      <c r="UDU57" s="37"/>
      <c r="UDV57" s="37"/>
      <c r="UDW57" s="37"/>
      <c r="UDX57" s="37"/>
      <c r="UDY57" s="37"/>
      <c r="UDZ57" s="37"/>
      <c r="UEA57" s="37"/>
      <c r="UEB57" s="37"/>
      <c r="UEC57" s="37"/>
      <c r="UED57" s="37"/>
      <c r="UEE57" s="37"/>
      <c r="UEF57" s="37"/>
      <c r="UEG57" s="37"/>
      <c r="UEH57" s="37"/>
      <c r="UEI57" s="37"/>
      <c r="UEJ57" s="37"/>
      <c r="UEK57" s="37"/>
      <c r="UEL57" s="37"/>
      <c r="UEM57" s="37"/>
      <c r="UEN57" s="37"/>
      <c r="UEO57" s="37"/>
      <c r="UEP57" s="37"/>
      <c r="UEQ57" s="37"/>
      <c r="UER57" s="37"/>
      <c r="UES57" s="37"/>
      <c r="UET57" s="37"/>
      <c r="UEU57" s="37"/>
      <c r="UEV57" s="37"/>
      <c r="UEW57" s="37"/>
      <c r="UEX57" s="37"/>
      <c r="UEY57" s="37"/>
      <c r="UEZ57" s="37"/>
      <c r="UFA57" s="37"/>
      <c r="UFB57" s="37"/>
      <c r="UFC57" s="37"/>
      <c r="UFD57" s="37"/>
      <c r="UFE57" s="37"/>
      <c r="UFF57" s="37"/>
      <c r="UFG57" s="37"/>
      <c r="UFH57" s="37"/>
      <c r="UFI57" s="37"/>
      <c r="UFJ57" s="37"/>
      <c r="UFK57" s="37"/>
      <c r="UFL57" s="37"/>
      <c r="UFM57" s="37"/>
      <c r="UFN57" s="37"/>
      <c r="UFO57" s="37"/>
      <c r="UFP57" s="37"/>
      <c r="UFQ57" s="37"/>
      <c r="UFR57" s="37"/>
      <c r="UFS57" s="37"/>
      <c r="UFT57" s="37"/>
      <c r="UFU57" s="37"/>
      <c r="UFV57" s="37"/>
      <c r="UFW57" s="37"/>
      <c r="UFX57" s="37"/>
      <c r="UFY57" s="37"/>
      <c r="UFZ57" s="37"/>
      <c r="UGA57" s="37"/>
      <c r="UGB57" s="37"/>
      <c r="UGC57" s="37"/>
      <c r="UGD57" s="37"/>
      <c r="UGE57" s="37"/>
      <c r="UGF57" s="37"/>
      <c r="UGG57" s="37"/>
      <c r="UGH57" s="37"/>
      <c r="UGI57" s="37"/>
      <c r="UGJ57" s="37"/>
      <c r="UGK57" s="37"/>
      <c r="UGL57" s="37"/>
      <c r="UGM57" s="37"/>
      <c r="UGN57" s="37"/>
      <c r="UGO57" s="37"/>
      <c r="UGP57" s="37"/>
      <c r="UGQ57" s="37"/>
      <c r="UGR57" s="37"/>
      <c r="UGS57" s="37"/>
      <c r="UGT57" s="37"/>
      <c r="UGU57" s="37"/>
      <c r="UGV57" s="37"/>
      <c r="UGW57" s="37"/>
      <c r="UGX57" s="37"/>
      <c r="UGY57" s="37"/>
      <c r="UGZ57" s="37"/>
      <c r="UHA57" s="37"/>
      <c r="UHB57" s="37"/>
      <c r="UHC57" s="37"/>
      <c r="UHD57" s="37"/>
      <c r="UHE57" s="37"/>
      <c r="UHF57" s="37"/>
      <c r="UHG57" s="37"/>
      <c r="UHH57" s="37"/>
      <c r="UHI57" s="37"/>
      <c r="UHJ57" s="37"/>
      <c r="UHK57" s="37"/>
      <c r="UHL57" s="37"/>
      <c r="UHM57" s="37"/>
      <c r="UHN57" s="37"/>
      <c r="UHO57" s="37"/>
      <c r="UHP57" s="37"/>
      <c r="UHQ57" s="37"/>
      <c r="UHR57" s="37"/>
      <c r="UHS57" s="37"/>
      <c r="UHT57" s="37"/>
      <c r="UHU57" s="37"/>
      <c r="UHV57" s="37"/>
      <c r="UHW57" s="37"/>
      <c r="UHX57" s="37"/>
      <c r="UHY57" s="37"/>
      <c r="UHZ57" s="37"/>
      <c r="UIA57" s="37"/>
      <c r="UIB57" s="37"/>
      <c r="UIC57" s="37"/>
      <c r="UID57" s="37"/>
      <c r="UIE57" s="37"/>
      <c r="UIF57" s="37"/>
      <c r="UIG57" s="37"/>
      <c r="UIH57" s="37"/>
      <c r="UII57" s="37"/>
      <c r="UIJ57" s="37"/>
      <c r="UIK57" s="37"/>
      <c r="UIL57" s="37"/>
      <c r="UIM57" s="37"/>
      <c r="UIN57" s="37"/>
      <c r="UIO57" s="37"/>
      <c r="UIP57" s="37"/>
      <c r="UIQ57" s="37"/>
      <c r="UIR57" s="37"/>
      <c r="UIS57" s="37"/>
      <c r="UIT57" s="37"/>
      <c r="UIU57" s="37"/>
      <c r="UIV57" s="37"/>
      <c r="UIW57" s="37"/>
      <c r="UIX57" s="37"/>
      <c r="UIY57" s="37"/>
      <c r="UIZ57" s="37"/>
      <c r="UJA57" s="37"/>
      <c r="UJB57" s="37"/>
      <c r="UJC57" s="37"/>
      <c r="UJD57" s="37"/>
      <c r="UJE57" s="37"/>
      <c r="UJF57" s="37"/>
      <c r="UJG57" s="37"/>
      <c r="UJH57" s="37"/>
      <c r="UJI57" s="37"/>
      <c r="UJJ57" s="37"/>
      <c r="UJK57" s="37"/>
      <c r="UJL57" s="37"/>
      <c r="UJM57" s="37"/>
      <c r="UJN57" s="37"/>
      <c r="UJO57" s="37"/>
      <c r="UJP57" s="37"/>
      <c r="UJQ57" s="37"/>
      <c r="UJR57" s="37"/>
      <c r="UJS57" s="37"/>
      <c r="UJT57" s="37"/>
      <c r="UJU57" s="37"/>
      <c r="UJV57" s="37"/>
      <c r="UJW57" s="37"/>
      <c r="UJX57" s="37"/>
      <c r="UJY57" s="37"/>
      <c r="UJZ57" s="37"/>
      <c r="UKA57" s="37"/>
      <c r="UKB57" s="37"/>
      <c r="UKC57" s="37"/>
      <c r="UKD57" s="37"/>
      <c r="UKE57" s="37"/>
      <c r="UKF57" s="37"/>
      <c r="UKG57" s="37"/>
      <c r="UKH57" s="37"/>
      <c r="UKI57" s="37"/>
      <c r="UKJ57" s="37"/>
      <c r="UKK57" s="37"/>
      <c r="UKL57" s="37"/>
      <c r="UKM57" s="37"/>
      <c r="UKN57" s="37"/>
      <c r="UKO57" s="37"/>
      <c r="UKP57" s="37"/>
      <c r="UKQ57" s="37"/>
      <c r="UKR57" s="37"/>
      <c r="UKS57" s="37"/>
      <c r="UKT57" s="37"/>
      <c r="UKU57" s="37"/>
      <c r="UKV57" s="37"/>
      <c r="UKW57" s="37"/>
      <c r="UKX57" s="37"/>
      <c r="UKY57" s="37"/>
      <c r="UKZ57" s="37"/>
      <c r="ULA57" s="37"/>
      <c r="ULB57" s="37"/>
      <c r="ULC57" s="37"/>
      <c r="ULD57" s="37"/>
      <c r="ULE57" s="37"/>
      <c r="ULF57" s="37"/>
      <c r="ULG57" s="37"/>
      <c r="ULH57" s="37"/>
      <c r="ULI57" s="37"/>
      <c r="ULJ57" s="37"/>
      <c r="ULK57" s="37"/>
      <c r="ULL57" s="37"/>
      <c r="ULM57" s="37"/>
      <c r="ULN57" s="37"/>
      <c r="ULO57" s="37"/>
      <c r="ULP57" s="37"/>
      <c r="ULQ57" s="37"/>
      <c r="ULR57" s="37"/>
      <c r="ULS57" s="37"/>
      <c r="ULT57" s="37"/>
      <c r="ULU57" s="37"/>
      <c r="ULV57" s="37"/>
      <c r="ULW57" s="37"/>
      <c r="ULX57" s="37"/>
      <c r="ULY57" s="37"/>
      <c r="ULZ57" s="37"/>
      <c r="UMA57" s="37"/>
      <c r="UMB57" s="37"/>
      <c r="UMC57" s="37"/>
      <c r="UMD57" s="37"/>
      <c r="UME57" s="37"/>
      <c r="UMF57" s="37"/>
      <c r="UMG57" s="37"/>
      <c r="UMH57" s="37"/>
      <c r="UMI57" s="37"/>
      <c r="UMJ57" s="37"/>
      <c r="UMK57" s="37"/>
      <c r="UML57" s="37"/>
      <c r="UMM57" s="37"/>
      <c r="UMN57" s="37"/>
      <c r="UMO57" s="37"/>
      <c r="UMP57" s="37"/>
      <c r="UMQ57" s="37"/>
      <c r="UMR57" s="37"/>
      <c r="UMS57" s="37"/>
      <c r="UMT57" s="37"/>
      <c r="UMU57" s="37"/>
      <c r="UMV57" s="37"/>
      <c r="UMW57" s="37"/>
      <c r="UMX57" s="37"/>
      <c r="UMY57" s="37"/>
      <c r="UMZ57" s="37"/>
      <c r="UNA57" s="37"/>
      <c r="UNB57" s="37"/>
      <c r="UNC57" s="37"/>
      <c r="UND57" s="37"/>
      <c r="UNE57" s="37"/>
      <c r="UNF57" s="37"/>
      <c r="UNG57" s="37"/>
      <c r="UNH57" s="37"/>
      <c r="UNI57" s="37"/>
      <c r="UNJ57" s="37"/>
      <c r="UNK57" s="37"/>
      <c r="UNL57" s="37"/>
      <c r="UNM57" s="37"/>
      <c r="UNN57" s="37"/>
      <c r="UNO57" s="37"/>
      <c r="UNP57" s="37"/>
      <c r="UNQ57" s="37"/>
      <c r="UNR57" s="37"/>
      <c r="UNS57" s="37"/>
      <c r="UNT57" s="37"/>
      <c r="UNU57" s="37"/>
      <c r="UNV57" s="37"/>
      <c r="UNW57" s="37"/>
      <c r="UNX57" s="37"/>
      <c r="UNY57" s="37"/>
      <c r="UNZ57" s="37"/>
      <c r="UOA57" s="37"/>
      <c r="UOB57" s="37"/>
      <c r="UOC57" s="37"/>
      <c r="UOD57" s="37"/>
      <c r="UOE57" s="37"/>
      <c r="UOF57" s="37"/>
      <c r="UOG57" s="37"/>
      <c r="UOH57" s="37"/>
      <c r="UOI57" s="37"/>
      <c r="UOJ57" s="37"/>
      <c r="UOK57" s="37"/>
      <c r="UOL57" s="37"/>
      <c r="UOM57" s="37"/>
      <c r="UON57" s="37"/>
      <c r="UOO57" s="37"/>
      <c r="UOP57" s="37"/>
      <c r="UOQ57" s="37"/>
      <c r="UOR57" s="37"/>
      <c r="UOS57" s="37"/>
      <c r="UOT57" s="37"/>
      <c r="UOU57" s="37"/>
      <c r="UOV57" s="37"/>
      <c r="UOW57" s="37"/>
      <c r="UOX57" s="37"/>
      <c r="UOY57" s="37"/>
      <c r="UOZ57" s="37"/>
      <c r="UPA57" s="37"/>
      <c r="UPB57" s="37"/>
      <c r="UPC57" s="37"/>
      <c r="UPD57" s="37"/>
      <c r="UPE57" s="37"/>
      <c r="UPF57" s="37"/>
      <c r="UPG57" s="37"/>
      <c r="UPH57" s="37"/>
      <c r="UPI57" s="37"/>
      <c r="UPJ57" s="37"/>
      <c r="UPK57" s="37"/>
      <c r="UPL57" s="37"/>
      <c r="UPM57" s="37"/>
      <c r="UPN57" s="37"/>
      <c r="UPO57" s="37"/>
      <c r="UPP57" s="37"/>
      <c r="UPQ57" s="37"/>
      <c r="UPR57" s="37"/>
      <c r="UPS57" s="37"/>
      <c r="UPT57" s="37"/>
      <c r="UPU57" s="37"/>
      <c r="UPV57" s="37"/>
      <c r="UPW57" s="37"/>
      <c r="UPX57" s="37"/>
      <c r="UPY57" s="37"/>
      <c r="UPZ57" s="37"/>
      <c r="UQA57" s="37"/>
      <c r="UQB57" s="37"/>
      <c r="UQC57" s="37"/>
      <c r="UQD57" s="37"/>
      <c r="UQE57" s="37"/>
      <c r="UQF57" s="37"/>
      <c r="UQG57" s="37"/>
      <c r="UQH57" s="37"/>
      <c r="UQI57" s="37"/>
      <c r="UQJ57" s="37"/>
      <c r="UQK57" s="37"/>
      <c r="UQL57" s="37"/>
      <c r="UQM57" s="37"/>
      <c r="UQN57" s="37"/>
      <c r="UQO57" s="37"/>
      <c r="UQP57" s="37"/>
      <c r="UQQ57" s="37"/>
      <c r="UQR57" s="37"/>
      <c r="UQS57" s="37"/>
      <c r="UQT57" s="37"/>
      <c r="UQU57" s="37"/>
      <c r="UQV57" s="37"/>
      <c r="UQW57" s="37"/>
      <c r="UQX57" s="37"/>
      <c r="UQY57" s="37"/>
      <c r="UQZ57" s="37"/>
      <c r="URA57" s="37"/>
      <c r="URB57" s="37"/>
      <c r="URC57" s="37"/>
      <c r="URD57" s="37"/>
      <c r="URE57" s="37"/>
      <c r="URF57" s="37"/>
      <c r="URG57" s="37"/>
      <c r="URH57" s="37"/>
      <c r="URI57" s="37"/>
      <c r="URJ57" s="37"/>
      <c r="URK57" s="37"/>
      <c r="URL57" s="37"/>
      <c r="URM57" s="37"/>
      <c r="URN57" s="37"/>
      <c r="URO57" s="37"/>
      <c r="URP57" s="37"/>
      <c r="URQ57" s="37"/>
      <c r="URR57" s="37"/>
      <c r="URS57" s="37"/>
      <c r="URT57" s="37"/>
      <c r="URU57" s="37"/>
      <c r="URV57" s="37"/>
      <c r="URW57" s="37"/>
      <c r="URX57" s="37"/>
      <c r="URY57" s="37"/>
      <c r="URZ57" s="37"/>
      <c r="USA57" s="37"/>
      <c r="USB57" s="37"/>
      <c r="USC57" s="37"/>
      <c r="USD57" s="37"/>
      <c r="USE57" s="37"/>
      <c r="USF57" s="37"/>
      <c r="USG57" s="37"/>
      <c r="USH57" s="37"/>
      <c r="USI57" s="37"/>
      <c r="USJ57" s="37"/>
      <c r="USK57" s="37"/>
      <c r="USL57" s="37"/>
      <c r="USM57" s="37"/>
      <c r="USN57" s="37"/>
      <c r="USO57" s="37"/>
      <c r="USP57" s="37"/>
      <c r="USQ57" s="37"/>
      <c r="USR57" s="37"/>
      <c r="USS57" s="37"/>
      <c r="UST57" s="37"/>
      <c r="USU57" s="37"/>
      <c r="USV57" s="37"/>
      <c r="USW57" s="37"/>
      <c r="USX57" s="37"/>
      <c r="USY57" s="37"/>
      <c r="USZ57" s="37"/>
      <c r="UTA57" s="37"/>
      <c r="UTB57" s="37"/>
      <c r="UTC57" s="37"/>
      <c r="UTD57" s="37"/>
      <c r="UTE57" s="37"/>
      <c r="UTF57" s="37"/>
      <c r="UTG57" s="37"/>
      <c r="UTH57" s="37"/>
      <c r="UTI57" s="37"/>
      <c r="UTJ57" s="37"/>
      <c r="UTK57" s="37"/>
      <c r="UTL57" s="37"/>
      <c r="UTM57" s="37"/>
      <c r="UTN57" s="37"/>
      <c r="UTO57" s="37"/>
      <c r="UTP57" s="37"/>
      <c r="UTQ57" s="37"/>
      <c r="UTR57" s="37"/>
      <c r="UTS57" s="37"/>
      <c r="UTT57" s="37"/>
      <c r="UTU57" s="37"/>
      <c r="UTV57" s="37"/>
      <c r="UTW57" s="37"/>
      <c r="UTX57" s="37"/>
      <c r="UTY57" s="37"/>
      <c r="UTZ57" s="37"/>
      <c r="UUA57" s="37"/>
      <c r="UUB57" s="37"/>
      <c r="UUC57" s="37"/>
      <c r="UUD57" s="37"/>
      <c r="UUE57" s="37"/>
      <c r="UUF57" s="37"/>
      <c r="UUG57" s="37"/>
      <c r="UUH57" s="37"/>
      <c r="UUI57" s="37"/>
      <c r="UUJ57" s="37"/>
      <c r="UUK57" s="37"/>
      <c r="UUL57" s="37"/>
      <c r="UUM57" s="37"/>
      <c r="UUN57" s="37"/>
      <c r="UUO57" s="37"/>
      <c r="UUP57" s="37"/>
      <c r="UUQ57" s="37"/>
      <c r="UUR57" s="37"/>
      <c r="UUS57" s="37"/>
      <c r="UUT57" s="37"/>
      <c r="UUU57" s="37"/>
      <c r="UUV57" s="37"/>
      <c r="UUW57" s="37"/>
      <c r="UUX57" s="37"/>
      <c r="UUY57" s="37"/>
      <c r="UUZ57" s="37"/>
      <c r="UVA57" s="37"/>
      <c r="UVB57" s="37"/>
      <c r="UVC57" s="37"/>
      <c r="UVD57" s="37"/>
      <c r="UVE57" s="37"/>
      <c r="UVF57" s="37"/>
      <c r="UVG57" s="37"/>
      <c r="UVH57" s="37"/>
      <c r="UVI57" s="37"/>
      <c r="UVJ57" s="37"/>
      <c r="UVK57" s="37"/>
      <c r="UVL57" s="37"/>
      <c r="UVM57" s="37"/>
      <c r="UVN57" s="37"/>
      <c r="UVO57" s="37"/>
      <c r="UVP57" s="37"/>
      <c r="UVQ57" s="37"/>
      <c r="UVR57" s="37"/>
      <c r="UVS57" s="37"/>
      <c r="UVT57" s="37"/>
      <c r="UVU57" s="37"/>
      <c r="UVV57" s="37"/>
      <c r="UVW57" s="37"/>
      <c r="UVX57" s="37"/>
      <c r="UVY57" s="37"/>
      <c r="UVZ57" s="37"/>
      <c r="UWA57" s="37"/>
      <c r="UWB57" s="37"/>
      <c r="UWC57" s="37"/>
      <c r="UWD57" s="37"/>
      <c r="UWE57" s="37"/>
      <c r="UWF57" s="37"/>
      <c r="UWG57" s="37"/>
      <c r="UWH57" s="37"/>
      <c r="UWI57" s="37"/>
      <c r="UWJ57" s="37"/>
      <c r="UWK57" s="37"/>
      <c r="UWL57" s="37"/>
      <c r="UWM57" s="37"/>
      <c r="UWN57" s="37"/>
      <c r="UWO57" s="37"/>
      <c r="UWP57" s="37"/>
      <c r="UWQ57" s="37"/>
      <c r="UWR57" s="37"/>
      <c r="UWS57" s="37"/>
      <c r="UWT57" s="37"/>
      <c r="UWU57" s="37"/>
      <c r="UWV57" s="37"/>
      <c r="UWW57" s="37"/>
      <c r="UWX57" s="37"/>
      <c r="UWY57" s="37"/>
      <c r="UWZ57" s="37"/>
      <c r="UXA57" s="37"/>
      <c r="UXB57" s="37"/>
      <c r="UXC57" s="37"/>
      <c r="UXD57" s="37"/>
      <c r="UXE57" s="37"/>
      <c r="UXF57" s="37"/>
      <c r="UXG57" s="37"/>
      <c r="UXH57" s="37"/>
      <c r="UXI57" s="37"/>
      <c r="UXJ57" s="37"/>
      <c r="UXK57" s="37"/>
      <c r="UXL57" s="37"/>
      <c r="UXM57" s="37"/>
      <c r="UXN57" s="37"/>
      <c r="UXO57" s="37"/>
      <c r="UXP57" s="37"/>
      <c r="UXQ57" s="37"/>
      <c r="UXR57" s="37"/>
      <c r="UXS57" s="37"/>
      <c r="UXT57" s="37"/>
      <c r="UXU57" s="37"/>
      <c r="UXV57" s="37"/>
      <c r="UXW57" s="37"/>
      <c r="UXX57" s="37"/>
      <c r="UXY57" s="37"/>
      <c r="UXZ57" s="37"/>
      <c r="UYA57" s="37"/>
      <c r="UYB57" s="37"/>
      <c r="UYC57" s="37"/>
      <c r="UYD57" s="37"/>
      <c r="UYE57" s="37"/>
      <c r="UYF57" s="37"/>
      <c r="UYG57" s="37"/>
      <c r="UYH57" s="37"/>
      <c r="UYI57" s="37"/>
      <c r="UYJ57" s="37"/>
      <c r="UYK57" s="37"/>
      <c r="UYL57" s="37"/>
      <c r="UYM57" s="37"/>
      <c r="UYN57" s="37"/>
      <c r="UYO57" s="37"/>
      <c r="UYP57" s="37"/>
      <c r="UYQ57" s="37"/>
      <c r="UYR57" s="37"/>
      <c r="UYS57" s="37"/>
      <c r="UYT57" s="37"/>
      <c r="UYU57" s="37"/>
      <c r="UYV57" s="37"/>
      <c r="UYW57" s="37"/>
      <c r="UYX57" s="37"/>
      <c r="UYY57" s="37"/>
      <c r="UYZ57" s="37"/>
      <c r="UZA57" s="37"/>
      <c r="UZB57" s="37"/>
      <c r="UZC57" s="37"/>
      <c r="UZD57" s="37"/>
      <c r="UZE57" s="37"/>
      <c r="UZF57" s="37"/>
      <c r="UZG57" s="37"/>
      <c r="UZH57" s="37"/>
      <c r="UZI57" s="37"/>
      <c r="UZJ57" s="37"/>
      <c r="UZK57" s="37"/>
      <c r="UZL57" s="37"/>
      <c r="UZM57" s="37"/>
      <c r="UZN57" s="37"/>
      <c r="UZO57" s="37"/>
      <c r="UZP57" s="37"/>
      <c r="UZQ57" s="37"/>
      <c r="UZR57" s="37"/>
      <c r="UZS57" s="37"/>
      <c r="UZT57" s="37"/>
      <c r="UZU57" s="37"/>
      <c r="UZV57" s="37"/>
      <c r="UZW57" s="37"/>
      <c r="UZX57" s="37"/>
      <c r="UZY57" s="37"/>
      <c r="UZZ57" s="37"/>
      <c r="VAA57" s="37"/>
      <c r="VAB57" s="37"/>
      <c r="VAC57" s="37"/>
      <c r="VAD57" s="37"/>
      <c r="VAE57" s="37"/>
      <c r="VAF57" s="37"/>
      <c r="VAG57" s="37"/>
      <c r="VAH57" s="37"/>
      <c r="VAI57" s="37"/>
      <c r="VAJ57" s="37"/>
      <c r="VAK57" s="37"/>
      <c r="VAL57" s="37"/>
      <c r="VAM57" s="37"/>
      <c r="VAN57" s="37"/>
      <c r="VAO57" s="37"/>
      <c r="VAP57" s="37"/>
      <c r="VAQ57" s="37"/>
      <c r="VAR57" s="37"/>
      <c r="VAS57" s="37"/>
      <c r="VAT57" s="37"/>
      <c r="VAU57" s="37"/>
      <c r="VAV57" s="37"/>
      <c r="VAW57" s="37"/>
      <c r="VAX57" s="37"/>
      <c r="VAY57" s="37"/>
      <c r="VAZ57" s="37"/>
      <c r="VBA57" s="37"/>
      <c r="VBB57" s="37"/>
      <c r="VBC57" s="37"/>
      <c r="VBD57" s="37"/>
      <c r="VBE57" s="37"/>
      <c r="VBF57" s="37"/>
      <c r="VBG57" s="37"/>
      <c r="VBH57" s="37"/>
      <c r="VBI57" s="37"/>
      <c r="VBJ57" s="37"/>
      <c r="VBK57" s="37"/>
      <c r="VBL57" s="37"/>
      <c r="VBM57" s="37"/>
      <c r="VBN57" s="37"/>
      <c r="VBO57" s="37"/>
      <c r="VBP57" s="37"/>
      <c r="VBQ57" s="37"/>
      <c r="VBR57" s="37"/>
      <c r="VBS57" s="37"/>
      <c r="VBT57" s="37"/>
      <c r="VBU57" s="37"/>
      <c r="VBV57" s="37"/>
      <c r="VBW57" s="37"/>
      <c r="VBX57" s="37"/>
      <c r="VBY57" s="37"/>
      <c r="VBZ57" s="37"/>
      <c r="VCA57" s="37"/>
      <c r="VCB57" s="37"/>
      <c r="VCC57" s="37"/>
      <c r="VCD57" s="37"/>
      <c r="VCE57" s="37"/>
      <c r="VCF57" s="37"/>
      <c r="VCG57" s="37"/>
      <c r="VCH57" s="37"/>
      <c r="VCI57" s="37"/>
      <c r="VCJ57" s="37"/>
      <c r="VCK57" s="37"/>
      <c r="VCL57" s="37"/>
      <c r="VCM57" s="37"/>
      <c r="VCN57" s="37"/>
      <c r="VCO57" s="37"/>
      <c r="VCP57" s="37"/>
      <c r="VCQ57" s="37"/>
      <c r="VCR57" s="37"/>
      <c r="VCS57" s="37"/>
      <c r="VCT57" s="37"/>
      <c r="VCU57" s="37"/>
      <c r="VCV57" s="37"/>
      <c r="VCW57" s="37"/>
      <c r="VCX57" s="37"/>
      <c r="VCY57" s="37"/>
      <c r="VCZ57" s="37"/>
      <c r="VDA57" s="37"/>
      <c r="VDB57" s="37"/>
      <c r="VDC57" s="37"/>
      <c r="VDD57" s="37"/>
      <c r="VDE57" s="37"/>
      <c r="VDF57" s="37"/>
      <c r="VDG57" s="37"/>
      <c r="VDH57" s="37"/>
      <c r="VDI57" s="37"/>
      <c r="VDJ57" s="37"/>
      <c r="VDK57" s="37"/>
      <c r="VDL57" s="37"/>
      <c r="VDM57" s="37"/>
      <c r="VDN57" s="37"/>
      <c r="VDO57" s="37"/>
      <c r="VDP57" s="37"/>
      <c r="VDQ57" s="37"/>
      <c r="VDR57" s="37"/>
      <c r="VDS57" s="37"/>
      <c r="VDT57" s="37"/>
      <c r="VDU57" s="37"/>
      <c r="VDV57" s="37"/>
      <c r="VDW57" s="37"/>
      <c r="VDX57" s="37"/>
      <c r="VDY57" s="37"/>
      <c r="VDZ57" s="37"/>
      <c r="VEA57" s="37"/>
      <c r="VEB57" s="37"/>
      <c r="VEC57" s="37"/>
      <c r="VED57" s="37"/>
      <c r="VEE57" s="37"/>
      <c r="VEF57" s="37"/>
      <c r="VEG57" s="37"/>
      <c r="VEH57" s="37"/>
      <c r="VEI57" s="37"/>
      <c r="VEJ57" s="37"/>
      <c r="VEK57" s="37"/>
      <c r="VEL57" s="37"/>
      <c r="VEM57" s="37"/>
      <c r="VEN57" s="37"/>
      <c r="VEO57" s="37"/>
      <c r="VEP57" s="37"/>
      <c r="VEQ57" s="37"/>
      <c r="VER57" s="37"/>
      <c r="VES57" s="37"/>
      <c r="VET57" s="37"/>
      <c r="VEU57" s="37"/>
      <c r="VEV57" s="37"/>
      <c r="VEW57" s="37"/>
      <c r="VEX57" s="37"/>
      <c r="VEY57" s="37"/>
      <c r="VEZ57" s="37"/>
      <c r="VFA57" s="37"/>
      <c r="VFB57" s="37"/>
      <c r="VFC57" s="37"/>
      <c r="VFD57" s="37"/>
      <c r="VFE57" s="37"/>
      <c r="VFF57" s="37"/>
      <c r="VFG57" s="37"/>
      <c r="VFH57" s="37"/>
      <c r="VFI57" s="37"/>
      <c r="VFJ57" s="37"/>
      <c r="VFK57" s="37"/>
      <c r="VFL57" s="37"/>
      <c r="VFM57" s="37"/>
      <c r="VFN57" s="37"/>
      <c r="VFO57" s="37"/>
      <c r="VFP57" s="37"/>
      <c r="VFQ57" s="37"/>
      <c r="VFR57" s="37"/>
      <c r="VFS57" s="37"/>
      <c r="VFT57" s="37"/>
      <c r="VFU57" s="37"/>
      <c r="VFV57" s="37"/>
      <c r="VFW57" s="37"/>
      <c r="VFX57" s="37"/>
      <c r="VFY57" s="37"/>
      <c r="VFZ57" s="37"/>
      <c r="VGA57" s="37"/>
      <c r="VGB57" s="37"/>
      <c r="VGC57" s="37"/>
      <c r="VGD57" s="37"/>
      <c r="VGE57" s="37"/>
      <c r="VGF57" s="37"/>
      <c r="VGG57" s="37"/>
      <c r="VGH57" s="37"/>
      <c r="VGI57" s="37"/>
      <c r="VGJ57" s="37"/>
      <c r="VGK57" s="37"/>
      <c r="VGL57" s="37"/>
      <c r="VGM57" s="37"/>
      <c r="VGN57" s="37"/>
      <c r="VGO57" s="37"/>
      <c r="VGP57" s="37"/>
      <c r="VGQ57" s="37"/>
      <c r="VGR57" s="37"/>
      <c r="VGS57" s="37"/>
      <c r="VGT57" s="37"/>
      <c r="VGU57" s="37"/>
      <c r="VGV57" s="37"/>
      <c r="VGW57" s="37"/>
      <c r="VGX57" s="37"/>
      <c r="VGY57" s="37"/>
      <c r="VGZ57" s="37"/>
      <c r="VHA57" s="37"/>
      <c r="VHB57" s="37"/>
      <c r="VHC57" s="37"/>
      <c r="VHD57" s="37"/>
      <c r="VHE57" s="37"/>
      <c r="VHF57" s="37"/>
      <c r="VHG57" s="37"/>
      <c r="VHH57" s="37"/>
      <c r="VHI57" s="37"/>
      <c r="VHJ57" s="37"/>
      <c r="VHK57" s="37"/>
      <c r="VHL57" s="37"/>
      <c r="VHM57" s="37"/>
      <c r="VHN57" s="37"/>
      <c r="VHO57" s="37"/>
      <c r="VHP57" s="37"/>
      <c r="VHQ57" s="37"/>
      <c r="VHR57" s="37"/>
      <c r="VHS57" s="37"/>
      <c r="VHT57" s="37"/>
      <c r="VHU57" s="37"/>
      <c r="VHV57" s="37"/>
      <c r="VHW57" s="37"/>
      <c r="VHX57" s="37"/>
      <c r="VHY57" s="37"/>
      <c r="VHZ57" s="37"/>
      <c r="VIA57" s="37"/>
      <c r="VIB57" s="37"/>
      <c r="VIC57" s="37"/>
      <c r="VID57" s="37"/>
      <c r="VIE57" s="37"/>
      <c r="VIF57" s="37"/>
      <c r="VIG57" s="37"/>
      <c r="VIH57" s="37"/>
      <c r="VII57" s="37"/>
      <c r="VIJ57" s="37"/>
      <c r="VIK57" s="37"/>
      <c r="VIL57" s="37"/>
      <c r="VIM57" s="37"/>
      <c r="VIN57" s="37"/>
      <c r="VIO57" s="37"/>
      <c r="VIP57" s="37"/>
      <c r="VIQ57" s="37"/>
      <c r="VIR57" s="37"/>
      <c r="VIS57" s="37"/>
      <c r="VIT57" s="37"/>
      <c r="VIU57" s="37"/>
      <c r="VIV57" s="37"/>
      <c r="VIW57" s="37"/>
      <c r="VIX57" s="37"/>
      <c r="VIY57" s="37"/>
      <c r="VIZ57" s="37"/>
      <c r="VJA57" s="37"/>
      <c r="VJB57" s="37"/>
      <c r="VJC57" s="37"/>
      <c r="VJD57" s="37"/>
      <c r="VJE57" s="37"/>
      <c r="VJF57" s="37"/>
      <c r="VJG57" s="37"/>
      <c r="VJH57" s="37"/>
      <c r="VJI57" s="37"/>
      <c r="VJJ57" s="37"/>
      <c r="VJK57" s="37"/>
      <c r="VJL57" s="37"/>
      <c r="VJM57" s="37"/>
      <c r="VJN57" s="37"/>
      <c r="VJO57" s="37"/>
      <c r="VJP57" s="37"/>
      <c r="VJQ57" s="37"/>
      <c r="VJR57" s="37"/>
      <c r="VJS57" s="37"/>
      <c r="VJT57" s="37"/>
      <c r="VJU57" s="37"/>
      <c r="VJV57" s="37"/>
      <c r="VJW57" s="37"/>
      <c r="VJX57" s="37"/>
      <c r="VJY57" s="37"/>
      <c r="VJZ57" s="37"/>
      <c r="VKA57" s="37"/>
      <c r="VKB57" s="37"/>
      <c r="VKC57" s="37"/>
      <c r="VKD57" s="37"/>
      <c r="VKE57" s="37"/>
      <c r="VKF57" s="37"/>
      <c r="VKG57" s="37"/>
      <c r="VKH57" s="37"/>
      <c r="VKI57" s="37"/>
      <c r="VKJ57" s="37"/>
      <c r="VKK57" s="37"/>
      <c r="VKL57" s="37"/>
      <c r="VKM57" s="37"/>
      <c r="VKN57" s="37"/>
      <c r="VKO57" s="37"/>
      <c r="VKP57" s="37"/>
      <c r="VKQ57" s="37"/>
      <c r="VKR57" s="37"/>
      <c r="VKS57" s="37"/>
      <c r="VKT57" s="37"/>
      <c r="VKU57" s="37"/>
      <c r="VKV57" s="37"/>
      <c r="VKW57" s="37"/>
      <c r="VKX57" s="37"/>
      <c r="VKY57" s="37"/>
      <c r="VKZ57" s="37"/>
      <c r="VLA57" s="37"/>
      <c r="VLB57" s="37"/>
      <c r="VLC57" s="37"/>
      <c r="VLD57" s="37"/>
      <c r="VLE57" s="37"/>
      <c r="VLF57" s="37"/>
      <c r="VLG57" s="37"/>
      <c r="VLH57" s="37"/>
      <c r="VLI57" s="37"/>
      <c r="VLJ57" s="37"/>
      <c r="VLK57" s="37"/>
      <c r="VLL57" s="37"/>
      <c r="VLM57" s="37"/>
      <c r="VLN57" s="37"/>
      <c r="VLO57" s="37"/>
      <c r="VLP57" s="37"/>
      <c r="VLQ57" s="37"/>
      <c r="VLR57" s="37"/>
      <c r="VLS57" s="37"/>
      <c r="VLT57" s="37"/>
      <c r="VLU57" s="37"/>
      <c r="VLV57" s="37"/>
      <c r="VLW57" s="37"/>
      <c r="VLX57" s="37"/>
      <c r="VLY57" s="37"/>
      <c r="VLZ57" s="37"/>
      <c r="VMA57" s="37"/>
      <c r="VMB57" s="37"/>
      <c r="VMC57" s="37"/>
      <c r="VMD57" s="37"/>
      <c r="VME57" s="37"/>
      <c r="VMF57" s="37"/>
      <c r="VMG57" s="37"/>
      <c r="VMH57" s="37"/>
      <c r="VMI57" s="37"/>
      <c r="VMJ57" s="37"/>
      <c r="VMK57" s="37"/>
      <c r="VML57" s="37"/>
      <c r="VMM57" s="37"/>
      <c r="VMN57" s="37"/>
      <c r="VMO57" s="37"/>
      <c r="VMP57" s="37"/>
      <c r="VMQ57" s="37"/>
      <c r="VMR57" s="37"/>
      <c r="VMS57" s="37"/>
      <c r="VMT57" s="37"/>
      <c r="VMU57" s="37"/>
      <c r="VMV57" s="37"/>
      <c r="VMW57" s="37"/>
      <c r="VMX57" s="37"/>
      <c r="VMY57" s="37"/>
      <c r="VMZ57" s="37"/>
      <c r="VNA57" s="37"/>
      <c r="VNB57" s="37"/>
      <c r="VNC57" s="37"/>
      <c r="VND57" s="37"/>
      <c r="VNE57" s="37"/>
      <c r="VNF57" s="37"/>
      <c r="VNG57" s="37"/>
      <c r="VNH57" s="37"/>
      <c r="VNI57" s="37"/>
      <c r="VNJ57" s="37"/>
      <c r="VNK57" s="37"/>
      <c r="VNL57" s="37"/>
      <c r="VNM57" s="37"/>
      <c r="VNN57" s="37"/>
      <c r="VNO57" s="37"/>
      <c r="VNP57" s="37"/>
      <c r="VNQ57" s="37"/>
      <c r="VNR57" s="37"/>
      <c r="VNS57" s="37"/>
      <c r="VNT57" s="37"/>
      <c r="VNU57" s="37"/>
      <c r="VNV57" s="37"/>
      <c r="VNW57" s="37"/>
      <c r="VNX57" s="37"/>
      <c r="VNY57" s="37"/>
      <c r="VNZ57" s="37"/>
      <c r="VOA57" s="37"/>
      <c r="VOB57" s="37"/>
      <c r="VOC57" s="37"/>
      <c r="VOD57" s="37"/>
      <c r="VOE57" s="37"/>
      <c r="VOF57" s="37"/>
      <c r="VOG57" s="37"/>
      <c r="VOH57" s="37"/>
      <c r="VOI57" s="37"/>
      <c r="VOJ57" s="37"/>
      <c r="VOK57" s="37"/>
      <c r="VOL57" s="37"/>
      <c r="VOM57" s="37"/>
      <c r="VON57" s="37"/>
      <c r="VOO57" s="37"/>
      <c r="VOP57" s="37"/>
      <c r="VOQ57" s="37"/>
      <c r="VOR57" s="37"/>
      <c r="VOS57" s="37"/>
      <c r="VOT57" s="37"/>
      <c r="VOU57" s="37"/>
      <c r="VOV57" s="37"/>
      <c r="VOW57" s="37"/>
      <c r="VOX57" s="37"/>
      <c r="VOY57" s="37"/>
      <c r="VOZ57" s="37"/>
      <c r="VPA57" s="37"/>
      <c r="VPB57" s="37"/>
      <c r="VPC57" s="37"/>
      <c r="VPD57" s="37"/>
      <c r="VPE57" s="37"/>
      <c r="VPF57" s="37"/>
      <c r="VPG57" s="37"/>
      <c r="VPH57" s="37"/>
      <c r="VPI57" s="37"/>
      <c r="VPJ57" s="37"/>
      <c r="VPK57" s="37"/>
      <c r="VPL57" s="37"/>
      <c r="VPM57" s="37"/>
      <c r="VPN57" s="37"/>
      <c r="VPO57" s="37"/>
      <c r="VPP57" s="37"/>
      <c r="VPQ57" s="37"/>
      <c r="VPR57" s="37"/>
      <c r="VPS57" s="37"/>
      <c r="VPT57" s="37"/>
      <c r="VPU57" s="37"/>
      <c r="VPV57" s="37"/>
      <c r="VPW57" s="37"/>
      <c r="VPX57" s="37"/>
      <c r="VPY57" s="37"/>
      <c r="VPZ57" s="37"/>
      <c r="VQA57" s="37"/>
      <c r="VQB57" s="37"/>
      <c r="VQC57" s="37"/>
      <c r="VQD57" s="37"/>
      <c r="VQE57" s="37"/>
      <c r="VQF57" s="37"/>
      <c r="VQG57" s="37"/>
      <c r="VQH57" s="37"/>
      <c r="VQI57" s="37"/>
      <c r="VQJ57" s="37"/>
      <c r="VQK57" s="37"/>
      <c r="VQL57" s="37"/>
      <c r="VQM57" s="37"/>
      <c r="VQN57" s="37"/>
      <c r="VQO57" s="37"/>
      <c r="VQP57" s="37"/>
      <c r="VQQ57" s="37"/>
      <c r="VQR57" s="37"/>
      <c r="VQS57" s="37"/>
      <c r="VQT57" s="37"/>
      <c r="VQU57" s="37"/>
      <c r="VQV57" s="37"/>
      <c r="VQW57" s="37"/>
      <c r="VQX57" s="37"/>
      <c r="VQY57" s="37"/>
      <c r="VQZ57" s="37"/>
      <c r="VRA57" s="37"/>
      <c r="VRB57" s="37"/>
      <c r="VRC57" s="37"/>
      <c r="VRD57" s="37"/>
      <c r="VRE57" s="37"/>
      <c r="VRF57" s="37"/>
      <c r="VRG57" s="37"/>
      <c r="VRH57" s="37"/>
      <c r="VRI57" s="37"/>
      <c r="VRJ57" s="37"/>
      <c r="VRK57" s="37"/>
      <c r="VRL57" s="37"/>
      <c r="VRM57" s="37"/>
      <c r="VRN57" s="37"/>
      <c r="VRO57" s="37"/>
      <c r="VRP57" s="37"/>
      <c r="VRQ57" s="37"/>
      <c r="VRR57" s="37"/>
      <c r="VRS57" s="37"/>
      <c r="VRT57" s="37"/>
      <c r="VRU57" s="37"/>
      <c r="VRV57" s="37"/>
      <c r="VRW57" s="37"/>
      <c r="VRX57" s="37"/>
      <c r="VRY57" s="37"/>
      <c r="VRZ57" s="37"/>
      <c r="VSA57" s="37"/>
      <c r="VSB57" s="37"/>
      <c r="VSC57" s="37"/>
      <c r="VSD57" s="37"/>
      <c r="VSE57" s="37"/>
      <c r="VSF57" s="37"/>
      <c r="VSG57" s="37"/>
      <c r="VSH57" s="37"/>
      <c r="VSI57" s="37"/>
      <c r="VSJ57" s="37"/>
      <c r="VSK57" s="37"/>
      <c r="VSL57" s="37"/>
      <c r="VSM57" s="37"/>
      <c r="VSN57" s="37"/>
      <c r="VSO57" s="37"/>
      <c r="VSP57" s="37"/>
      <c r="VSQ57" s="37"/>
      <c r="VSR57" s="37"/>
      <c r="VSS57" s="37"/>
      <c r="VST57" s="37"/>
      <c r="VSU57" s="37"/>
      <c r="VSV57" s="37"/>
      <c r="VSW57" s="37"/>
      <c r="VSX57" s="37"/>
      <c r="VSY57" s="37"/>
      <c r="VSZ57" s="37"/>
      <c r="VTA57" s="37"/>
      <c r="VTB57" s="37"/>
      <c r="VTC57" s="37"/>
      <c r="VTD57" s="37"/>
      <c r="VTE57" s="37"/>
      <c r="VTF57" s="37"/>
      <c r="VTG57" s="37"/>
      <c r="VTH57" s="37"/>
      <c r="VTI57" s="37"/>
      <c r="VTJ57" s="37"/>
      <c r="VTK57" s="37"/>
      <c r="VTL57" s="37"/>
      <c r="VTM57" s="37"/>
      <c r="VTN57" s="37"/>
      <c r="VTO57" s="37"/>
      <c r="VTP57" s="37"/>
      <c r="VTQ57" s="37"/>
      <c r="VTR57" s="37"/>
      <c r="VTS57" s="37"/>
      <c r="VTT57" s="37"/>
      <c r="VTU57" s="37"/>
      <c r="VTV57" s="37"/>
      <c r="VTW57" s="37"/>
      <c r="VTX57" s="37"/>
      <c r="VTY57" s="37"/>
      <c r="VTZ57" s="37"/>
      <c r="VUA57" s="37"/>
      <c r="VUB57" s="37"/>
      <c r="VUC57" s="37"/>
      <c r="VUD57" s="37"/>
      <c r="VUE57" s="37"/>
      <c r="VUF57" s="37"/>
      <c r="VUG57" s="37"/>
      <c r="VUH57" s="37"/>
      <c r="VUI57" s="37"/>
      <c r="VUJ57" s="37"/>
      <c r="VUK57" s="37"/>
      <c r="VUL57" s="37"/>
      <c r="VUM57" s="37"/>
      <c r="VUN57" s="37"/>
      <c r="VUO57" s="37"/>
      <c r="VUP57" s="37"/>
      <c r="VUQ57" s="37"/>
      <c r="VUR57" s="37"/>
      <c r="VUS57" s="37"/>
      <c r="VUT57" s="37"/>
      <c r="VUU57" s="37"/>
      <c r="VUV57" s="37"/>
      <c r="VUW57" s="37"/>
      <c r="VUX57" s="37"/>
      <c r="VUY57" s="37"/>
      <c r="VUZ57" s="37"/>
      <c r="VVA57" s="37"/>
      <c r="VVB57" s="37"/>
      <c r="VVC57" s="37"/>
      <c r="VVD57" s="37"/>
      <c r="VVE57" s="37"/>
      <c r="VVF57" s="37"/>
      <c r="VVG57" s="37"/>
      <c r="VVH57" s="37"/>
      <c r="VVI57" s="37"/>
      <c r="VVJ57" s="37"/>
      <c r="VVK57" s="37"/>
      <c r="VVL57" s="37"/>
      <c r="VVM57" s="37"/>
      <c r="VVN57" s="37"/>
      <c r="VVO57" s="37"/>
      <c r="VVP57" s="37"/>
      <c r="VVQ57" s="37"/>
      <c r="VVR57" s="37"/>
      <c r="VVS57" s="37"/>
      <c r="VVT57" s="37"/>
      <c r="VVU57" s="37"/>
      <c r="VVV57" s="37"/>
      <c r="VVW57" s="37"/>
      <c r="VVX57" s="37"/>
      <c r="VVY57" s="37"/>
      <c r="VVZ57" s="37"/>
      <c r="VWA57" s="37"/>
      <c r="VWB57" s="37"/>
      <c r="VWC57" s="37"/>
      <c r="VWD57" s="37"/>
      <c r="VWE57" s="37"/>
      <c r="VWF57" s="37"/>
      <c r="VWG57" s="37"/>
      <c r="VWH57" s="37"/>
      <c r="VWI57" s="37"/>
      <c r="VWJ57" s="37"/>
      <c r="VWK57" s="37"/>
      <c r="VWL57" s="37"/>
      <c r="VWM57" s="37"/>
      <c r="VWN57" s="37"/>
      <c r="VWO57" s="37"/>
      <c r="VWP57" s="37"/>
      <c r="VWQ57" s="37"/>
      <c r="VWR57" s="37"/>
      <c r="VWS57" s="37"/>
      <c r="VWT57" s="37"/>
      <c r="VWU57" s="37"/>
      <c r="VWV57" s="37"/>
      <c r="VWW57" s="37"/>
      <c r="VWX57" s="37"/>
      <c r="VWY57" s="37"/>
      <c r="VWZ57" s="37"/>
      <c r="VXA57" s="37"/>
      <c r="VXB57" s="37"/>
      <c r="VXC57" s="37"/>
      <c r="VXD57" s="37"/>
      <c r="VXE57" s="37"/>
      <c r="VXF57" s="37"/>
      <c r="VXG57" s="37"/>
      <c r="VXH57" s="37"/>
      <c r="VXI57" s="37"/>
      <c r="VXJ57" s="37"/>
      <c r="VXK57" s="37"/>
      <c r="VXL57" s="37"/>
      <c r="VXM57" s="37"/>
      <c r="VXN57" s="37"/>
      <c r="VXO57" s="37"/>
      <c r="VXP57" s="37"/>
      <c r="VXQ57" s="37"/>
      <c r="VXR57" s="37"/>
      <c r="VXS57" s="37"/>
      <c r="VXT57" s="37"/>
      <c r="VXU57" s="37"/>
      <c r="VXV57" s="37"/>
      <c r="VXW57" s="37"/>
      <c r="VXX57" s="37"/>
      <c r="VXY57" s="37"/>
      <c r="VXZ57" s="37"/>
      <c r="VYA57" s="37"/>
      <c r="VYB57" s="37"/>
      <c r="VYC57" s="37"/>
      <c r="VYD57" s="37"/>
      <c r="VYE57" s="37"/>
      <c r="VYF57" s="37"/>
      <c r="VYG57" s="37"/>
      <c r="VYH57" s="37"/>
      <c r="VYI57" s="37"/>
      <c r="VYJ57" s="37"/>
      <c r="VYK57" s="37"/>
      <c r="VYL57" s="37"/>
      <c r="VYM57" s="37"/>
      <c r="VYN57" s="37"/>
      <c r="VYO57" s="37"/>
      <c r="VYP57" s="37"/>
      <c r="VYQ57" s="37"/>
      <c r="VYR57" s="37"/>
      <c r="VYS57" s="37"/>
      <c r="VYT57" s="37"/>
      <c r="VYU57" s="37"/>
      <c r="VYV57" s="37"/>
      <c r="VYW57" s="37"/>
      <c r="VYX57" s="37"/>
      <c r="VYY57" s="37"/>
      <c r="VYZ57" s="37"/>
      <c r="VZA57" s="37"/>
      <c r="VZB57" s="37"/>
      <c r="VZC57" s="37"/>
      <c r="VZD57" s="37"/>
      <c r="VZE57" s="37"/>
      <c r="VZF57" s="37"/>
      <c r="VZG57" s="37"/>
      <c r="VZH57" s="37"/>
      <c r="VZI57" s="37"/>
      <c r="VZJ57" s="37"/>
      <c r="VZK57" s="37"/>
      <c r="VZL57" s="37"/>
      <c r="VZM57" s="37"/>
      <c r="VZN57" s="37"/>
      <c r="VZO57" s="37"/>
      <c r="VZP57" s="37"/>
      <c r="VZQ57" s="37"/>
      <c r="VZR57" s="37"/>
      <c r="VZS57" s="37"/>
      <c r="VZT57" s="37"/>
      <c r="VZU57" s="37"/>
      <c r="VZV57" s="37"/>
      <c r="VZW57" s="37"/>
      <c r="VZX57" s="37"/>
      <c r="VZY57" s="37"/>
      <c r="VZZ57" s="37"/>
      <c r="WAA57" s="37"/>
      <c r="WAB57" s="37"/>
      <c r="WAC57" s="37"/>
      <c r="WAD57" s="37"/>
      <c r="WAE57" s="37"/>
      <c r="WAF57" s="37"/>
      <c r="WAG57" s="37"/>
      <c r="WAH57" s="37"/>
      <c r="WAI57" s="37"/>
      <c r="WAJ57" s="37"/>
      <c r="WAK57" s="37"/>
      <c r="WAL57" s="37"/>
      <c r="WAM57" s="37"/>
      <c r="WAN57" s="37"/>
      <c r="WAO57" s="37"/>
      <c r="WAP57" s="37"/>
      <c r="WAQ57" s="37"/>
      <c r="WAR57" s="37"/>
      <c r="WAS57" s="37"/>
      <c r="WAT57" s="37"/>
      <c r="WAU57" s="37"/>
      <c r="WAV57" s="37"/>
      <c r="WAW57" s="37"/>
      <c r="WAX57" s="37"/>
      <c r="WAY57" s="37"/>
      <c r="WAZ57" s="37"/>
      <c r="WBA57" s="37"/>
      <c r="WBB57" s="37"/>
      <c r="WBC57" s="37"/>
      <c r="WBD57" s="37"/>
      <c r="WBE57" s="37"/>
      <c r="WBF57" s="37"/>
      <c r="WBG57" s="37"/>
      <c r="WBH57" s="37"/>
      <c r="WBI57" s="37"/>
      <c r="WBJ57" s="37"/>
      <c r="WBK57" s="37"/>
      <c r="WBL57" s="37"/>
      <c r="WBM57" s="37"/>
      <c r="WBN57" s="37"/>
      <c r="WBO57" s="37"/>
      <c r="WBP57" s="37"/>
      <c r="WBQ57" s="37"/>
      <c r="WBR57" s="37"/>
      <c r="WBS57" s="37"/>
      <c r="WBT57" s="37"/>
      <c r="WBU57" s="37"/>
      <c r="WBV57" s="37"/>
      <c r="WBW57" s="37"/>
      <c r="WBX57" s="37"/>
      <c r="WBY57" s="37"/>
      <c r="WBZ57" s="37"/>
      <c r="WCA57" s="37"/>
      <c r="WCB57" s="37"/>
      <c r="WCC57" s="37"/>
      <c r="WCD57" s="37"/>
      <c r="WCE57" s="37"/>
      <c r="WCF57" s="37"/>
      <c r="WCG57" s="37"/>
      <c r="WCH57" s="37"/>
      <c r="WCI57" s="37"/>
      <c r="WCJ57" s="37"/>
      <c r="WCK57" s="37"/>
      <c r="WCL57" s="37"/>
      <c r="WCM57" s="37"/>
      <c r="WCN57" s="37"/>
      <c r="WCO57" s="37"/>
      <c r="WCP57" s="37"/>
      <c r="WCQ57" s="37"/>
      <c r="WCR57" s="37"/>
      <c r="WCS57" s="37"/>
      <c r="WCT57" s="37"/>
      <c r="WCU57" s="37"/>
      <c r="WCV57" s="37"/>
      <c r="WCW57" s="37"/>
      <c r="WCX57" s="37"/>
      <c r="WCY57" s="37"/>
      <c r="WCZ57" s="37"/>
      <c r="WDA57" s="37"/>
      <c r="WDB57" s="37"/>
      <c r="WDC57" s="37"/>
      <c r="WDD57" s="37"/>
      <c r="WDE57" s="37"/>
      <c r="WDF57" s="37"/>
      <c r="WDG57" s="37"/>
      <c r="WDH57" s="37"/>
      <c r="WDI57" s="37"/>
      <c r="WDJ57" s="37"/>
      <c r="WDK57" s="37"/>
      <c r="WDL57" s="37"/>
      <c r="WDM57" s="37"/>
      <c r="WDN57" s="37"/>
      <c r="WDO57" s="37"/>
      <c r="WDP57" s="37"/>
      <c r="WDQ57" s="37"/>
      <c r="WDR57" s="37"/>
      <c r="WDS57" s="37"/>
      <c r="WDT57" s="37"/>
      <c r="WDU57" s="37"/>
      <c r="WDV57" s="37"/>
      <c r="WDW57" s="37"/>
      <c r="WDX57" s="37"/>
      <c r="WDY57" s="37"/>
      <c r="WDZ57" s="37"/>
      <c r="WEA57" s="37"/>
      <c r="WEB57" s="37"/>
      <c r="WEC57" s="37"/>
      <c r="WED57" s="37"/>
      <c r="WEE57" s="37"/>
      <c r="WEF57" s="37"/>
      <c r="WEG57" s="37"/>
      <c r="WEH57" s="37"/>
      <c r="WEI57" s="37"/>
      <c r="WEJ57" s="37"/>
      <c r="WEK57" s="37"/>
      <c r="WEL57" s="37"/>
      <c r="WEM57" s="37"/>
      <c r="WEN57" s="37"/>
      <c r="WEO57" s="37"/>
      <c r="WEP57" s="37"/>
      <c r="WEQ57" s="37"/>
      <c r="WER57" s="37"/>
      <c r="WES57" s="37"/>
      <c r="WET57" s="37"/>
      <c r="WEU57" s="37"/>
      <c r="WEV57" s="37"/>
      <c r="WEW57" s="37"/>
      <c r="WEX57" s="37"/>
      <c r="WEY57" s="37"/>
      <c r="WEZ57" s="37"/>
      <c r="WFA57" s="37"/>
      <c r="WFB57" s="37"/>
      <c r="WFC57" s="37"/>
      <c r="WFD57" s="37"/>
      <c r="WFE57" s="37"/>
      <c r="WFF57" s="37"/>
      <c r="WFG57" s="37"/>
      <c r="WFH57" s="37"/>
      <c r="WFI57" s="37"/>
      <c r="WFJ57" s="37"/>
      <c r="WFK57" s="37"/>
      <c r="WFL57" s="37"/>
      <c r="WFM57" s="37"/>
      <c r="WFN57" s="37"/>
      <c r="WFO57" s="37"/>
      <c r="WFP57" s="37"/>
      <c r="WFQ57" s="37"/>
      <c r="WFR57" s="37"/>
      <c r="WFS57" s="37"/>
      <c r="WFT57" s="37"/>
      <c r="WFU57" s="37"/>
      <c r="WFV57" s="37"/>
      <c r="WFW57" s="37"/>
      <c r="WFX57" s="37"/>
      <c r="WFY57" s="37"/>
      <c r="WFZ57" s="37"/>
      <c r="WGA57" s="37"/>
      <c r="WGB57" s="37"/>
      <c r="WGC57" s="37"/>
      <c r="WGD57" s="37"/>
      <c r="WGE57" s="37"/>
      <c r="WGF57" s="37"/>
      <c r="WGG57" s="37"/>
      <c r="WGH57" s="37"/>
      <c r="WGI57" s="37"/>
      <c r="WGJ57" s="37"/>
      <c r="WGK57" s="37"/>
      <c r="WGL57" s="37"/>
      <c r="WGM57" s="37"/>
      <c r="WGN57" s="37"/>
      <c r="WGO57" s="37"/>
      <c r="WGP57" s="37"/>
      <c r="WGQ57" s="37"/>
      <c r="WGR57" s="37"/>
      <c r="WGS57" s="37"/>
      <c r="WGT57" s="37"/>
      <c r="WGU57" s="37"/>
      <c r="WGV57" s="37"/>
      <c r="WGW57" s="37"/>
      <c r="WGX57" s="37"/>
      <c r="WGY57" s="37"/>
      <c r="WGZ57" s="37"/>
      <c r="WHA57" s="37"/>
      <c r="WHB57" s="37"/>
      <c r="WHC57" s="37"/>
      <c r="WHD57" s="37"/>
      <c r="WHE57" s="37"/>
      <c r="WHF57" s="37"/>
      <c r="WHG57" s="37"/>
      <c r="WHH57" s="37"/>
      <c r="WHI57" s="37"/>
      <c r="WHJ57" s="37"/>
      <c r="WHK57" s="37"/>
      <c r="WHL57" s="37"/>
      <c r="WHM57" s="37"/>
      <c r="WHN57" s="37"/>
      <c r="WHO57" s="37"/>
      <c r="WHP57" s="37"/>
      <c r="WHQ57" s="37"/>
      <c r="WHR57" s="37"/>
      <c r="WHS57" s="37"/>
      <c r="WHT57" s="37"/>
      <c r="WHU57" s="37"/>
      <c r="WHV57" s="37"/>
      <c r="WHW57" s="37"/>
      <c r="WHX57" s="37"/>
      <c r="WHY57" s="37"/>
      <c r="WHZ57" s="37"/>
      <c r="WIA57" s="37"/>
      <c r="WIB57" s="37"/>
      <c r="WIC57" s="37"/>
      <c r="WID57" s="37"/>
      <c r="WIE57" s="37"/>
      <c r="WIF57" s="37"/>
      <c r="WIG57" s="37"/>
      <c r="WIH57" s="37"/>
      <c r="WII57" s="37"/>
      <c r="WIJ57" s="37"/>
      <c r="WIK57" s="37"/>
      <c r="WIL57" s="37"/>
      <c r="WIM57" s="37"/>
      <c r="WIN57" s="37"/>
      <c r="WIO57" s="37"/>
      <c r="WIP57" s="37"/>
      <c r="WIQ57" s="37"/>
      <c r="WIR57" s="37"/>
      <c r="WIS57" s="37"/>
      <c r="WIT57" s="37"/>
      <c r="WIU57" s="37"/>
      <c r="WIV57" s="37"/>
      <c r="WIW57" s="37"/>
      <c r="WIX57" s="37"/>
      <c r="WIY57" s="37"/>
      <c r="WIZ57" s="37"/>
      <c r="WJA57" s="37"/>
      <c r="WJB57" s="37"/>
      <c r="WJC57" s="37"/>
      <c r="WJD57" s="37"/>
      <c r="WJE57" s="37"/>
      <c r="WJF57" s="37"/>
      <c r="WJG57" s="37"/>
      <c r="WJH57" s="37"/>
      <c r="WJI57" s="37"/>
      <c r="WJJ57" s="37"/>
      <c r="WJK57" s="37"/>
      <c r="WJL57" s="37"/>
      <c r="WJM57" s="37"/>
      <c r="WJN57" s="37"/>
      <c r="WJO57" s="37"/>
      <c r="WJP57" s="37"/>
      <c r="WJQ57" s="37"/>
      <c r="WJR57" s="37"/>
      <c r="WJS57" s="37"/>
      <c r="WJT57" s="37"/>
      <c r="WJU57" s="37"/>
      <c r="WJV57" s="37"/>
      <c r="WJW57" s="37"/>
      <c r="WJX57" s="37"/>
      <c r="WJY57" s="37"/>
      <c r="WJZ57" s="37"/>
      <c r="WKA57" s="37"/>
      <c r="WKB57" s="37"/>
      <c r="WKC57" s="37"/>
      <c r="WKD57" s="37"/>
      <c r="WKE57" s="37"/>
      <c r="WKF57" s="37"/>
      <c r="WKG57" s="37"/>
      <c r="WKH57" s="37"/>
      <c r="WKI57" s="37"/>
      <c r="WKJ57" s="37"/>
      <c r="WKK57" s="37"/>
      <c r="WKL57" s="37"/>
      <c r="WKM57" s="37"/>
      <c r="WKN57" s="37"/>
      <c r="WKO57" s="37"/>
      <c r="WKP57" s="37"/>
      <c r="WKQ57" s="37"/>
      <c r="WKR57" s="37"/>
      <c r="WKS57" s="37"/>
      <c r="WKT57" s="37"/>
      <c r="WKU57" s="37"/>
      <c r="WKV57" s="37"/>
      <c r="WKW57" s="37"/>
      <c r="WKX57" s="37"/>
      <c r="WKY57" s="37"/>
      <c r="WKZ57" s="37"/>
      <c r="WLA57" s="37"/>
      <c r="WLB57" s="37"/>
      <c r="WLC57" s="37"/>
      <c r="WLD57" s="37"/>
      <c r="WLE57" s="37"/>
      <c r="WLF57" s="37"/>
      <c r="WLG57" s="37"/>
      <c r="WLH57" s="37"/>
      <c r="WLI57" s="37"/>
      <c r="WLJ57" s="37"/>
      <c r="WLK57" s="37"/>
      <c r="WLL57" s="37"/>
      <c r="WLM57" s="37"/>
      <c r="WLN57" s="37"/>
      <c r="WLO57" s="37"/>
      <c r="WLP57" s="37"/>
      <c r="WLQ57" s="37"/>
      <c r="WLR57" s="37"/>
      <c r="WLS57" s="37"/>
      <c r="WLT57" s="37"/>
      <c r="WLU57" s="37"/>
      <c r="WLV57" s="37"/>
      <c r="WLW57" s="37"/>
      <c r="WLX57" s="37"/>
      <c r="WLY57" s="37"/>
      <c r="WLZ57" s="37"/>
      <c r="WMA57" s="37"/>
      <c r="WMB57" s="37"/>
      <c r="WMC57" s="37"/>
      <c r="WMD57" s="37"/>
      <c r="WME57" s="37"/>
      <c r="WMF57" s="37"/>
      <c r="WMG57" s="37"/>
      <c r="WMH57" s="37"/>
      <c r="WMI57" s="37"/>
      <c r="WMJ57" s="37"/>
      <c r="WMK57" s="37"/>
      <c r="WML57" s="37"/>
      <c r="WMM57" s="37"/>
      <c r="WMN57" s="37"/>
      <c r="WMO57" s="37"/>
      <c r="WMP57" s="37"/>
      <c r="WMQ57" s="37"/>
      <c r="WMR57" s="37"/>
      <c r="WMS57" s="37"/>
      <c r="WMT57" s="37"/>
      <c r="WMU57" s="37"/>
      <c r="WMV57" s="37"/>
      <c r="WMW57" s="37"/>
      <c r="WMX57" s="37"/>
      <c r="WMY57" s="37"/>
      <c r="WMZ57" s="37"/>
      <c r="WNA57" s="37"/>
      <c r="WNB57" s="37"/>
      <c r="WNC57" s="37"/>
      <c r="WND57" s="37"/>
      <c r="WNE57" s="37"/>
      <c r="WNF57" s="37"/>
      <c r="WNG57" s="37"/>
      <c r="WNH57" s="37"/>
      <c r="WNI57" s="37"/>
      <c r="WNJ57" s="37"/>
      <c r="WNK57" s="37"/>
      <c r="WNL57" s="37"/>
      <c r="WNM57" s="37"/>
      <c r="WNN57" s="37"/>
      <c r="WNO57" s="37"/>
      <c r="WNP57" s="37"/>
      <c r="WNQ57" s="37"/>
      <c r="WNR57" s="37"/>
      <c r="WNS57" s="37"/>
      <c r="WNT57" s="37"/>
      <c r="WNU57" s="37"/>
      <c r="WNV57" s="37"/>
      <c r="WNW57" s="37"/>
      <c r="WNX57" s="37"/>
      <c r="WNY57" s="37"/>
      <c r="WNZ57" s="37"/>
      <c r="WOA57" s="37"/>
      <c r="WOB57" s="37"/>
      <c r="WOC57" s="37"/>
      <c r="WOD57" s="37"/>
      <c r="WOE57" s="37"/>
      <c r="WOF57" s="37"/>
      <c r="WOG57" s="37"/>
      <c r="WOH57" s="37"/>
      <c r="WOI57" s="37"/>
      <c r="WOJ57" s="37"/>
      <c r="WOK57" s="37"/>
      <c r="WOL57" s="37"/>
      <c r="WOM57" s="37"/>
      <c r="WON57" s="37"/>
      <c r="WOO57" s="37"/>
      <c r="WOP57" s="37"/>
      <c r="WOQ57" s="37"/>
      <c r="WOR57" s="37"/>
      <c r="WOS57" s="37"/>
      <c r="WOT57" s="37"/>
      <c r="WOU57" s="37"/>
      <c r="WOV57" s="37"/>
      <c r="WOW57" s="37"/>
      <c r="WOX57" s="37"/>
      <c r="WOY57" s="37"/>
      <c r="WOZ57" s="37"/>
      <c r="WPA57" s="37"/>
      <c r="WPB57" s="37"/>
      <c r="WPC57" s="37"/>
      <c r="WPD57" s="37"/>
      <c r="WPE57" s="37"/>
      <c r="WPF57" s="37"/>
      <c r="WPG57" s="37"/>
      <c r="WPH57" s="37"/>
      <c r="WPI57" s="37"/>
      <c r="WPJ57" s="37"/>
      <c r="WPK57" s="37"/>
      <c r="WPL57" s="37"/>
      <c r="WPM57" s="37"/>
      <c r="WPN57" s="37"/>
      <c r="WPO57" s="37"/>
      <c r="WPP57" s="37"/>
      <c r="WPQ57" s="37"/>
      <c r="WPR57" s="37"/>
      <c r="WPS57" s="37"/>
      <c r="WPT57" s="37"/>
      <c r="WPU57" s="37"/>
      <c r="WPV57" s="37"/>
      <c r="WPW57" s="37"/>
      <c r="WPX57" s="37"/>
      <c r="WPY57" s="37"/>
      <c r="WPZ57" s="37"/>
      <c r="WQA57" s="37"/>
      <c r="WQB57" s="37"/>
      <c r="WQC57" s="37"/>
      <c r="WQD57" s="37"/>
      <c r="WQE57" s="37"/>
      <c r="WQF57" s="37"/>
      <c r="WQG57" s="37"/>
      <c r="WQH57" s="37"/>
      <c r="WQI57" s="37"/>
      <c r="WQJ57" s="37"/>
      <c r="WQK57" s="37"/>
      <c r="WQL57" s="37"/>
      <c r="WQM57" s="37"/>
      <c r="WQN57" s="37"/>
      <c r="WQO57" s="37"/>
      <c r="WQP57" s="37"/>
      <c r="WQQ57" s="37"/>
      <c r="WQR57" s="37"/>
      <c r="WQS57" s="37"/>
      <c r="WQT57" s="37"/>
      <c r="WQU57" s="37"/>
      <c r="WQV57" s="37"/>
      <c r="WQW57" s="37"/>
      <c r="WQX57" s="37"/>
      <c r="WQY57" s="37"/>
      <c r="WQZ57" s="37"/>
      <c r="WRA57" s="37"/>
      <c r="WRB57" s="37"/>
      <c r="WRC57" s="37"/>
      <c r="WRD57" s="37"/>
      <c r="WRE57" s="37"/>
      <c r="WRF57" s="37"/>
      <c r="WRG57" s="37"/>
      <c r="WRH57" s="37"/>
      <c r="WRI57" s="37"/>
      <c r="WRJ57" s="37"/>
      <c r="WRK57" s="37"/>
      <c r="WRL57" s="37"/>
      <c r="WRM57" s="37"/>
      <c r="WRN57" s="37"/>
      <c r="WRO57" s="37"/>
      <c r="WRP57" s="37"/>
      <c r="WRQ57" s="37"/>
      <c r="WRR57" s="37"/>
      <c r="WRS57" s="37"/>
      <c r="WRT57" s="37"/>
      <c r="WRU57" s="37"/>
      <c r="WRV57" s="37"/>
      <c r="WRW57" s="37"/>
      <c r="WRX57" s="37"/>
      <c r="WRY57" s="37"/>
      <c r="WRZ57" s="37"/>
      <c r="WSA57" s="37"/>
      <c r="WSB57" s="37"/>
      <c r="WSC57" s="37"/>
      <c r="WSD57" s="37"/>
      <c r="WSE57" s="37"/>
      <c r="WSF57" s="37"/>
      <c r="WSG57" s="37"/>
      <c r="WSH57" s="37"/>
      <c r="WSI57" s="37"/>
      <c r="WSJ57" s="37"/>
      <c r="WSK57" s="37"/>
      <c r="WSL57" s="37"/>
      <c r="WSM57" s="37"/>
      <c r="WSN57" s="37"/>
      <c r="WSO57" s="37"/>
      <c r="WSP57" s="37"/>
      <c r="WSQ57" s="37"/>
      <c r="WSR57" s="37"/>
      <c r="WSS57" s="37"/>
      <c r="WST57" s="37"/>
      <c r="WSU57" s="37"/>
      <c r="WSV57" s="37"/>
      <c r="WSW57" s="37"/>
      <c r="WSX57" s="37"/>
      <c r="WSY57" s="37"/>
      <c r="WSZ57" s="37"/>
      <c r="WTA57" s="37"/>
      <c r="WTB57" s="37"/>
      <c r="WTC57" s="37"/>
      <c r="WTD57" s="37"/>
      <c r="WTE57" s="37"/>
      <c r="WTF57" s="37"/>
      <c r="WTG57" s="37"/>
      <c r="WTH57" s="37"/>
      <c r="WTI57" s="37"/>
      <c r="WTJ57" s="37"/>
      <c r="WTK57" s="37"/>
      <c r="WTL57" s="37"/>
      <c r="WTM57" s="37"/>
      <c r="WTN57" s="37"/>
      <c r="WTO57" s="37"/>
      <c r="WTP57" s="37"/>
      <c r="WTQ57" s="37"/>
      <c r="WTR57" s="37"/>
      <c r="WTS57" s="37"/>
      <c r="WTT57" s="37"/>
      <c r="WTU57" s="37"/>
      <c r="WTV57" s="37"/>
      <c r="WTW57" s="37"/>
      <c r="WTX57" s="37"/>
      <c r="WTY57" s="37"/>
      <c r="WTZ57" s="37"/>
      <c r="WUA57" s="37"/>
      <c r="WUB57" s="37"/>
      <c r="WUC57" s="37"/>
      <c r="WUD57" s="37"/>
      <c r="WUE57" s="37"/>
      <c r="WUF57" s="37"/>
      <c r="WUG57" s="37"/>
      <c r="WUH57" s="37"/>
      <c r="WUI57" s="37"/>
      <c r="WUJ57" s="37"/>
      <c r="WUK57" s="37"/>
      <c r="WUL57" s="37"/>
      <c r="WUM57" s="37"/>
      <c r="WUN57" s="37"/>
      <c r="WUO57" s="37"/>
      <c r="WUP57" s="37"/>
      <c r="WUQ57" s="37"/>
      <c r="WUR57" s="37"/>
      <c r="WUS57" s="37"/>
      <c r="WUT57" s="37"/>
      <c r="WUU57" s="37"/>
      <c r="WUV57" s="37"/>
      <c r="WUW57" s="37"/>
      <c r="WUX57" s="37"/>
      <c r="WUY57" s="37"/>
      <c r="WUZ57" s="37"/>
      <c r="WVA57" s="37"/>
      <c r="WVB57" s="37"/>
      <c r="WVC57" s="37"/>
      <c r="WVD57" s="37"/>
      <c r="WVE57" s="37"/>
      <c r="WVF57" s="37"/>
      <c r="WVG57" s="37"/>
      <c r="WVH57" s="37"/>
      <c r="WVI57" s="37"/>
      <c r="WVJ57" s="37"/>
      <c r="WVK57" s="37"/>
      <c r="WVL57" s="37"/>
      <c r="WVM57" s="37"/>
      <c r="WVN57" s="37"/>
      <c r="WVO57" s="37"/>
      <c r="WVP57" s="37"/>
      <c r="WVQ57" s="37"/>
      <c r="WVR57" s="37"/>
      <c r="WVS57" s="37"/>
      <c r="WVT57" s="37"/>
      <c r="WVU57" s="37"/>
      <c r="WVV57" s="37"/>
      <c r="WVW57" s="37"/>
      <c r="WVX57" s="37"/>
      <c r="WVY57" s="37"/>
      <c r="WVZ57" s="37"/>
      <c r="WWA57" s="37"/>
      <c r="WWB57" s="37"/>
      <c r="WWC57" s="37"/>
      <c r="WWD57" s="37"/>
      <c r="WWE57" s="37"/>
      <c r="WWF57" s="37"/>
      <c r="WWG57" s="37"/>
      <c r="WWH57" s="37"/>
      <c r="WWI57" s="37"/>
      <c r="WWJ57" s="37"/>
      <c r="WWK57" s="37"/>
      <c r="WWL57" s="37"/>
      <c r="WWM57" s="37"/>
      <c r="WWN57" s="37"/>
      <c r="WWO57" s="37"/>
      <c r="WWP57" s="37"/>
      <c r="WWQ57" s="37"/>
      <c r="WWR57" s="37"/>
      <c r="WWS57" s="37"/>
      <c r="WWT57" s="37"/>
      <c r="WWU57" s="37"/>
      <c r="WWV57" s="37"/>
      <c r="WWW57" s="37"/>
      <c r="WWX57" s="37"/>
      <c r="WWY57" s="37"/>
      <c r="WWZ57" s="37"/>
      <c r="WXA57" s="37"/>
      <c r="WXB57" s="37"/>
      <c r="WXC57" s="37"/>
      <c r="WXD57" s="37"/>
      <c r="WXE57" s="37"/>
      <c r="WXF57" s="37"/>
      <c r="WXG57" s="37"/>
      <c r="WXH57" s="37"/>
      <c r="WXI57" s="37"/>
      <c r="WXJ57" s="37"/>
      <c r="WXK57" s="37"/>
      <c r="WXL57" s="37"/>
      <c r="WXM57" s="37"/>
      <c r="WXN57" s="37"/>
      <c r="WXO57" s="37"/>
      <c r="WXP57" s="37"/>
      <c r="WXQ57" s="37"/>
      <c r="WXR57" s="37"/>
      <c r="WXS57" s="37"/>
      <c r="WXT57" s="37"/>
      <c r="WXU57" s="37"/>
      <c r="WXV57" s="37"/>
      <c r="WXW57" s="37"/>
      <c r="WXX57" s="37"/>
      <c r="WXY57" s="37"/>
      <c r="WXZ57" s="37"/>
      <c r="WYA57" s="37"/>
      <c r="WYB57" s="37"/>
      <c r="WYC57" s="37"/>
      <c r="WYD57" s="37"/>
      <c r="WYE57" s="37"/>
      <c r="WYF57" s="37"/>
      <c r="WYG57" s="37"/>
      <c r="WYH57" s="37"/>
      <c r="WYI57" s="37"/>
      <c r="WYJ57" s="37"/>
      <c r="WYK57" s="37"/>
      <c r="WYL57" s="37"/>
      <c r="WYM57" s="37"/>
      <c r="WYN57" s="37"/>
      <c r="WYO57" s="37"/>
      <c r="WYP57" s="37"/>
      <c r="WYQ57" s="37"/>
      <c r="WYR57" s="37"/>
      <c r="WYS57" s="37"/>
      <c r="WYT57" s="37"/>
      <c r="WYU57" s="37"/>
      <c r="WYV57" s="37"/>
      <c r="WYW57" s="37"/>
      <c r="WYX57" s="37"/>
      <c r="WYY57" s="37"/>
      <c r="WYZ57" s="37"/>
      <c r="WZA57" s="37"/>
      <c r="WZB57" s="37"/>
      <c r="WZC57" s="37"/>
      <c r="WZD57" s="37"/>
      <c r="WZE57" s="37"/>
      <c r="WZF57" s="37"/>
      <c r="WZG57" s="37"/>
      <c r="WZH57" s="37"/>
      <c r="WZI57" s="37"/>
      <c r="WZJ57" s="37"/>
      <c r="WZK57" s="37"/>
      <c r="WZL57" s="37"/>
      <c r="WZM57" s="37"/>
      <c r="WZN57" s="37"/>
      <c r="WZO57" s="37"/>
      <c r="WZP57" s="37"/>
      <c r="WZQ57" s="37"/>
      <c r="WZR57" s="37"/>
      <c r="WZS57" s="37"/>
      <c r="WZT57" s="37"/>
      <c r="WZU57" s="37"/>
      <c r="WZV57" s="37"/>
      <c r="WZW57" s="37"/>
      <c r="WZX57" s="37"/>
      <c r="WZY57" s="37"/>
      <c r="WZZ57" s="37"/>
      <c r="XAA57" s="37"/>
      <c r="XAB57" s="37"/>
      <c r="XAC57" s="37"/>
      <c r="XAD57" s="37"/>
      <c r="XAE57" s="37"/>
      <c r="XAF57" s="37"/>
      <c r="XAG57" s="37"/>
      <c r="XAH57" s="37"/>
      <c r="XAI57" s="37"/>
      <c r="XAJ57" s="37"/>
      <c r="XAK57" s="37"/>
      <c r="XAL57" s="37"/>
      <c r="XAM57" s="37"/>
      <c r="XAN57" s="37"/>
      <c r="XAO57" s="37"/>
      <c r="XAP57" s="37"/>
      <c r="XAQ57" s="37"/>
      <c r="XAR57" s="37"/>
      <c r="XAS57" s="37"/>
      <c r="XAT57" s="37"/>
      <c r="XAU57" s="37"/>
      <c r="XAV57" s="37"/>
      <c r="XAW57" s="37"/>
      <c r="XAX57" s="37"/>
      <c r="XAY57" s="37"/>
      <c r="XAZ57" s="37"/>
      <c r="XBA57" s="37"/>
      <c r="XBB57" s="37"/>
      <c r="XBC57" s="37"/>
      <c r="XBD57" s="37"/>
      <c r="XBE57" s="37"/>
      <c r="XBF57" s="37"/>
      <c r="XBG57" s="37"/>
      <c r="XBH57" s="37"/>
      <c r="XBI57" s="37"/>
      <c r="XBJ57" s="37"/>
      <c r="XBK57" s="37"/>
      <c r="XBL57" s="37"/>
      <c r="XBM57" s="37"/>
      <c r="XBN57" s="37"/>
      <c r="XBO57" s="37"/>
      <c r="XBP57" s="37"/>
      <c r="XBQ57" s="37"/>
      <c r="XBR57" s="37"/>
      <c r="XBS57" s="37"/>
      <c r="XBT57" s="37"/>
      <c r="XBU57" s="37"/>
      <c r="XBV57" s="37"/>
      <c r="XBW57" s="37"/>
      <c r="XBX57" s="37"/>
      <c r="XBY57" s="37"/>
      <c r="XBZ57" s="37"/>
      <c r="XCA57" s="37"/>
      <c r="XCB57" s="37"/>
      <c r="XCC57" s="37"/>
      <c r="XCD57" s="37"/>
      <c r="XCE57" s="37"/>
      <c r="XCF57" s="37"/>
      <c r="XCG57" s="37"/>
      <c r="XCH57" s="37"/>
      <c r="XCI57" s="37"/>
      <c r="XCJ57" s="37"/>
      <c r="XCK57" s="37"/>
      <c r="XCL57" s="37"/>
      <c r="XCM57" s="37"/>
      <c r="XCN57" s="37"/>
      <c r="XCO57" s="37"/>
      <c r="XCP57" s="37"/>
      <c r="XCQ57" s="37"/>
      <c r="XCR57" s="37"/>
      <c r="XCS57" s="37"/>
      <c r="XCT57" s="37"/>
      <c r="XCU57" s="37"/>
      <c r="XCV57" s="37"/>
      <c r="XCW57" s="37"/>
      <c r="XCX57" s="37"/>
      <c r="XCY57" s="37"/>
      <c r="XCZ57" s="37"/>
      <c r="XDA57" s="37"/>
      <c r="XDB57" s="37"/>
      <c r="XDC57" s="37"/>
      <c r="XDD57" s="37"/>
      <c r="XDE57" s="37"/>
      <c r="XDF57" s="37"/>
      <c r="XDG57" s="37"/>
      <c r="XDH57" s="37"/>
      <c r="XDI57" s="37"/>
      <c r="XDJ57" s="37"/>
      <c r="XDK57" s="37"/>
      <c r="XDL57" s="37"/>
      <c r="XDM57" s="37"/>
      <c r="XDN57" s="37"/>
      <c r="XDO57" s="37"/>
      <c r="XDP57" s="37"/>
      <c r="XDQ57" s="37"/>
      <c r="XDR57" s="37"/>
      <c r="XDS57" s="37"/>
      <c r="XDT57" s="37"/>
      <c r="XDU57" s="37"/>
      <c r="XDV57" s="37"/>
      <c r="XDW57" s="37"/>
      <c r="XDX57" s="37"/>
      <c r="XDY57" s="37"/>
      <c r="XDZ57" s="37"/>
      <c r="XEA57" s="37"/>
      <c r="XEB57" s="37"/>
      <c r="XEC57" s="37"/>
      <c r="XED57" s="37"/>
      <c r="XEE57" s="37"/>
      <c r="XEF57" s="37"/>
      <c r="XEG57" s="37"/>
      <c r="XEH57" s="37"/>
      <c r="XEI57" s="37"/>
      <c r="XEJ57" s="37"/>
      <c r="XEK57" s="37"/>
      <c r="XEL57" s="37"/>
      <c r="XEM57" s="37"/>
      <c r="XEN57" s="37"/>
      <c r="XEO57" s="37"/>
      <c r="XEP57" s="37"/>
      <c r="XEQ57" s="37"/>
      <c r="XER57" s="37"/>
      <c r="XES57" s="37"/>
      <c r="XET57" s="37"/>
      <c r="XEU57" s="37"/>
      <c r="XEV57" s="37"/>
      <c r="XEW57" s="37"/>
      <c r="XEX57" s="37"/>
      <c r="XEY57" s="37"/>
      <c r="XEZ57" s="37"/>
      <c r="XFA57" s="37"/>
      <c r="XFB57" s="37"/>
      <c r="XFC57" s="37"/>
      <c r="XFD57" s="37"/>
    </row>
    <row r="58" spans="1:16384" ht="12.75" customHeight="1" x14ac:dyDescent="0.2">
      <c r="A58" s="37" t="s">
        <v>615</v>
      </c>
      <c r="B58" s="13"/>
      <c r="C58" s="13"/>
      <c r="D58" s="13"/>
      <c r="E58" s="13"/>
      <c r="F58" s="13"/>
      <c r="G58" s="13"/>
      <c r="H58" s="13"/>
      <c r="I58" s="13"/>
      <c r="J58" s="13"/>
      <c r="K58" s="13"/>
      <c r="L58" s="13"/>
      <c r="M58" s="215"/>
      <c r="N58" s="215"/>
      <c r="O58" s="215"/>
      <c r="P58" s="39"/>
    </row>
    <row r="59" spans="1:16384" ht="12.75" customHeight="1" x14ac:dyDescent="0.2">
      <c r="A59" s="255" t="s">
        <v>967</v>
      </c>
      <c r="B59" s="13"/>
      <c r="C59" s="13"/>
      <c r="D59" s="13"/>
      <c r="E59" s="13"/>
      <c r="F59" s="13"/>
      <c r="G59" s="13"/>
      <c r="H59" s="13"/>
      <c r="I59" s="13"/>
      <c r="J59" s="13"/>
      <c r="K59" s="13"/>
      <c r="L59" s="13"/>
      <c r="M59" s="215"/>
      <c r="N59" s="215"/>
      <c r="O59" s="215"/>
      <c r="P59" s="39"/>
    </row>
    <row r="60" spans="1:16384" ht="14.25" customHeight="1" x14ac:dyDescent="0.2">
      <c r="A60" s="286" t="s">
        <v>202</v>
      </c>
      <c r="B60" s="3"/>
      <c r="C60" s="3"/>
      <c r="D60" s="3"/>
      <c r="G60" s="185"/>
      <c r="J60" s="185"/>
    </row>
    <row r="61" spans="1:16384" x14ac:dyDescent="0.2">
      <c r="A61" s="37"/>
    </row>
    <row r="62" spans="1:16384" ht="21" x14ac:dyDescent="0.2">
      <c r="A62" s="46" t="s">
        <v>907</v>
      </c>
    </row>
    <row r="63" spans="1:16384" ht="15" customHeight="1" thickBot="1" x14ac:dyDescent="0.25">
      <c r="P63" s="259" t="s">
        <v>23</v>
      </c>
    </row>
    <row r="64" spans="1:16384" ht="18" customHeight="1" x14ac:dyDescent="0.2">
      <c r="A64" s="41"/>
      <c r="B64" s="42" t="s">
        <v>35</v>
      </c>
      <c r="C64" s="42" t="s">
        <v>121</v>
      </c>
      <c r="D64" s="42" t="s">
        <v>123</v>
      </c>
      <c r="E64" s="42" t="s">
        <v>36</v>
      </c>
      <c r="F64" s="42" t="s">
        <v>37</v>
      </c>
      <c r="G64" s="42" t="s">
        <v>38</v>
      </c>
      <c r="H64" s="42" t="s">
        <v>39</v>
      </c>
      <c r="I64" s="42" t="s">
        <v>125</v>
      </c>
      <c r="J64" s="42" t="s">
        <v>126</v>
      </c>
      <c r="K64" s="42" t="s">
        <v>127</v>
      </c>
      <c r="L64" s="252">
        <v>100000</v>
      </c>
      <c r="M64" s="250" t="s">
        <v>231</v>
      </c>
      <c r="N64" s="250" t="s">
        <v>229</v>
      </c>
      <c r="O64" s="257" t="s">
        <v>77</v>
      </c>
      <c r="P64" s="281" t="s">
        <v>220</v>
      </c>
    </row>
    <row r="65" spans="1:16" ht="18" customHeight="1" x14ac:dyDescent="0.2">
      <c r="A65" s="566" t="s">
        <v>81</v>
      </c>
      <c r="B65" s="43" t="s">
        <v>120</v>
      </c>
      <c r="C65" s="43" t="s">
        <v>40</v>
      </c>
      <c r="D65" s="43" t="s">
        <v>40</v>
      </c>
      <c r="E65" s="43" t="s">
        <v>40</v>
      </c>
      <c r="F65" s="43" t="s">
        <v>40</v>
      </c>
      <c r="G65" s="43" t="s">
        <v>40</v>
      </c>
      <c r="H65" s="43" t="s">
        <v>40</v>
      </c>
      <c r="I65" s="43" t="s">
        <v>40</v>
      </c>
      <c r="J65" s="43" t="s">
        <v>40</v>
      </c>
      <c r="K65" s="43" t="s">
        <v>40</v>
      </c>
      <c r="L65" s="43" t="s">
        <v>43</v>
      </c>
      <c r="M65" s="239" t="s">
        <v>230</v>
      </c>
      <c r="N65" s="239" t="s">
        <v>138</v>
      </c>
      <c r="O65" s="256" t="s">
        <v>137</v>
      </c>
      <c r="P65" s="282" t="s">
        <v>284</v>
      </c>
    </row>
    <row r="66" spans="1:16" ht="18" customHeight="1" thickBot="1" x14ac:dyDescent="0.25">
      <c r="A66" s="423" t="s">
        <v>99</v>
      </c>
      <c r="B66" s="44" t="s">
        <v>43</v>
      </c>
      <c r="C66" s="44" t="s">
        <v>122</v>
      </c>
      <c r="D66" s="44" t="s">
        <v>124</v>
      </c>
      <c r="E66" s="44" t="s">
        <v>44</v>
      </c>
      <c r="F66" s="44" t="s">
        <v>45</v>
      </c>
      <c r="G66" s="44" t="s">
        <v>46</v>
      </c>
      <c r="H66" s="44" t="s">
        <v>42</v>
      </c>
      <c r="I66" s="44" t="s">
        <v>128</v>
      </c>
      <c r="J66" s="44" t="s">
        <v>129</v>
      </c>
      <c r="K66" s="44" t="s">
        <v>130</v>
      </c>
      <c r="L66" s="44" t="s">
        <v>131</v>
      </c>
      <c r="M66" s="251" t="s">
        <v>138</v>
      </c>
      <c r="N66" s="251" t="s">
        <v>131</v>
      </c>
      <c r="O66" s="258" t="s">
        <v>41</v>
      </c>
      <c r="P66" s="283" t="s">
        <v>239</v>
      </c>
    </row>
    <row r="67" spans="1:16" s="465" customFormat="1" ht="15.75" customHeight="1" x14ac:dyDescent="0.25">
      <c r="A67" s="544" t="s">
        <v>200</v>
      </c>
      <c r="B67" s="556"/>
      <c r="C67" s="556"/>
      <c r="D67" s="556"/>
      <c r="E67" s="556"/>
      <c r="F67" s="556"/>
      <c r="G67" s="556"/>
      <c r="H67" s="556"/>
      <c r="I67" s="556"/>
      <c r="J67" s="556"/>
      <c r="K67" s="556"/>
      <c r="L67" s="556"/>
      <c r="M67" s="556"/>
      <c r="N67" s="556"/>
      <c r="O67" s="556"/>
    </row>
    <row r="68" spans="1:16" s="465" customFormat="1" ht="16.5" customHeight="1" x14ac:dyDescent="0.25">
      <c r="A68" s="487" t="s">
        <v>286</v>
      </c>
      <c r="B68" s="719">
        <f>B8/B$8</f>
        <v>1</v>
      </c>
      <c r="C68" s="719">
        <f t="shared" ref="C68:P68" si="0">C8/C$8</f>
        <v>1</v>
      </c>
      <c r="D68" s="719">
        <f t="shared" si="0"/>
        <v>1</v>
      </c>
      <c r="E68" s="719">
        <f t="shared" si="0"/>
        <v>1</v>
      </c>
      <c r="F68" s="719">
        <f t="shared" si="0"/>
        <v>1</v>
      </c>
      <c r="G68" s="719">
        <f t="shared" si="0"/>
        <v>1</v>
      </c>
      <c r="H68" s="719">
        <f t="shared" si="0"/>
        <v>1</v>
      </c>
      <c r="I68" s="719">
        <f t="shared" si="0"/>
        <v>1</v>
      </c>
      <c r="J68" s="719">
        <f t="shared" si="0"/>
        <v>1</v>
      </c>
      <c r="K68" s="719">
        <f t="shared" si="0"/>
        <v>1</v>
      </c>
      <c r="L68" s="719" t="s">
        <v>102</v>
      </c>
      <c r="M68" s="720">
        <f t="shared" si="0"/>
        <v>1</v>
      </c>
      <c r="N68" s="720">
        <f t="shared" si="0"/>
        <v>1</v>
      </c>
      <c r="O68" s="720">
        <f t="shared" si="0"/>
        <v>1</v>
      </c>
      <c r="P68" s="719">
        <f t="shared" si="0"/>
        <v>1</v>
      </c>
    </row>
    <row r="69" spans="1:16" s="465" customFormat="1" ht="16.5" customHeight="1" x14ac:dyDescent="0.2">
      <c r="A69" s="490" t="s">
        <v>161</v>
      </c>
      <c r="B69" s="721">
        <f t="shared" ref="B69:P73" si="1">B9/B$8</f>
        <v>0.35386959618422559</v>
      </c>
      <c r="C69" s="721">
        <f t="shared" si="1"/>
        <v>0.38013907796812801</v>
      </c>
      <c r="D69" s="721">
        <f t="shared" si="1"/>
        <v>0.377907804739125</v>
      </c>
      <c r="E69" s="721">
        <f t="shared" si="1"/>
        <v>0.3465251734170981</v>
      </c>
      <c r="F69" s="721">
        <f t="shared" si="1"/>
        <v>0.32874865862839758</v>
      </c>
      <c r="G69" s="721">
        <f t="shared" si="1"/>
        <v>0.30889029251196271</v>
      </c>
      <c r="H69" s="721">
        <f t="shared" si="1"/>
        <v>0.28707307530475568</v>
      </c>
      <c r="I69" s="721">
        <f t="shared" si="1"/>
        <v>0.26235024703622573</v>
      </c>
      <c r="J69" s="721">
        <f t="shared" si="1"/>
        <v>0.26098608911870114</v>
      </c>
      <c r="K69" s="721">
        <f t="shared" si="1"/>
        <v>0.20203423589436711</v>
      </c>
      <c r="L69" s="721" t="s">
        <v>102</v>
      </c>
      <c r="M69" s="722">
        <f t="shared" si="1"/>
        <v>0.32092095403795862</v>
      </c>
      <c r="N69" s="722">
        <f t="shared" si="1"/>
        <v>0.25397679536832513</v>
      </c>
      <c r="O69" s="722">
        <f t="shared" si="1"/>
        <v>0.29774144751005799</v>
      </c>
      <c r="P69" s="721">
        <f t="shared" si="1"/>
        <v>0.26380622524125025</v>
      </c>
    </row>
    <row r="70" spans="1:16" s="465" customFormat="1" ht="16.5" customHeight="1" x14ac:dyDescent="0.2">
      <c r="A70" s="492" t="s">
        <v>162</v>
      </c>
      <c r="B70" s="723">
        <f t="shared" si="1"/>
        <v>0.31749521018848437</v>
      </c>
      <c r="C70" s="723">
        <f t="shared" si="1"/>
        <v>0.34616639184883063</v>
      </c>
      <c r="D70" s="723">
        <f t="shared" si="1"/>
        <v>0.36674113865945251</v>
      </c>
      <c r="E70" s="723">
        <f t="shared" si="1"/>
        <v>0.41929564827640503</v>
      </c>
      <c r="F70" s="723">
        <f t="shared" si="1"/>
        <v>0.47926389952829579</v>
      </c>
      <c r="G70" s="723">
        <f t="shared" si="1"/>
        <v>0.51623082501124717</v>
      </c>
      <c r="H70" s="723">
        <f t="shared" si="1"/>
        <v>0.55169404096431629</v>
      </c>
      <c r="I70" s="723">
        <f t="shared" si="1"/>
        <v>0.57649215986891256</v>
      </c>
      <c r="J70" s="723">
        <f t="shared" si="1"/>
        <v>0.56314825211341812</v>
      </c>
      <c r="K70" s="723">
        <f t="shared" si="1"/>
        <v>0.60759780202453129</v>
      </c>
      <c r="L70" s="723" t="s">
        <v>102</v>
      </c>
      <c r="M70" s="724">
        <f t="shared" si="1"/>
        <v>0.48373023163923878</v>
      </c>
      <c r="N70" s="724">
        <f t="shared" si="1"/>
        <v>0.57513305925239311</v>
      </c>
      <c r="O70" s="724">
        <f t="shared" si="1"/>
        <v>0.51537858575098572</v>
      </c>
      <c r="P70" s="723">
        <f t="shared" si="1"/>
        <v>0.5355583785600867</v>
      </c>
    </row>
    <row r="71" spans="1:16" s="465" customFormat="1" ht="16.5" customHeight="1" x14ac:dyDescent="0.2">
      <c r="A71" s="490" t="s">
        <v>163</v>
      </c>
      <c r="B71" s="721">
        <f t="shared" si="1"/>
        <v>1.4212793945151524E-2</v>
      </c>
      <c r="C71" s="721">
        <f t="shared" si="1"/>
        <v>2.7782302589922984E-2</v>
      </c>
      <c r="D71" s="721">
        <f t="shared" si="1"/>
        <v>2.068826003252798E-2</v>
      </c>
      <c r="E71" s="721">
        <f t="shared" si="1"/>
        <v>2.4204116308480187E-2</v>
      </c>
      <c r="F71" s="721">
        <f t="shared" si="1"/>
        <v>2.1194349546283082E-2</v>
      </c>
      <c r="G71" s="721">
        <f t="shared" si="1"/>
        <v>1.9602610277507315E-2</v>
      </c>
      <c r="H71" s="721">
        <f t="shared" si="1"/>
        <v>2.1616939782510853E-2</v>
      </c>
      <c r="I71" s="721">
        <f t="shared" si="1"/>
        <v>1.866930667202114E-2</v>
      </c>
      <c r="J71" s="721">
        <f t="shared" si="1"/>
        <v>2.6564591453998757E-2</v>
      </c>
      <c r="K71" s="721">
        <f t="shared" si="1"/>
        <v>3.7692854665039563E-2</v>
      </c>
      <c r="L71" s="721" t="s">
        <v>102</v>
      </c>
      <c r="M71" s="722">
        <f t="shared" si="1"/>
        <v>2.1789679709145658E-2</v>
      </c>
      <c r="N71" s="722">
        <f t="shared" si="1"/>
        <v>2.4327332315345632E-2</v>
      </c>
      <c r="O71" s="722">
        <f t="shared" si="1"/>
        <v>2.2668345395637588E-2</v>
      </c>
      <c r="P71" s="721">
        <f t="shared" si="1"/>
        <v>2.0882900684887656E-2</v>
      </c>
    </row>
    <row r="72" spans="1:16" s="465" customFormat="1" ht="16.5" customHeight="1" x14ac:dyDescent="0.2">
      <c r="A72" s="492" t="s">
        <v>164</v>
      </c>
      <c r="B72" s="723">
        <f t="shared" si="1"/>
        <v>0.14424765814662729</v>
      </c>
      <c r="C72" s="723">
        <f t="shared" si="1"/>
        <v>0.12842315289718981</v>
      </c>
      <c r="D72" s="723">
        <f t="shared" si="1"/>
        <v>0.14671541633784993</v>
      </c>
      <c r="E72" s="723">
        <f t="shared" si="1"/>
        <v>0.14110206743046738</v>
      </c>
      <c r="F72" s="723">
        <f t="shared" si="1"/>
        <v>0.12129312675573559</v>
      </c>
      <c r="G72" s="723">
        <f t="shared" si="1"/>
        <v>0.11143574404993703</v>
      </c>
      <c r="H72" s="723">
        <f t="shared" si="1"/>
        <v>0.10179729698067384</v>
      </c>
      <c r="I72" s="723">
        <f t="shared" si="1"/>
        <v>0.11095806168446336</v>
      </c>
      <c r="J72" s="723">
        <f t="shared" si="1"/>
        <v>0.12158620169632793</v>
      </c>
      <c r="K72" s="723">
        <f t="shared" si="1"/>
        <v>0.12415798473089459</v>
      </c>
      <c r="L72" s="723" t="s">
        <v>102</v>
      </c>
      <c r="M72" s="724">
        <f t="shared" si="1"/>
        <v>0.12035731895817001</v>
      </c>
      <c r="N72" s="724">
        <f t="shared" si="1"/>
        <v>0.11696535383177607</v>
      </c>
      <c r="O72" s="724">
        <f t="shared" si="1"/>
        <v>0.11918284639282406</v>
      </c>
      <c r="P72" s="723">
        <f t="shared" si="1"/>
        <v>0.13986696626146974</v>
      </c>
    </row>
    <row r="73" spans="1:16" s="465" customFormat="1" ht="16.5" customHeight="1" x14ac:dyDescent="0.2">
      <c r="A73" s="495" t="s">
        <v>165</v>
      </c>
      <c r="B73" s="725">
        <f t="shared" si="1"/>
        <v>0.17017474153551113</v>
      </c>
      <c r="C73" s="725">
        <f t="shared" si="1"/>
        <v>0.11748907469592858</v>
      </c>
      <c r="D73" s="725">
        <f t="shared" si="1"/>
        <v>8.7947380231044536E-2</v>
      </c>
      <c r="E73" s="725">
        <f t="shared" si="1"/>
        <v>6.8872994567549223E-2</v>
      </c>
      <c r="F73" s="725">
        <f t="shared" si="1"/>
        <v>4.9499965541288028E-2</v>
      </c>
      <c r="G73" s="725">
        <f t="shared" si="1"/>
        <v>4.3840528149345706E-2</v>
      </c>
      <c r="H73" s="725">
        <f t="shared" si="1"/>
        <v>3.7818646968635232E-2</v>
      </c>
      <c r="I73" s="725">
        <f t="shared" si="1"/>
        <v>3.153022473920937E-2</v>
      </c>
      <c r="J73" s="725">
        <f t="shared" si="1"/>
        <v>2.7714865616726921E-2</v>
      </c>
      <c r="K73" s="725">
        <f t="shared" si="1"/>
        <v>2.8517122685167377E-2</v>
      </c>
      <c r="L73" s="725" t="s">
        <v>102</v>
      </c>
      <c r="M73" s="726">
        <f t="shared" si="1"/>
        <v>5.3201815655486907E-2</v>
      </c>
      <c r="N73" s="726">
        <f t="shared" si="1"/>
        <v>2.9597459232160148E-2</v>
      </c>
      <c r="O73" s="726">
        <f t="shared" si="1"/>
        <v>4.5028774950494586E-2</v>
      </c>
      <c r="P73" s="725">
        <f t="shared" si="1"/>
        <v>3.9885529251422552E-2</v>
      </c>
    </row>
    <row r="74" spans="1:16" s="465" customFormat="1" ht="16.5" customHeight="1" x14ac:dyDescent="0.25">
      <c r="A74" s="498" t="s">
        <v>287</v>
      </c>
      <c r="B74" s="727">
        <f>B14/B$14</f>
        <v>1</v>
      </c>
      <c r="C74" s="727">
        <f t="shared" ref="C74:P74" si="2">C14/C$14</f>
        <v>1</v>
      </c>
      <c r="D74" s="727">
        <f t="shared" si="2"/>
        <v>1</v>
      </c>
      <c r="E74" s="727">
        <f t="shared" si="2"/>
        <v>1</v>
      </c>
      <c r="F74" s="727">
        <f t="shared" si="2"/>
        <v>1</v>
      </c>
      <c r="G74" s="727">
        <f t="shared" si="2"/>
        <v>1</v>
      </c>
      <c r="H74" s="727">
        <f t="shared" si="2"/>
        <v>1</v>
      </c>
      <c r="I74" s="727">
        <f t="shared" si="2"/>
        <v>1</v>
      </c>
      <c r="J74" s="727">
        <f t="shared" si="2"/>
        <v>1</v>
      </c>
      <c r="K74" s="727">
        <f t="shared" si="2"/>
        <v>1</v>
      </c>
      <c r="L74" s="727" t="s">
        <v>102</v>
      </c>
      <c r="M74" s="728">
        <f t="shared" si="2"/>
        <v>1</v>
      </c>
      <c r="N74" s="728">
        <f t="shared" si="2"/>
        <v>1</v>
      </c>
      <c r="O74" s="728">
        <f t="shared" si="2"/>
        <v>1</v>
      </c>
      <c r="P74" s="727">
        <f t="shared" si="2"/>
        <v>1</v>
      </c>
    </row>
    <row r="75" spans="1:16" s="465" customFormat="1" ht="16.5" customHeight="1" x14ac:dyDescent="0.2">
      <c r="A75" s="490" t="s">
        <v>79</v>
      </c>
      <c r="B75" s="721">
        <f t="shared" ref="B75:P85" si="3">B15/B$14</f>
        <v>0.41480818416300547</v>
      </c>
      <c r="C75" s="721">
        <f t="shared" si="3"/>
        <v>0.43553476152344717</v>
      </c>
      <c r="D75" s="721">
        <f t="shared" si="3"/>
        <v>0.50139133860034235</v>
      </c>
      <c r="E75" s="721">
        <f t="shared" si="3"/>
        <v>0.58086888781525681</v>
      </c>
      <c r="F75" s="721">
        <f t="shared" si="3"/>
        <v>0.63981138116405811</v>
      </c>
      <c r="G75" s="721">
        <f t="shared" si="3"/>
        <v>0.66664670995445729</v>
      </c>
      <c r="H75" s="721">
        <f t="shared" si="3"/>
        <v>0.70057452633589323</v>
      </c>
      <c r="I75" s="721">
        <f t="shared" si="3"/>
        <v>0.74230541074824341</v>
      </c>
      <c r="J75" s="721">
        <f t="shared" si="3"/>
        <v>0.73794312736735179</v>
      </c>
      <c r="K75" s="721">
        <f t="shared" si="3"/>
        <v>0.72997328886664115</v>
      </c>
      <c r="L75" s="721" t="s">
        <v>102</v>
      </c>
      <c r="M75" s="722">
        <f t="shared" si="3"/>
        <v>0.63623656323049693</v>
      </c>
      <c r="N75" s="722">
        <f t="shared" si="3"/>
        <v>0.73906511993084978</v>
      </c>
      <c r="O75" s="722">
        <f t="shared" si="3"/>
        <v>0.6703828114746625</v>
      </c>
      <c r="P75" s="721">
        <f t="shared" si="3"/>
        <v>0.66412250656217753</v>
      </c>
    </row>
    <row r="76" spans="1:16" s="465" customFormat="1" ht="16.5" customHeight="1" x14ac:dyDescent="0.2">
      <c r="A76" s="492" t="s">
        <v>167</v>
      </c>
      <c r="B76" s="723">
        <f t="shared" si="3"/>
        <v>0.32972753151574519</v>
      </c>
      <c r="C76" s="723">
        <f t="shared" si="3"/>
        <v>0.36763401965288151</v>
      </c>
      <c r="D76" s="723">
        <f t="shared" si="3"/>
        <v>0.41879781733044169</v>
      </c>
      <c r="E76" s="723">
        <f t="shared" si="3"/>
        <v>0.48905271931853644</v>
      </c>
      <c r="F76" s="723">
        <f t="shared" si="3"/>
        <v>0.54713750314875809</v>
      </c>
      <c r="G76" s="723">
        <f t="shared" si="3"/>
        <v>0.54255522421247282</v>
      </c>
      <c r="H76" s="723">
        <f t="shared" si="3"/>
        <v>0.58132054488550167</v>
      </c>
      <c r="I76" s="723">
        <f t="shared" si="3"/>
        <v>0.62401852964606808</v>
      </c>
      <c r="J76" s="723">
        <f t="shared" si="3"/>
        <v>0.6330971128873577</v>
      </c>
      <c r="K76" s="723">
        <f t="shared" si="3"/>
        <v>0.60418896779014497</v>
      </c>
      <c r="L76" s="723" t="s">
        <v>102</v>
      </c>
      <c r="M76" s="724">
        <f t="shared" si="3"/>
        <v>0.5313006153786699</v>
      </c>
      <c r="N76" s="724">
        <f t="shared" si="3"/>
        <v>0.62533290015108556</v>
      </c>
      <c r="O76" s="724">
        <f t="shared" si="3"/>
        <v>0.56252588821967597</v>
      </c>
      <c r="P76" s="723">
        <f t="shared" si="3"/>
        <v>0.573746033592481</v>
      </c>
    </row>
    <row r="77" spans="1:16" s="465" customFormat="1" ht="16.5" customHeight="1" x14ac:dyDescent="0.2">
      <c r="A77" s="490" t="s">
        <v>322</v>
      </c>
      <c r="B77" s="721">
        <f t="shared" si="3"/>
        <v>0.12929066242132894</v>
      </c>
      <c r="C77" s="721">
        <f t="shared" si="3"/>
        <v>7.6919896923767384E-2</v>
      </c>
      <c r="D77" s="721">
        <f t="shared" si="3"/>
        <v>6.8600219255850942E-2</v>
      </c>
      <c r="E77" s="721">
        <f t="shared" si="3"/>
        <v>5.8175012147582035E-2</v>
      </c>
      <c r="F77" s="721">
        <f t="shared" si="3"/>
        <v>6.4362305652658963E-2</v>
      </c>
      <c r="G77" s="721">
        <f t="shared" si="3"/>
        <v>6.0930185978040639E-2</v>
      </c>
      <c r="H77" s="721">
        <f t="shared" si="3"/>
        <v>6.0000706610512176E-2</v>
      </c>
      <c r="I77" s="721">
        <f t="shared" si="3"/>
        <v>7.8534933322146686E-2</v>
      </c>
      <c r="J77" s="721">
        <f t="shared" si="3"/>
        <v>3.7192603422114869E-2</v>
      </c>
      <c r="K77" s="721">
        <f t="shared" si="3"/>
        <v>3.7389261679560526E-2</v>
      </c>
      <c r="L77" s="721" t="s">
        <v>102</v>
      </c>
      <c r="M77" s="722">
        <f t="shared" si="3"/>
        <v>6.1612236609293082E-2</v>
      </c>
      <c r="N77" s="722">
        <f t="shared" si="3"/>
        <v>5.6863172195183512E-2</v>
      </c>
      <c r="O77" s="722">
        <f t="shared" si="3"/>
        <v>6.0035216201514634E-2</v>
      </c>
      <c r="P77" s="721">
        <f t="shared" si="3"/>
        <v>0.11546278665939358</v>
      </c>
    </row>
    <row r="78" spans="1:16" s="465" customFormat="1" ht="16.5" customHeight="1" x14ac:dyDescent="0.2">
      <c r="A78" s="492" t="s">
        <v>168</v>
      </c>
      <c r="B78" s="723">
        <f t="shared" si="3"/>
        <v>8.5080652647260308E-2</v>
      </c>
      <c r="C78" s="723">
        <f t="shared" si="3"/>
        <v>6.790074187056569E-2</v>
      </c>
      <c r="D78" s="723">
        <f t="shared" si="3"/>
        <v>8.2593521269900744E-2</v>
      </c>
      <c r="E78" s="723">
        <f t="shared" si="3"/>
        <v>9.1816168497533546E-2</v>
      </c>
      <c r="F78" s="723">
        <f t="shared" si="3"/>
        <v>9.2673878015300012E-2</v>
      </c>
      <c r="G78" s="723">
        <f t="shared" si="3"/>
        <v>0.12409148574198453</v>
      </c>
      <c r="H78" s="723">
        <f t="shared" si="3"/>
        <v>0.11925398145110257</v>
      </c>
      <c r="I78" s="723">
        <f t="shared" si="3"/>
        <v>0.11828688110217547</v>
      </c>
      <c r="J78" s="723">
        <f t="shared" si="3"/>
        <v>0.10484601447999414</v>
      </c>
      <c r="K78" s="723">
        <f t="shared" si="3"/>
        <v>0.12578432107649617</v>
      </c>
      <c r="L78" s="723" t="s">
        <v>102</v>
      </c>
      <c r="M78" s="724">
        <f t="shared" si="3"/>
        <v>0.10493594785182708</v>
      </c>
      <c r="N78" s="724">
        <f t="shared" si="3"/>
        <v>0.11373221977976428</v>
      </c>
      <c r="O78" s="724">
        <f t="shared" si="3"/>
        <v>0.1078569232549864</v>
      </c>
      <c r="P78" s="723">
        <f t="shared" si="3"/>
        <v>9.0376472970448749E-2</v>
      </c>
    </row>
    <row r="79" spans="1:16" s="465" customFormat="1" ht="16.5" customHeight="1" x14ac:dyDescent="0.2">
      <c r="A79" s="490" t="s">
        <v>169</v>
      </c>
      <c r="B79" s="721">
        <f t="shared" si="3"/>
        <v>0.30560486997952918</v>
      </c>
      <c r="C79" s="721">
        <f t="shared" si="3"/>
        <v>0.25941611334504849</v>
      </c>
      <c r="D79" s="721">
        <f t="shared" si="3"/>
        <v>0.22275206145113466</v>
      </c>
      <c r="E79" s="721">
        <f t="shared" si="3"/>
        <v>0.19010607808433241</v>
      </c>
      <c r="F79" s="721">
        <f t="shared" si="3"/>
        <v>0.1647161530921791</v>
      </c>
      <c r="G79" s="721">
        <f t="shared" si="3"/>
        <v>0.1384212065964425</v>
      </c>
      <c r="H79" s="721">
        <f t="shared" si="3"/>
        <v>0.11658857498369954</v>
      </c>
      <c r="I79" s="721">
        <f t="shared" si="3"/>
        <v>9.0747075119533616E-2</v>
      </c>
      <c r="J79" s="721">
        <f t="shared" si="3"/>
        <v>0.1015004620985282</v>
      </c>
      <c r="K79" s="721">
        <f t="shared" si="3"/>
        <v>8.0821605730709858E-2</v>
      </c>
      <c r="L79" s="721" t="s">
        <v>102</v>
      </c>
      <c r="M79" s="722">
        <f t="shared" si="3"/>
        <v>0.15760180279631872</v>
      </c>
      <c r="N79" s="722">
        <f t="shared" si="3"/>
        <v>9.3922388680144145E-2</v>
      </c>
      <c r="O79" s="722">
        <f t="shared" si="3"/>
        <v>0.13645579868789226</v>
      </c>
      <c r="P79" s="721">
        <f t="shared" si="3"/>
        <v>0.1660663506207429</v>
      </c>
    </row>
    <row r="80" spans="1:16" s="465" customFormat="1" ht="16.5" customHeight="1" x14ac:dyDescent="0.2">
      <c r="A80" s="492" t="s">
        <v>170</v>
      </c>
      <c r="B80" s="723">
        <f t="shared" si="3"/>
        <v>0.17181476245780797</v>
      </c>
      <c r="C80" s="723">
        <f t="shared" si="3"/>
        <v>0.15652283643160284</v>
      </c>
      <c r="D80" s="723">
        <f t="shared" si="3"/>
        <v>0.14941391337268853</v>
      </c>
      <c r="E80" s="723">
        <f t="shared" si="3"/>
        <v>0.14826260138789701</v>
      </c>
      <c r="F80" s="723">
        <f t="shared" si="3"/>
        <v>0.13073276442717308</v>
      </c>
      <c r="G80" s="723">
        <f t="shared" si="3"/>
        <v>0.11098927751828169</v>
      </c>
      <c r="H80" s="723">
        <f t="shared" si="3"/>
        <v>9.529511303325279E-2</v>
      </c>
      <c r="I80" s="723">
        <f t="shared" si="3"/>
        <v>7.4565974270259086E-2</v>
      </c>
      <c r="J80" s="723">
        <f t="shared" si="3"/>
        <v>8.7725918850023787E-2</v>
      </c>
      <c r="K80" s="723">
        <f t="shared" si="3"/>
        <v>7.3584266743809607E-2</v>
      </c>
      <c r="L80" s="723" t="s">
        <v>102</v>
      </c>
      <c r="M80" s="724">
        <f t="shared" si="3"/>
        <v>0.1230756772799856</v>
      </c>
      <c r="N80" s="724">
        <f t="shared" si="3"/>
        <v>7.9784305952492099E-2</v>
      </c>
      <c r="O80" s="724">
        <f t="shared" si="3"/>
        <v>0.10869992447756481</v>
      </c>
      <c r="P80" s="723">
        <f t="shared" si="3"/>
        <v>0.12698561267972358</v>
      </c>
    </row>
    <row r="81" spans="1:23" s="465" customFormat="1" ht="16.5" customHeight="1" x14ac:dyDescent="0.2">
      <c r="A81" s="490" t="s">
        <v>171</v>
      </c>
      <c r="B81" s="721">
        <f t="shared" si="3"/>
        <v>4.3519863645743187E-2</v>
      </c>
      <c r="C81" s="721">
        <f t="shared" si="3"/>
        <v>2.084645626980108E-2</v>
      </c>
      <c r="D81" s="721">
        <f t="shared" si="3"/>
        <v>1.0360056163456114E-2</v>
      </c>
      <c r="E81" s="721">
        <f t="shared" si="3"/>
        <v>3.374201107295628E-3</v>
      </c>
      <c r="F81" s="721">
        <f t="shared" si="3"/>
        <v>2.8069558836596588E-3</v>
      </c>
      <c r="G81" s="721">
        <f t="shared" si="3"/>
        <v>1.9831716699044884E-3</v>
      </c>
      <c r="H81" s="721">
        <f t="shared" si="3"/>
        <v>1.9120459165730594E-3</v>
      </c>
      <c r="I81" s="721">
        <f t="shared" si="3"/>
        <v>1.583446936258074E-3</v>
      </c>
      <c r="J81" s="721">
        <f t="shared" si="3"/>
        <v>2.1183176978360097E-3</v>
      </c>
      <c r="K81" s="721">
        <f t="shared" si="3"/>
        <v>4.1998777844985818E-3</v>
      </c>
      <c r="L81" s="721" t="s">
        <v>102</v>
      </c>
      <c r="M81" s="722">
        <f t="shared" si="3"/>
        <v>3.3401860085794958E-3</v>
      </c>
      <c r="N81" s="722">
        <f t="shared" si="3"/>
        <v>2.1125376532029685E-3</v>
      </c>
      <c r="O81" s="722">
        <f t="shared" si="3"/>
        <v>2.9325211840179363E-3</v>
      </c>
      <c r="P81" s="721">
        <f t="shared" si="3"/>
        <v>4.5020344317733803E-3</v>
      </c>
    </row>
    <row r="82" spans="1:23" s="465" customFormat="1" ht="16.5" customHeight="1" x14ac:dyDescent="0.2">
      <c r="A82" s="693" t="s">
        <v>607</v>
      </c>
      <c r="B82" s="723">
        <f t="shared" si="3"/>
        <v>9.027024387597804E-2</v>
      </c>
      <c r="C82" s="723">
        <f t="shared" si="3"/>
        <v>8.2046820643644588E-2</v>
      </c>
      <c r="D82" s="723">
        <f t="shared" si="3"/>
        <v>6.2978091914990028E-2</v>
      </c>
      <c r="E82" s="723">
        <f t="shared" si="3"/>
        <v>3.8469275589952862E-2</v>
      </c>
      <c r="F82" s="723">
        <f t="shared" si="3"/>
        <v>3.1176432781346346E-2</v>
      </c>
      <c r="G82" s="723">
        <f t="shared" si="3"/>
        <v>2.5448757408256306E-2</v>
      </c>
      <c r="H82" s="723">
        <f t="shared" si="3"/>
        <v>1.9381416033162641E-2</v>
      </c>
      <c r="I82" s="723">
        <f t="shared" si="3"/>
        <v>1.4597653913016451E-2</v>
      </c>
      <c r="J82" s="723">
        <f t="shared" si="3"/>
        <v>1.1656225550668396E-2</v>
      </c>
      <c r="K82" s="723">
        <f t="shared" si="3"/>
        <v>3.0374612030909078E-3</v>
      </c>
      <c r="L82" s="723" t="s">
        <v>102</v>
      </c>
      <c r="M82" s="724">
        <f t="shared" si="3"/>
        <v>3.1185939508508693E-2</v>
      </c>
      <c r="N82" s="724">
        <f t="shared" si="3"/>
        <v>1.2025545074449065E-2</v>
      </c>
      <c r="O82" s="724">
        <f t="shared" si="3"/>
        <v>2.4823353027042475E-2</v>
      </c>
      <c r="P82" s="723">
        <f t="shared" si="3"/>
        <v>3.4578703508493749E-2</v>
      </c>
    </row>
    <row r="83" spans="1:23" s="465" customFormat="1" ht="16.5" customHeight="1" x14ac:dyDescent="0.2">
      <c r="A83" s="490" t="s">
        <v>172</v>
      </c>
      <c r="B83" s="721">
        <f t="shared" si="3"/>
        <v>1.7956103223797877E-2</v>
      </c>
      <c r="C83" s="721">
        <f t="shared" si="3"/>
        <v>2.3126918194696897E-2</v>
      </c>
      <c r="D83" s="721">
        <f t="shared" si="3"/>
        <v>2.6968841257770576E-2</v>
      </c>
      <c r="E83" s="721">
        <f t="shared" si="3"/>
        <v>2.7315438610097238E-2</v>
      </c>
      <c r="F83" s="721">
        <f t="shared" si="3"/>
        <v>3.1412139142095709E-2</v>
      </c>
      <c r="G83" s="721">
        <f t="shared" si="3"/>
        <v>3.1362515673598927E-2</v>
      </c>
      <c r="H83" s="721">
        <f t="shared" si="3"/>
        <v>3.7821252922742243E-2</v>
      </c>
      <c r="I83" s="721">
        <f t="shared" si="3"/>
        <v>3.8470765703815288E-2</v>
      </c>
      <c r="J83" s="721">
        <f t="shared" si="3"/>
        <v>3.0307161853831907E-2</v>
      </c>
      <c r="K83" s="721">
        <f t="shared" si="3"/>
        <v>3.1318956346718149E-2</v>
      </c>
      <c r="L83" s="721" t="s">
        <v>102</v>
      </c>
      <c r="M83" s="722">
        <f t="shared" si="3"/>
        <v>3.1740467148652973E-2</v>
      </c>
      <c r="N83" s="722">
        <f t="shared" si="3"/>
        <v>3.4307492466833567E-2</v>
      </c>
      <c r="O83" s="722">
        <f t="shared" si="3"/>
        <v>3.2592898482558946E-2</v>
      </c>
      <c r="P83" s="721">
        <f t="shared" si="3"/>
        <v>4.2669357092669342E-2</v>
      </c>
    </row>
    <row r="84" spans="1:23" s="465" customFormat="1" ht="16.5" customHeight="1" x14ac:dyDescent="0.2">
      <c r="A84" s="492" t="s">
        <v>173</v>
      </c>
      <c r="B84" s="723">
        <f t="shared" si="3"/>
        <v>0.10777815562450564</v>
      </c>
      <c r="C84" s="723">
        <f t="shared" si="3"/>
        <v>0.11049601087319846</v>
      </c>
      <c r="D84" s="723">
        <f t="shared" si="3"/>
        <v>0.12731466846864853</v>
      </c>
      <c r="E84" s="723">
        <f t="shared" si="3"/>
        <v>0.10666276418493915</v>
      </c>
      <c r="F84" s="723">
        <f t="shared" si="3"/>
        <v>8.3026087417944094E-2</v>
      </c>
      <c r="G84" s="723">
        <f t="shared" si="3"/>
        <v>0.10246865901936007</v>
      </c>
      <c r="H84" s="723">
        <f t="shared" si="3"/>
        <v>9.4705596569214498E-2</v>
      </c>
      <c r="I84" s="723">
        <f t="shared" si="3"/>
        <v>9.045649596915499E-2</v>
      </c>
      <c r="J84" s="723">
        <f t="shared" si="3"/>
        <v>9.4012890789681808E-2</v>
      </c>
      <c r="K84" s="723">
        <f t="shared" si="3"/>
        <v>0.12310754983486948</v>
      </c>
      <c r="L84" s="723" t="s">
        <v>102</v>
      </c>
      <c r="M84" s="724">
        <f t="shared" si="3"/>
        <v>9.8599840538705533E-2</v>
      </c>
      <c r="N84" s="724">
        <f t="shared" si="3"/>
        <v>9.579484549537759E-2</v>
      </c>
      <c r="O84" s="724">
        <f t="shared" si="3"/>
        <v>9.7668386668952362E-2</v>
      </c>
      <c r="P84" s="723">
        <f t="shared" si="3"/>
        <v>8.1465168373126964E-2</v>
      </c>
    </row>
    <row r="85" spans="1:23" s="465" customFormat="1" ht="16.5" customHeight="1" x14ac:dyDescent="0.2">
      <c r="A85" s="495" t="s">
        <v>174</v>
      </c>
      <c r="B85" s="725">
        <f t="shared" si="3"/>
        <v>0.15385268700916185</v>
      </c>
      <c r="C85" s="725">
        <f t="shared" si="3"/>
        <v>0.17142619606435144</v>
      </c>
      <c r="D85" s="725">
        <f t="shared" si="3"/>
        <v>0.1215730902221038</v>
      </c>
      <c r="E85" s="725">
        <f t="shared" si="3"/>
        <v>9.5046831305374335E-2</v>
      </c>
      <c r="F85" s="725">
        <f t="shared" si="3"/>
        <v>8.1034239184495899E-2</v>
      </c>
      <c r="G85" s="725">
        <f t="shared" si="3"/>
        <v>6.1100908756141263E-2</v>
      </c>
      <c r="H85" s="725">
        <f t="shared" si="3"/>
        <v>5.0310049187739403E-2</v>
      </c>
      <c r="I85" s="725">
        <f t="shared" si="3"/>
        <v>3.8020252459252536E-2</v>
      </c>
      <c r="J85" s="725">
        <f t="shared" si="3"/>
        <v>3.6236357891298428E-2</v>
      </c>
      <c r="K85" s="725">
        <f t="shared" si="3"/>
        <v>3.4778599221061343E-2</v>
      </c>
      <c r="L85" s="725" t="s">
        <v>102</v>
      </c>
      <c r="M85" s="726">
        <f t="shared" si="3"/>
        <v>7.5821326286580795E-2</v>
      </c>
      <c r="N85" s="726">
        <f t="shared" si="3"/>
        <v>3.6910153426794844E-2</v>
      </c>
      <c r="O85" s="726">
        <f t="shared" si="3"/>
        <v>6.290010468666693E-2</v>
      </c>
      <c r="P85" s="725">
        <f t="shared" si="3"/>
        <v>4.5676617350531065E-2</v>
      </c>
    </row>
    <row r="86" spans="1:23" s="465" customFormat="1" ht="16.5" customHeight="1" x14ac:dyDescent="0.25">
      <c r="A86" s="501" t="s">
        <v>201</v>
      </c>
      <c r="B86" s="729"/>
      <c r="C86" s="729"/>
      <c r="D86" s="729"/>
      <c r="E86" s="729"/>
      <c r="F86" s="729"/>
      <c r="G86" s="729"/>
      <c r="H86" s="729"/>
      <c r="I86" s="729"/>
      <c r="J86" s="729"/>
      <c r="K86" s="729"/>
      <c r="L86" s="729" t="s">
        <v>102</v>
      </c>
      <c r="M86" s="730"/>
      <c r="N86" s="730"/>
      <c r="O86" s="730"/>
      <c r="P86" s="731"/>
    </row>
    <row r="87" spans="1:23" s="465" customFormat="1" ht="16.5" customHeight="1" x14ac:dyDescent="0.25">
      <c r="A87" s="498" t="s">
        <v>288</v>
      </c>
      <c r="B87" s="727">
        <f>B28/B$28</f>
        <v>1</v>
      </c>
      <c r="C87" s="727">
        <f t="shared" ref="C87:P87" si="4">C28/C$28</f>
        <v>1</v>
      </c>
      <c r="D87" s="727">
        <f t="shared" si="4"/>
        <v>1</v>
      </c>
      <c r="E87" s="727">
        <f t="shared" si="4"/>
        <v>1</v>
      </c>
      <c r="F87" s="727">
        <f t="shared" si="4"/>
        <v>1</v>
      </c>
      <c r="G87" s="727">
        <f t="shared" si="4"/>
        <v>1</v>
      </c>
      <c r="H87" s="727">
        <f t="shared" si="4"/>
        <v>1</v>
      </c>
      <c r="I87" s="727">
        <f t="shared" si="4"/>
        <v>1</v>
      </c>
      <c r="J87" s="727">
        <f t="shared" si="4"/>
        <v>1</v>
      </c>
      <c r="K87" s="727">
        <f t="shared" si="4"/>
        <v>1</v>
      </c>
      <c r="L87" s="727" t="s">
        <v>102</v>
      </c>
      <c r="M87" s="728">
        <f t="shared" si="4"/>
        <v>1</v>
      </c>
      <c r="N87" s="728">
        <f t="shared" si="4"/>
        <v>1</v>
      </c>
      <c r="O87" s="728">
        <f t="shared" si="4"/>
        <v>1</v>
      </c>
      <c r="P87" s="727">
        <f t="shared" si="4"/>
        <v>1</v>
      </c>
    </row>
    <row r="88" spans="1:23" s="465" customFormat="1" ht="16.5" customHeight="1" x14ac:dyDescent="0.2">
      <c r="A88" s="490" t="s">
        <v>178</v>
      </c>
      <c r="B88" s="721">
        <f t="shared" ref="B88:P90" si="5">B29/B$28</f>
        <v>0.94162319615007528</v>
      </c>
      <c r="C88" s="721">
        <f t="shared" si="5"/>
        <v>0.9579593605584753</v>
      </c>
      <c r="D88" s="721">
        <f t="shared" si="5"/>
        <v>0.91856188410208517</v>
      </c>
      <c r="E88" s="721">
        <f t="shared" si="5"/>
        <v>0.93657368053639567</v>
      </c>
      <c r="F88" s="721">
        <f t="shared" si="5"/>
        <v>0.9222747306962048</v>
      </c>
      <c r="G88" s="721">
        <f t="shared" si="5"/>
        <v>0.90862866166678302</v>
      </c>
      <c r="H88" s="721">
        <f t="shared" si="5"/>
        <v>0.89955541778375081</v>
      </c>
      <c r="I88" s="721">
        <f t="shared" si="5"/>
        <v>0.91137997870182264</v>
      </c>
      <c r="J88" s="721">
        <f t="shared" si="5"/>
        <v>0.91669666995133225</v>
      </c>
      <c r="K88" s="721">
        <f t="shared" si="5"/>
        <v>0.80211208124095912</v>
      </c>
      <c r="L88" s="721" t="s">
        <v>102</v>
      </c>
      <c r="M88" s="722">
        <f t="shared" si="5"/>
        <v>0.91853960296758386</v>
      </c>
      <c r="N88" s="722">
        <f t="shared" si="5"/>
        <v>0.90374925393421823</v>
      </c>
      <c r="O88" s="722">
        <f t="shared" si="5"/>
        <v>0.91407774962387911</v>
      </c>
      <c r="P88" s="721">
        <f t="shared" si="5"/>
        <v>0.90955037256820892</v>
      </c>
    </row>
    <row r="89" spans="1:23" s="465" customFormat="1" ht="16.5" customHeight="1" x14ac:dyDescent="0.2">
      <c r="A89" s="492" t="s">
        <v>179</v>
      </c>
      <c r="B89" s="723">
        <f t="shared" si="5"/>
        <v>1.9588575712956354E-2</v>
      </c>
      <c r="C89" s="723">
        <f t="shared" si="5"/>
        <v>2.3613467893802847E-2</v>
      </c>
      <c r="D89" s="723">
        <f t="shared" si="5"/>
        <v>4.1552422749826359E-2</v>
      </c>
      <c r="E89" s="723">
        <f t="shared" si="5"/>
        <v>2.9778894226799114E-2</v>
      </c>
      <c r="F89" s="723">
        <f t="shared" si="5"/>
        <v>4.156439693416978E-2</v>
      </c>
      <c r="G89" s="723">
        <f t="shared" si="5"/>
        <v>4.6389437508921084E-2</v>
      </c>
      <c r="H89" s="723">
        <f t="shared" si="5"/>
        <v>6.2682490634325766E-2</v>
      </c>
      <c r="I89" s="723">
        <f t="shared" si="5"/>
        <v>4.6245349381542289E-2</v>
      </c>
      <c r="J89" s="723">
        <f t="shared" si="5"/>
        <v>5.8512344028112596E-2</v>
      </c>
      <c r="K89" s="723">
        <f t="shared" si="5"/>
        <v>0.11969903517816879</v>
      </c>
      <c r="L89" s="723" t="s">
        <v>102</v>
      </c>
      <c r="M89" s="724">
        <f t="shared" si="5"/>
        <v>4.4051524708049725E-2</v>
      </c>
      <c r="N89" s="724">
        <f t="shared" si="5"/>
        <v>5.840295106689624E-2</v>
      </c>
      <c r="O89" s="724">
        <f t="shared" si="5"/>
        <v>4.8380966803313087E-2</v>
      </c>
      <c r="P89" s="723">
        <f t="shared" si="5"/>
        <v>5.7863798875572275E-2</v>
      </c>
    </row>
    <row r="90" spans="1:23" s="465" customFormat="1" ht="16.5" customHeight="1" x14ac:dyDescent="0.2">
      <c r="A90" s="495" t="s">
        <v>180</v>
      </c>
      <c r="B90" s="725">
        <f t="shared" si="5"/>
        <v>3.878822813856056E-2</v>
      </c>
      <c r="C90" s="725">
        <f t="shared" si="5"/>
        <v>1.8427171547721801E-2</v>
      </c>
      <c r="D90" s="725">
        <f t="shared" si="5"/>
        <v>3.9885693148088472E-2</v>
      </c>
      <c r="E90" s="725">
        <f t="shared" si="5"/>
        <v>3.364742523868245E-2</v>
      </c>
      <c r="F90" s="725">
        <f t="shared" si="5"/>
        <v>3.6160872367685344E-2</v>
      </c>
      <c r="G90" s="725">
        <f t="shared" si="5"/>
        <v>4.4981900824295887E-2</v>
      </c>
      <c r="H90" s="725">
        <f t="shared" si="5"/>
        <v>3.776209158391259E-2</v>
      </c>
      <c r="I90" s="725">
        <f t="shared" si="5"/>
        <v>4.2374671916635021E-2</v>
      </c>
      <c r="J90" s="725">
        <f t="shared" si="5"/>
        <v>2.4790986020555079E-2</v>
      </c>
      <c r="K90" s="725">
        <f t="shared" si="5"/>
        <v>7.8188883580872087E-2</v>
      </c>
      <c r="L90" s="725" t="s">
        <v>102</v>
      </c>
      <c r="M90" s="726">
        <f t="shared" si="5"/>
        <v>3.740887232436646E-2</v>
      </c>
      <c r="N90" s="726">
        <f t="shared" si="5"/>
        <v>3.784779499888543E-2</v>
      </c>
      <c r="O90" s="726">
        <f t="shared" si="5"/>
        <v>3.7541283574755759E-2</v>
      </c>
      <c r="P90" s="725">
        <f t="shared" si="5"/>
        <v>3.2585828556218853E-2</v>
      </c>
    </row>
    <row r="91" spans="1:23" s="465" customFormat="1" ht="16.5" customHeight="1" x14ac:dyDescent="0.25">
      <c r="A91" s="498" t="s">
        <v>289</v>
      </c>
      <c r="B91" s="727">
        <f>B32/B$32</f>
        <v>1</v>
      </c>
      <c r="C91" s="727">
        <f t="shared" ref="C91:P91" si="6">C32/C$32</f>
        <v>1</v>
      </c>
      <c r="D91" s="727">
        <f t="shared" si="6"/>
        <v>1</v>
      </c>
      <c r="E91" s="727">
        <f t="shared" si="6"/>
        <v>1</v>
      </c>
      <c r="F91" s="727">
        <f t="shared" si="6"/>
        <v>1</v>
      </c>
      <c r="G91" s="727">
        <f t="shared" si="6"/>
        <v>1</v>
      </c>
      <c r="H91" s="727">
        <f t="shared" si="6"/>
        <v>1</v>
      </c>
      <c r="I91" s="727">
        <f t="shared" si="6"/>
        <v>1</v>
      </c>
      <c r="J91" s="727">
        <f t="shared" si="6"/>
        <v>1</v>
      </c>
      <c r="K91" s="727">
        <f t="shared" si="6"/>
        <v>1</v>
      </c>
      <c r="L91" s="727" t="s">
        <v>102</v>
      </c>
      <c r="M91" s="728">
        <f t="shared" si="6"/>
        <v>1</v>
      </c>
      <c r="N91" s="728">
        <f t="shared" si="6"/>
        <v>1</v>
      </c>
      <c r="O91" s="728">
        <f t="shared" si="6"/>
        <v>1</v>
      </c>
      <c r="P91" s="727">
        <f t="shared" si="6"/>
        <v>1</v>
      </c>
    </row>
    <row r="92" spans="1:23" s="465" customFormat="1" ht="16.5" customHeight="1" x14ac:dyDescent="0.2">
      <c r="A92" s="490" t="s">
        <v>182</v>
      </c>
      <c r="B92" s="721">
        <f t="shared" ref="B92:P94" si="7">B33/B$32</f>
        <v>0.26180942568780313</v>
      </c>
      <c r="C92" s="721">
        <f t="shared" si="7"/>
        <v>0.19644222228829394</v>
      </c>
      <c r="D92" s="721">
        <f t="shared" si="7"/>
        <v>0.19864552704940688</v>
      </c>
      <c r="E92" s="721">
        <f t="shared" si="7"/>
        <v>0.20607218753448572</v>
      </c>
      <c r="F92" s="721">
        <f t="shared" si="7"/>
        <v>0.16592436003125866</v>
      </c>
      <c r="G92" s="721">
        <f t="shared" si="7"/>
        <v>0.24160008120219903</v>
      </c>
      <c r="H92" s="721">
        <f t="shared" si="7"/>
        <v>0.23208347028549178</v>
      </c>
      <c r="I92" s="721">
        <f t="shared" si="7"/>
        <v>0.27041627460434697</v>
      </c>
      <c r="J92" s="721">
        <f t="shared" si="7"/>
        <v>0.24019470577671423</v>
      </c>
      <c r="K92" s="721">
        <f t="shared" si="7"/>
        <v>0.12893784523966137</v>
      </c>
      <c r="L92" s="721" t="s">
        <v>102</v>
      </c>
      <c r="M92" s="722">
        <f t="shared" si="7"/>
        <v>0.20648739968292415</v>
      </c>
      <c r="N92" s="722">
        <f t="shared" si="7"/>
        <v>0.23534598004251725</v>
      </c>
      <c r="O92" s="722">
        <f t="shared" si="7"/>
        <v>0.21379931790926096</v>
      </c>
      <c r="P92" s="721">
        <f t="shared" si="7"/>
        <v>0.24609757606140661</v>
      </c>
    </row>
    <row r="93" spans="1:23" s="465" customFormat="1" ht="16.5" customHeight="1" x14ac:dyDescent="0.2">
      <c r="A93" s="492" t="s">
        <v>183</v>
      </c>
      <c r="B93" s="723">
        <f t="shared" si="7"/>
        <v>0.68800046067663423</v>
      </c>
      <c r="C93" s="723">
        <f t="shared" si="7"/>
        <v>0.66087857613471579</v>
      </c>
      <c r="D93" s="723">
        <f t="shared" si="7"/>
        <v>0.68386409563837347</v>
      </c>
      <c r="E93" s="723">
        <f t="shared" si="7"/>
        <v>0.59640122907839288</v>
      </c>
      <c r="F93" s="723">
        <f t="shared" si="7"/>
        <v>0.4029539962194516</v>
      </c>
      <c r="G93" s="723">
        <f t="shared" si="7"/>
        <v>0.47889585945500007</v>
      </c>
      <c r="H93" s="723">
        <f t="shared" si="7"/>
        <v>0.55050348255090942</v>
      </c>
      <c r="I93" s="723">
        <f t="shared" si="7"/>
        <v>0.52111891274528299</v>
      </c>
      <c r="J93" s="723">
        <f t="shared" si="7"/>
        <v>0.4202448580208783</v>
      </c>
      <c r="K93" s="723">
        <f t="shared" si="7"/>
        <v>0.32614034391039154</v>
      </c>
      <c r="L93" s="723" t="s">
        <v>102</v>
      </c>
      <c r="M93" s="724">
        <f t="shared" si="7"/>
        <v>0.52294973097145814</v>
      </c>
      <c r="N93" s="724">
        <f t="shared" si="7"/>
        <v>0.44694949795380368</v>
      </c>
      <c r="O93" s="724">
        <f t="shared" si="7"/>
        <v>0.5036934999943542</v>
      </c>
      <c r="P93" s="723">
        <f t="shared" si="7"/>
        <v>0.56153022175999079</v>
      </c>
    </row>
    <row r="94" spans="1:23" s="465" customFormat="1" ht="16.5" customHeight="1" x14ac:dyDescent="0.2">
      <c r="A94" s="490" t="s">
        <v>184</v>
      </c>
      <c r="B94" s="725">
        <f t="shared" si="7"/>
        <v>5.0190113635562562E-2</v>
      </c>
      <c r="C94" s="725">
        <f t="shared" si="7"/>
        <v>0.14267920157699021</v>
      </c>
      <c r="D94" s="725">
        <f t="shared" si="7"/>
        <v>0.11749037731221963</v>
      </c>
      <c r="E94" s="725">
        <f t="shared" si="7"/>
        <v>0.19752658338325069</v>
      </c>
      <c r="F94" s="725">
        <f t="shared" si="7"/>
        <v>0.43112164374615419</v>
      </c>
      <c r="G94" s="725">
        <f t="shared" si="7"/>
        <v>0.27950405934280087</v>
      </c>
      <c r="H94" s="725">
        <f t="shared" si="7"/>
        <v>0.21741304716359883</v>
      </c>
      <c r="I94" s="725">
        <f t="shared" si="7"/>
        <v>0.20846481265037009</v>
      </c>
      <c r="J94" s="725">
        <f t="shared" si="7"/>
        <v>0.33956043620240739</v>
      </c>
      <c r="K94" s="725">
        <f t="shared" si="7"/>
        <v>0.54492181084994706</v>
      </c>
      <c r="L94" s="725" t="s">
        <v>102</v>
      </c>
      <c r="M94" s="726">
        <f t="shared" si="7"/>
        <v>0.27056286934944856</v>
      </c>
      <c r="N94" s="726">
        <f t="shared" si="7"/>
        <v>0.31770452200367916</v>
      </c>
      <c r="O94" s="726">
        <f t="shared" si="7"/>
        <v>0.28250718209638481</v>
      </c>
      <c r="P94" s="725">
        <f t="shared" si="7"/>
        <v>0.19237220217860257</v>
      </c>
    </row>
    <row r="95" spans="1:23" s="465" customFormat="1" ht="16.5" customHeight="1" x14ac:dyDescent="0.25">
      <c r="A95" s="544" t="s">
        <v>226</v>
      </c>
      <c r="B95" s="732"/>
      <c r="C95" s="732"/>
      <c r="D95" s="732"/>
      <c r="E95" s="732"/>
      <c r="F95" s="732"/>
      <c r="G95" s="732"/>
      <c r="H95" s="732"/>
      <c r="I95" s="732"/>
      <c r="J95" s="732"/>
      <c r="K95" s="732"/>
      <c r="L95" s="732"/>
      <c r="M95" s="733"/>
      <c r="N95" s="733"/>
      <c r="O95" s="733"/>
      <c r="P95" s="734"/>
      <c r="V95" s="519"/>
      <c r="W95" s="519"/>
    </row>
    <row r="96" spans="1:23" s="465" customFormat="1" ht="16.5" customHeight="1" x14ac:dyDescent="0.2">
      <c r="A96" s="550" t="s">
        <v>421</v>
      </c>
      <c r="B96" s="735">
        <v>0.29460246899999998</v>
      </c>
      <c r="C96" s="735">
        <v>0.25704230300000003</v>
      </c>
      <c r="D96" s="735">
        <v>0.23598831300000001</v>
      </c>
      <c r="E96" s="735">
        <v>0.21650578700000001</v>
      </c>
      <c r="F96" s="735">
        <v>0.20684248399999999</v>
      </c>
      <c r="G96" s="735">
        <v>0.21410976200000001</v>
      </c>
      <c r="H96" s="735">
        <v>0.20274171599999999</v>
      </c>
      <c r="I96" s="735">
        <v>0.17660147700000001</v>
      </c>
      <c r="J96" s="735">
        <v>0.16321450300000001</v>
      </c>
      <c r="K96" s="735">
        <v>8.7778825000000005E-2</v>
      </c>
      <c r="L96" s="735" t="s">
        <v>102</v>
      </c>
      <c r="M96" s="736">
        <v>0.212048033</v>
      </c>
      <c r="N96" s="736">
        <v>0.160574149</v>
      </c>
      <c r="O96" s="736">
        <v>0.19495511600000001</v>
      </c>
      <c r="P96" s="735">
        <v>0.148300929</v>
      </c>
    </row>
    <row r="97" spans="1:16" s="465" customFormat="1" ht="16.5" customHeight="1" x14ac:dyDescent="0.2">
      <c r="A97" s="562" t="s">
        <v>407</v>
      </c>
      <c r="B97" s="721">
        <v>0.31749521000000003</v>
      </c>
      <c r="C97" s="721">
        <v>0.34616639199999999</v>
      </c>
      <c r="D97" s="721">
        <v>0.36674113899999999</v>
      </c>
      <c r="E97" s="721">
        <v>0.41929564800000002</v>
      </c>
      <c r="F97" s="721">
        <v>0.47926390000000002</v>
      </c>
      <c r="G97" s="721">
        <v>0.51623082499999995</v>
      </c>
      <c r="H97" s="721">
        <v>0.55169404099999997</v>
      </c>
      <c r="I97" s="721">
        <v>0.57649216000000003</v>
      </c>
      <c r="J97" s="721">
        <v>0.56314825199999996</v>
      </c>
      <c r="K97" s="721">
        <v>0.60759780200000002</v>
      </c>
      <c r="L97" s="721" t="s">
        <v>102</v>
      </c>
      <c r="M97" s="722">
        <v>0.48373023199999998</v>
      </c>
      <c r="N97" s="722">
        <v>0.575133059</v>
      </c>
      <c r="O97" s="722">
        <v>0.51537858599999997</v>
      </c>
      <c r="P97" s="721">
        <v>0.53555837900000003</v>
      </c>
    </row>
    <row r="98" spans="1:16" s="465" customFormat="1" ht="16.5" customHeight="1" x14ac:dyDescent="0.25">
      <c r="A98" s="492" t="s">
        <v>408</v>
      </c>
      <c r="B98" s="723">
        <v>0.77859018499999999</v>
      </c>
      <c r="C98" s="723">
        <v>0.86107072200000001</v>
      </c>
      <c r="D98" s="723">
        <v>0.85317049700000003</v>
      </c>
      <c r="E98" s="723">
        <v>0.86526997900000002</v>
      </c>
      <c r="F98" s="723">
        <v>0.86068677900000001</v>
      </c>
      <c r="G98" s="723">
        <v>0.84973700100000005</v>
      </c>
      <c r="H98" s="723">
        <v>0.86293649299999997</v>
      </c>
      <c r="I98" s="723">
        <v>0.88321099400000003</v>
      </c>
      <c r="J98" s="723">
        <v>0.91463755400000002</v>
      </c>
      <c r="K98" s="723">
        <v>1.0106508590000001</v>
      </c>
      <c r="L98" s="723" t="s">
        <v>102</v>
      </c>
      <c r="M98" s="724">
        <v>0.85961758099999996</v>
      </c>
      <c r="N98" s="724">
        <v>0.911160627</v>
      </c>
      <c r="O98" s="724">
        <v>0.87673346500000005</v>
      </c>
      <c r="P98" s="723">
        <v>0.91681483399999997</v>
      </c>
    </row>
    <row r="99" spans="1:16" s="465" customFormat="1" ht="16.5" customHeight="1" x14ac:dyDescent="0.25">
      <c r="A99" s="490" t="s">
        <v>450</v>
      </c>
      <c r="B99" s="721">
        <v>0.42610785200000001</v>
      </c>
      <c r="C99" s="721">
        <v>0.44907693599999998</v>
      </c>
      <c r="D99" s="721">
        <v>0.39819747700000002</v>
      </c>
      <c r="E99" s="721">
        <v>0.409250369</v>
      </c>
      <c r="F99" s="721">
        <v>0.37519897899999999</v>
      </c>
      <c r="G99" s="721">
        <v>0.35116662399999998</v>
      </c>
      <c r="H99" s="721">
        <v>0.32862972800000001</v>
      </c>
      <c r="I99" s="721">
        <v>0.31861499799999998</v>
      </c>
      <c r="J99" s="721">
        <v>0.35076879999999999</v>
      </c>
      <c r="K99" s="721">
        <v>0.21867858300000001</v>
      </c>
      <c r="L99" s="721" t="s">
        <v>102</v>
      </c>
      <c r="M99" s="722">
        <v>0.36871194299999999</v>
      </c>
      <c r="N99" s="722">
        <v>0.31972515800000001</v>
      </c>
      <c r="O99" s="722">
        <v>0.352444916</v>
      </c>
      <c r="P99" s="721">
        <v>0.28683293999999998</v>
      </c>
    </row>
    <row r="100" spans="1:16" s="465" customFormat="1" ht="16.5" customHeight="1" x14ac:dyDescent="0.25">
      <c r="A100" s="546" t="s">
        <v>409</v>
      </c>
      <c r="B100" s="737">
        <v>0.38575548399999998</v>
      </c>
      <c r="C100" s="737">
        <v>0.69824202499999999</v>
      </c>
      <c r="D100" s="737">
        <v>0.61673891800000002</v>
      </c>
      <c r="E100" s="737">
        <v>0.70837106900000002</v>
      </c>
      <c r="F100" s="737">
        <v>0.63693969399999995</v>
      </c>
      <c r="G100" s="737">
        <v>0.63436873699999996</v>
      </c>
      <c r="H100" s="737">
        <v>0.62641617199999999</v>
      </c>
      <c r="I100" s="737">
        <v>0.62517720600000004</v>
      </c>
      <c r="J100" s="737">
        <v>0.82672362399999999</v>
      </c>
      <c r="K100" s="737">
        <v>1.07226412</v>
      </c>
      <c r="L100" s="737" t="s">
        <v>102</v>
      </c>
      <c r="M100" s="738">
        <v>0.65022677699999998</v>
      </c>
      <c r="N100" s="738">
        <v>0.76024477199999996</v>
      </c>
      <c r="O100" s="738">
        <v>0.68676042000000004</v>
      </c>
      <c r="P100" s="737">
        <v>0.69401103600000003</v>
      </c>
    </row>
    <row r="101" spans="1:16" s="475" customFormat="1" ht="16.5" customHeight="1" x14ac:dyDescent="0.2">
      <c r="A101" s="495" t="s">
        <v>619</v>
      </c>
      <c r="B101" s="739">
        <v>1.309410223</v>
      </c>
      <c r="C101" s="739">
        <v>2.716447901</v>
      </c>
      <c r="D101" s="739">
        <v>2.613429918</v>
      </c>
      <c r="E101" s="739">
        <v>3.2718343459999999</v>
      </c>
      <c r="F101" s="739">
        <v>3.0793465740000001</v>
      </c>
      <c r="G101" s="739">
        <v>2.9628202360000002</v>
      </c>
      <c r="H101" s="739">
        <v>3.0897251200000002</v>
      </c>
      <c r="I101" s="739">
        <v>3.540045165</v>
      </c>
      <c r="J101" s="739">
        <v>5.0652583360000003</v>
      </c>
      <c r="K101" s="739">
        <v>12.215521494000001</v>
      </c>
      <c r="L101" s="739" t="s">
        <v>102</v>
      </c>
      <c r="M101" s="740">
        <v>3.0664126770000002</v>
      </c>
      <c r="N101" s="740">
        <v>4.7345402380000001</v>
      </c>
      <c r="O101" s="740">
        <v>3.522659134</v>
      </c>
      <c r="P101" s="739">
        <v>4.6797484120000004</v>
      </c>
    </row>
    <row r="102" spans="1:16" ht="15" customHeight="1" x14ac:dyDescent="0.2">
      <c r="A102" s="255" t="s">
        <v>285</v>
      </c>
      <c r="B102" s="13"/>
      <c r="C102" s="13"/>
      <c r="D102" s="13"/>
      <c r="E102" s="13"/>
      <c r="F102" s="13"/>
      <c r="G102" s="13"/>
      <c r="H102" s="13"/>
      <c r="I102" s="13"/>
      <c r="J102" s="13"/>
      <c r="K102" s="13"/>
      <c r="L102" s="13"/>
      <c r="M102" s="215"/>
      <c r="N102" s="215"/>
      <c r="O102" s="215"/>
      <c r="P102" s="39"/>
    </row>
    <row r="103" spans="1:16" ht="15" customHeight="1" x14ac:dyDescent="0.2">
      <c r="A103" s="255" t="s">
        <v>901</v>
      </c>
      <c r="B103" s="13"/>
      <c r="C103" s="13"/>
      <c r="D103" s="13"/>
      <c r="E103" s="13"/>
      <c r="F103" s="13"/>
      <c r="G103" s="13"/>
      <c r="H103" s="13"/>
      <c r="I103" s="13"/>
      <c r="J103" s="13"/>
      <c r="K103" s="13"/>
      <c r="L103" s="13"/>
      <c r="M103" s="215"/>
      <c r="N103" s="215"/>
      <c r="O103" s="215"/>
      <c r="P103" s="39"/>
    </row>
    <row r="104" spans="1:16" ht="15" customHeight="1" x14ac:dyDescent="0.2">
      <c r="A104" s="37" t="s">
        <v>552</v>
      </c>
      <c r="B104" s="13"/>
      <c r="C104" s="13"/>
      <c r="D104" s="13"/>
      <c r="E104" s="13"/>
      <c r="F104" s="13"/>
      <c r="G104" s="13"/>
      <c r="H104" s="13"/>
      <c r="I104" s="13"/>
      <c r="J104" s="13"/>
      <c r="K104" s="13"/>
      <c r="L104" s="13"/>
      <c r="M104" s="215"/>
      <c r="N104" s="215"/>
      <c r="O104" s="215"/>
      <c r="P104" s="39"/>
    </row>
    <row r="105" spans="1:16" ht="15" customHeight="1" x14ac:dyDescent="0.2">
      <c r="A105" s="255" t="s">
        <v>968</v>
      </c>
      <c r="B105" s="13"/>
      <c r="C105" s="13"/>
      <c r="D105" s="13"/>
      <c r="E105" s="13"/>
      <c r="F105" s="13"/>
      <c r="G105" s="13"/>
      <c r="H105" s="13"/>
      <c r="I105" s="13"/>
      <c r="J105" s="13"/>
      <c r="K105" s="13"/>
      <c r="L105" s="13"/>
      <c r="M105" s="215"/>
      <c r="N105" s="215"/>
      <c r="O105" s="215"/>
      <c r="P105" s="39"/>
    </row>
    <row r="106" spans="1:16" ht="15" customHeight="1" x14ac:dyDescent="0.2">
      <c r="A106" s="286" t="s">
        <v>202</v>
      </c>
      <c r="B106" s="3"/>
      <c r="C106" s="3"/>
      <c r="D106" s="3"/>
      <c r="G106" s="185"/>
      <c r="J106" s="185"/>
    </row>
    <row r="107" spans="1:16" ht="15" customHeight="1" x14ac:dyDescent="0.2">
      <c r="A107" s="13"/>
      <c r="B107" s="13"/>
      <c r="C107" s="13"/>
      <c r="D107" s="13"/>
      <c r="E107" s="13"/>
      <c r="F107" s="13"/>
      <c r="G107" s="13"/>
      <c r="H107" s="13"/>
      <c r="I107" s="13"/>
      <c r="J107" s="13"/>
      <c r="K107" s="13"/>
      <c r="L107" s="13"/>
      <c r="M107" s="215"/>
      <c r="N107" s="215"/>
      <c r="O107" s="215"/>
      <c r="P107" s="39"/>
    </row>
    <row r="108" spans="1:16" ht="19.5" customHeight="1" x14ac:dyDescent="0.25">
      <c r="A108" s="280" t="s">
        <v>908</v>
      </c>
      <c r="B108" s="13"/>
      <c r="C108" s="13"/>
      <c r="D108" s="13"/>
      <c r="E108" s="13"/>
      <c r="F108" s="13"/>
      <c r="G108" s="13"/>
      <c r="H108" s="13"/>
      <c r="I108" s="13"/>
      <c r="J108" s="13"/>
      <c r="K108" s="13"/>
      <c r="L108" s="13"/>
      <c r="M108" s="215"/>
      <c r="N108" s="215"/>
      <c r="O108" s="215"/>
      <c r="P108" s="39"/>
    </row>
    <row r="109" spans="1:16" ht="15" customHeight="1" thickBot="1" x14ac:dyDescent="0.25">
      <c r="A109" s="13"/>
      <c r="B109" s="13"/>
      <c r="C109" s="13"/>
      <c r="D109" s="13"/>
      <c r="E109" s="13"/>
      <c r="F109" s="13"/>
      <c r="G109" s="13"/>
      <c r="H109" s="13"/>
      <c r="I109" s="13"/>
      <c r="J109" s="13"/>
      <c r="K109" s="13"/>
      <c r="L109" s="13"/>
      <c r="M109" s="215"/>
      <c r="N109" s="215"/>
      <c r="O109" s="215"/>
      <c r="P109" s="39"/>
    </row>
    <row r="110" spans="1:16" ht="15.95" customHeight="1" x14ac:dyDescent="0.2">
      <c r="A110" s="565" t="s">
        <v>81</v>
      </c>
      <c r="B110" s="42" t="s">
        <v>35</v>
      </c>
      <c r="C110" s="42" t="s">
        <v>121</v>
      </c>
      <c r="D110" s="42" t="s">
        <v>123</v>
      </c>
      <c r="E110" s="42" t="s">
        <v>36</v>
      </c>
      <c r="F110" s="42" t="s">
        <v>37</v>
      </c>
      <c r="G110" s="42" t="s">
        <v>38</v>
      </c>
      <c r="H110" s="42" t="s">
        <v>39</v>
      </c>
      <c r="I110" s="42" t="s">
        <v>125</v>
      </c>
      <c r="J110" s="42" t="s">
        <v>126</v>
      </c>
      <c r="K110" s="42" t="s">
        <v>127</v>
      </c>
      <c r="L110" s="252">
        <v>100000</v>
      </c>
      <c r="M110" s="250" t="s">
        <v>231</v>
      </c>
      <c r="N110" s="250" t="s">
        <v>229</v>
      </c>
      <c r="O110" s="257" t="s">
        <v>77</v>
      </c>
      <c r="P110" s="281" t="s">
        <v>220</v>
      </c>
    </row>
    <row r="111" spans="1:16" ht="15.95" customHeight="1" x14ac:dyDescent="0.2">
      <c r="A111" s="229" t="s">
        <v>225</v>
      </c>
      <c r="B111" s="43" t="s">
        <v>120</v>
      </c>
      <c r="C111" s="43" t="s">
        <v>40</v>
      </c>
      <c r="D111" s="43" t="s">
        <v>40</v>
      </c>
      <c r="E111" s="43" t="s">
        <v>40</v>
      </c>
      <c r="F111" s="43" t="s">
        <v>40</v>
      </c>
      <c r="G111" s="43" t="s">
        <v>40</v>
      </c>
      <c r="H111" s="43" t="s">
        <v>40</v>
      </c>
      <c r="I111" s="43" t="s">
        <v>40</v>
      </c>
      <c r="J111" s="43" t="s">
        <v>40</v>
      </c>
      <c r="K111" s="43" t="s">
        <v>40</v>
      </c>
      <c r="L111" s="43" t="s">
        <v>43</v>
      </c>
      <c r="M111" s="239" t="s">
        <v>230</v>
      </c>
      <c r="N111" s="239" t="s">
        <v>138</v>
      </c>
      <c r="O111" s="256" t="s">
        <v>137</v>
      </c>
      <c r="P111" s="282" t="s">
        <v>284</v>
      </c>
    </row>
    <row r="112" spans="1:16" ht="15.95" customHeight="1" thickBot="1" x14ac:dyDescent="0.25">
      <c r="A112" s="423" t="s">
        <v>82</v>
      </c>
      <c r="B112" s="44" t="s">
        <v>43</v>
      </c>
      <c r="C112" s="44" t="s">
        <v>122</v>
      </c>
      <c r="D112" s="44" t="s">
        <v>124</v>
      </c>
      <c r="E112" s="44" t="s">
        <v>44</v>
      </c>
      <c r="F112" s="44" t="s">
        <v>45</v>
      </c>
      <c r="G112" s="44" t="s">
        <v>46</v>
      </c>
      <c r="H112" s="44" t="s">
        <v>42</v>
      </c>
      <c r="I112" s="44" t="s">
        <v>128</v>
      </c>
      <c r="J112" s="44" t="s">
        <v>129</v>
      </c>
      <c r="K112" s="44" t="s">
        <v>130</v>
      </c>
      <c r="L112" s="44" t="s">
        <v>131</v>
      </c>
      <c r="M112" s="251" t="s">
        <v>138</v>
      </c>
      <c r="N112" s="251" t="s">
        <v>131</v>
      </c>
      <c r="O112" s="258" t="s">
        <v>41</v>
      </c>
      <c r="P112" s="283" t="s">
        <v>239</v>
      </c>
    </row>
    <row r="113" spans="1:16" ht="15.75" customHeight="1" x14ac:dyDescent="0.25">
      <c r="A113" s="544" t="s">
        <v>223</v>
      </c>
      <c r="B113" s="192"/>
      <c r="C113" s="192"/>
      <c r="D113" s="192"/>
      <c r="E113" s="192"/>
      <c r="F113" s="192"/>
      <c r="G113" s="192"/>
      <c r="H113" s="192"/>
      <c r="I113" s="192"/>
      <c r="J113" s="192"/>
      <c r="K113" s="192"/>
      <c r="L113" s="192"/>
      <c r="M113" s="253"/>
      <c r="N113" s="253"/>
      <c r="O113" s="253"/>
    </row>
    <row r="114" spans="1:16" ht="16.5" customHeight="1" x14ac:dyDescent="0.25">
      <c r="A114" s="487" t="s">
        <v>286</v>
      </c>
      <c r="B114" s="572">
        <v>2.3049704690000001</v>
      </c>
      <c r="C114" s="572">
        <v>5.9357857760000003</v>
      </c>
      <c r="D114" s="572">
        <v>5.9779353249999998</v>
      </c>
      <c r="E114" s="572">
        <v>4.7364075110000003</v>
      </c>
      <c r="F114" s="572">
        <v>4.4808797489999996</v>
      </c>
      <c r="G114" s="572">
        <v>1.8635671899999999</v>
      </c>
      <c r="H114" s="572">
        <v>5.1068347870000004</v>
      </c>
      <c r="I114" s="572">
        <v>4.4233399860000002</v>
      </c>
      <c r="J114" s="572">
        <v>2.8327777900000002</v>
      </c>
      <c r="K114" s="572">
        <v>4.693890755</v>
      </c>
      <c r="L114" s="572" t="s">
        <v>102</v>
      </c>
      <c r="M114" s="573">
        <v>4.2834016239999997</v>
      </c>
      <c r="N114" s="573">
        <v>3.8091870139999999</v>
      </c>
      <c r="O114" s="573">
        <v>4.1187145799999998</v>
      </c>
      <c r="P114" s="572">
        <v>4.1179418459999999</v>
      </c>
    </row>
    <row r="115" spans="1:16" ht="15.75" customHeight="1" x14ac:dyDescent="0.2">
      <c r="A115" s="490" t="s">
        <v>161</v>
      </c>
      <c r="B115" s="574">
        <v>3.2794456460000001</v>
      </c>
      <c r="C115" s="574">
        <v>7.0995286660000003</v>
      </c>
      <c r="D115" s="574">
        <v>7.9774128610000004</v>
      </c>
      <c r="E115" s="574">
        <v>7.5030760000000001</v>
      </c>
      <c r="F115" s="574">
        <v>5.5783409339999999</v>
      </c>
      <c r="G115" s="574">
        <v>2.9701254669999999</v>
      </c>
      <c r="H115" s="574">
        <v>4.6088007160000002</v>
      </c>
      <c r="I115" s="574">
        <v>3.9002093929999999</v>
      </c>
      <c r="J115" s="574">
        <v>2.07113887</v>
      </c>
      <c r="K115" s="574">
        <v>2.9176132689999998</v>
      </c>
      <c r="L115" s="574" t="s">
        <v>102</v>
      </c>
      <c r="M115" s="575">
        <v>5.4980274500000004</v>
      </c>
      <c r="N115" s="575">
        <v>3.0319431909999999</v>
      </c>
      <c r="O115" s="575">
        <v>4.7574555939999996</v>
      </c>
      <c r="P115" s="574">
        <v>4.0108692530000001</v>
      </c>
    </row>
    <row r="116" spans="1:16" ht="15.75" customHeight="1" x14ac:dyDescent="0.2">
      <c r="A116" s="492" t="s">
        <v>162</v>
      </c>
      <c r="B116" s="576">
        <v>4.3236813420000004</v>
      </c>
      <c r="C116" s="577">
        <v>4.3157065159999997</v>
      </c>
      <c r="D116" s="576">
        <v>5.2879343299999997</v>
      </c>
      <c r="E116" s="576">
        <v>5.7534014549999997</v>
      </c>
      <c r="F116" s="576">
        <v>5.7111005090000004</v>
      </c>
      <c r="G116" s="576">
        <v>5.2957510059999997</v>
      </c>
      <c r="H116" s="576">
        <v>5.1388885719999999</v>
      </c>
      <c r="I116" s="576">
        <v>4.717287432</v>
      </c>
      <c r="J116" s="576">
        <v>5.4653197210000002</v>
      </c>
      <c r="K116" s="576">
        <v>4.3108981069999999</v>
      </c>
      <c r="L116" s="576" t="s">
        <v>102</v>
      </c>
      <c r="M116" s="578">
        <v>5.4217587040000002</v>
      </c>
      <c r="N116" s="578">
        <v>4.9558591029999999</v>
      </c>
      <c r="O116" s="578">
        <v>5.2412471119999999</v>
      </c>
      <c r="P116" s="576">
        <v>4.3575204349999996</v>
      </c>
    </row>
    <row r="117" spans="1:16" ht="15.75" customHeight="1" x14ac:dyDescent="0.2">
      <c r="A117" s="490" t="s">
        <v>163</v>
      </c>
      <c r="B117" s="574">
        <v>24.274512741999999</v>
      </c>
      <c r="C117" s="574">
        <v>-0.24046041500000001</v>
      </c>
      <c r="D117" s="574">
        <v>9.653320012</v>
      </c>
      <c r="E117" s="574">
        <v>8.7162395089999993</v>
      </c>
      <c r="F117" s="574">
        <v>4.6285217029999997</v>
      </c>
      <c r="G117" s="574">
        <v>4.5451194670000001</v>
      </c>
      <c r="H117" s="574">
        <v>4.7053812969999997</v>
      </c>
      <c r="I117" s="574">
        <v>1.648429191</v>
      </c>
      <c r="J117" s="574">
        <v>14.855430387</v>
      </c>
      <c r="K117" s="574">
        <v>7.4468800760000002</v>
      </c>
      <c r="L117" s="574" t="s">
        <v>102</v>
      </c>
      <c r="M117" s="575">
        <v>5.9294205230000001</v>
      </c>
      <c r="N117" s="575">
        <v>8.3199559989999994</v>
      </c>
      <c r="O117" s="575">
        <v>6.8053027180000001</v>
      </c>
      <c r="P117" s="574">
        <v>9.3167023919999998</v>
      </c>
    </row>
    <row r="118" spans="1:16" ht="15.75" customHeight="1" x14ac:dyDescent="0.2">
      <c r="A118" s="492" t="s">
        <v>164</v>
      </c>
      <c r="B118" s="576">
        <v>1.6586588369999999</v>
      </c>
      <c r="C118" s="576">
        <v>22.355340597000001</v>
      </c>
      <c r="D118" s="576">
        <v>2.8219324910000001</v>
      </c>
      <c r="E118" s="576">
        <v>11.147128149</v>
      </c>
      <c r="F118" s="576">
        <v>10.789081997</v>
      </c>
      <c r="G118" s="576">
        <v>6.3845112620000002</v>
      </c>
      <c r="H118" s="576">
        <v>8.4521780779999993</v>
      </c>
      <c r="I118" s="576">
        <v>5.5408939110000004</v>
      </c>
      <c r="J118" s="576">
        <v>3.960308318</v>
      </c>
      <c r="K118" s="576">
        <v>3.489541596</v>
      </c>
      <c r="L118" s="576" t="s">
        <v>102</v>
      </c>
      <c r="M118" s="578">
        <v>9.1292371970000001</v>
      </c>
      <c r="N118" s="578">
        <v>4.5874583189999996</v>
      </c>
      <c r="O118" s="578">
        <v>7.5422966090000001</v>
      </c>
      <c r="P118" s="576">
        <v>4.601181585</v>
      </c>
    </row>
    <row r="119" spans="1:16" ht="15.75" customHeight="1" x14ac:dyDescent="0.2">
      <c r="A119" s="495" t="s">
        <v>165</v>
      </c>
      <c r="B119" s="579">
        <v>-3.9478387119999998</v>
      </c>
      <c r="C119" s="579">
        <v>-5.5361848150000004</v>
      </c>
      <c r="D119" s="579">
        <v>5.0407548719999999</v>
      </c>
      <c r="E119" s="579">
        <v>-20.597854187999999</v>
      </c>
      <c r="F119" s="579">
        <v>-20.957829583999999</v>
      </c>
      <c r="G119" s="579">
        <v>-35.489562616999997</v>
      </c>
      <c r="H119" s="579">
        <v>0.183200632</v>
      </c>
      <c r="I119" s="579">
        <v>1.329827069</v>
      </c>
      <c r="J119" s="579">
        <v>-35.114791990999997</v>
      </c>
      <c r="K119" s="579">
        <v>33.761005140999998</v>
      </c>
      <c r="L119" s="579" t="s">
        <v>102</v>
      </c>
      <c r="M119" s="580">
        <v>-18.173780951000001</v>
      </c>
      <c r="N119" s="580">
        <v>-14.292330064</v>
      </c>
      <c r="O119" s="580">
        <v>-17.321618942000001</v>
      </c>
      <c r="P119" s="579">
        <v>-2.2468260189999998</v>
      </c>
    </row>
    <row r="120" spans="1:16" ht="16.5" customHeight="1" x14ac:dyDescent="0.25">
      <c r="A120" s="498" t="s">
        <v>290</v>
      </c>
      <c r="B120" s="581">
        <v>4.6486558069999999</v>
      </c>
      <c r="C120" s="581">
        <v>4.9741913169999998</v>
      </c>
      <c r="D120" s="581">
        <v>6.6447815370000001</v>
      </c>
      <c r="E120" s="581">
        <v>5.5327963220000003</v>
      </c>
      <c r="F120" s="581">
        <v>8.2481411189999996</v>
      </c>
      <c r="G120" s="581">
        <v>4.8473290689999997</v>
      </c>
      <c r="H120" s="581">
        <v>6.7768246149999998</v>
      </c>
      <c r="I120" s="581">
        <v>4.0572951570000004</v>
      </c>
      <c r="J120" s="581">
        <v>2.2473635769999998</v>
      </c>
      <c r="K120" s="581">
        <v>3.4924278439999998</v>
      </c>
      <c r="L120" s="581" t="s">
        <v>102</v>
      </c>
      <c r="M120" s="582">
        <v>6.3537183080000004</v>
      </c>
      <c r="N120" s="582">
        <v>3.2490481349999998</v>
      </c>
      <c r="O120" s="582">
        <v>5.3022496889999999</v>
      </c>
      <c r="P120" s="581">
        <v>2.9986089869999999</v>
      </c>
    </row>
    <row r="121" spans="1:16" ht="15.75" customHeight="1" x14ac:dyDescent="0.2">
      <c r="A121" s="490" t="s">
        <v>79</v>
      </c>
      <c r="B121" s="574">
        <v>-1.08910884</v>
      </c>
      <c r="C121" s="574">
        <v>2.3667516630000001</v>
      </c>
      <c r="D121" s="574">
        <v>6.0209110260000003</v>
      </c>
      <c r="E121" s="574">
        <v>6.976548835</v>
      </c>
      <c r="F121" s="574">
        <v>7.4840048010000002</v>
      </c>
      <c r="G121" s="574">
        <v>7.3173016349999997</v>
      </c>
      <c r="H121" s="574">
        <v>7.1445245640000001</v>
      </c>
      <c r="I121" s="574">
        <v>4.4257407540000004</v>
      </c>
      <c r="J121" s="574">
        <v>2.601867269</v>
      </c>
      <c r="K121" s="574">
        <v>3.0784801480000001</v>
      </c>
      <c r="L121" s="574" t="s">
        <v>102</v>
      </c>
      <c r="M121" s="575">
        <v>7.0979747169999996</v>
      </c>
      <c r="N121" s="575">
        <v>3.5213052139999999</v>
      </c>
      <c r="O121" s="575">
        <v>5.7602686189999996</v>
      </c>
      <c r="P121" s="574">
        <v>2.5542567570000001</v>
      </c>
    </row>
    <row r="122" spans="1:16" ht="15.75" customHeight="1" x14ac:dyDescent="0.2">
      <c r="A122" s="492" t="s">
        <v>167</v>
      </c>
      <c r="B122" s="576">
        <v>4.399832161</v>
      </c>
      <c r="C122" s="576">
        <v>5.2930493849999998</v>
      </c>
      <c r="D122" s="576">
        <v>9.0362416680000006</v>
      </c>
      <c r="E122" s="576">
        <v>8.9125581979999993</v>
      </c>
      <c r="F122" s="576">
        <v>9.5276782359999999</v>
      </c>
      <c r="G122" s="576">
        <v>9.6377562169999997</v>
      </c>
      <c r="H122" s="576">
        <v>9.7671700549999994</v>
      </c>
      <c r="I122" s="576">
        <v>6.5925802850000004</v>
      </c>
      <c r="J122" s="576">
        <v>5.3134816430000003</v>
      </c>
      <c r="K122" s="576">
        <v>4.6545961350000002</v>
      </c>
      <c r="L122" s="576" t="s">
        <v>102</v>
      </c>
      <c r="M122" s="578">
        <v>9.403504453</v>
      </c>
      <c r="N122" s="578">
        <v>5.8389505780000004</v>
      </c>
      <c r="O122" s="578">
        <v>8.0600503280000009</v>
      </c>
      <c r="P122" s="576">
        <v>4.3767579660000004</v>
      </c>
    </row>
    <row r="123" spans="1:16" ht="15.75" customHeight="1" x14ac:dyDescent="0.2">
      <c r="A123" s="490" t="s">
        <v>322</v>
      </c>
      <c r="B123" s="574">
        <v>0.99172738999999999</v>
      </c>
      <c r="C123" s="574">
        <v>0.47277005599999999</v>
      </c>
      <c r="D123" s="574">
        <v>3.061093251</v>
      </c>
      <c r="E123" s="574">
        <v>-1.078262716</v>
      </c>
      <c r="F123" s="574">
        <v>3.2101679010000002</v>
      </c>
      <c r="G123" s="574">
        <v>3.067751763</v>
      </c>
      <c r="H123" s="574">
        <v>-1.4584941119999999</v>
      </c>
      <c r="I123" s="574">
        <v>0.77406972100000004</v>
      </c>
      <c r="J123" s="574">
        <v>-1.3105874120000001</v>
      </c>
      <c r="K123" s="574">
        <v>-4.5900471290000002</v>
      </c>
      <c r="L123" s="574" t="s">
        <v>102</v>
      </c>
      <c r="M123" s="575">
        <v>0.79272834000000003</v>
      </c>
      <c r="N123" s="575">
        <v>-0.224991987</v>
      </c>
      <c r="O123" s="575">
        <v>0.47039957500000001</v>
      </c>
      <c r="P123" s="574">
        <v>0.87048807299999997</v>
      </c>
    </row>
    <row r="124" spans="1:16" ht="15.75" customHeight="1" x14ac:dyDescent="0.2">
      <c r="A124" s="492" t="s">
        <v>168</v>
      </c>
      <c r="B124" s="576">
        <v>-17.831533161999999</v>
      </c>
      <c r="C124" s="576">
        <v>-11.022067867000001</v>
      </c>
      <c r="D124" s="576">
        <v>-7.0174748840000003</v>
      </c>
      <c r="E124" s="576">
        <v>-2.2761139639999999</v>
      </c>
      <c r="F124" s="576">
        <v>-3.1815818459999998</v>
      </c>
      <c r="G124" s="576">
        <v>-1.7723770830000001</v>
      </c>
      <c r="H124" s="576">
        <v>-4.0326817110000004</v>
      </c>
      <c r="I124" s="576">
        <v>-5.6883326810000003</v>
      </c>
      <c r="J124" s="576">
        <v>-11.203781899000001</v>
      </c>
      <c r="K124" s="576">
        <v>-3.875153531</v>
      </c>
      <c r="L124" s="576" t="s">
        <v>102</v>
      </c>
      <c r="M124" s="578">
        <v>-3.2274453599999999</v>
      </c>
      <c r="N124" s="578">
        <v>-7.6033245359999997</v>
      </c>
      <c r="O124" s="578">
        <v>-4.806084652</v>
      </c>
      <c r="P124" s="576">
        <v>-7.6748749969999999</v>
      </c>
    </row>
    <row r="125" spans="1:16" ht="15.75" customHeight="1" x14ac:dyDescent="0.2">
      <c r="A125" s="490" t="s">
        <v>169</v>
      </c>
      <c r="B125" s="574">
        <v>16.924067879999999</v>
      </c>
      <c r="C125" s="574">
        <v>9.9168397650000006</v>
      </c>
      <c r="D125" s="574">
        <v>7.2121345589999999</v>
      </c>
      <c r="E125" s="574">
        <v>5.184489406</v>
      </c>
      <c r="F125" s="574">
        <v>4.2593021350000004</v>
      </c>
      <c r="G125" s="574">
        <v>2.8384541830000001</v>
      </c>
      <c r="H125" s="574">
        <v>3.570126701</v>
      </c>
      <c r="I125" s="574">
        <v>2.7875704809999999</v>
      </c>
      <c r="J125" s="574">
        <v>1.392988991</v>
      </c>
      <c r="K125" s="574">
        <v>8.4786984999999995E-2</v>
      </c>
      <c r="L125" s="574" t="s">
        <v>102</v>
      </c>
      <c r="M125" s="575">
        <v>4.570701992</v>
      </c>
      <c r="N125" s="575">
        <v>1.890978979</v>
      </c>
      <c r="O125" s="575">
        <v>3.9458635100000001</v>
      </c>
      <c r="P125" s="574">
        <v>3.1945914609999999</v>
      </c>
    </row>
    <row r="126" spans="1:16" ht="15.75" customHeight="1" x14ac:dyDescent="0.2">
      <c r="A126" s="492" t="s">
        <v>170</v>
      </c>
      <c r="B126" s="576">
        <v>2.4018551609999998</v>
      </c>
      <c r="C126" s="576">
        <v>1.1084231550000001</v>
      </c>
      <c r="D126" s="576">
        <v>0.56603239800000005</v>
      </c>
      <c r="E126" s="576">
        <v>0.27413817200000001</v>
      </c>
      <c r="F126" s="576">
        <v>0.20100414599999999</v>
      </c>
      <c r="G126" s="576">
        <v>-1.072711395</v>
      </c>
      <c r="H126" s="576">
        <v>-0.114392417</v>
      </c>
      <c r="I126" s="576">
        <v>-1.5420391849999999</v>
      </c>
      <c r="J126" s="576">
        <v>-0.168828057</v>
      </c>
      <c r="K126" s="576">
        <v>-0.36701682000000002</v>
      </c>
      <c r="L126" s="576" t="s">
        <v>102</v>
      </c>
      <c r="M126" s="578">
        <v>-1.6746832999999999E-2</v>
      </c>
      <c r="N126" s="578">
        <v>-0.80501856800000005</v>
      </c>
      <c r="O126" s="578">
        <v>-0.21002848700000001</v>
      </c>
      <c r="P126" s="576">
        <v>1.9501974019999999</v>
      </c>
    </row>
    <row r="127" spans="1:16" ht="15.75" customHeight="1" x14ac:dyDescent="0.2">
      <c r="A127" s="490" t="s">
        <v>171</v>
      </c>
      <c r="B127" s="574">
        <v>49.018171727000002</v>
      </c>
      <c r="C127" s="574">
        <v>18.847216416999999</v>
      </c>
      <c r="D127" s="574">
        <v>16.537395078999999</v>
      </c>
      <c r="E127" s="574">
        <v>3.499451654</v>
      </c>
      <c r="F127" s="574">
        <v>1.9543036629999999</v>
      </c>
      <c r="G127" s="574">
        <v>10.816708053999999</v>
      </c>
      <c r="H127" s="574">
        <v>20.364343554000001</v>
      </c>
      <c r="I127" s="574">
        <v>2.058744914</v>
      </c>
      <c r="J127" s="574">
        <v>15.283315785999999</v>
      </c>
      <c r="K127" s="574">
        <v>3.9718070050000001</v>
      </c>
      <c r="L127" s="574" t="s">
        <v>102</v>
      </c>
      <c r="M127" s="575">
        <v>11.593589468999999</v>
      </c>
      <c r="N127" s="575">
        <v>7.54361909</v>
      </c>
      <c r="O127" s="575">
        <v>10.597257397</v>
      </c>
      <c r="P127" s="574">
        <v>4.6835640789999999</v>
      </c>
    </row>
    <row r="128" spans="1:16" ht="15.75" customHeight="1" x14ac:dyDescent="0.2">
      <c r="A128" s="693" t="s">
        <v>607</v>
      </c>
      <c r="B128" s="576">
        <v>40.212212872999999</v>
      </c>
      <c r="C128" s="576">
        <v>28.875187072999999</v>
      </c>
      <c r="D128" s="576">
        <v>25.193149527999999</v>
      </c>
      <c r="E128" s="576">
        <v>29.882749706999999</v>
      </c>
      <c r="F128" s="576">
        <v>25.897503064999999</v>
      </c>
      <c r="G128" s="576">
        <v>23.428304299000001</v>
      </c>
      <c r="H128" s="576">
        <v>24.424109223999999</v>
      </c>
      <c r="I128" s="576">
        <v>32.697322933999999</v>
      </c>
      <c r="J128" s="576">
        <v>12.141278689</v>
      </c>
      <c r="K128" s="576">
        <v>6.2654899659999996</v>
      </c>
      <c r="L128" s="576" t="s">
        <v>102</v>
      </c>
      <c r="M128" s="578">
        <v>26.650138887000001</v>
      </c>
      <c r="N128" s="578">
        <v>22.921037217999999</v>
      </c>
      <c r="O128" s="578">
        <v>26.035042889</v>
      </c>
      <c r="P128" s="576">
        <v>7.8328566080000002</v>
      </c>
    </row>
    <row r="129" spans="1:20" ht="15.75" customHeight="1" x14ac:dyDescent="0.2">
      <c r="A129" s="490" t="s">
        <v>172</v>
      </c>
      <c r="B129" s="574">
        <v>-31.207382073000002</v>
      </c>
      <c r="C129" s="574">
        <v>-3.8020529359999999</v>
      </c>
      <c r="D129" s="574">
        <v>2.038957753</v>
      </c>
      <c r="E129" s="574">
        <v>-5.930386435</v>
      </c>
      <c r="F129" s="574">
        <v>3.6145089989999999</v>
      </c>
      <c r="G129" s="574">
        <v>8.6419413610000007</v>
      </c>
      <c r="H129" s="574">
        <v>1.679346564</v>
      </c>
      <c r="I129" s="574">
        <v>1.8072047630000001</v>
      </c>
      <c r="J129" s="574">
        <v>5.4685836820000002</v>
      </c>
      <c r="K129" s="574">
        <v>17.852731913</v>
      </c>
      <c r="L129" s="574" t="s">
        <v>102</v>
      </c>
      <c r="M129" s="575">
        <v>1.3712260469999999</v>
      </c>
      <c r="N129" s="575">
        <v>4.6608728380000004</v>
      </c>
      <c r="O129" s="575">
        <v>2.4973148809999999</v>
      </c>
      <c r="P129" s="574">
        <v>-0.97563886200000005</v>
      </c>
    </row>
    <row r="130" spans="1:20" ht="15.75" customHeight="1" x14ac:dyDescent="0.2">
      <c r="A130" s="492" t="s">
        <v>173</v>
      </c>
      <c r="B130" s="576">
        <v>-6.9758223299999997</v>
      </c>
      <c r="C130" s="576">
        <v>0.23314594699999999</v>
      </c>
      <c r="D130" s="576">
        <v>5.1291308139999998</v>
      </c>
      <c r="E130" s="576">
        <v>5.1005633699999997</v>
      </c>
      <c r="F130" s="576">
        <v>4.6465725080000002</v>
      </c>
      <c r="G130" s="576">
        <v>5.3223293500000004</v>
      </c>
      <c r="H130" s="576">
        <v>4.8987362970000001</v>
      </c>
      <c r="I130" s="576">
        <v>7.4556105869999998</v>
      </c>
      <c r="J130" s="576">
        <v>6.0623118600000003</v>
      </c>
      <c r="K130" s="576">
        <v>4.30103043</v>
      </c>
      <c r="L130" s="576" t="s">
        <v>102</v>
      </c>
      <c r="M130" s="578">
        <v>4.8698205310000002</v>
      </c>
      <c r="N130" s="578">
        <v>6.4058781460000001</v>
      </c>
      <c r="O130" s="578">
        <v>5.3652211550000004</v>
      </c>
      <c r="P130" s="576">
        <v>5.9018008740000001</v>
      </c>
    </row>
    <row r="131" spans="1:20" ht="15.75" customHeight="1" x14ac:dyDescent="0.2">
      <c r="A131" s="495" t="s">
        <v>174</v>
      </c>
      <c r="B131" s="579">
        <v>15.791650094</v>
      </c>
      <c r="C131" s="579">
        <v>9.2869310289999998</v>
      </c>
      <c r="D131" s="579">
        <v>11.051690355</v>
      </c>
      <c r="E131" s="579">
        <v>1.844003941</v>
      </c>
      <c r="F131" s="579">
        <v>33.064285464000001</v>
      </c>
      <c r="G131" s="579">
        <v>-14.920901431000001</v>
      </c>
      <c r="H131" s="579">
        <v>18.031469057999999</v>
      </c>
      <c r="I131" s="579">
        <v>-4.7339369160000002</v>
      </c>
      <c r="J131" s="579">
        <v>-12.280985299999999</v>
      </c>
      <c r="K131" s="579">
        <v>6.2813941829999997</v>
      </c>
      <c r="L131" s="579" t="s">
        <v>102</v>
      </c>
      <c r="M131" s="580">
        <v>8.0945649700000004</v>
      </c>
      <c r="N131" s="580">
        <v>-6.8385685670000003</v>
      </c>
      <c r="O131" s="580">
        <v>4.8205185320000004</v>
      </c>
      <c r="P131" s="579">
        <v>7.8138926639999999</v>
      </c>
    </row>
    <row r="132" spans="1:20" ht="16.5" customHeight="1" x14ac:dyDescent="0.25">
      <c r="A132" s="544" t="s">
        <v>224</v>
      </c>
      <c r="B132" s="583"/>
      <c r="C132" s="583"/>
      <c r="D132" s="583"/>
      <c r="E132" s="583"/>
      <c r="F132" s="583"/>
      <c r="G132" s="583"/>
      <c r="H132" s="583"/>
      <c r="I132" s="583"/>
      <c r="J132" s="583"/>
      <c r="K132" s="583"/>
      <c r="L132" s="583"/>
      <c r="M132" s="584"/>
      <c r="N132" s="584"/>
      <c r="O132" s="584"/>
      <c r="P132" s="583"/>
    </row>
    <row r="133" spans="1:20" ht="16.5" customHeight="1" x14ac:dyDescent="0.25">
      <c r="A133" s="487" t="s">
        <v>288</v>
      </c>
      <c r="B133" s="572">
        <v>0.97814770799999995</v>
      </c>
      <c r="C133" s="572">
        <v>14.062258161000001</v>
      </c>
      <c r="D133" s="572">
        <v>2.9281224799999999</v>
      </c>
      <c r="E133" s="572">
        <v>14.100045527000001</v>
      </c>
      <c r="F133" s="572">
        <v>20.666530742999999</v>
      </c>
      <c r="G133" s="572">
        <v>18.213462403000001</v>
      </c>
      <c r="H133" s="572">
        <v>9.1178953739999997</v>
      </c>
      <c r="I133" s="572">
        <v>14.48666165</v>
      </c>
      <c r="J133" s="572">
        <v>18.337471515000001</v>
      </c>
      <c r="K133" s="572">
        <v>-14.573421997000001</v>
      </c>
      <c r="L133" s="572" t="s">
        <v>102</v>
      </c>
      <c r="M133" s="573">
        <v>14.117646906999999</v>
      </c>
      <c r="N133" s="573">
        <v>12.61027254</v>
      </c>
      <c r="O133" s="573">
        <v>13.658678715000001</v>
      </c>
      <c r="P133" s="572">
        <v>10.163335259</v>
      </c>
    </row>
    <row r="134" spans="1:20" ht="15.75" customHeight="1" x14ac:dyDescent="0.2">
      <c r="A134" s="545" t="s">
        <v>178</v>
      </c>
      <c r="B134" s="585">
        <v>0.404842806</v>
      </c>
      <c r="C134" s="585">
        <v>12.450569654000001</v>
      </c>
      <c r="D134" s="585">
        <v>7.4501102819999998</v>
      </c>
      <c r="E134" s="585">
        <v>14.282761229</v>
      </c>
      <c r="F134" s="585">
        <v>21.918212275999998</v>
      </c>
      <c r="G134" s="585">
        <v>18.378278483999999</v>
      </c>
      <c r="H134" s="585">
        <v>7.0944207749999997</v>
      </c>
      <c r="I134" s="585">
        <v>12.784379939000001</v>
      </c>
      <c r="J134" s="585">
        <v>18.290000031000002</v>
      </c>
      <c r="K134" s="585">
        <v>6.838062613</v>
      </c>
      <c r="L134" s="585" t="s">
        <v>102</v>
      </c>
      <c r="M134" s="586">
        <v>14.168177565000001</v>
      </c>
      <c r="N134" s="586">
        <v>14.668261374</v>
      </c>
      <c r="O134" s="586">
        <v>14.316877783000001</v>
      </c>
      <c r="P134" s="585">
        <v>10.725448594</v>
      </c>
    </row>
    <row r="135" spans="1:20" ht="15.75" customHeight="1" x14ac:dyDescent="0.2">
      <c r="A135" s="546" t="s">
        <v>179</v>
      </c>
      <c r="B135" s="587">
        <v>-10.845476246</v>
      </c>
      <c r="C135" s="587">
        <v>138.01799960100001</v>
      </c>
      <c r="D135" s="587">
        <v>-39.967894803999997</v>
      </c>
      <c r="E135" s="587">
        <v>9.2580240600000003</v>
      </c>
      <c r="F135" s="587">
        <v>-9.4514046559999993</v>
      </c>
      <c r="G135" s="587">
        <v>6.9036989269999998</v>
      </c>
      <c r="H135" s="587">
        <v>42.661883617999997</v>
      </c>
      <c r="I135" s="587">
        <v>22.135613696</v>
      </c>
      <c r="J135" s="587">
        <v>42.527743201</v>
      </c>
      <c r="K135" s="587">
        <v>10.383537498000001</v>
      </c>
      <c r="L135" s="587" t="s">
        <v>102</v>
      </c>
      <c r="M135" s="588">
        <v>9.1143043059999993</v>
      </c>
      <c r="N135" s="588">
        <v>27.709614765000001</v>
      </c>
      <c r="O135" s="588">
        <v>15.224004824</v>
      </c>
      <c r="P135" s="587">
        <v>2.2363989449999999</v>
      </c>
    </row>
    <row r="136" spans="1:20" ht="15.75" customHeight="1" x14ac:dyDescent="0.2">
      <c r="A136" s="545" t="s">
        <v>180</v>
      </c>
      <c r="B136" s="585">
        <v>27.110704637000001</v>
      </c>
      <c r="C136" s="585">
        <v>23.675817178999999</v>
      </c>
      <c r="D136" s="585">
        <v>-15.962648678000001</v>
      </c>
      <c r="E136" s="585">
        <v>13.500698941</v>
      </c>
      <c r="F136" s="585">
        <v>37.19475671</v>
      </c>
      <c r="G136" s="585">
        <v>28.629970824000001</v>
      </c>
      <c r="H136" s="585">
        <v>16.057556478999999</v>
      </c>
      <c r="I136" s="585">
        <v>53.936397454000002</v>
      </c>
      <c r="J136" s="585">
        <v>-14.603773779000001</v>
      </c>
      <c r="K136" s="585">
        <v>-74.889800352999998</v>
      </c>
      <c r="L136" s="585" t="s">
        <v>102</v>
      </c>
      <c r="M136" s="586">
        <v>19.261243811</v>
      </c>
      <c r="N136" s="586">
        <v>-30.099112681000001</v>
      </c>
      <c r="O136" s="586">
        <v>-1.8236258759999999</v>
      </c>
      <c r="P136" s="585">
        <v>9.7225327549999996</v>
      </c>
    </row>
    <row r="137" spans="1:20" ht="16.5" customHeight="1" x14ac:dyDescent="0.25">
      <c r="A137" s="547" t="s">
        <v>289</v>
      </c>
      <c r="B137" s="589">
        <v>-4.4478840110000002</v>
      </c>
      <c r="C137" s="589">
        <v>9.2194554209999993</v>
      </c>
      <c r="D137" s="589">
        <v>3.3715267E-2</v>
      </c>
      <c r="E137" s="589">
        <v>6.9357556230000004</v>
      </c>
      <c r="F137" s="589">
        <v>45.622813047000001</v>
      </c>
      <c r="G137" s="589">
        <v>16.008962968999999</v>
      </c>
      <c r="H137" s="589">
        <v>29.414073349999999</v>
      </c>
      <c r="I137" s="589">
        <v>6.267442645</v>
      </c>
      <c r="J137" s="589">
        <v>12.273855455</v>
      </c>
      <c r="K137" s="589">
        <v>-33.383335223000003</v>
      </c>
      <c r="L137" s="589" t="s">
        <v>102</v>
      </c>
      <c r="M137" s="590">
        <v>21.395779347000001</v>
      </c>
      <c r="N137" s="590">
        <v>-0.56713642399999997</v>
      </c>
      <c r="O137" s="590">
        <v>14.961936022</v>
      </c>
      <c r="P137" s="589">
        <v>4.5805366169999999</v>
      </c>
    </row>
    <row r="138" spans="1:20" ht="15.75" customHeight="1" x14ac:dyDescent="0.2">
      <c r="A138" s="545" t="s">
        <v>182</v>
      </c>
      <c r="B138" s="585">
        <v>49.694250566999997</v>
      </c>
      <c r="C138" s="585">
        <v>11.167254493</v>
      </c>
      <c r="D138" s="585">
        <v>14.998027304000001</v>
      </c>
      <c r="E138" s="585">
        <v>13.711655293</v>
      </c>
      <c r="F138" s="585">
        <v>6.2365221039999996</v>
      </c>
      <c r="G138" s="585">
        <v>7.318645429</v>
      </c>
      <c r="H138" s="585">
        <v>18.814144298999999</v>
      </c>
      <c r="I138" s="585">
        <v>16.966527887000002</v>
      </c>
      <c r="J138" s="585">
        <v>16.896392619</v>
      </c>
      <c r="K138" s="585">
        <v>5.5923897030000003</v>
      </c>
      <c r="L138" s="585" t="s">
        <v>102</v>
      </c>
      <c r="M138" s="586">
        <v>12.334275696000001</v>
      </c>
      <c r="N138" s="586">
        <v>15.877705571</v>
      </c>
      <c r="O138" s="586">
        <v>13.30057777</v>
      </c>
      <c r="P138" s="585">
        <v>10.330488277000001</v>
      </c>
    </row>
    <row r="139" spans="1:20" ht="15.75" customHeight="1" x14ac:dyDescent="0.2">
      <c r="A139" s="548" t="s">
        <v>183</v>
      </c>
      <c r="B139" s="587">
        <v>-7.7421884580000002</v>
      </c>
      <c r="C139" s="587">
        <v>7.3223412029999997</v>
      </c>
      <c r="D139" s="587">
        <v>9.2331036090000005</v>
      </c>
      <c r="E139" s="587">
        <v>7.124231107</v>
      </c>
      <c r="F139" s="587">
        <v>11.705851966999999</v>
      </c>
      <c r="G139" s="587">
        <v>7.8543166150000001</v>
      </c>
      <c r="H139" s="587">
        <v>19.709627783999998</v>
      </c>
      <c r="I139" s="587">
        <v>4.608513168</v>
      </c>
      <c r="J139" s="587">
        <v>12.461187216000001</v>
      </c>
      <c r="K139" s="587">
        <v>38.485141208000002</v>
      </c>
      <c r="L139" s="587" t="s">
        <v>102</v>
      </c>
      <c r="M139" s="588">
        <v>11.052209862</v>
      </c>
      <c r="N139" s="588">
        <v>10.844076363999999</v>
      </c>
      <c r="O139" s="588">
        <v>11.005347749</v>
      </c>
      <c r="P139" s="587">
        <v>5.9774797599999996</v>
      </c>
      <c r="S139" s="3"/>
      <c r="T139" s="3"/>
    </row>
    <row r="140" spans="1:20" ht="15.75" customHeight="1" x14ac:dyDescent="0.2">
      <c r="A140" s="545" t="s">
        <v>184</v>
      </c>
      <c r="B140" s="585">
        <v>-60.140122171000002</v>
      </c>
      <c r="C140" s="585">
        <v>15.913936653</v>
      </c>
      <c r="D140" s="585">
        <v>-41.507898730999997</v>
      </c>
      <c r="E140" s="585">
        <v>0.176010319</v>
      </c>
      <c r="F140" s="585">
        <v>153.90874130399999</v>
      </c>
      <c r="G140" s="585">
        <v>44.927935259000002</v>
      </c>
      <c r="H140" s="585">
        <v>85.009365137000003</v>
      </c>
      <c r="I140" s="585">
        <v>-1.5141131299999999</v>
      </c>
      <c r="J140" s="585">
        <v>9.0001780930000006</v>
      </c>
      <c r="K140" s="585">
        <v>-52.346613419000001</v>
      </c>
      <c r="L140" s="585" t="s">
        <v>102</v>
      </c>
      <c r="M140" s="586">
        <v>60.065738154999998</v>
      </c>
      <c r="N140" s="586">
        <v>-20.450867987999999</v>
      </c>
      <c r="O140" s="586">
        <v>24.235737013000001</v>
      </c>
      <c r="P140" s="585">
        <v>-5.3640444059999997</v>
      </c>
    </row>
    <row r="141" spans="1:20" ht="16.5" customHeight="1" x14ac:dyDescent="0.25">
      <c r="A141" s="549" t="s">
        <v>226</v>
      </c>
      <c r="B141" s="591"/>
      <c r="C141" s="591"/>
      <c r="D141" s="591"/>
      <c r="E141" s="591"/>
      <c r="F141" s="591"/>
      <c r="G141" s="591"/>
      <c r="H141" s="591"/>
      <c r="I141" s="591"/>
      <c r="J141" s="591"/>
      <c r="K141" s="591"/>
      <c r="L141" s="591"/>
      <c r="M141" s="592"/>
      <c r="N141" s="592"/>
      <c r="O141" s="592"/>
      <c r="P141" s="591"/>
    </row>
    <row r="142" spans="1:20" ht="16.5" customHeight="1" x14ac:dyDescent="0.25">
      <c r="A142" s="550" t="s">
        <v>458</v>
      </c>
      <c r="B142" s="593">
        <v>1.823296257</v>
      </c>
      <c r="C142" s="593">
        <v>5.5722058509999997</v>
      </c>
      <c r="D142" s="593">
        <v>5.6615285399999999</v>
      </c>
      <c r="E142" s="593">
        <v>4.4540506110000004</v>
      </c>
      <c r="F142" s="593">
        <v>4.1783459279999997</v>
      </c>
      <c r="G142" s="593">
        <v>1.541512408</v>
      </c>
      <c r="H142" s="593">
        <v>4.3957229099999999</v>
      </c>
      <c r="I142" s="593">
        <v>3.790190495</v>
      </c>
      <c r="J142" s="593">
        <v>1.9138515620000001</v>
      </c>
      <c r="K142" s="593">
        <v>3.835839419</v>
      </c>
      <c r="L142" s="593" t="s">
        <v>102</v>
      </c>
      <c r="M142" s="594">
        <v>3.8755768239999999</v>
      </c>
      <c r="N142" s="594">
        <v>3.0325788760000001</v>
      </c>
      <c r="O142" s="594">
        <v>3.5927942599999998</v>
      </c>
      <c r="P142" s="593">
        <v>3.761913233</v>
      </c>
    </row>
    <row r="143" spans="1:20" ht="16.5" customHeight="1" x14ac:dyDescent="0.2">
      <c r="A143" s="551" t="s">
        <v>402</v>
      </c>
      <c r="B143" s="595">
        <v>5.0478703300000003</v>
      </c>
      <c r="C143" s="595">
        <v>5.8171584579999998</v>
      </c>
      <c r="D143" s="595">
        <v>8.6059671069999997</v>
      </c>
      <c r="E143" s="595">
        <v>9.7865660139999999</v>
      </c>
      <c r="F143" s="595">
        <v>9.6724522539999995</v>
      </c>
      <c r="G143" s="595">
        <v>9.5750188450000007</v>
      </c>
      <c r="H143" s="595">
        <v>9.9104231929999997</v>
      </c>
      <c r="I143" s="595">
        <v>7.1910938480000004</v>
      </c>
      <c r="J143" s="595">
        <v>5.2239568390000004</v>
      </c>
      <c r="K143" s="595">
        <v>4.3889855369999999</v>
      </c>
      <c r="L143" s="595" t="s">
        <v>102</v>
      </c>
      <c r="M143" s="596">
        <v>9.6811993540000003</v>
      </c>
      <c r="N143" s="596">
        <v>6.0253450280000003</v>
      </c>
      <c r="O143" s="596">
        <v>8.3083277550000005</v>
      </c>
      <c r="P143" s="595">
        <v>4.845576178</v>
      </c>
    </row>
    <row r="144" spans="1:20" s="3" customFormat="1" ht="16.5" customHeight="1" x14ac:dyDescent="0.25">
      <c r="A144" s="552" t="s">
        <v>403</v>
      </c>
      <c r="B144" s="597">
        <v>3.8656184260000002</v>
      </c>
      <c r="C144" s="597">
        <v>4.7463565020000003</v>
      </c>
      <c r="D144" s="597">
        <v>8.63500348</v>
      </c>
      <c r="E144" s="597">
        <v>8.5500909909999994</v>
      </c>
      <c r="F144" s="597">
        <v>9.1647073559999992</v>
      </c>
      <c r="G144" s="597">
        <v>9.2271672159999998</v>
      </c>
      <c r="H144" s="597">
        <v>9.029578699</v>
      </c>
      <c r="I144" s="597">
        <v>6.0017307500000001</v>
      </c>
      <c r="J144" s="597">
        <v>4.3980504009999999</v>
      </c>
      <c r="K144" s="597">
        <v>3.7928497980000002</v>
      </c>
      <c r="L144" s="597" t="s">
        <v>102</v>
      </c>
      <c r="M144" s="598">
        <v>8.9300286670000002</v>
      </c>
      <c r="N144" s="598">
        <v>5.0824016319999998</v>
      </c>
      <c r="O144" s="598">
        <v>7.4973247020000002</v>
      </c>
      <c r="P144" s="597">
        <v>3.9967386170000001</v>
      </c>
      <c r="Q144"/>
      <c r="S144"/>
      <c r="T144"/>
    </row>
    <row r="145" spans="1:20" ht="16.5" customHeight="1" x14ac:dyDescent="0.25">
      <c r="A145" s="553" t="s">
        <v>404</v>
      </c>
      <c r="B145" s="595">
        <v>4.1131688420000003</v>
      </c>
      <c r="C145" s="595">
        <v>4.4291539789999996</v>
      </c>
      <c r="D145" s="595">
        <v>6.2523435889999996</v>
      </c>
      <c r="E145" s="595">
        <v>5.1815771560000004</v>
      </c>
      <c r="F145" s="595">
        <v>7.8894105799999998</v>
      </c>
      <c r="G145" s="595">
        <v>4.4546800260000001</v>
      </c>
      <c r="H145" s="595">
        <v>6.0593271819999996</v>
      </c>
      <c r="I145" s="595">
        <v>3.480498871</v>
      </c>
      <c r="J145" s="595">
        <v>1.358584386</v>
      </c>
      <c r="K145" s="595">
        <v>2.6402510280000002</v>
      </c>
      <c r="L145" s="595" t="s">
        <v>102</v>
      </c>
      <c r="M145" s="596">
        <v>5.8934413670000003</v>
      </c>
      <c r="N145" s="596">
        <v>2.5110121090000002</v>
      </c>
      <c r="O145" s="596">
        <v>4.7538853840000002</v>
      </c>
      <c r="P145" s="595">
        <v>2.6236072610000001</v>
      </c>
    </row>
    <row r="146" spans="1:20" ht="16.5" customHeight="1" x14ac:dyDescent="0.25">
      <c r="A146" s="548" t="s">
        <v>648</v>
      </c>
      <c r="B146" s="599">
        <v>-1.5576649789999999</v>
      </c>
      <c r="C146" s="599">
        <v>11.474864028000001</v>
      </c>
      <c r="D146" s="599">
        <v>6.8559442190000004</v>
      </c>
      <c r="E146" s="599">
        <v>13.7466574</v>
      </c>
      <c r="F146" s="599">
        <v>21.698101793999999</v>
      </c>
      <c r="G146" s="599">
        <v>17.662090410000001</v>
      </c>
      <c r="H146" s="599">
        <v>5.964429848</v>
      </c>
      <c r="I146" s="599">
        <v>14.198050319</v>
      </c>
      <c r="J146" s="599">
        <v>16.929338607999998</v>
      </c>
      <c r="K146" s="599">
        <v>4.3972093870000002</v>
      </c>
      <c r="L146" s="599" t="s">
        <v>102</v>
      </c>
      <c r="M146" s="600">
        <v>13.492096904</v>
      </c>
      <c r="N146" s="600">
        <v>14.511235097</v>
      </c>
      <c r="O146" s="600">
        <v>13.793136079</v>
      </c>
      <c r="P146" s="599">
        <v>10.323270634</v>
      </c>
    </row>
    <row r="147" spans="1:20" ht="16.5" customHeight="1" x14ac:dyDescent="0.25">
      <c r="A147" s="554" t="s">
        <v>405</v>
      </c>
      <c r="B147" s="595">
        <v>-11.730507822</v>
      </c>
      <c r="C147" s="595">
        <v>-6.2152518990000001</v>
      </c>
      <c r="D147" s="595">
        <v>-7.7365520520000004</v>
      </c>
      <c r="E147" s="595">
        <v>-0.24627370000000001</v>
      </c>
      <c r="F147" s="595">
        <v>-1.000936466</v>
      </c>
      <c r="G147" s="595">
        <v>-0.33050022600000001</v>
      </c>
      <c r="H147" s="595">
        <v>-2.02544653</v>
      </c>
      <c r="I147" s="595">
        <v>0.932998946</v>
      </c>
      <c r="J147" s="595">
        <v>2.2931404899999999</v>
      </c>
      <c r="K147" s="595">
        <v>1.6128438460000001</v>
      </c>
      <c r="L147" s="595" t="s">
        <v>102</v>
      </c>
      <c r="M147" s="596">
        <v>-1.390048789</v>
      </c>
      <c r="N147" s="596">
        <v>1.666639999</v>
      </c>
      <c r="O147" s="596">
        <v>-0.27426539700000002</v>
      </c>
      <c r="P147" s="595">
        <v>1.1807607760000001</v>
      </c>
    </row>
    <row r="148" spans="1:20" ht="16.5" customHeight="1" x14ac:dyDescent="0.25">
      <c r="A148" s="546" t="s">
        <v>406</v>
      </c>
      <c r="B148" s="601">
        <v>1.8778650699999999</v>
      </c>
      <c r="C148" s="601">
        <v>0.58345730299999998</v>
      </c>
      <c r="D148" s="601">
        <v>0.19596340000000001</v>
      </c>
      <c r="E148" s="601">
        <v>-5.9579880000000002E-2</v>
      </c>
      <c r="F148" s="601">
        <v>-0.13105846400000001</v>
      </c>
      <c r="G148" s="601">
        <v>-1.443190124</v>
      </c>
      <c r="H148" s="601">
        <v>-0.78558363600000003</v>
      </c>
      <c r="I148" s="601">
        <v>-2.0877979999999998</v>
      </c>
      <c r="J148" s="601">
        <v>-1.0366046449999999</v>
      </c>
      <c r="K148" s="601">
        <v>-1.1874142169999999</v>
      </c>
      <c r="L148" s="601" t="s">
        <v>102</v>
      </c>
      <c r="M148" s="602">
        <v>-0.449453716</v>
      </c>
      <c r="N148" s="602">
        <v>-1.51407566</v>
      </c>
      <c r="O148" s="602">
        <v>-0.72968745499999998</v>
      </c>
      <c r="P148" s="601">
        <v>1.5790127780000001</v>
      </c>
    </row>
    <row r="149" spans="1:20" ht="16.5" customHeight="1" x14ac:dyDescent="0.2">
      <c r="A149" s="551" t="s">
        <v>417</v>
      </c>
      <c r="B149" s="595">
        <v>0.61436773</v>
      </c>
      <c r="C149" s="595">
        <v>-0.53761510199999996</v>
      </c>
      <c r="D149" s="595">
        <v>-0.24034259199999999</v>
      </c>
      <c r="E149" s="595">
        <v>0.403222146</v>
      </c>
      <c r="F149" s="595">
        <v>0.55774691200000004</v>
      </c>
      <c r="G149" s="595">
        <v>1.68268811</v>
      </c>
      <c r="H149" s="595">
        <v>1.6819543999999999E-2</v>
      </c>
      <c r="I149" s="595">
        <v>0.16182466400000001</v>
      </c>
      <c r="J149" s="595">
        <v>1.405686145</v>
      </c>
      <c r="K149" s="595">
        <v>-0.223088379</v>
      </c>
      <c r="L149" s="595" t="s">
        <v>102</v>
      </c>
      <c r="M149" s="596">
        <v>0.52233783700000003</v>
      </c>
      <c r="N149" s="596">
        <v>0.62834893800000002</v>
      </c>
      <c r="O149" s="596">
        <v>0.54971719299999999</v>
      </c>
      <c r="P149" s="595">
        <v>0.122944939</v>
      </c>
    </row>
    <row r="150" spans="1:20" s="3" customFormat="1" ht="16.5" customHeight="1" x14ac:dyDescent="0.2">
      <c r="A150" s="552" t="s">
        <v>422</v>
      </c>
      <c r="B150" s="597">
        <v>1.6159819449999999</v>
      </c>
      <c r="C150" s="597">
        <v>-0.67439345399999995</v>
      </c>
      <c r="D150" s="597">
        <v>0.48073997400000001</v>
      </c>
      <c r="E150" s="597">
        <v>0.59574892800000001</v>
      </c>
      <c r="F150" s="597">
        <v>2.85988372</v>
      </c>
      <c r="G150" s="597">
        <v>2.302009832</v>
      </c>
      <c r="H150" s="597">
        <v>1.266723737</v>
      </c>
      <c r="I150" s="597">
        <v>-0.288633529</v>
      </c>
      <c r="J150" s="597">
        <v>-0.47637157499999999</v>
      </c>
      <c r="K150" s="597">
        <v>-1.0468613790000001</v>
      </c>
      <c r="L150" s="597" t="s">
        <v>102</v>
      </c>
      <c r="M150" s="598">
        <v>1.5643046519999999</v>
      </c>
      <c r="N150" s="598">
        <v>-0.45294166000000002</v>
      </c>
      <c r="O150" s="598">
        <v>0.91510819099999996</v>
      </c>
      <c r="P150" s="597">
        <v>-0.91563832599999995</v>
      </c>
      <c r="Q150"/>
      <c r="S150"/>
      <c r="T150"/>
    </row>
    <row r="151" spans="1:20" ht="16.5" customHeight="1" x14ac:dyDescent="0.25">
      <c r="A151" s="553" t="s">
        <v>418</v>
      </c>
      <c r="B151" s="595">
        <v>-1.3838928290000001</v>
      </c>
      <c r="C151" s="595">
        <v>3.5655041779999999</v>
      </c>
      <c r="D151" s="595">
        <v>-1.4547631480000001</v>
      </c>
      <c r="E151" s="595">
        <v>-0.80907480499999995</v>
      </c>
      <c r="F151" s="595">
        <v>-3.686970734</v>
      </c>
      <c r="G151" s="595">
        <v>-2.3900368850000002</v>
      </c>
      <c r="H151" s="595">
        <v>-1.575860531</v>
      </c>
      <c r="I151" s="595">
        <v>-0.20379365399999999</v>
      </c>
      <c r="J151" s="595">
        <v>3.5877487E-2</v>
      </c>
      <c r="K151" s="595">
        <v>-0.12890955200000001</v>
      </c>
      <c r="L151" s="595" t="s">
        <v>102</v>
      </c>
      <c r="M151" s="596">
        <v>-1.905590347</v>
      </c>
      <c r="N151" s="596">
        <v>-0.10566139300000001</v>
      </c>
      <c r="O151" s="596">
        <v>-1.330039124</v>
      </c>
      <c r="P151" s="595">
        <v>0.65463221599999999</v>
      </c>
    </row>
    <row r="152" spans="1:20" ht="16.5" customHeight="1" x14ac:dyDescent="0.25">
      <c r="A152" s="548" t="s">
        <v>647</v>
      </c>
      <c r="B152" s="599">
        <v>-2.4546215999999998</v>
      </c>
      <c r="C152" s="599">
        <v>2.838367114</v>
      </c>
      <c r="D152" s="599">
        <v>0.224931098</v>
      </c>
      <c r="E152" s="599">
        <v>3.081639789</v>
      </c>
      <c r="F152" s="599">
        <v>4.257261841</v>
      </c>
      <c r="G152" s="599">
        <v>3.9417978200000001</v>
      </c>
      <c r="H152" s="599">
        <v>-2.9430710999999998E-2</v>
      </c>
      <c r="I152" s="599">
        <v>2.9902197340000001</v>
      </c>
      <c r="J152" s="599">
        <v>4.6709703859999996</v>
      </c>
      <c r="K152" s="599">
        <v>0.36802627799999998</v>
      </c>
      <c r="L152" s="599" t="s">
        <v>102</v>
      </c>
      <c r="M152" s="600">
        <v>2.468643304</v>
      </c>
      <c r="N152" s="600">
        <v>3.3505648469999998</v>
      </c>
      <c r="O152" s="600">
        <v>2.7996749740000002</v>
      </c>
      <c r="P152" s="599">
        <v>2.0024005030000001</v>
      </c>
    </row>
    <row r="153" spans="1:20" ht="16.5" customHeight="1" x14ac:dyDescent="0.25">
      <c r="A153" s="554" t="s">
        <v>419</v>
      </c>
      <c r="B153" s="595">
        <v>-6.9240062590000004</v>
      </c>
      <c r="C153" s="595">
        <v>-7.9249255989999998</v>
      </c>
      <c r="D153" s="595">
        <v>-9.3509364240000004</v>
      </c>
      <c r="E153" s="595">
        <v>-3.8544249480000001</v>
      </c>
      <c r="F153" s="595">
        <v>-5.7198671589999996</v>
      </c>
      <c r="G153" s="595">
        <v>-3.0456345800000002</v>
      </c>
      <c r="H153" s="595">
        <v>-5.1691309859999999</v>
      </c>
      <c r="I153" s="595">
        <v>-1.577916936</v>
      </c>
      <c r="J153" s="595">
        <v>0.75529953000000005</v>
      </c>
      <c r="K153" s="595">
        <v>-1.0841659530000001</v>
      </c>
      <c r="L153" s="595" t="s">
        <v>102</v>
      </c>
      <c r="M153" s="596">
        <v>-4.8026799200000001</v>
      </c>
      <c r="N153" s="596">
        <v>-0.63140621399999997</v>
      </c>
      <c r="O153" s="596">
        <v>-3.462631741</v>
      </c>
      <c r="P153" s="595">
        <v>-0.98957892700000005</v>
      </c>
    </row>
    <row r="154" spans="1:20" ht="16.5" customHeight="1" x14ac:dyDescent="0.2">
      <c r="A154" s="555" t="s">
        <v>620</v>
      </c>
      <c r="B154" s="603">
        <v>-0.32466253099999998</v>
      </c>
      <c r="C154" s="603">
        <v>-0.23098137999999999</v>
      </c>
      <c r="D154" s="603">
        <v>-0.45883185199999998</v>
      </c>
      <c r="E154" s="603">
        <v>-0.27564301499999999</v>
      </c>
      <c r="F154" s="603">
        <v>-0.81497661099999996</v>
      </c>
      <c r="G154" s="603">
        <v>-0.51630609900000002</v>
      </c>
      <c r="H154" s="603">
        <v>-0.47786316200000001</v>
      </c>
      <c r="I154" s="603">
        <v>-3.0984900999999999E-2</v>
      </c>
      <c r="J154" s="603">
        <v>0.18861044199999999</v>
      </c>
      <c r="K154" s="603">
        <v>1.1912566790000001</v>
      </c>
      <c r="L154" s="603" t="s">
        <v>102</v>
      </c>
      <c r="M154" s="604">
        <v>-0.48875966500000001</v>
      </c>
      <c r="N154" s="604">
        <v>9.1643345000000001E-2</v>
      </c>
      <c r="O154" s="604">
        <v>-0.35985472600000001</v>
      </c>
      <c r="P154" s="603">
        <v>0.209288696</v>
      </c>
    </row>
    <row r="155" spans="1:20" ht="14.25" customHeight="1" x14ac:dyDescent="0.2">
      <c r="A155" s="255" t="s">
        <v>903</v>
      </c>
      <c r="B155" s="13"/>
      <c r="C155" s="13"/>
      <c r="D155" s="13"/>
      <c r="E155" s="13"/>
      <c r="F155" s="13"/>
      <c r="G155" s="13"/>
      <c r="H155" s="13"/>
      <c r="I155" s="13"/>
      <c r="J155" s="13"/>
      <c r="K155" s="13"/>
      <c r="L155" s="13"/>
      <c r="M155" s="13"/>
      <c r="N155" s="13"/>
      <c r="O155" s="13"/>
      <c r="P155" s="39"/>
    </row>
    <row r="156" spans="1:20" ht="14.25" customHeight="1" x14ac:dyDescent="0.2">
      <c r="A156" s="255" t="s">
        <v>357</v>
      </c>
      <c r="B156" s="13"/>
      <c r="C156" s="13"/>
      <c r="D156" s="13"/>
      <c r="E156" s="13"/>
      <c r="F156" s="13"/>
      <c r="G156" s="13"/>
      <c r="H156" s="13"/>
      <c r="I156" s="13"/>
      <c r="J156" s="13"/>
      <c r="K156" s="13"/>
      <c r="L156" s="13"/>
      <c r="M156" s="13"/>
      <c r="N156" s="13"/>
      <c r="O156" s="13"/>
      <c r="P156" s="39"/>
    </row>
    <row r="157" spans="1:20" ht="14.25" customHeight="1" x14ac:dyDescent="0.2">
      <c r="A157" s="286" t="s">
        <v>904</v>
      </c>
      <c r="B157" s="13"/>
      <c r="C157" s="13"/>
      <c r="D157" s="13"/>
      <c r="E157" s="13"/>
      <c r="F157" s="13"/>
      <c r="G157" s="13"/>
      <c r="H157" s="13"/>
      <c r="I157" s="13"/>
      <c r="J157" s="13"/>
      <c r="K157" s="13"/>
      <c r="L157" s="13"/>
      <c r="M157" s="13"/>
      <c r="N157" s="13"/>
      <c r="O157" s="13"/>
      <c r="P157" s="39"/>
    </row>
    <row r="158" spans="1:20" ht="14.25" customHeight="1" x14ac:dyDescent="0.2">
      <c r="A158" s="37" t="s">
        <v>557</v>
      </c>
      <c r="B158" s="13"/>
      <c r="C158" s="13"/>
      <c r="D158" s="13"/>
      <c r="E158" s="13"/>
      <c r="F158" s="13"/>
      <c r="G158" s="13"/>
      <c r="H158" s="13"/>
      <c r="I158" s="13"/>
      <c r="J158" s="13"/>
      <c r="K158" s="13"/>
      <c r="L158" s="13"/>
      <c r="M158" s="13"/>
      <c r="N158" s="13"/>
      <c r="O158" s="13"/>
      <c r="P158" s="39"/>
    </row>
    <row r="159" spans="1:20" ht="14.25" customHeight="1" x14ac:dyDescent="0.2">
      <c r="A159" s="286" t="s">
        <v>905</v>
      </c>
      <c r="B159" s="13"/>
      <c r="C159" s="13"/>
      <c r="D159" s="13"/>
      <c r="E159" s="13"/>
      <c r="F159" s="13"/>
      <c r="G159" s="13"/>
      <c r="H159" s="13"/>
      <c r="I159" s="13"/>
      <c r="J159" s="13"/>
      <c r="K159" s="13"/>
      <c r="L159" s="13"/>
      <c r="M159" s="13"/>
      <c r="N159" s="13"/>
      <c r="O159" s="13"/>
      <c r="P159" s="39"/>
    </row>
    <row r="160" spans="1:20" ht="14.25" customHeight="1" x14ac:dyDescent="0.2">
      <c r="A160" s="255" t="s">
        <v>969</v>
      </c>
      <c r="B160" s="13"/>
      <c r="C160" s="13"/>
      <c r="D160" s="13"/>
      <c r="E160" s="13"/>
      <c r="F160" s="13"/>
      <c r="G160" s="13"/>
      <c r="H160" s="13"/>
      <c r="I160" s="13"/>
      <c r="J160" s="13"/>
      <c r="K160" s="13"/>
      <c r="L160" s="13"/>
      <c r="M160" s="13"/>
      <c r="N160" s="13"/>
      <c r="O160" s="13"/>
      <c r="P160" s="39"/>
    </row>
    <row r="161" spans="1:16" ht="14.25" customHeight="1" x14ac:dyDescent="0.2">
      <c r="A161" s="286" t="s">
        <v>902</v>
      </c>
      <c r="B161" s="3"/>
      <c r="C161" s="3"/>
      <c r="D161" s="3"/>
      <c r="G161" s="185"/>
      <c r="J161" s="185"/>
    </row>
    <row r="163" spans="1:16" ht="12.75" customHeight="1" x14ac:dyDescent="0.2">
      <c r="A163" s="1015" t="s">
        <v>679</v>
      </c>
      <c r="B163" s="1015"/>
      <c r="C163" s="1015"/>
      <c r="D163" s="1015"/>
      <c r="E163" s="1015"/>
      <c r="F163" s="1015"/>
      <c r="G163" s="1015"/>
      <c r="H163" s="1015"/>
      <c r="I163" s="1015"/>
      <c r="J163" s="1015"/>
      <c r="K163" s="1015"/>
      <c r="L163" s="1015"/>
      <c r="M163" s="1015"/>
      <c r="N163" s="1015"/>
      <c r="O163" s="1015"/>
      <c r="P163" s="1015"/>
    </row>
    <row r="164" spans="1:16" ht="13.5" customHeight="1" x14ac:dyDescent="0.2">
      <c r="A164" s="1015"/>
      <c r="B164" s="1015"/>
      <c r="C164" s="1015"/>
      <c r="D164" s="1015"/>
      <c r="E164" s="1015"/>
      <c r="F164" s="1015"/>
      <c r="G164" s="1015"/>
      <c r="H164" s="1015"/>
      <c r="I164" s="1015"/>
      <c r="J164" s="1015"/>
      <c r="K164" s="1015"/>
      <c r="L164" s="1015"/>
      <c r="M164" s="1015"/>
      <c r="N164" s="1015"/>
      <c r="O164" s="1015"/>
      <c r="P164" s="1015"/>
    </row>
    <row r="165" spans="1:16" x14ac:dyDescent="0.2">
      <c r="A165" s="1015"/>
      <c r="B165" s="1015"/>
      <c r="C165" s="1015"/>
      <c r="D165" s="1015"/>
      <c r="E165" s="1015"/>
      <c r="F165" s="1015"/>
      <c r="G165" s="1015"/>
      <c r="H165" s="1015"/>
      <c r="I165" s="1015"/>
      <c r="J165" s="1015"/>
      <c r="K165" s="1015"/>
      <c r="L165" s="1015"/>
      <c r="M165" s="1015"/>
      <c r="N165" s="1015"/>
      <c r="O165" s="1015"/>
      <c r="P165" s="1015"/>
    </row>
    <row r="166" spans="1:16" x14ac:dyDescent="0.2">
      <c r="A166" s="303"/>
      <c r="B166" s="303"/>
      <c r="C166" s="303"/>
      <c r="D166" s="303"/>
      <c r="E166" s="303"/>
      <c r="F166" s="303"/>
      <c r="G166" s="306"/>
      <c r="H166" s="306"/>
      <c r="I166" s="306"/>
      <c r="J166" s="306"/>
      <c r="K166" s="306"/>
      <c r="L166" s="306"/>
      <c r="M166" s="306"/>
      <c r="N166" s="306"/>
      <c r="O166" s="306"/>
      <c r="P166" s="306"/>
    </row>
    <row r="167" spans="1:16" x14ac:dyDescent="0.2">
      <c r="A167" s="1024" t="s">
        <v>324</v>
      </c>
      <c r="B167" s="1024"/>
      <c r="C167" s="1024"/>
      <c r="D167" s="1024"/>
      <c r="E167" s="1024"/>
      <c r="F167" s="1024"/>
      <c r="G167" s="306"/>
      <c r="H167" s="306"/>
      <c r="I167" s="306"/>
      <c r="J167" s="306"/>
      <c r="K167" s="306"/>
      <c r="L167" s="306"/>
      <c r="M167" s="306"/>
      <c r="N167" s="306"/>
      <c r="O167" s="306"/>
      <c r="P167" s="306"/>
    </row>
    <row r="168" spans="1:16" x14ac:dyDescent="0.2">
      <c r="A168" s="303"/>
      <c r="B168" s="303"/>
      <c r="C168" s="303"/>
      <c r="D168" s="303"/>
      <c r="E168" s="303"/>
      <c r="F168" s="303"/>
      <c r="G168" s="306"/>
      <c r="H168" s="306"/>
      <c r="I168" s="306"/>
      <c r="J168" s="306"/>
      <c r="K168" s="306"/>
      <c r="L168" s="306"/>
      <c r="M168" s="306"/>
      <c r="N168" s="306"/>
      <c r="O168" s="306"/>
      <c r="P168" s="306"/>
    </row>
    <row r="169" spans="1:16" ht="12.75" customHeight="1" x14ac:dyDescent="0.2">
      <c r="A169" s="1015" t="s">
        <v>325</v>
      </c>
      <c r="B169" s="1015"/>
      <c r="C169" s="1015"/>
      <c r="D169" s="1015"/>
      <c r="E169" s="1015"/>
      <c r="F169" s="1015"/>
      <c r="G169" s="1015"/>
      <c r="H169" s="1015"/>
      <c r="I169" s="1015"/>
      <c r="J169" s="1015"/>
      <c r="K169" s="1015"/>
      <c r="L169" s="1015"/>
      <c r="M169" s="1015"/>
      <c r="N169" s="1015"/>
      <c r="O169" s="1015"/>
      <c r="P169" s="1015"/>
    </row>
    <row r="170" spans="1:16" x14ac:dyDescent="0.2">
      <c r="A170" s="1015"/>
      <c r="B170" s="1015"/>
      <c r="C170" s="1015"/>
      <c r="D170" s="1015"/>
      <c r="E170" s="1015"/>
      <c r="F170" s="1015"/>
      <c r="G170" s="1015"/>
      <c r="H170" s="1015"/>
      <c r="I170" s="1015"/>
      <c r="J170" s="1015"/>
      <c r="K170" s="1015"/>
      <c r="L170" s="1015"/>
      <c r="M170" s="1015"/>
      <c r="N170" s="1015"/>
      <c r="O170" s="1015"/>
      <c r="P170" s="1015"/>
    </row>
    <row r="171" spans="1:16" x14ac:dyDescent="0.2">
      <c r="A171" s="303"/>
      <c r="B171" s="303"/>
      <c r="C171" s="303"/>
      <c r="D171" s="303"/>
      <c r="E171" s="303"/>
      <c r="F171" s="303"/>
      <c r="G171" s="306"/>
      <c r="H171" s="306"/>
      <c r="I171" s="306"/>
      <c r="J171" s="306"/>
      <c r="K171" s="306"/>
      <c r="L171" s="306"/>
      <c r="M171" s="306"/>
      <c r="N171" s="306"/>
      <c r="O171" s="306"/>
      <c r="P171" s="306"/>
    </row>
    <row r="172" spans="1:16" ht="12.75" customHeight="1" x14ac:dyDescent="0.2">
      <c r="A172" s="1015" t="s">
        <v>326</v>
      </c>
      <c r="B172" s="1015"/>
      <c r="C172" s="1015"/>
      <c r="D172" s="1015"/>
      <c r="E172" s="1015"/>
      <c r="F172" s="1015"/>
      <c r="G172" s="1015"/>
      <c r="H172" s="1015"/>
      <c r="I172" s="1015"/>
      <c r="J172" s="1015"/>
      <c r="K172" s="1015"/>
      <c r="L172" s="1015"/>
      <c r="M172" s="1015"/>
      <c r="N172" s="1015"/>
      <c r="O172" s="1015"/>
      <c r="P172" s="1015"/>
    </row>
    <row r="173" spans="1:16" x14ac:dyDescent="0.2">
      <c r="A173" s="1015"/>
      <c r="B173" s="1015"/>
      <c r="C173" s="1015"/>
      <c r="D173" s="1015"/>
      <c r="E173" s="1015"/>
      <c r="F173" s="1015"/>
      <c r="G173" s="1015"/>
      <c r="H173" s="1015"/>
      <c r="I173" s="1015"/>
      <c r="J173" s="1015"/>
      <c r="K173" s="1015"/>
      <c r="L173" s="1015"/>
      <c r="M173" s="1015"/>
      <c r="N173" s="1015"/>
      <c r="O173" s="1015"/>
      <c r="P173" s="1015"/>
    </row>
    <row r="174" spans="1:16" x14ac:dyDescent="0.2">
      <c r="A174" s="1015"/>
      <c r="B174" s="1015"/>
      <c r="C174" s="1015"/>
      <c r="D174" s="1015"/>
      <c r="E174" s="1015"/>
      <c r="F174" s="1015"/>
      <c r="G174" s="1015"/>
      <c r="H174" s="1015"/>
      <c r="I174" s="1015"/>
      <c r="J174" s="1015"/>
      <c r="K174" s="1015"/>
      <c r="L174" s="1015"/>
      <c r="M174" s="1015"/>
      <c r="N174" s="1015"/>
      <c r="O174" s="1015"/>
      <c r="P174" s="1015"/>
    </row>
    <row r="175" spans="1:16" x14ac:dyDescent="0.2">
      <c r="A175" s="303"/>
      <c r="B175" s="303"/>
      <c r="C175" s="303"/>
      <c r="D175" s="303"/>
      <c r="E175" s="303"/>
      <c r="F175" s="303"/>
      <c r="G175" s="306"/>
      <c r="H175" s="306"/>
      <c r="I175" s="306"/>
      <c r="J175" s="306"/>
      <c r="K175" s="306"/>
      <c r="L175" s="306"/>
      <c r="M175" s="306"/>
      <c r="N175" s="306"/>
      <c r="O175" s="306"/>
      <c r="P175" s="306"/>
    </row>
    <row r="176" spans="1:16" ht="12.75" customHeight="1" x14ac:dyDescent="0.2">
      <c r="A176" s="1015" t="s">
        <v>327</v>
      </c>
      <c r="B176" s="1015"/>
      <c r="C176" s="1015"/>
      <c r="D176" s="1015"/>
      <c r="E176" s="1015"/>
      <c r="F176" s="1015"/>
      <c r="G176" s="1015"/>
      <c r="H176" s="1015"/>
      <c r="I176" s="1015"/>
      <c r="J176" s="1015"/>
      <c r="K176" s="1015"/>
      <c r="L176" s="1015"/>
      <c r="M176" s="1015"/>
      <c r="N176" s="1015"/>
      <c r="O176" s="1015"/>
      <c r="P176" s="1015"/>
    </row>
    <row r="177" spans="1:16" x14ac:dyDescent="0.2">
      <c r="A177" s="1015"/>
      <c r="B177" s="1015"/>
      <c r="C177" s="1015"/>
      <c r="D177" s="1015"/>
      <c r="E177" s="1015"/>
      <c r="F177" s="1015"/>
      <c r="G177" s="1015"/>
      <c r="H177" s="1015"/>
      <c r="I177" s="1015"/>
      <c r="J177" s="1015"/>
      <c r="K177" s="1015"/>
      <c r="L177" s="1015"/>
      <c r="M177" s="1015"/>
      <c r="N177" s="1015"/>
      <c r="O177" s="1015"/>
      <c r="P177" s="1015"/>
    </row>
    <row r="178" spans="1:16" ht="10.5" customHeight="1" x14ac:dyDescent="0.2">
      <c r="A178" s="1015"/>
      <c r="B178" s="1015"/>
      <c r="C178" s="1015"/>
      <c r="D178" s="1015"/>
      <c r="E178" s="1015"/>
      <c r="F178" s="1015"/>
      <c r="G178" s="1015"/>
      <c r="H178" s="1015"/>
      <c r="I178" s="1015"/>
      <c r="J178" s="1015"/>
      <c r="K178" s="1015"/>
      <c r="L178" s="1015"/>
      <c r="M178" s="1015"/>
      <c r="N178" s="1015"/>
      <c r="O178" s="1015"/>
      <c r="P178" s="1015"/>
    </row>
    <row r="179" spans="1:16" x14ac:dyDescent="0.2">
      <c r="A179" s="1015"/>
      <c r="B179" s="1015"/>
      <c r="C179" s="1015"/>
      <c r="D179" s="1015"/>
      <c r="E179" s="1015"/>
      <c r="F179" s="1015"/>
      <c r="G179" s="1015"/>
      <c r="H179" s="1015"/>
      <c r="I179" s="1015"/>
      <c r="J179" s="1015"/>
      <c r="K179" s="1015"/>
      <c r="L179" s="1015"/>
      <c r="M179" s="1015"/>
      <c r="N179" s="1015"/>
      <c r="O179" s="1015"/>
      <c r="P179" s="1015"/>
    </row>
    <row r="180" spans="1:16" ht="12.75" customHeight="1" x14ac:dyDescent="0.2">
      <c r="A180" s="303"/>
      <c r="B180" s="303"/>
      <c r="C180" s="303"/>
      <c r="D180" s="303"/>
      <c r="E180" s="303"/>
      <c r="F180" s="303"/>
      <c r="G180" s="306"/>
      <c r="H180" s="306"/>
      <c r="I180" s="306"/>
      <c r="J180" s="306"/>
      <c r="K180" s="306"/>
      <c r="L180" s="306"/>
      <c r="M180" s="306"/>
      <c r="N180" s="306"/>
      <c r="O180" s="306"/>
      <c r="P180" s="306"/>
    </row>
    <row r="181" spans="1:16" ht="60.75" customHeight="1" x14ac:dyDescent="0.2">
      <c r="A181" s="1015" t="s">
        <v>680</v>
      </c>
      <c r="B181" s="1015"/>
      <c r="C181" s="1015"/>
      <c r="D181" s="1015"/>
      <c r="E181" s="1015"/>
      <c r="F181" s="1015"/>
      <c r="G181" s="1015"/>
      <c r="H181" s="1015"/>
      <c r="I181" s="1015"/>
      <c r="J181" s="1015"/>
      <c r="K181" s="1015"/>
      <c r="L181" s="1015"/>
      <c r="M181" s="1015"/>
      <c r="N181" s="1015"/>
      <c r="O181" s="1015"/>
      <c r="P181" s="1015"/>
    </row>
    <row r="182" spans="1:16" ht="12.75" customHeight="1" x14ac:dyDescent="0.2">
      <c r="A182" s="303"/>
      <c r="B182" s="303"/>
      <c r="C182" s="303"/>
      <c r="D182" s="303"/>
      <c r="E182" s="303"/>
      <c r="F182" s="303"/>
      <c r="G182" s="306"/>
      <c r="H182" s="306"/>
      <c r="I182" s="306"/>
      <c r="J182" s="306"/>
      <c r="K182" s="306"/>
      <c r="L182" s="306"/>
      <c r="M182" s="306"/>
      <c r="N182" s="306"/>
      <c r="O182" s="306"/>
      <c r="P182" s="306"/>
    </row>
    <row r="183" spans="1:16" ht="157.5" customHeight="1" x14ac:dyDescent="0.2">
      <c r="A183" s="1015" t="s">
        <v>681</v>
      </c>
      <c r="B183" s="1015"/>
      <c r="C183" s="1015"/>
      <c r="D183" s="1015"/>
      <c r="E183" s="1015"/>
      <c r="F183" s="1015"/>
      <c r="G183" s="1015"/>
      <c r="H183" s="1015"/>
      <c r="I183" s="1015"/>
      <c r="J183" s="1015"/>
      <c r="K183" s="1015"/>
      <c r="L183" s="1015"/>
      <c r="M183" s="1015"/>
      <c r="N183" s="1015"/>
      <c r="O183" s="1015"/>
      <c r="P183" s="1015"/>
    </row>
  </sheetData>
  <mergeCells count="7">
    <mergeCell ref="A181:P181"/>
    <mergeCell ref="A183:P183"/>
    <mergeCell ref="A167:F167"/>
    <mergeCell ref="A163:P165"/>
    <mergeCell ref="A169:P170"/>
    <mergeCell ref="A172:P174"/>
    <mergeCell ref="A176:P179"/>
  </mergeCells>
  <phoneticPr fontId="0" type="noConversion"/>
  <pageMargins left="0.59055118110236227" right="0.59055118110236227" top="0.78740157480314965" bottom="0.78740157480314965" header="0.39370078740157483" footer="0.39370078740157483"/>
  <pageSetup paperSize="9" scale="48" firstPageNumber="22" fitToHeight="0" orientation="landscape" useFirstPageNumber="1" r:id="rId1"/>
  <headerFooter alignWithMargins="0">
    <oddHeader>&amp;R&amp;12Les finances des communes en 2024</oddHeader>
    <oddFooter>&amp;L&amp;12Direction Générale des Collectivités Locales / DESL&amp;C&amp;P&amp;R&amp;12Mise en ligne : janvier 2026</oddFooter>
  </headerFooter>
  <rowBreaks count="3" manualBreakCount="3">
    <brk id="60" max="15" man="1"/>
    <brk id="106" max="15" man="1"/>
    <brk id="162" max="15" man="1"/>
  </rowBreaks>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XFD182"/>
  <sheetViews>
    <sheetView view="pageBreakPreview" zoomScale="60" zoomScaleNormal="85" zoomScalePageLayoutView="70" workbookViewId="0">
      <selection activeCell="P113" sqref="P113:P153"/>
    </sheetView>
  </sheetViews>
  <sheetFormatPr baseColWidth="10" defaultRowHeight="12.75" x14ac:dyDescent="0.2"/>
  <cols>
    <col min="1" max="1" width="90.140625" customWidth="1"/>
    <col min="2" max="2" width="12.42578125" bestFit="1" customWidth="1"/>
    <col min="3" max="11" width="11.5703125" bestFit="1" customWidth="1"/>
    <col min="12" max="12" width="10.5703125" customWidth="1"/>
    <col min="13" max="14" width="15.5703125" customWidth="1"/>
    <col min="15" max="15" width="14.28515625" customWidth="1"/>
    <col min="16" max="16" width="18.85546875" customWidth="1"/>
  </cols>
  <sheetData>
    <row r="1" spans="1:16" ht="21" x14ac:dyDescent="0.2">
      <c r="A1" s="46" t="s">
        <v>910</v>
      </c>
    </row>
    <row r="2" spans="1:16" ht="18" x14ac:dyDescent="0.2">
      <c r="A2" s="46"/>
    </row>
    <row r="3" spans="1:16" ht="15" customHeight="1" thickBot="1" x14ac:dyDescent="0.25">
      <c r="A3" s="13"/>
      <c r="P3" s="424" t="s">
        <v>213</v>
      </c>
    </row>
    <row r="4" spans="1:16" ht="15.9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229</v>
      </c>
      <c r="O4" s="257" t="s">
        <v>77</v>
      </c>
      <c r="P4" s="281" t="s">
        <v>220</v>
      </c>
    </row>
    <row r="5" spans="1:16" ht="15.95" customHeight="1"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5.95" customHeight="1" thickBot="1" x14ac:dyDescent="0.25">
      <c r="A6" s="423" t="s">
        <v>213</v>
      </c>
      <c r="B6" s="971" t="s">
        <v>781</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ht="12.75" customHeight="1" x14ac:dyDescent="0.2">
      <c r="A7" s="227"/>
    </row>
    <row r="8" spans="1:16" ht="15.75" customHeight="1" x14ac:dyDescent="0.25">
      <c r="A8" s="474" t="s">
        <v>782</v>
      </c>
      <c r="B8" s="466">
        <v>2590.8553004290002</v>
      </c>
      <c r="C8" s="466">
        <v>1091.0952416299999</v>
      </c>
      <c r="D8" s="466">
        <v>896.45335306899995</v>
      </c>
      <c r="E8" s="466">
        <v>862.48659325999995</v>
      </c>
      <c r="F8" s="466">
        <v>882.22042369500002</v>
      </c>
      <c r="G8" s="466">
        <v>1081.233624235</v>
      </c>
      <c r="H8" s="466">
        <v>1107.8834471489999</v>
      </c>
      <c r="I8" s="466">
        <v>1157.7406708840001</v>
      </c>
      <c r="J8" s="466">
        <v>1200.2951420300001</v>
      </c>
      <c r="K8" s="466">
        <v>1323.5059997000001</v>
      </c>
      <c r="L8" s="466" t="s">
        <v>102</v>
      </c>
      <c r="M8" s="479">
        <v>1009.9012480390001</v>
      </c>
      <c r="N8" s="479">
        <v>1199.9032529839999</v>
      </c>
      <c r="O8" s="479">
        <v>1094.5086096309999</v>
      </c>
      <c r="P8" s="466">
        <v>1132.2923975839999</v>
      </c>
    </row>
    <row r="9" spans="1:16" ht="15.75" customHeight="1" x14ac:dyDescent="0.2">
      <c r="A9" s="465" t="s">
        <v>161</v>
      </c>
      <c r="B9" s="467">
        <v>590.08881974200006</v>
      </c>
      <c r="C9" s="467">
        <v>397.43667326399998</v>
      </c>
      <c r="D9" s="467">
        <v>307.32506792800001</v>
      </c>
      <c r="E9" s="467">
        <v>288.04588235300002</v>
      </c>
      <c r="F9" s="467">
        <v>287.80514908800001</v>
      </c>
      <c r="G9" s="467">
        <v>319.66009690099997</v>
      </c>
      <c r="H9" s="467">
        <v>315.80695572100001</v>
      </c>
      <c r="I9" s="467">
        <v>301.28199308799998</v>
      </c>
      <c r="J9" s="467">
        <v>311.81462569299998</v>
      </c>
      <c r="K9" s="467">
        <v>267.393523351</v>
      </c>
      <c r="L9" s="467" t="s">
        <v>102</v>
      </c>
      <c r="M9" s="480">
        <v>306.22532803399997</v>
      </c>
      <c r="N9" s="480">
        <v>300.95642326299998</v>
      </c>
      <c r="O9" s="480">
        <v>303.87909947100002</v>
      </c>
      <c r="P9" s="467">
        <v>298.70578327599998</v>
      </c>
    </row>
    <row r="10" spans="1:16" ht="15.75" customHeight="1" x14ac:dyDescent="0.2">
      <c r="A10" s="465" t="s">
        <v>162</v>
      </c>
      <c r="B10" s="467">
        <v>1687.6971459230001</v>
      </c>
      <c r="C10" s="467">
        <v>514.21453405900002</v>
      </c>
      <c r="D10" s="467">
        <v>424.31133213499999</v>
      </c>
      <c r="E10" s="467">
        <v>422.11740751500002</v>
      </c>
      <c r="F10" s="467">
        <v>458.64046197499999</v>
      </c>
      <c r="G10" s="467">
        <v>590.06108526000003</v>
      </c>
      <c r="H10" s="467">
        <v>622.603601798</v>
      </c>
      <c r="I10" s="467">
        <v>675.04818662100001</v>
      </c>
      <c r="J10" s="467">
        <v>681.60526707400004</v>
      </c>
      <c r="K10" s="467">
        <v>804.15933638399997</v>
      </c>
      <c r="L10" s="467" t="s">
        <v>102</v>
      </c>
      <c r="M10" s="480">
        <v>544.09006076000003</v>
      </c>
      <c r="N10" s="480">
        <v>696.42170727600001</v>
      </c>
      <c r="O10" s="480">
        <v>611.922917063</v>
      </c>
      <c r="P10" s="467">
        <v>606.408680506</v>
      </c>
    </row>
    <row r="11" spans="1:16" ht="15.75" customHeight="1" x14ac:dyDescent="0.2">
      <c r="A11" s="465" t="s">
        <v>163</v>
      </c>
      <c r="B11" s="467">
        <v>17.187424892999999</v>
      </c>
      <c r="C11" s="467">
        <v>18.127930068000001</v>
      </c>
      <c r="D11" s="467">
        <v>19.519239837000001</v>
      </c>
      <c r="E11" s="467">
        <v>15.867990477999999</v>
      </c>
      <c r="F11" s="467">
        <v>20.863515497000002</v>
      </c>
      <c r="G11" s="467">
        <v>21.030337206999999</v>
      </c>
      <c r="H11" s="467">
        <v>24.227823736000001</v>
      </c>
      <c r="I11" s="467">
        <v>23.564180529000001</v>
      </c>
      <c r="J11" s="467">
        <v>30.765231826000001</v>
      </c>
      <c r="K11" s="467">
        <v>49.886719294999999</v>
      </c>
      <c r="L11" s="467" t="s">
        <v>102</v>
      </c>
      <c r="M11" s="480">
        <v>21.322210144</v>
      </c>
      <c r="N11" s="480">
        <v>30.450673785999999</v>
      </c>
      <c r="O11" s="480">
        <v>25.387089482</v>
      </c>
      <c r="P11" s="467">
        <v>23.645549684999999</v>
      </c>
    </row>
    <row r="12" spans="1:16" ht="15.75" customHeight="1" x14ac:dyDescent="0.2">
      <c r="A12" s="465" t="s">
        <v>164</v>
      </c>
      <c r="B12" s="467">
        <v>116.298798283</v>
      </c>
      <c r="C12" s="467">
        <v>47.578134587000001</v>
      </c>
      <c r="D12" s="467">
        <v>72.277692552000005</v>
      </c>
      <c r="E12" s="467">
        <v>76.343425722000006</v>
      </c>
      <c r="F12" s="467">
        <v>71.227299853000005</v>
      </c>
      <c r="G12" s="467">
        <v>108.85213736599999</v>
      </c>
      <c r="H12" s="467">
        <v>108.305938668</v>
      </c>
      <c r="I12" s="467">
        <v>124.498017976</v>
      </c>
      <c r="J12" s="467">
        <v>144.429304849</v>
      </c>
      <c r="K12" s="467">
        <v>164.32383770199999</v>
      </c>
      <c r="L12" s="467" t="s">
        <v>102</v>
      </c>
      <c r="M12" s="480">
        <v>94.461645922000002</v>
      </c>
      <c r="N12" s="480">
        <v>138.81410138800001</v>
      </c>
      <c r="O12" s="480">
        <v>114.21167034</v>
      </c>
      <c r="P12" s="467">
        <v>158.370302571</v>
      </c>
    </row>
    <row r="13" spans="1:16" ht="15.75" customHeight="1" x14ac:dyDescent="0.2">
      <c r="A13" s="465" t="s">
        <v>165</v>
      </c>
      <c r="B13" s="467">
        <v>179.58311158800001</v>
      </c>
      <c r="C13" s="467">
        <v>113.737969652</v>
      </c>
      <c r="D13" s="467">
        <v>73.020020615999996</v>
      </c>
      <c r="E13" s="467">
        <v>60.111887191999998</v>
      </c>
      <c r="F13" s="467">
        <v>43.683997282</v>
      </c>
      <c r="G13" s="467">
        <v>41.629967501000003</v>
      </c>
      <c r="H13" s="467">
        <v>36.939127225999997</v>
      </c>
      <c r="I13" s="467">
        <v>33.348292669999999</v>
      </c>
      <c r="J13" s="467">
        <v>31.680712587999999</v>
      </c>
      <c r="K13" s="467">
        <v>37.742582968000001</v>
      </c>
      <c r="L13" s="467" t="s">
        <v>102</v>
      </c>
      <c r="M13" s="480">
        <v>43.802003179000003</v>
      </c>
      <c r="N13" s="480">
        <v>33.260347271000001</v>
      </c>
      <c r="O13" s="480">
        <v>39.107833276000001</v>
      </c>
      <c r="P13" s="467">
        <v>45.162081544999999</v>
      </c>
    </row>
    <row r="14" spans="1:16" ht="15.75" customHeight="1" x14ac:dyDescent="0.25">
      <c r="A14" s="474" t="s">
        <v>783</v>
      </c>
      <c r="B14" s="466">
        <v>3587.996716738</v>
      </c>
      <c r="C14" s="466">
        <v>1512.1270872509999</v>
      </c>
      <c r="D14" s="466">
        <v>1221.0445107579999</v>
      </c>
      <c r="E14" s="466">
        <v>1117.5521903199999</v>
      </c>
      <c r="F14" s="466">
        <v>1125.6105068300001</v>
      </c>
      <c r="G14" s="466">
        <v>1372.198768574</v>
      </c>
      <c r="H14" s="466">
        <v>1404.183087787</v>
      </c>
      <c r="I14" s="466">
        <v>1422.053161631</v>
      </c>
      <c r="J14" s="466">
        <v>1435.1072707620001</v>
      </c>
      <c r="K14" s="466">
        <v>1450.860860878</v>
      </c>
      <c r="L14" s="466" t="s">
        <v>102</v>
      </c>
      <c r="M14" s="479">
        <v>1287.139999279</v>
      </c>
      <c r="N14" s="479">
        <v>1431.8207775870001</v>
      </c>
      <c r="O14" s="479">
        <v>1351.5659453589999</v>
      </c>
      <c r="P14" s="466">
        <v>1329.451253362</v>
      </c>
    </row>
    <row r="15" spans="1:16" ht="15.75" customHeight="1" x14ac:dyDescent="0.2">
      <c r="A15" s="465" t="s">
        <v>79</v>
      </c>
      <c r="B15" s="467">
        <v>1306.4610515019999</v>
      </c>
      <c r="C15" s="467">
        <v>584.60547583699997</v>
      </c>
      <c r="D15" s="467">
        <v>553.221359624</v>
      </c>
      <c r="E15" s="467">
        <v>667.20498128099996</v>
      </c>
      <c r="F15" s="467">
        <v>741.24462849999998</v>
      </c>
      <c r="G15" s="467">
        <v>944.48142135499995</v>
      </c>
      <c r="H15" s="467">
        <v>996.06430670099996</v>
      </c>
      <c r="I15" s="467">
        <v>1091.2696660239999</v>
      </c>
      <c r="J15" s="467">
        <v>1069.8646521190001</v>
      </c>
      <c r="K15" s="467">
        <v>1059.089674303</v>
      </c>
      <c r="L15" s="467" t="s">
        <v>102</v>
      </c>
      <c r="M15" s="480">
        <v>868.88528115600002</v>
      </c>
      <c r="N15" s="480">
        <v>1077.416293709</v>
      </c>
      <c r="O15" s="480">
        <v>961.74355803200001</v>
      </c>
      <c r="P15" s="467">
        <v>882.91849873499996</v>
      </c>
    </row>
    <row r="16" spans="1:16" ht="15.75" customHeight="1" x14ac:dyDescent="0.2">
      <c r="A16" s="465" t="s">
        <v>167</v>
      </c>
      <c r="B16" s="467">
        <v>1229.39055794</v>
      </c>
      <c r="C16" s="467">
        <v>487.76130958300001</v>
      </c>
      <c r="D16" s="467">
        <v>424.32328434700003</v>
      </c>
      <c r="E16" s="467">
        <v>559.65465020700003</v>
      </c>
      <c r="F16" s="467">
        <v>633.65870433099997</v>
      </c>
      <c r="G16" s="467">
        <v>766.45646148200001</v>
      </c>
      <c r="H16" s="467">
        <v>819.024921189</v>
      </c>
      <c r="I16" s="467">
        <v>916.763853262</v>
      </c>
      <c r="J16" s="467">
        <v>911.99415289900003</v>
      </c>
      <c r="K16" s="467">
        <v>876.59412594100002</v>
      </c>
      <c r="L16" s="467" t="s">
        <v>102</v>
      </c>
      <c r="M16" s="480">
        <v>719.03081165699996</v>
      </c>
      <c r="N16" s="480">
        <v>908.93685261500002</v>
      </c>
      <c r="O16" s="480">
        <v>803.59544075400004</v>
      </c>
      <c r="P16" s="467">
        <v>762.76738347100002</v>
      </c>
    </row>
    <row r="17" spans="1:16" ht="15.75" customHeight="1" x14ac:dyDescent="0.2">
      <c r="A17" s="465" t="s">
        <v>199</v>
      </c>
      <c r="B17" s="467">
        <v>726.59442060100002</v>
      </c>
      <c r="C17" s="467">
        <v>108.968452911</v>
      </c>
      <c r="D17" s="467">
        <v>84.928148754999995</v>
      </c>
      <c r="E17" s="467">
        <v>51.224472820999999</v>
      </c>
      <c r="F17" s="467">
        <v>55.855647500000003</v>
      </c>
      <c r="G17" s="467">
        <v>70.660311383000007</v>
      </c>
      <c r="H17" s="467">
        <v>73.525027545</v>
      </c>
      <c r="I17" s="467">
        <v>81.824436743999996</v>
      </c>
      <c r="J17" s="467">
        <v>46.735124718000002</v>
      </c>
      <c r="K17" s="467">
        <v>54.246616388</v>
      </c>
      <c r="L17" s="467" t="s">
        <v>102</v>
      </c>
      <c r="M17" s="480">
        <v>65.668021655000004</v>
      </c>
      <c r="N17" s="480">
        <v>62.730731673000001</v>
      </c>
      <c r="O17" s="480">
        <v>64.360054637999994</v>
      </c>
      <c r="P17" s="467">
        <v>153.50214644100001</v>
      </c>
    </row>
    <row r="18" spans="1:16" ht="15.75" customHeight="1" x14ac:dyDescent="0.2">
      <c r="A18" s="465" t="s">
        <v>168</v>
      </c>
      <c r="B18" s="467">
        <v>77.070493561999996</v>
      </c>
      <c r="C18" s="467">
        <v>96.844166254000001</v>
      </c>
      <c r="D18" s="467">
        <v>128.89807527599999</v>
      </c>
      <c r="E18" s="467">
        <v>107.550331074</v>
      </c>
      <c r="F18" s="467">
        <v>107.58592416899999</v>
      </c>
      <c r="G18" s="467">
        <v>178.024959873</v>
      </c>
      <c r="H18" s="467">
        <v>177.03938551100001</v>
      </c>
      <c r="I18" s="467">
        <v>174.50581276200001</v>
      </c>
      <c r="J18" s="467">
        <v>157.87049922</v>
      </c>
      <c r="K18" s="467">
        <v>182.49554836199999</v>
      </c>
      <c r="L18" s="467" t="s">
        <v>102</v>
      </c>
      <c r="M18" s="480">
        <v>149.854469499</v>
      </c>
      <c r="N18" s="480">
        <v>168.47944109400001</v>
      </c>
      <c r="O18" s="480">
        <v>158.148117278</v>
      </c>
      <c r="P18" s="467">
        <v>120.151115265</v>
      </c>
    </row>
    <row r="19" spans="1:16" ht="15.75" customHeight="1" x14ac:dyDescent="0.2">
      <c r="A19" s="465" t="s">
        <v>169</v>
      </c>
      <c r="B19" s="467">
        <v>463.96839055800001</v>
      </c>
      <c r="C19" s="467">
        <v>319.63507009699998</v>
      </c>
      <c r="D19" s="467">
        <v>238.989612518</v>
      </c>
      <c r="E19" s="467">
        <v>192.67871509400001</v>
      </c>
      <c r="F19" s="467">
        <v>179.536814655</v>
      </c>
      <c r="G19" s="467">
        <v>168.600799881</v>
      </c>
      <c r="H19" s="467">
        <v>145.99874608299999</v>
      </c>
      <c r="I19" s="467">
        <v>117.346736802</v>
      </c>
      <c r="J19" s="467">
        <v>132.57811136800001</v>
      </c>
      <c r="K19" s="467">
        <v>117.26090446800001</v>
      </c>
      <c r="L19" s="467" t="s">
        <v>102</v>
      </c>
      <c r="M19" s="480">
        <v>167.83776861999999</v>
      </c>
      <c r="N19" s="480">
        <v>123.90298628399999</v>
      </c>
      <c r="O19" s="480">
        <v>148.27373287899999</v>
      </c>
      <c r="P19" s="467">
        <v>220.77711797399999</v>
      </c>
    </row>
    <row r="20" spans="1:16" ht="15.75" customHeight="1" x14ac:dyDescent="0.2">
      <c r="A20" s="465" t="s">
        <v>170</v>
      </c>
      <c r="B20" s="467">
        <v>357.44849785399998</v>
      </c>
      <c r="C20" s="467">
        <v>201.48741382200001</v>
      </c>
      <c r="D20" s="467">
        <v>179.217845324</v>
      </c>
      <c r="E20" s="467">
        <v>159.65308602499999</v>
      </c>
      <c r="F20" s="467">
        <v>160.42043194600001</v>
      </c>
      <c r="G20" s="467">
        <v>149.17370208599999</v>
      </c>
      <c r="H20" s="467">
        <v>124.45470270600001</v>
      </c>
      <c r="I20" s="467">
        <v>102.521293888</v>
      </c>
      <c r="J20" s="467">
        <v>114.77586583</v>
      </c>
      <c r="K20" s="467">
        <v>106.760532595</v>
      </c>
      <c r="L20" s="467" t="s">
        <v>102</v>
      </c>
      <c r="M20" s="480">
        <v>144.934799825</v>
      </c>
      <c r="N20" s="480">
        <v>108.415048818</v>
      </c>
      <c r="O20" s="480">
        <v>128.67265680400001</v>
      </c>
      <c r="P20" s="467">
        <v>168.82118193599999</v>
      </c>
    </row>
    <row r="21" spans="1:16" ht="15.75" customHeight="1" x14ac:dyDescent="0.2">
      <c r="A21" s="465" t="s">
        <v>171</v>
      </c>
      <c r="B21" s="845">
        <v>51.061609441999998</v>
      </c>
      <c r="C21" s="467">
        <v>25.305967342999999</v>
      </c>
      <c r="D21" s="467">
        <v>15.888074747999999</v>
      </c>
      <c r="E21" s="467">
        <v>3.0352793230000001</v>
      </c>
      <c r="F21" s="467">
        <v>3.702024513</v>
      </c>
      <c r="G21" s="467">
        <v>2.5352512709999999</v>
      </c>
      <c r="H21" s="467">
        <v>2.4881928960000002</v>
      </c>
      <c r="I21" s="467">
        <v>2.366396484</v>
      </c>
      <c r="J21" s="467">
        <v>2.3861636169999998</v>
      </c>
      <c r="K21" s="467">
        <v>6.0934382979999997</v>
      </c>
      <c r="L21" s="467" t="s">
        <v>102</v>
      </c>
      <c r="M21" s="480">
        <v>3.0625960540000001</v>
      </c>
      <c r="N21" s="480">
        <v>2.9102801450000002</v>
      </c>
      <c r="O21" s="480">
        <v>2.9947702060000001</v>
      </c>
      <c r="P21" s="467">
        <v>5.985235318</v>
      </c>
    </row>
    <row r="22" spans="1:16" ht="15.75" customHeight="1" x14ac:dyDescent="0.2">
      <c r="A22" s="687" t="s">
        <v>607</v>
      </c>
      <c r="B22" s="467">
        <v>55.458283262000002</v>
      </c>
      <c r="C22" s="467">
        <v>92.841688933</v>
      </c>
      <c r="D22" s="467">
        <v>43.883692445999998</v>
      </c>
      <c r="E22" s="467">
        <v>29.990349746</v>
      </c>
      <c r="F22" s="467">
        <v>15.414358196</v>
      </c>
      <c r="G22" s="467">
        <v>16.891846524000002</v>
      </c>
      <c r="H22" s="467">
        <v>19.055850481</v>
      </c>
      <c r="I22" s="467">
        <v>12.459046431000001</v>
      </c>
      <c r="J22" s="467">
        <v>15.416081921</v>
      </c>
      <c r="K22" s="467">
        <v>4.4069335760000001</v>
      </c>
      <c r="L22" s="467" t="s">
        <v>102</v>
      </c>
      <c r="M22" s="480">
        <v>19.840372740999999</v>
      </c>
      <c r="N22" s="480">
        <v>12.577657321</v>
      </c>
      <c r="O22" s="480">
        <v>16.60630587</v>
      </c>
      <c r="P22" s="467">
        <v>45.970700719</v>
      </c>
    </row>
    <row r="23" spans="1:16" ht="15.75" customHeight="1" x14ac:dyDescent="0.2">
      <c r="A23" s="465" t="s">
        <v>172</v>
      </c>
      <c r="B23" s="467">
        <v>99.893261803000001</v>
      </c>
      <c r="C23" s="467">
        <v>9.6040161640000008</v>
      </c>
      <c r="D23" s="467">
        <v>60.295535760999996</v>
      </c>
      <c r="E23" s="467">
        <v>27.929871497000001</v>
      </c>
      <c r="F23" s="467">
        <v>28.901678843999999</v>
      </c>
      <c r="G23" s="467">
        <v>40.244411481999997</v>
      </c>
      <c r="H23" s="467">
        <v>52.814370029000003</v>
      </c>
      <c r="I23" s="467">
        <v>36.516694813999997</v>
      </c>
      <c r="J23" s="467">
        <v>46.579561663</v>
      </c>
      <c r="K23" s="467">
        <v>45.439447967</v>
      </c>
      <c r="L23" s="467" t="s">
        <v>102</v>
      </c>
      <c r="M23" s="480">
        <v>40.371724104000002</v>
      </c>
      <c r="N23" s="480">
        <v>42.138018451000001</v>
      </c>
      <c r="O23" s="480">
        <v>41.158250037999998</v>
      </c>
      <c r="P23" s="467">
        <v>56.726830266999997</v>
      </c>
    </row>
    <row r="24" spans="1:16" ht="15.75" customHeight="1" x14ac:dyDescent="0.2">
      <c r="A24" s="465" t="s">
        <v>173</v>
      </c>
      <c r="B24" s="467">
        <v>1343.372017167</v>
      </c>
      <c r="C24" s="467">
        <v>207.516077849</v>
      </c>
      <c r="D24" s="467">
        <v>201.18549664299999</v>
      </c>
      <c r="E24" s="467">
        <v>132.498719964</v>
      </c>
      <c r="F24" s="467">
        <v>100.85778188899999</v>
      </c>
      <c r="G24" s="467">
        <v>147.24885520500001</v>
      </c>
      <c r="H24" s="467">
        <v>142.84675923099999</v>
      </c>
      <c r="I24" s="467">
        <v>124.661412664</v>
      </c>
      <c r="J24" s="467">
        <v>138.51936882999999</v>
      </c>
      <c r="K24" s="467">
        <v>178.61192573400001</v>
      </c>
      <c r="L24" s="467" t="s">
        <v>102</v>
      </c>
      <c r="M24" s="480">
        <v>133.65178085700001</v>
      </c>
      <c r="N24" s="480">
        <v>138.38724942600001</v>
      </c>
      <c r="O24" s="480">
        <v>135.760471771</v>
      </c>
      <c r="P24" s="467">
        <v>108.30397019900001</v>
      </c>
    </row>
    <row r="25" spans="1:16" ht="15.75" customHeight="1" x14ac:dyDescent="0.2">
      <c r="A25" s="475" t="s">
        <v>174</v>
      </c>
      <c r="B25" s="468">
        <v>374.30199570799999</v>
      </c>
      <c r="C25" s="468">
        <v>390.76644730300001</v>
      </c>
      <c r="D25" s="468">
        <v>167.35250621099999</v>
      </c>
      <c r="E25" s="468">
        <v>97.239902482999995</v>
      </c>
      <c r="F25" s="468">
        <v>75.069602942000003</v>
      </c>
      <c r="G25" s="468">
        <v>71.623280652000005</v>
      </c>
      <c r="H25" s="468">
        <v>66.458905743000003</v>
      </c>
      <c r="I25" s="468">
        <v>52.258651325999999</v>
      </c>
      <c r="J25" s="468">
        <v>47.565576782000001</v>
      </c>
      <c r="K25" s="468">
        <v>50.458908405999999</v>
      </c>
      <c r="L25" s="468" t="s">
        <v>102</v>
      </c>
      <c r="M25" s="481">
        <v>76.393444541999997</v>
      </c>
      <c r="N25" s="481">
        <v>49.976229717000002</v>
      </c>
      <c r="O25" s="481">
        <v>64.629932638</v>
      </c>
      <c r="P25" s="468">
        <v>60.724836185999997</v>
      </c>
    </row>
    <row r="26" spans="1:16" ht="16.5" customHeight="1" x14ac:dyDescent="0.25">
      <c r="A26" s="474" t="s">
        <v>175</v>
      </c>
      <c r="B26" s="466">
        <v>997.14141630899996</v>
      </c>
      <c r="C26" s="466">
        <v>421.031845621</v>
      </c>
      <c r="D26" s="466">
        <v>324.591157689</v>
      </c>
      <c r="E26" s="466">
        <v>255.06559705999999</v>
      </c>
      <c r="F26" s="466">
        <v>243.390083135</v>
      </c>
      <c r="G26" s="466">
        <v>290.96514433800002</v>
      </c>
      <c r="H26" s="466">
        <v>296.29964063699998</v>
      </c>
      <c r="I26" s="466">
        <v>264.31249074700003</v>
      </c>
      <c r="J26" s="466">
        <v>234.81212873199999</v>
      </c>
      <c r="K26" s="466">
        <v>127.35486117799999</v>
      </c>
      <c r="L26" s="466" t="s">
        <v>102</v>
      </c>
      <c r="M26" s="479">
        <v>277.23875123900001</v>
      </c>
      <c r="N26" s="479">
        <v>231.91752460399999</v>
      </c>
      <c r="O26" s="479">
        <v>257.057335728</v>
      </c>
      <c r="P26" s="466">
        <v>197.158855778</v>
      </c>
    </row>
    <row r="27" spans="1:16" ht="16.5" customHeight="1" x14ac:dyDescent="0.25">
      <c r="A27" s="476" t="s">
        <v>176</v>
      </c>
      <c r="B27" s="469">
        <v>946.62021459200002</v>
      </c>
      <c r="C27" s="469">
        <v>247.24013524700001</v>
      </c>
      <c r="D27" s="469">
        <v>207.30069144199999</v>
      </c>
      <c r="E27" s="469">
        <v>186.60788095699999</v>
      </c>
      <c r="F27" s="469">
        <v>170.63702274400001</v>
      </c>
      <c r="G27" s="469">
        <v>197.591950298</v>
      </c>
      <c r="H27" s="469">
        <v>202.42147494700001</v>
      </c>
      <c r="I27" s="469">
        <v>172.29175164399999</v>
      </c>
      <c r="J27" s="469">
        <v>121.234748111</v>
      </c>
      <c r="K27" s="469">
        <v>-15.833899438</v>
      </c>
      <c r="L27" s="469" t="s">
        <v>102</v>
      </c>
      <c r="M27" s="482">
        <v>191.84094044</v>
      </c>
      <c r="N27" s="482">
        <v>123.250548378</v>
      </c>
      <c r="O27" s="482">
        <v>161.297830621</v>
      </c>
      <c r="P27" s="469">
        <v>108.187236056</v>
      </c>
    </row>
    <row r="28" spans="1:16" ht="15.75" customHeight="1" x14ac:dyDescent="0.25">
      <c r="A28" s="474" t="s">
        <v>177</v>
      </c>
      <c r="B28" s="466">
        <v>1549.4618025750001</v>
      </c>
      <c r="C28" s="466">
        <v>1057.355104734</v>
      </c>
      <c r="D28" s="466">
        <v>699.32466458700003</v>
      </c>
      <c r="E28" s="466">
        <v>505.615581427</v>
      </c>
      <c r="F28" s="466">
        <v>450.59251281100001</v>
      </c>
      <c r="G28" s="466">
        <v>509.43570885999998</v>
      </c>
      <c r="H28" s="466">
        <v>496.430639402</v>
      </c>
      <c r="I28" s="466">
        <v>482.44384335299998</v>
      </c>
      <c r="J28" s="466">
        <v>541.41139702600003</v>
      </c>
      <c r="K28" s="466">
        <v>379.96068438899999</v>
      </c>
      <c r="L28" s="466" t="s">
        <v>102</v>
      </c>
      <c r="M28" s="479">
        <v>494.193206385</v>
      </c>
      <c r="N28" s="479">
        <v>493.15292172900001</v>
      </c>
      <c r="O28" s="479">
        <v>493.729970536</v>
      </c>
      <c r="P28" s="466">
        <v>411.49686769099998</v>
      </c>
    </row>
    <row r="29" spans="1:16" ht="15.75" customHeight="1" x14ac:dyDescent="0.2">
      <c r="A29" s="465" t="s">
        <v>178</v>
      </c>
      <c r="B29" s="467">
        <v>1544.3316952790001</v>
      </c>
      <c r="C29" s="467">
        <v>1053.9158518889999</v>
      </c>
      <c r="D29" s="467">
        <v>650.44593963099999</v>
      </c>
      <c r="E29" s="467">
        <v>480.94547231000001</v>
      </c>
      <c r="F29" s="467">
        <v>414.07129539699997</v>
      </c>
      <c r="G29" s="467">
        <v>457.072781545</v>
      </c>
      <c r="H29" s="467">
        <v>455.306755592</v>
      </c>
      <c r="I29" s="467">
        <v>440.59057784399999</v>
      </c>
      <c r="J29" s="467">
        <v>495.13277793600002</v>
      </c>
      <c r="K29" s="467">
        <v>304.77105534499998</v>
      </c>
      <c r="L29" s="467" t="s">
        <v>102</v>
      </c>
      <c r="M29" s="480">
        <v>454.00416636800003</v>
      </c>
      <c r="N29" s="480">
        <v>444.60271294</v>
      </c>
      <c r="O29" s="480">
        <v>449.81772544099999</v>
      </c>
      <c r="P29" s="467">
        <v>374.27712931899998</v>
      </c>
    </row>
    <row r="30" spans="1:16" ht="15.75" customHeight="1" x14ac:dyDescent="0.2">
      <c r="A30" s="465" t="s">
        <v>179</v>
      </c>
      <c r="B30" s="845" t="s">
        <v>971</v>
      </c>
      <c r="C30" s="467">
        <v>1.467867392</v>
      </c>
      <c r="D30" s="467">
        <v>11.849156842999999</v>
      </c>
      <c r="E30" s="467">
        <v>14.595569795999999</v>
      </c>
      <c r="F30" s="467">
        <v>24.695798251999999</v>
      </c>
      <c r="G30" s="467">
        <v>31.516723896999999</v>
      </c>
      <c r="H30" s="467">
        <v>24.506111284999999</v>
      </c>
      <c r="I30" s="467">
        <v>24.373069253000001</v>
      </c>
      <c r="J30" s="467">
        <v>33.048358692000001</v>
      </c>
      <c r="K30" s="467">
        <v>45.480927327000003</v>
      </c>
      <c r="L30" s="467" t="s">
        <v>102</v>
      </c>
      <c r="M30" s="480">
        <v>24.522457796000001</v>
      </c>
      <c r="N30" s="480">
        <v>31.146286225000001</v>
      </c>
      <c r="O30" s="480">
        <v>27.472030076999999</v>
      </c>
      <c r="P30" s="467">
        <v>23.810771989999999</v>
      </c>
    </row>
    <row r="31" spans="1:16" ht="15.75" customHeight="1" x14ac:dyDescent="0.2">
      <c r="A31" s="465" t="s">
        <v>180</v>
      </c>
      <c r="B31" s="467">
        <v>5.1301072960000003</v>
      </c>
      <c r="C31" s="467">
        <v>1.9713854529999999</v>
      </c>
      <c r="D31" s="467">
        <v>37.029568113000003</v>
      </c>
      <c r="E31" s="467">
        <v>10.074539322</v>
      </c>
      <c r="F31" s="467">
        <v>11.825419160999999</v>
      </c>
      <c r="G31" s="467">
        <v>20.846203417000002</v>
      </c>
      <c r="H31" s="467">
        <v>16.617772523999999</v>
      </c>
      <c r="I31" s="467">
        <v>17.480196255999999</v>
      </c>
      <c r="J31" s="467">
        <v>13.230260399000001</v>
      </c>
      <c r="K31" s="467">
        <v>29.708701717</v>
      </c>
      <c r="L31" s="467" t="s">
        <v>102</v>
      </c>
      <c r="M31" s="480">
        <v>15.666582221000001</v>
      </c>
      <c r="N31" s="480">
        <v>17.403922563999998</v>
      </c>
      <c r="O31" s="480">
        <v>16.440215018</v>
      </c>
      <c r="P31" s="467">
        <v>13.408966381999999</v>
      </c>
    </row>
    <row r="32" spans="1:16" ht="15.75" customHeight="1" x14ac:dyDescent="0.25">
      <c r="A32" s="474" t="s">
        <v>181</v>
      </c>
      <c r="B32" s="466">
        <v>775.71939914200004</v>
      </c>
      <c r="C32" s="466">
        <v>691.63354445000004</v>
      </c>
      <c r="D32" s="466">
        <v>343.458050431</v>
      </c>
      <c r="E32" s="466">
        <v>215.48757131599999</v>
      </c>
      <c r="F32" s="466">
        <v>186.780804252</v>
      </c>
      <c r="G32" s="466">
        <v>202.94275695300001</v>
      </c>
      <c r="H32" s="466">
        <v>215.42703120600001</v>
      </c>
      <c r="I32" s="466">
        <v>152.31106879399999</v>
      </c>
      <c r="J32" s="466">
        <v>202.03270364599999</v>
      </c>
      <c r="K32" s="466">
        <v>253.015276309</v>
      </c>
      <c r="L32" s="466" t="s">
        <v>102</v>
      </c>
      <c r="M32" s="479">
        <v>208.51295481700001</v>
      </c>
      <c r="N32" s="479">
        <v>188.219015918</v>
      </c>
      <c r="O32" s="479">
        <v>199.47612056400001</v>
      </c>
      <c r="P32" s="466">
        <v>177.39971704600001</v>
      </c>
    </row>
    <row r="33" spans="1:16" ht="15.75" customHeight="1" x14ac:dyDescent="0.2">
      <c r="A33" s="465" t="s">
        <v>182</v>
      </c>
      <c r="B33" s="467">
        <v>457.60600858399999</v>
      </c>
      <c r="C33" s="467">
        <v>133.851718621</v>
      </c>
      <c r="D33" s="467">
        <v>52.368020827999999</v>
      </c>
      <c r="E33" s="467">
        <v>49.539498797999997</v>
      </c>
      <c r="F33" s="467">
        <v>46.825709463000003</v>
      </c>
      <c r="G33" s="467">
        <v>48.993466566999999</v>
      </c>
      <c r="H33" s="467">
        <v>53.069303521999998</v>
      </c>
      <c r="I33" s="467">
        <v>46.396029949000003</v>
      </c>
      <c r="J33" s="467">
        <v>49.720683201999996</v>
      </c>
      <c r="K33" s="467">
        <v>32.623244540000002</v>
      </c>
      <c r="L33" s="467" t="s">
        <v>102</v>
      </c>
      <c r="M33" s="480">
        <v>50.42076806</v>
      </c>
      <c r="N33" s="480">
        <v>45.851449420000002</v>
      </c>
      <c r="O33" s="480">
        <v>48.386063245000003</v>
      </c>
      <c r="P33" s="467">
        <v>43.657640358999998</v>
      </c>
    </row>
    <row r="34" spans="1:16" ht="15.75" customHeight="1" x14ac:dyDescent="0.2">
      <c r="A34" s="465" t="s">
        <v>183</v>
      </c>
      <c r="B34" s="467">
        <v>310.94465665199999</v>
      </c>
      <c r="C34" s="467">
        <v>545.27481609799997</v>
      </c>
      <c r="D34" s="467">
        <v>271.07986361500002</v>
      </c>
      <c r="E34" s="467">
        <v>128.78615617</v>
      </c>
      <c r="F34" s="467">
        <v>106.838617992</v>
      </c>
      <c r="G34" s="467">
        <v>93.657844080000004</v>
      </c>
      <c r="H34" s="467">
        <v>98.875029158000004</v>
      </c>
      <c r="I34" s="467">
        <v>83.774301363999996</v>
      </c>
      <c r="J34" s="467">
        <v>81.999072710999997</v>
      </c>
      <c r="K34" s="467">
        <v>82.51848923</v>
      </c>
      <c r="L34" s="467" t="s">
        <v>102</v>
      </c>
      <c r="M34" s="480">
        <v>106.99575011100001</v>
      </c>
      <c r="N34" s="480">
        <v>82.828341250999998</v>
      </c>
      <c r="O34" s="480">
        <v>96.234070513999995</v>
      </c>
      <c r="P34" s="467">
        <v>99.615302452999998</v>
      </c>
    </row>
    <row r="35" spans="1:16" ht="15.75" customHeight="1" x14ac:dyDescent="0.2">
      <c r="A35" s="475" t="s">
        <v>184</v>
      </c>
      <c r="B35" s="468">
        <v>7.1687339059999999</v>
      </c>
      <c r="C35" s="468">
        <v>12.507009731</v>
      </c>
      <c r="D35" s="468">
        <v>20.010165988000001</v>
      </c>
      <c r="E35" s="468">
        <v>37.161916347000002</v>
      </c>
      <c r="F35" s="468">
        <v>33.116476796999997</v>
      </c>
      <c r="G35" s="468">
        <v>60.291446305000001</v>
      </c>
      <c r="H35" s="468">
        <v>63.482698526</v>
      </c>
      <c r="I35" s="468">
        <v>22.140737481999999</v>
      </c>
      <c r="J35" s="468">
        <v>70.312947733000001</v>
      </c>
      <c r="K35" s="468">
        <v>137.873542539</v>
      </c>
      <c r="L35" s="468" t="s">
        <v>102</v>
      </c>
      <c r="M35" s="481">
        <v>51.096436646000001</v>
      </c>
      <c r="N35" s="481">
        <v>59.539225246999997</v>
      </c>
      <c r="O35" s="481">
        <v>54.855986805999997</v>
      </c>
      <c r="P35" s="468">
        <v>34.126774234000003</v>
      </c>
    </row>
    <row r="36" spans="1:16" ht="15.75" customHeight="1" x14ac:dyDescent="0.25">
      <c r="A36" s="477" t="s">
        <v>185</v>
      </c>
      <c r="B36" s="466">
        <v>4140.3171030040003</v>
      </c>
      <c r="C36" s="466">
        <v>2148.4503463629999</v>
      </c>
      <c r="D36" s="466">
        <v>1595.778017656</v>
      </c>
      <c r="E36" s="466">
        <v>1368.1021746869999</v>
      </c>
      <c r="F36" s="466">
        <v>1332.8129365049999</v>
      </c>
      <c r="G36" s="466">
        <v>1590.669333095</v>
      </c>
      <c r="H36" s="466">
        <v>1604.3140865509999</v>
      </c>
      <c r="I36" s="466">
        <v>1640.184514237</v>
      </c>
      <c r="J36" s="466">
        <v>1741.7065390560001</v>
      </c>
      <c r="K36" s="466">
        <v>1703.466684089</v>
      </c>
      <c r="L36" s="466" t="s">
        <v>102</v>
      </c>
      <c r="M36" s="479">
        <v>1504.0944544240001</v>
      </c>
      <c r="N36" s="479">
        <v>1693.056174713</v>
      </c>
      <c r="O36" s="479">
        <v>1588.238580167</v>
      </c>
      <c r="P36" s="466">
        <v>1543.7892652749999</v>
      </c>
    </row>
    <row r="37" spans="1:16" ht="15.75" customHeight="1" x14ac:dyDescent="0.25">
      <c r="A37" s="477" t="s">
        <v>186</v>
      </c>
      <c r="B37" s="466">
        <v>4363.71611588</v>
      </c>
      <c r="C37" s="466">
        <v>2203.7606317</v>
      </c>
      <c r="D37" s="466">
        <v>1564.5025611880001</v>
      </c>
      <c r="E37" s="466">
        <v>1333.0397616350001</v>
      </c>
      <c r="F37" s="466">
        <v>1312.3913110819999</v>
      </c>
      <c r="G37" s="466">
        <v>1575.1415255259999</v>
      </c>
      <c r="H37" s="466">
        <v>1619.610118992</v>
      </c>
      <c r="I37" s="466">
        <v>1574.364230424</v>
      </c>
      <c r="J37" s="466">
        <v>1637.1399744079999</v>
      </c>
      <c r="K37" s="466">
        <v>1703.876137187</v>
      </c>
      <c r="L37" s="466" t="s">
        <v>102</v>
      </c>
      <c r="M37" s="479">
        <v>1495.652954096</v>
      </c>
      <c r="N37" s="479">
        <v>1620.039793506</v>
      </c>
      <c r="O37" s="479">
        <v>1551.0420659230001</v>
      </c>
      <c r="P37" s="466">
        <v>1506.850970408</v>
      </c>
    </row>
    <row r="38" spans="1:16" ht="15.75" customHeight="1" x14ac:dyDescent="0.25">
      <c r="A38" s="476" t="s">
        <v>187</v>
      </c>
      <c r="B38" s="469">
        <v>223.399012876</v>
      </c>
      <c r="C38" s="469">
        <v>55.310285337000003</v>
      </c>
      <c r="D38" s="469">
        <v>-31.275456468000002</v>
      </c>
      <c r="E38" s="469">
        <v>-35.062413051999997</v>
      </c>
      <c r="F38" s="469">
        <v>-20.421625423999998</v>
      </c>
      <c r="G38" s="469">
        <v>-15.527807569</v>
      </c>
      <c r="H38" s="469">
        <v>15.296032440999999</v>
      </c>
      <c r="I38" s="469">
        <v>-65.820283813000003</v>
      </c>
      <c r="J38" s="469">
        <v>-104.566564649</v>
      </c>
      <c r="K38" s="469">
        <v>0.40945309800000002</v>
      </c>
      <c r="L38" s="469" t="s">
        <v>102</v>
      </c>
      <c r="M38" s="482">
        <v>-8.4415003280000001</v>
      </c>
      <c r="N38" s="482">
        <v>-73.016381206999995</v>
      </c>
      <c r="O38" s="482">
        <v>-37.196514243999999</v>
      </c>
      <c r="P38" s="469">
        <v>-36.938294867000003</v>
      </c>
    </row>
    <row r="39" spans="1:16" ht="15.75" customHeight="1" x14ac:dyDescent="0.2">
      <c r="A39" s="465" t="s">
        <v>188</v>
      </c>
      <c r="B39" s="467">
        <v>50.521201716999997</v>
      </c>
      <c r="C39" s="467">
        <v>173.79171037399999</v>
      </c>
      <c r="D39" s="467">
        <v>117.290466247</v>
      </c>
      <c r="E39" s="467">
        <v>68.457716102000006</v>
      </c>
      <c r="F39" s="467">
        <v>72.753060391000005</v>
      </c>
      <c r="G39" s="467">
        <v>93.373194041000005</v>
      </c>
      <c r="H39" s="467">
        <v>93.878165691000007</v>
      </c>
      <c r="I39" s="467">
        <v>92.020739102999997</v>
      </c>
      <c r="J39" s="467">
        <v>113.577380621</v>
      </c>
      <c r="K39" s="467">
        <v>143.188760616</v>
      </c>
      <c r="L39" s="467" t="s">
        <v>102</v>
      </c>
      <c r="M39" s="480">
        <v>85.397810798999998</v>
      </c>
      <c r="N39" s="480">
        <v>108.666976225</v>
      </c>
      <c r="O39" s="480">
        <v>95.759505106999995</v>
      </c>
      <c r="P39" s="467">
        <v>88.971619723000003</v>
      </c>
    </row>
    <row r="40" spans="1:16" ht="15.75" customHeight="1" x14ac:dyDescent="0.2">
      <c r="A40" s="465" t="s">
        <v>189</v>
      </c>
      <c r="B40" s="467">
        <v>0</v>
      </c>
      <c r="C40" s="467">
        <v>108.873280554</v>
      </c>
      <c r="D40" s="467">
        <v>57.614059840000003</v>
      </c>
      <c r="E40" s="467">
        <v>79.908223352999997</v>
      </c>
      <c r="F40" s="467">
        <v>75.173613939999996</v>
      </c>
      <c r="G40" s="467">
        <v>94.569373261999999</v>
      </c>
      <c r="H40" s="467">
        <v>66.276204137999997</v>
      </c>
      <c r="I40" s="467">
        <v>129.17989944799999</v>
      </c>
      <c r="J40" s="467">
        <v>160.042565999</v>
      </c>
      <c r="K40" s="467">
        <v>163.80297503</v>
      </c>
      <c r="L40" s="467" t="s">
        <v>102</v>
      </c>
      <c r="M40" s="480">
        <v>77.315222542000001</v>
      </c>
      <c r="N40" s="480">
        <v>147.46284344700001</v>
      </c>
      <c r="O40" s="480">
        <v>108.55176201099999</v>
      </c>
      <c r="P40" s="467">
        <v>101.995484976</v>
      </c>
    </row>
    <row r="41" spans="1:16" ht="15.75" customHeight="1" x14ac:dyDescent="0.2">
      <c r="A41" s="475" t="s">
        <v>190</v>
      </c>
      <c r="B41" s="468">
        <v>-50.521201716999997</v>
      </c>
      <c r="C41" s="468">
        <v>-64.91842982</v>
      </c>
      <c r="D41" s="468">
        <v>-59.676406407000002</v>
      </c>
      <c r="E41" s="468">
        <v>11.450507249999999</v>
      </c>
      <c r="F41" s="468">
        <v>2.4205535490000001</v>
      </c>
      <c r="G41" s="468">
        <v>1.196179221</v>
      </c>
      <c r="H41" s="468">
        <v>-27.601961551999999</v>
      </c>
      <c r="I41" s="468">
        <v>37.159160344999997</v>
      </c>
      <c r="J41" s="468">
        <v>46.465185378999998</v>
      </c>
      <c r="K41" s="468">
        <v>20.614214413999999</v>
      </c>
      <c r="L41" s="468" t="s">
        <v>102</v>
      </c>
      <c r="M41" s="481">
        <v>-8.0825882569999994</v>
      </c>
      <c r="N41" s="481">
        <v>38.795867221000002</v>
      </c>
      <c r="O41" s="481">
        <v>12.792256904</v>
      </c>
      <c r="P41" s="468">
        <v>13.023865253</v>
      </c>
    </row>
    <row r="42" spans="1:16" ht="15.75" customHeight="1" x14ac:dyDescent="0.25">
      <c r="A42" s="477" t="s">
        <v>191</v>
      </c>
      <c r="B42" s="466">
        <v>4190.838304721</v>
      </c>
      <c r="C42" s="466">
        <v>2322.242056738</v>
      </c>
      <c r="D42" s="466">
        <v>1713.068483903</v>
      </c>
      <c r="E42" s="466">
        <v>1436.5598907900001</v>
      </c>
      <c r="F42" s="466">
        <v>1405.5659968970001</v>
      </c>
      <c r="G42" s="466">
        <v>1684.042527135</v>
      </c>
      <c r="H42" s="466">
        <v>1698.192252242</v>
      </c>
      <c r="I42" s="466">
        <v>1732.2052533399999</v>
      </c>
      <c r="J42" s="466">
        <v>1855.2839196770001</v>
      </c>
      <c r="K42" s="466">
        <v>1846.655444705</v>
      </c>
      <c r="L42" s="466" t="s">
        <v>102</v>
      </c>
      <c r="M42" s="479">
        <v>1589.492265223</v>
      </c>
      <c r="N42" s="479">
        <v>1801.7231509379999</v>
      </c>
      <c r="O42" s="479">
        <v>1683.998085274</v>
      </c>
      <c r="P42" s="466">
        <v>1632.7608849979999</v>
      </c>
    </row>
    <row r="43" spans="1:16" ht="15.75" customHeight="1" x14ac:dyDescent="0.25">
      <c r="A43" s="477" t="s">
        <v>192</v>
      </c>
      <c r="B43" s="466">
        <v>4363.71611588</v>
      </c>
      <c r="C43" s="466">
        <v>2312.6339122549998</v>
      </c>
      <c r="D43" s="466">
        <v>1622.116621029</v>
      </c>
      <c r="E43" s="466">
        <v>1412.9479849879999</v>
      </c>
      <c r="F43" s="466">
        <v>1387.5649250219999</v>
      </c>
      <c r="G43" s="466">
        <v>1669.7108987879999</v>
      </c>
      <c r="H43" s="466">
        <v>1685.8863231309999</v>
      </c>
      <c r="I43" s="466">
        <v>1703.544129872</v>
      </c>
      <c r="J43" s="466">
        <v>1797.182540407</v>
      </c>
      <c r="K43" s="466">
        <v>1867.679112217</v>
      </c>
      <c r="L43" s="466" t="s">
        <v>102</v>
      </c>
      <c r="M43" s="479">
        <v>1572.9681766369999</v>
      </c>
      <c r="N43" s="479">
        <v>1767.5026369520001</v>
      </c>
      <c r="O43" s="479">
        <v>1659.593827934</v>
      </c>
      <c r="P43" s="466">
        <v>1608.8464553839999</v>
      </c>
    </row>
    <row r="44" spans="1:16" ht="15.75" customHeight="1" x14ac:dyDescent="0.2">
      <c r="A44" s="475" t="s">
        <v>193</v>
      </c>
      <c r="B44" s="468">
        <v>172.877811159</v>
      </c>
      <c r="C44" s="468">
        <v>-9.6081444830000002</v>
      </c>
      <c r="D44" s="468">
        <v>-90.951862875000003</v>
      </c>
      <c r="E44" s="468">
        <v>-23.611905801999999</v>
      </c>
      <c r="F44" s="468">
        <v>-18.001071875000001</v>
      </c>
      <c r="G44" s="468">
        <v>-14.331628347000001</v>
      </c>
      <c r="H44" s="468">
        <v>-12.305929110999999</v>
      </c>
      <c r="I44" s="468">
        <v>-28.661123468</v>
      </c>
      <c r="J44" s="468">
        <v>-58.101379270000002</v>
      </c>
      <c r="K44" s="468">
        <v>21.023667511999999</v>
      </c>
      <c r="L44" s="468" t="s">
        <v>102</v>
      </c>
      <c r="M44" s="481">
        <v>-16.524088586000001</v>
      </c>
      <c r="N44" s="481">
        <v>-34.220513986</v>
      </c>
      <c r="O44" s="481">
        <v>-24.404257340000001</v>
      </c>
      <c r="P44" s="468">
        <v>-23.914429613999999</v>
      </c>
    </row>
    <row r="45" spans="1:16" s="8" customFormat="1" ht="15.75" customHeight="1" x14ac:dyDescent="0.25">
      <c r="A45" s="478" t="s">
        <v>283</v>
      </c>
      <c r="B45" s="469">
        <v>396.28572961399999</v>
      </c>
      <c r="C45" s="469">
        <v>685.32533729199997</v>
      </c>
      <c r="D45" s="469">
        <v>743.16118993500004</v>
      </c>
      <c r="E45" s="469">
        <v>660.30647657400004</v>
      </c>
      <c r="F45" s="469">
        <v>742.39349970800004</v>
      </c>
      <c r="G45" s="469">
        <v>830.48023289599996</v>
      </c>
      <c r="H45" s="469">
        <v>849.52496305700004</v>
      </c>
      <c r="I45" s="469">
        <v>930.62120874100003</v>
      </c>
      <c r="J45" s="469">
        <v>1139.7397519389999</v>
      </c>
      <c r="K45" s="469">
        <v>1555.7060441240001</v>
      </c>
      <c r="L45" s="469" t="s">
        <v>102</v>
      </c>
      <c r="M45" s="482">
        <v>789.41439275000005</v>
      </c>
      <c r="N45" s="482">
        <v>1110.5925593469999</v>
      </c>
      <c r="O45" s="482">
        <v>932.43413238200003</v>
      </c>
      <c r="P45" s="469">
        <v>922.65384219600003</v>
      </c>
    </row>
    <row r="46" spans="1:16" ht="15.75" customHeight="1" x14ac:dyDescent="0.25">
      <c r="A46" s="474" t="s">
        <v>442</v>
      </c>
      <c r="B46" s="467"/>
      <c r="C46" s="467"/>
      <c r="D46" s="467"/>
      <c r="E46" s="467"/>
      <c r="F46" s="467"/>
      <c r="G46" s="467"/>
      <c r="H46" s="467"/>
      <c r="I46" s="467"/>
      <c r="J46" s="467"/>
      <c r="K46" s="467"/>
      <c r="L46" s="467"/>
      <c r="M46" s="483"/>
      <c r="N46" s="483"/>
      <c r="O46" s="483"/>
      <c r="P46" s="470"/>
    </row>
    <row r="47" spans="1:16" ht="15.75" customHeight="1" x14ac:dyDescent="0.25">
      <c r="A47" s="465" t="s">
        <v>459</v>
      </c>
      <c r="B47" s="467">
        <v>2590.8553004290002</v>
      </c>
      <c r="C47" s="467">
        <v>1089.739040079</v>
      </c>
      <c r="D47" s="467">
        <v>895.90610614800005</v>
      </c>
      <c r="E47" s="467">
        <v>861.11290082300002</v>
      </c>
      <c r="F47" s="467">
        <v>877.03509895599996</v>
      </c>
      <c r="G47" s="467">
        <v>1074.8177940410001</v>
      </c>
      <c r="H47" s="467">
        <v>1103.3095122079999</v>
      </c>
      <c r="I47" s="467">
        <v>1151.3513202869999</v>
      </c>
      <c r="J47" s="467">
        <v>1196.636974323</v>
      </c>
      <c r="K47" s="467">
        <v>1323.1250149330001</v>
      </c>
      <c r="L47" s="467" t="s">
        <v>102</v>
      </c>
      <c r="M47" s="480">
        <v>1005.284223395</v>
      </c>
      <c r="N47" s="480">
        <v>1195.5547861990001</v>
      </c>
      <c r="O47" s="480">
        <v>1090.011173051</v>
      </c>
      <c r="P47" s="467">
        <v>1129.889010739</v>
      </c>
    </row>
    <row r="48" spans="1:16" ht="15.75" customHeight="1" x14ac:dyDescent="0.25">
      <c r="A48" s="465" t="s">
        <v>410</v>
      </c>
      <c r="B48" s="467">
        <v>562.49785407700006</v>
      </c>
      <c r="C48" s="467">
        <v>442.82478970800003</v>
      </c>
      <c r="D48" s="467">
        <v>370.09901147099998</v>
      </c>
      <c r="E48" s="467">
        <v>551.46245526600001</v>
      </c>
      <c r="F48" s="467">
        <v>605.04150526599994</v>
      </c>
      <c r="G48" s="467">
        <v>734.81022145400004</v>
      </c>
      <c r="H48" s="467">
        <v>769.80855727100004</v>
      </c>
      <c r="I48" s="467">
        <v>869.046009497</v>
      </c>
      <c r="J48" s="467">
        <v>884.96798423899997</v>
      </c>
      <c r="K48" s="467">
        <v>835.14153346199998</v>
      </c>
      <c r="L48" s="467" t="s">
        <v>102</v>
      </c>
      <c r="M48" s="480">
        <v>684.99066802599998</v>
      </c>
      <c r="N48" s="480">
        <v>871.04231139000001</v>
      </c>
      <c r="O48" s="480">
        <v>767.83894465000003</v>
      </c>
      <c r="P48" s="467">
        <v>625.13532775199997</v>
      </c>
    </row>
    <row r="49" spans="1:25" ht="15.75" customHeight="1" x14ac:dyDescent="0.25">
      <c r="A49" s="465" t="s">
        <v>411</v>
      </c>
      <c r="B49" s="467">
        <v>1229.39055794</v>
      </c>
      <c r="C49" s="467">
        <v>487.76130958300001</v>
      </c>
      <c r="D49" s="467">
        <v>424.32328434700003</v>
      </c>
      <c r="E49" s="467">
        <v>559.65465020700003</v>
      </c>
      <c r="F49" s="467">
        <v>633.65870433099997</v>
      </c>
      <c r="G49" s="467">
        <v>766.45646148200001</v>
      </c>
      <c r="H49" s="467">
        <v>819.024921189</v>
      </c>
      <c r="I49" s="467">
        <v>916.763853262</v>
      </c>
      <c r="J49" s="467">
        <v>911.99415289900003</v>
      </c>
      <c r="K49" s="467">
        <v>876.59412594100002</v>
      </c>
      <c r="L49" s="467" t="s">
        <v>102</v>
      </c>
      <c r="M49" s="480">
        <v>719.03081165699996</v>
      </c>
      <c r="N49" s="480">
        <v>908.93685261500002</v>
      </c>
      <c r="O49" s="480">
        <v>803.59544075400004</v>
      </c>
      <c r="P49" s="467">
        <v>762.76738347100002</v>
      </c>
    </row>
    <row r="50" spans="1:25" ht="15.75" customHeight="1" x14ac:dyDescent="0.25">
      <c r="A50" s="465" t="s">
        <v>412</v>
      </c>
      <c r="B50" s="467">
        <v>3587.996716738</v>
      </c>
      <c r="C50" s="467">
        <v>1512.1270872509999</v>
      </c>
      <c r="D50" s="467">
        <v>1221.0445107579999</v>
      </c>
      <c r="E50" s="467">
        <v>1117.5521903199999</v>
      </c>
      <c r="F50" s="467">
        <v>1125.6105068300001</v>
      </c>
      <c r="G50" s="467">
        <v>1372.198768574</v>
      </c>
      <c r="H50" s="467">
        <v>1404.183087787</v>
      </c>
      <c r="I50" s="467">
        <v>1422.053161631</v>
      </c>
      <c r="J50" s="467">
        <v>1435.1072707620001</v>
      </c>
      <c r="K50" s="467">
        <v>1450.860860878</v>
      </c>
      <c r="L50" s="467" t="s">
        <v>102</v>
      </c>
      <c r="M50" s="480">
        <v>1287.139999279</v>
      </c>
      <c r="N50" s="480">
        <v>1431.8207775870001</v>
      </c>
      <c r="O50" s="480">
        <v>1351.5659453589999</v>
      </c>
      <c r="P50" s="467">
        <v>1329.451253362</v>
      </c>
    </row>
    <row r="51" spans="1:25" ht="15.75" customHeight="1" x14ac:dyDescent="0.25">
      <c r="A51" s="465" t="s">
        <v>460</v>
      </c>
      <c r="B51" s="467">
        <v>1549.4618025750001</v>
      </c>
      <c r="C51" s="467">
        <v>1055.272053439</v>
      </c>
      <c r="D51" s="467">
        <v>654.82343976300001</v>
      </c>
      <c r="E51" s="467">
        <v>485.907039779</v>
      </c>
      <c r="F51" s="467">
        <v>421.80728567599999</v>
      </c>
      <c r="G51" s="467">
        <v>473.80544517300001</v>
      </c>
      <c r="H51" s="467">
        <v>465.606464276</v>
      </c>
      <c r="I51" s="467">
        <v>456.98023914599997</v>
      </c>
      <c r="J51" s="467">
        <v>506.015459115</v>
      </c>
      <c r="K51" s="467">
        <v>317.27219707799998</v>
      </c>
      <c r="L51" s="467" t="s">
        <v>102</v>
      </c>
      <c r="M51" s="480">
        <v>464.36369778800002</v>
      </c>
      <c r="N51" s="480">
        <v>458.05891761700002</v>
      </c>
      <c r="O51" s="480">
        <v>461.55619680500001</v>
      </c>
      <c r="P51" s="467">
        <v>381.33041176900002</v>
      </c>
    </row>
    <row r="52" spans="1:25" ht="15.75" customHeight="1" x14ac:dyDescent="0.25">
      <c r="A52" s="465" t="s">
        <v>413</v>
      </c>
      <c r="B52" s="467">
        <v>396.28572961399999</v>
      </c>
      <c r="C52" s="467">
        <v>685.32533729199997</v>
      </c>
      <c r="D52" s="467">
        <v>743.16118993500004</v>
      </c>
      <c r="E52" s="467">
        <v>660.30647657400004</v>
      </c>
      <c r="F52" s="467">
        <v>742.39349970800004</v>
      </c>
      <c r="G52" s="467">
        <v>830.48023289599996</v>
      </c>
      <c r="H52" s="467">
        <v>849.52496305700004</v>
      </c>
      <c r="I52" s="467">
        <v>930.62120874100003</v>
      </c>
      <c r="J52" s="467">
        <v>1139.7397519389999</v>
      </c>
      <c r="K52" s="467">
        <v>1555.7060441240001</v>
      </c>
      <c r="L52" s="467" t="s">
        <v>102</v>
      </c>
      <c r="M52" s="480">
        <v>789.41439275000005</v>
      </c>
      <c r="N52" s="480">
        <v>1110.5925593469999</v>
      </c>
      <c r="O52" s="480">
        <v>932.43413238200003</v>
      </c>
      <c r="P52" s="467">
        <v>922.65384219600003</v>
      </c>
    </row>
    <row r="53" spans="1:25" ht="15.75" customHeight="1" x14ac:dyDescent="0.25">
      <c r="A53" s="465" t="s">
        <v>414</v>
      </c>
      <c r="B53" s="467">
        <v>357.44849785399998</v>
      </c>
      <c r="C53" s="467">
        <v>201.48741382200001</v>
      </c>
      <c r="D53" s="467">
        <v>179.217845324</v>
      </c>
      <c r="E53" s="467">
        <v>159.65308602499999</v>
      </c>
      <c r="F53" s="467">
        <v>160.42043194600001</v>
      </c>
      <c r="G53" s="467">
        <v>149.17370208599999</v>
      </c>
      <c r="H53" s="467">
        <v>124.45470270600001</v>
      </c>
      <c r="I53" s="467">
        <v>102.521293888</v>
      </c>
      <c r="J53" s="467">
        <v>114.77586583</v>
      </c>
      <c r="K53" s="467">
        <v>106.760532595</v>
      </c>
      <c r="L53" s="467" t="s">
        <v>102</v>
      </c>
      <c r="M53" s="480">
        <v>144.934799825</v>
      </c>
      <c r="N53" s="480">
        <v>108.415048818</v>
      </c>
      <c r="O53" s="480">
        <v>128.67265680400001</v>
      </c>
      <c r="P53" s="467">
        <v>168.82118193599999</v>
      </c>
    </row>
    <row r="54" spans="1:25" ht="12.75" customHeight="1" x14ac:dyDescent="0.2">
      <c r="A54" s="235" t="s">
        <v>899</v>
      </c>
      <c r="B54" s="473"/>
      <c r="C54" s="473"/>
      <c r="D54" s="473"/>
      <c r="E54" s="473"/>
      <c r="F54" s="473"/>
      <c r="G54" s="473"/>
      <c r="H54" s="473"/>
      <c r="I54" s="473"/>
      <c r="J54" s="473"/>
      <c r="K54" s="473"/>
      <c r="L54" s="473"/>
      <c r="M54" s="569"/>
      <c r="N54" s="486"/>
      <c r="O54" s="714"/>
      <c r="P54" s="715"/>
      <c r="Q54" s="13"/>
      <c r="R54" s="13"/>
      <c r="S54" s="13"/>
      <c r="T54" s="13"/>
      <c r="U54" s="13"/>
      <c r="V54" s="215"/>
      <c r="W54" s="215"/>
      <c r="X54" s="215"/>
      <c r="Y54" s="39"/>
    </row>
    <row r="55" spans="1:25" ht="15" customHeight="1" x14ac:dyDescent="0.2">
      <c r="A55" s="255" t="s">
        <v>357</v>
      </c>
      <c r="B55" s="13"/>
      <c r="C55" s="13"/>
      <c r="D55" s="13"/>
      <c r="E55" s="13"/>
      <c r="F55" s="13"/>
      <c r="G55" s="13"/>
      <c r="H55" s="13"/>
      <c r="I55" s="13"/>
      <c r="J55" s="13"/>
      <c r="K55" s="13"/>
      <c r="L55" s="13"/>
      <c r="M55" s="215"/>
      <c r="N55" s="215"/>
      <c r="O55" s="215"/>
      <c r="P55" s="39"/>
    </row>
    <row r="56" spans="1:25" ht="15" customHeight="1" x14ac:dyDescent="0.2">
      <c r="A56" s="37" t="s">
        <v>461</v>
      </c>
      <c r="B56" s="13"/>
      <c r="C56" s="13"/>
      <c r="D56" s="13"/>
      <c r="E56" s="13"/>
      <c r="F56" s="13"/>
      <c r="G56" s="13"/>
      <c r="H56" s="13"/>
      <c r="I56" s="13"/>
      <c r="J56" s="13"/>
      <c r="K56" s="13"/>
      <c r="L56" s="13"/>
      <c r="M56" s="215"/>
      <c r="N56" s="215"/>
      <c r="O56" s="215"/>
      <c r="P56" s="39"/>
    </row>
    <row r="57" spans="1:25" ht="15.75" customHeight="1" x14ac:dyDescent="0.2">
      <c r="A57" s="168" t="s">
        <v>558</v>
      </c>
      <c r="B57" s="13"/>
      <c r="C57" s="13"/>
      <c r="D57" s="13"/>
      <c r="E57" s="13"/>
      <c r="F57" s="13"/>
      <c r="G57" s="13"/>
      <c r="H57" s="13"/>
      <c r="I57" s="13"/>
      <c r="J57" s="13"/>
      <c r="K57" s="13"/>
      <c r="L57" s="13"/>
      <c r="M57" s="215"/>
      <c r="N57" s="215"/>
      <c r="O57" s="215"/>
      <c r="P57" s="39"/>
    </row>
    <row r="58" spans="1:25" ht="15.75" customHeight="1" x14ac:dyDescent="0.2">
      <c r="A58" s="168" t="s">
        <v>970</v>
      </c>
      <c r="B58" s="13"/>
      <c r="C58" s="13"/>
      <c r="D58" s="13"/>
      <c r="E58" s="13"/>
      <c r="F58" s="13"/>
      <c r="G58" s="13"/>
      <c r="H58" s="13"/>
      <c r="I58" s="13"/>
      <c r="J58" s="13"/>
      <c r="K58" s="13"/>
      <c r="L58" s="13"/>
      <c r="M58" s="215"/>
      <c r="N58" s="215"/>
      <c r="O58" s="215"/>
      <c r="P58" s="39"/>
    </row>
    <row r="59" spans="1:25" ht="15" customHeight="1" x14ac:dyDescent="0.2">
      <c r="A59" s="255" t="s">
        <v>972</v>
      </c>
      <c r="B59" s="13"/>
      <c r="C59" s="13"/>
      <c r="D59" s="13"/>
      <c r="E59" s="13"/>
      <c r="F59" s="13"/>
      <c r="G59" s="13"/>
      <c r="H59" s="13"/>
      <c r="I59" s="13"/>
      <c r="J59" s="13"/>
      <c r="K59" s="13"/>
      <c r="L59" s="13"/>
      <c r="M59" s="215"/>
      <c r="N59" s="215"/>
      <c r="O59" s="215"/>
      <c r="P59" s="39"/>
    </row>
    <row r="60" spans="1:25" x14ac:dyDescent="0.2">
      <c r="A60" s="286" t="s">
        <v>902</v>
      </c>
      <c r="B60" s="3"/>
      <c r="C60" s="3"/>
      <c r="D60" s="3"/>
      <c r="G60" s="185"/>
      <c r="J60" s="185"/>
    </row>
    <row r="61" spans="1:25" ht="18" x14ac:dyDescent="0.2">
      <c r="A61" s="46"/>
    </row>
    <row r="62" spans="1:25" ht="21" x14ac:dyDescent="0.2">
      <c r="A62" s="46" t="s">
        <v>911</v>
      </c>
    </row>
    <row r="63" spans="1:25" ht="18.75" thickBot="1" x14ac:dyDescent="0.25">
      <c r="A63" s="46"/>
    </row>
    <row r="64" spans="1:25" ht="15.95" customHeight="1" x14ac:dyDescent="0.2">
      <c r="A64" s="41"/>
      <c r="B64" s="42" t="s">
        <v>35</v>
      </c>
      <c r="C64" s="42" t="s">
        <v>121</v>
      </c>
      <c r="D64" s="42" t="s">
        <v>123</v>
      </c>
      <c r="E64" s="42" t="s">
        <v>36</v>
      </c>
      <c r="F64" s="42" t="s">
        <v>37</v>
      </c>
      <c r="G64" s="42" t="s">
        <v>38</v>
      </c>
      <c r="H64" s="42" t="s">
        <v>39</v>
      </c>
      <c r="I64" s="42" t="s">
        <v>125</v>
      </c>
      <c r="J64" s="42" t="s">
        <v>126</v>
      </c>
      <c r="K64" s="42" t="s">
        <v>127</v>
      </c>
      <c r="L64" s="252">
        <v>100000</v>
      </c>
      <c r="M64" s="250" t="s">
        <v>231</v>
      </c>
      <c r="N64" s="250" t="s">
        <v>229</v>
      </c>
      <c r="O64" s="257" t="s">
        <v>77</v>
      </c>
      <c r="P64" s="281" t="s">
        <v>220</v>
      </c>
    </row>
    <row r="65" spans="1:16" ht="15.95" customHeight="1" x14ac:dyDescent="0.2">
      <c r="A65" s="566" t="s">
        <v>81</v>
      </c>
      <c r="B65" s="43" t="s">
        <v>120</v>
      </c>
      <c r="C65" s="43" t="s">
        <v>40</v>
      </c>
      <c r="D65" s="43" t="s">
        <v>40</v>
      </c>
      <c r="E65" s="43" t="s">
        <v>40</v>
      </c>
      <c r="F65" s="43" t="s">
        <v>40</v>
      </c>
      <c r="G65" s="43" t="s">
        <v>40</v>
      </c>
      <c r="H65" s="43" t="s">
        <v>40</v>
      </c>
      <c r="I65" s="43" t="s">
        <v>40</v>
      </c>
      <c r="J65" s="43" t="s">
        <v>40</v>
      </c>
      <c r="K65" s="43" t="s">
        <v>40</v>
      </c>
      <c r="L65" s="43" t="s">
        <v>43</v>
      </c>
      <c r="M65" s="239" t="s">
        <v>230</v>
      </c>
      <c r="N65" s="239" t="s">
        <v>138</v>
      </c>
      <c r="O65" s="256" t="s">
        <v>137</v>
      </c>
      <c r="P65" s="282" t="s">
        <v>284</v>
      </c>
    </row>
    <row r="66" spans="1:16" ht="15.95" customHeight="1" thickBot="1" x14ac:dyDescent="0.25">
      <c r="A66" s="423" t="s">
        <v>99</v>
      </c>
      <c r="B66" s="44" t="s">
        <v>43</v>
      </c>
      <c r="C66" s="44" t="s">
        <v>122</v>
      </c>
      <c r="D66" s="44" t="s">
        <v>124</v>
      </c>
      <c r="E66" s="44" t="s">
        <v>44</v>
      </c>
      <c r="F66" s="44" t="s">
        <v>45</v>
      </c>
      <c r="G66" s="44" t="s">
        <v>46</v>
      </c>
      <c r="H66" s="44" t="s">
        <v>42</v>
      </c>
      <c r="I66" s="44" t="s">
        <v>128</v>
      </c>
      <c r="J66" s="44" t="s">
        <v>129</v>
      </c>
      <c r="K66" s="44" t="s">
        <v>130</v>
      </c>
      <c r="L66" s="44" t="s">
        <v>131</v>
      </c>
      <c r="M66" s="251" t="s">
        <v>138</v>
      </c>
      <c r="N66" s="251" t="s">
        <v>131</v>
      </c>
      <c r="O66" s="258" t="s">
        <v>41</v>
      </c>
      <c r="P66" s="283" t="s">
        <v>239</v>
      </c>
    </row>
    <row r="67" spans="1:16" ht="15" customHeight="1" x14ac:dyDescent="0.25">
      <c r="A67" s="544" t="s">
        <v>200</v>
      </c>
      <c r="B67" s="192"/>
      <c r="C67" s="192"/>
      <c r="D67" s="192"/>
      <c r="E67" s="192"/>
      <c r="F67" s="192"/>
      <c r="G67" s="192"/>
      <c r="H67" s="192"/>
      <c r="I67" s="192"/>
      <c r="J67" s="192"/>
      <c r="K67" s="192"/>
      <c r="L67" s="192"/>
      <c r="M67" s="192"/>
      <c r="N67" s="192"/>
      <c r="O67" s="192"/>
    </row>
    <row r="68" spans="1:16" ht="15.75" customHeight="1" x14ac:dyDescent="0.25">
      <c r="A68" s="487" t="s">
        <v>291</v>
      </c>
      <c r="B68" s="719">
        <f>B8/B$8</f>
        <v>1</v>
      </c>
      <c r="C68" s="719">
        <f t="shared" ref="C68:K68" si="0">C8/C$8</f>
        <v>1</v>
      </c>
      <c r="D68" s="719">
        <f t="shared" si="0"/>
        <v>1</v>
      </c>
      <c r="E68" s="719">
        <f t="shared" si="0"/>
        <v>1</v>
      </c>
      <c r="F68" s="719">
        <f t="shared" si="0"/>
        <v>1</v>
      </c>
      <c r="G68" s="719">
        <f t="shared" si="0"/>
        <v>1</v>
      </c>
      <c r="H68" s="719">
        <f t="shared" si="0"/>
        <v>1</v>
      </c>
      <c r="I68" s="719">
        <f t="shared" si="0"/>
        <v>1</v>
      </c>
      <c r="J68" s="719">
        <f t="shared" si="0"/>
        <v>1</v>
      </c>
      <c r="K68" s="719">
        <f t="shared" si="0"/>
        <v>1</v>
      </c>
      <c r="L68" s="719" t="s">
        <v>102</v>
      </c>
      <c r="M68" s="720">
        <f t="shared" ref="M68:O68" si="1">M8/M$8</f>
        <v>1</v>
      </c>
      <c r="N68" s="720">
        <f t="shared" si="1"/>
        <v>1</v>
      </c>
      <c r="O68" s="720">
        <f t="shared" si="1"/>
        <v>1</v>
      </c>
      <c r="P68" s="719">
        <f>P8/P$8</f>
        <v>1</v>
      </c>
    </row>
    <row r="69" spans="1:16" ht="15.75" customHeight="1" x14ac:dyDescent="0.2">
      <c r="A69" s="490" t="s">
        <v>161</v>
      </c>
      <c r="B69" s="721">
        <f t="shared" ref="B69:K73" si="2">B9/B$8</f>
        <v>0.22775830809396869</v>
      </c>
      <c r="C69" s="721">
        <f t="shared" si="2"/>
        <v>0.36425479472375361</v>
      </c>
      <c r="D69" s="721">
        <f t="shared" si="2"/>
        <v>0.34282326779845868</v>
      </c>
      <c r="E69" s="721">
        <f t="shared" si="2"/>
        <v>0.33397143167669791</v>
      </c>
      <c r="F69" s="721">
        <f t="shared" si="2"/>
        <v>0.32622816402570565</v>
      </c>
      <c r="G69" s="721">
        <f t="shared" si="2"/>
        <v>0.29564387356818239</v>
      </c>
      <c r="H69" s="721">
        <f t="shared" si="2"/>
        <v>0.28505431373100654</v>
      </c>
      <c r="I69" s="721">
        <f t="shared" si="2"/>
        <v>0.26023271071401011</v>
      </c>
      <c r="J69" s="721">
        <f t="shared" si="2"/>
        <v>0.25978162768004148</v>
      </c>
      <c r="K69" s="721">
        <f t="shared" si="2"/>
        <v>0.20203423589436711</v>
      </c>
      <c r="L69" s="721" t="s">
        <v>102</v>
      </c>
      <c r="M69" s="722">
        <f t="shared" ref="M69:P69" si="3">M9/M$8</f>
        <v>0.30322304148907664</v>
      </c>
      <c r="N69" s="722">
        <f t="shared" si="3"/>
        <v>0.25081724090218221</v>
      </c>
      <c r="O69" s="722">
        <f t="shared" si="3"/>
        <v>0.27763975248531769</v>
      </c>
      <c r="P69" s="721">
        <f t="shared" si="3"/>
        <v>0.26380622524125025</v>
      </c>
    </row>
    <row r="70" spans="1:16" ht="15.75" customHeight="1" x14ac:dyDescent="0.2">
      <c r="A70" s="492" t="s">
        <v>162</v>
      </c>
      <c r="B70" s="723">
        <f t="shared" si="2"/>
        <v>0.65140540486516063</v>
      </c>
      <c r="C70" s="723">
        <f t="shared" si="2"/>
        <v>0.47128290403943923</v>
      </c>
      <c r="D70" s="723">
        <f t="shared" si="2"/>
        <v>0.47332226566209384</v>
      </c>
      <c r="E70" s="723">
        <f t="shared" si="2"/>
        <v>0.48941909452701615</v>
      </c>
      <c r="F70" s="723">
        <f t="shared" si="2"/>
        <v>0.51987060110678252</v>
      </c>
      <c r="G70" s="723">
        <f t="shared" si="2"/>
        <v>0.54572950011380117</v>
      </c>
      <c r="H70" s="723">
        <f t="shared" si="2"/>
        <v>0.56197572352957603</v>
      </c>
      <c r="I70" s="723">
        <f t="shared" si="2"/>
        <v>0.58307374319463334</v>
      </c>
      <c r="J70" s="723">
        <f t="shared" si="2"/>
        <v>0.56786472193933457</v>
      </c>
      <c r="K70" s="723">
        <f t="shared" si="2"/>
        <v>0.60759780202453129</v>
      </c>
      <c r="L70" s="723" t="s">
        <v>102</v>
      </c>
      <c r="M70" s="724">
        <f t="shared" ref="M70:P70" si="4">M10/M$8</f>
        <v>0.53875570687381558</v>
      </c>
      <c r="N70" s="724">
        <f t="shared" si="4"/>
        <v>0.58039821589289953</v>
      </c>
      <c r="O70" s="724">
        <f t="shared" si="4"/>
        <v>0.55908460808663929</v>
      </c>
      <c r="P70" s="723">
        <f t="shared" si="4"/>
        <v>0.5355583785600867</v>
      </c>
    </row>
    <row r="71" spans="1:16" ht="15.75" customHeight="1" x14ac:dyDescent="0.2">
      <c r="A71" s="490" t="s">
        <v>163</v>
      </c>
      <c r="B71" s="721">
        <f t="shared" si="2"/>
        <v>6.6338806687328555E-3</v>
      </c>
      <c r="C71" s="721">
        <f t="shared" si="2"/>
        <v>1.6614434172509518E-2</v>
      </c>
      <c r="D71" s="721">
        <f t="shared" si="2"/>
        <v>2.1773848879226187E-2</v>
      </c>
      <c r="E71" s="721">
        <f t="shared" si="2"/>
        <v>1.8397956098103119E-2</v>
      </c>
      <c r="F71" s="721">
        <f t="shared" si="2"/>
        <v>2.364886930367972E-2</v>
      </c>
      <c r="G71" s="721">
        <f t="shared" si="2"/>
        <v>1.9450317429666963E-2</v>
      </c>
      <c r="H71" s="721">
        <f t="shared" si="2"/>
        <v>2.1868567310349557E-2</v>
      </c>
      <c r="I71" s="721">
        <f t="shared" si="2"/>
        <v>2.035359137120701E-2</v>
      </c>
      <c r="J71" s="721">
        <f t="shared" si="2"/>
        <v>2.5631389104823234E-2</v>
      </c>
      <c r="K71" s="721">
        <f t="shared" si="2"/>
        <v>3.7692854665039563E-2</v>
      </c>
      <c r="L71" s="721" t="s">
        <v>102</v>
      </c>
      <c r="M71" s="722">
        <f t="shared" ref="M71:P71" si="5">M11/M$8</f>
        <v>2.1113163475540715E-2</v>
      </c>
      <c r="N71" s="722">
        <f t="shared" si="5"/>
        <v>2.5377607494831957E-2</v>
      </c>
      <c r="O71" s="722">
        <f t="shared" si="5"/>
        <v>2.3194965538515907E-2</v>
      </c>
      <c r="P71" s="721">
        <f t="shared" si="5"/>
        <v>2.0882900684887656E-2</v>
      </c>
    </row>
    <row r="72" spans="1:16" ht="15.75" customHeight="1" x14ac:dyDescent="0.2">
      <c r="A72" s="492" t="s">
        <v>164</v>
      </c>
      <c r="B72" s="723">
        <f t="shared" si="2"/>
        <v>4.4888187411988217E-2</v>
      </c>
      <c r="C72" s="723">
        <f t="shared" si="2"/>
        <v>4.3605849216171513E-2</v>
      </c>
      <c r="D72" s="723">
        <f t="shared" si="2"/>
        <v>8.0626272749784442E-2</v>
      </c>
      <c r="E72" s="723">
        <f t="shared" si="2"/>
        <v>8.8515492668053544E-2</v>
      </c>
      <c r="F72" s="723">
        <f t="shared" si="2"/>
        <v>8.0736398682178551E-2</v>
      </c>
      <c r="G72" s="723">
        <f t="shared" si="2"/>
        <v>0.10067402171571904</v>
      </c>
      <c r="H72" s="723">
        <f t="shared" si="2"/>
        <v>9.7759325628261562E-2</v>
      </c>
      <c r="I72" s="723">
        <f t="shared" si="2"/>
        <v>0.10753532384842174</v>
      </c>
      <c r="J72" s="723">
        <f t="shared" si="2"/>
        <v>0.12032815912654102</v>
      </c>
      <c r="K72" s="723">
        <f t="shared" si="2"/>
        <v>0.12415798473089459</v>
      </c>
      <c r="L72" s="723" t="s">
        <v>102</v>
      </c>
      <c r="M72" s="724">
        <f t="shared" ref="M72:P72" si="6">M12/M$8</f>
        <v>9.3535527464119056E-2</v>
      </c>
      <c r="N72" s="724">
        <f t="shared" si="6"/>
        <v>0.11568774486008584</v>
      </c>
      <c r="O72" s="724">
        <f t="shared" si="6"/>
        <v>0.10434972309491933</v>
      </c>
      <c r="P72" s="723">
        <f t="shared" si="6"/>
        <v>0.13986696626146974</v>
      </c>
    </row>
    <row r="73" spans="1:16" ht="15.75" customHeight="1" x14ac:dyDescent="0.2">
      <c r="A73" s="495" t="s">
        <v>165</v>
      </c>
      <c r="B73" s="725">
        <f t="shared" si="2"/>
        <v>6.9314218960149651E-2</v>
      </c>
      <c r="C73" s="725">
        <f t="shared" si="2"/>
        <v>0.10424201784812619</v>
      </c>
      <c r="D73" s="725">
        <f t="shared" si="2"/>
        <v>8.1454344909321408E-2</v>
      </c>
      <c r="E73" s="725">
        <f t="shared" si="2"/>
        <v>6.9696025030129408E-2</v>
      </c>
      <c r="F73" s="725">
        <f t="shared" si="2"/>
        <v>4.9515966881653571E-2</v>
      </c>
      <c r="G73" s="725">
        <f t="shared" si="2"/>
        <v>3.8502287172630476E-2</v>
      </c>
      <c r="H73" s="725">
        <f t="shared" si="2"/>
        <v>3.334206980080643E-2</v>
      </c>
      <c r="I73" s="725">
        <f t="shared" si="2"/>
        <v>2.8804630871727691E-2</v>
      </c>
      <c r="J73" s="725">
        <f t="shared" si="2"/>
        <v>2.6394102149259697E-2</v>
      </c>
      <c r="K73" s="725">
        <f t="shared" si="2"/>
        <v>2.8517122685167377E-2</v>
      </c>
      <c r="L73" s="725" t="s">
        <v>102</v>
      </c>
      <c r="M73" s="726">
        <f t="shared" ref="M73:P73" si="7">M13/M$8</f>
        <v>4.3372560697447986E-2</v>
      </c>
      <c r="N73" s="726">
        <f t="shared" si="7"/>
        <v>2.7719190850000564E-2</v>
      </c>
      <c r="O73" s="726">
        <f t="shared" si="7"/>
        <v>3.5730950795521584E-2</v>
      </c>
      <c r="P73" s="725">
        <f t="shared" si="7"/>
        <v>3.9885529251422552E-2</v>
      </c>
    </row>
    <row r="74" spans="1:16" ht="15.75" customHeight="1" x14ac:dyDescent="0.25">
      <c r="A74" s="498" t="s">
        <v>287</v>
      </c>
      <c r="B74" s="727">
        <f>B14/B$14</f>
        <v>1</v>
      </c>
      <c r="C74" s="727">
        <f t="shared" ref="C74:K74" si="8">C14/C$14</f>
        <v>1</v>
      </c>
      <c r="D74" s="727">
        <f t="shared" si="8"/>
        <v>1</v>
      </c>
      <c r="E74" s="727">
        <f t="shared" si="8"/>
        <v>1</v>
      </c>
      <c r="F74" s="727">
        <f t="shared" si="8"/>
        <v>1</v>
      </c>
      <c r="G74" s="727">
        <f t="shared" si="8"/>
        <v>1</v>
      </c>
      <c r="H74" s="727">
        <f t="shared" si="8"/>
        <v>1</v>
      </c>
      <c r="I74" s="727">
        <f t="shared" si="8"/>
        <v>1</v>
      </c>
      <c r="J74" s="727">
        <f t="shared" si="8"/>
        <v>1</v>
      </c>
      <c r="K74" s="727">
        <f t="shared" si="8"/>
        <v>1</v>
      </c>
      <c r="L74" s="727" t="s">
        <v>102</v>
      </c>
      <c r="M74" s="728">
        <f t="shared" ref="M74:O74" si="9">M14/M$14</f>
        <v>1</v>
      </c>
      <c r="N74" s="728">
        <f t="shared" si="9"/>
        <v>1</v>
      </c>
      <c r="O74" s="728">
        <f t="shared" si="9"/>
        <v>1</v>
      </c>
      <c r="P74" s="727">
        <f>P14/P$14</f>
        <v>1</v>
      </c>
    </row>
    <row r="75" spans="1:16" ht="15.75" customHeight="1" x14ac:dyDescent="0.2">
      <c r="A75" s="490" t="s">
        <v>79</v>
      </c>
      <c r="B75" s="721">
        <f t="shared" ref="B75:K85" si="10">B15/B$14</f>
        <v>0.36411991276562788</v>
      </c>
      <c r="C75" s="721">
        <f t="shared" si="10"/>
        <v>0.38661133760905941</v>
      </c>
      <c r="D75" s="721">
        <f t="shared" si="10"/>
        <v>0.45307223016839188</v>
      </c>
      <c r="E75" s="721">
        <f t="shared" si="10"/>
        <v>0.59702355474776747</v>
      </c>
      <c r="F75" s="721">
        <f t="shared" si="10"/>
        <v>0.65852674970805813</v>
      </c>
      <c r="G75" s="721">
        <f t="shared" si="10"/>
        <v>0.68829782024692576</v>
      </c>
      <c r="H75" s="721">
        <f t="shared" si="10"/>
        <v>0.70935500887623038</v>
      </c>
      <c r="I75" s="721">
        <f t="shared" si="10"/>
        <v>0.76739020415550885</v>
      </c>
      <c r="J75" s="721">
        <f t="shared" si="10"/>
        <v>0.74549455216050375</v>
      </c>
      <c r="K75" s="721">
        <f t="shared" si="10"/>
        <v>0.72997328886664115</v>
      </c>
      <c r="L75" s="721" t="s">
        <v>102</v>
      </c>
      <c r="M75" s="722">
        <f t="shared" ref="M75:P75" si="11">M15/M$14</f>
        <v>0.67505110682809322</v>
      </c>
      <c r="N75" s="722">
        <f t="shared" si="11"/>
        <v>0.75247985681890572</v>
      </c>
      <c r="O75" s="722">
        <f t="shared" si="11"/>
        <v>0.71157723478786217</v>
      </c>
      <c r="P75" s="721">
        <f t="shared" si="11"/>
        <v>0.66412250656217753</v>
      </c>
    </row>
    <row r="76" spans="1:16" ht="15.75" customHeight="1" x14ac:dyDescent="0.2">
      <c r="A76" s="492" t="s">
        <v>167</v>
      </c>
      <c r="B76" s="723">
        <f t="shared" si="10"/>
        <v>0.34263982244044278</v>
      </c>
      <c r="C76" s="723">
        <f t="shared" si="10"/>
        <v>0.32256634623861868</v>
      </c>
      <c r="D76" s="723">
        <f t="shared" si="10"/>
        <v>0.34750844920762852</v>
      </c>
      <c r="E76" s="723">
        <f t="shared" si="10"/>
        <v>0.50078614229797047</v>
      </c>
      <c r="F76" s="723">
        <f t="shared" si="10"/>
        <v>0.56294668580834495</v>
      </c>
      <c r="G76" s="723">
        <f t="shared" si="10"/>
        <v>0.55856081424596216</v>
      </c>
      <c r="H76" s="723">
        <f t="shared" si="10"/>
        <v>0.5832750218347863</v>
      </c>
      <c r="I76" s="723">
        <f t="shared" si="10"/>
        <v>0.64467621745626802</v>
      </c>
      <c r="J76" s="723">
        <f t="shared" si="10"/>
        <v>0.63548849028878363</v>
      </c>
      <c r="K76" s="723">
        <f t="shared" si="10"/>
        <v>0.60418896779014497</v>
      </c>
      <c r="L76" s="723" t="s">
        <v>102</v>
      </c>
      <c r="M76" s="724">
        <f t="shared" ref="M76:P76" si="12">M16/M$14</f>
        <v>0.5586267321812467</v>
      </c>
      <c r="N76" s="724">
        <f t="shared" si="12"/>
        <v>0.6348118890597475</v>
      </c>
      <c r="O76" s="724">
        <f t="shared" si="12"/>
        <v>0.59456620930216675</v>
      </c>
      <c r="P76" s="723">
        <f t="shared" si="12"/>
        <v>0.573746033592481</v>
      </c>
    </row>
    <row r="77" spans="1:16" ht="15.75" customHeight="1" x14ac:dyDescent="0.2">
      <c r="A77" s="490" t="s">
        <v>322</v>
      </c>
      <c r="B77" s="721">
        <f t="shared" si="10"/>
        <v>0.20250699149512541</v>
      </c>
      <c r="C77" s="721">
        <f t="shared" si="10"/>
        <v>7.206302554178913E-2</v>
      </c>
      <c r="D77" s="721">
        <f t="shared" si="10"/>
        <v>6.9553687852278459E-2</v>
      </c>
      <c r="E77" s="721">
        <f t="shared" si="10"/>
        <v>4.5836313744177251E-2</v>
      </c>
      <c r="F77" s="721">
        <f t="shared" si="10"/>
        <v>4.962253564716932E-2</v>
      </c>
      <c r="G77" s="721">
        <f t="shared" si="10"/>
        <v>5.1494224452941877E-2</v>
      </c>
      <c r="H77" s="721">
        <f t="shared" si="10"/>
        <v>5.236142507660866E-2</v>
      </c>
      <c r="I77" s="721">
        <f t="shared" si="10"/>
        <v>5.7539646865348432E-2</v>
      </c>
      <c r="J77" s="721">
        <f t="shared" si="10"/>
        <v>3.2565596781615504E-2</v>
      </c>
      <c r="K77" s="721">
        <f t="shared" si="10"/>
        <v>3.7389261679560526E-2</v>
      </c>
      <c r="L77" s="721" t="s">
        <v>102</v>
      </c>
      <c r="M77" s="722">
        <f t="shared" ref="M77:P77" si="13">M17/M$14</f>
        <v>5.1018554074758291E-2</v>
      </c>
      <c r="N77" s="722">
        <f t="shared" si="13"/>
        <v>4.3811860153837145E-2</v>
      </c>
      <c r="O77" s="722">
        <f t="shared" si="13"/>
        <v>4.7618878574885094E-2</v>
      </c>
      <c r="P77" s="721">
        <f t="shared" si="13"/>
        <v>0.11546278665939358</v>
      </c>
    </row>
    <row r="78" spans="1:16" ht="15.75" customHeight="1" x14ac:dyDescent="0.2">
      <c r="A78" s="492" t="s">
        <v>168</v>
      </c>
      <c r="B78" s="723">
        <f t="shared" si="10"/>
        <v>2.148009032518515E-2</v>
      </c>
      <c r="C78" s="723">
        <f t="shared" si="10"/>
        <v>6.4044991370440757E-2</v>
      </c>
      <c r="D78" s="723">
        <f t="shared" si="10"/>
        <v>0.10556378095994441</v>
      </c>
      <c r="E78" s="723">
        <f t="shared" si="10"/>
        <v>9.6237412449797125E-2</v>
      </c>
      <c r="F78" s="723">
        <f t="shared" si="10"/>
        <v>9.5580063899713227E-2</v>
      </c>
      <c r="G78" s="723">
        <f t="shared" si="10"/>
        <v>0.12973700600096366</v>
      </c>
      <c r="H78" s="723">
        <f t="shared" si="10"/>
        <v>0.12607998704073201</v>
      </c>
      <c r="I78" s="723">
        <f t="shared" si="10"/>
        <v>0.1227139866992409</v>
      </c>
      <c r="J78" s="723">
        <f t="shared" si="10"/>
        <v>0.11000606187172013</v>
      </c>
      <c r="K78" s="723">
        <f t="shared" si="10"/>
        <v>0.12578432107649617</v>
      </c>
      <c r="L78" s="723" t="s">
        <v>102</v>
      </c>
      <c r="M78" s="724">
        <f t="shared" ref="M78:P78" si="14">M18/M$14</f>
        <v>0.11642437464684648</v>
      </c>
      <c r="N78" s="724">
        <f t="shared" si="14"/>
        <v>0.11766796775915825</v>
      </c>
      <c r="O78" s="724">
        <f t="shared" si="14"/>
        <v>0.11701102548569545</v>
      </c>
      <c r="P78" s="723">
        <f t="shared" si="14"/>
        <v>9.0376472970448749E-2</v>
      </c>
    </row>
    <row r="79" spans="1:16" ht="15.75" customHeight="1" x14ac:dyDescent="0.2">
      <c r="A79" s="490" t="s">
        <v>169</v>
      </c>
      <c r="B79" s="721">
        <f t="shared" si="10"/>
        <v>0.12931126396899642</v>
      </c>
      <c r="C79" s="721">
        <f t="shared" si="10"/>
        <v>0.21138108879332795</v>
      </c>
      <c r="D79" s="721">
        <f t="shared" si="10"/>
        <v>0.19572555333764211</v>
      </c>
      <c r="E79" s="721">
        <f t="shared" si="10"/>
        <v>0.17241137976636992</v>
      </c>
      <c r="F79" s="721">
        <f t="shared" si="10"/>
        <v>0.15950172245692734</v>
      </c>
      <c r="G79" s="721">
        <f t="shared" si="10"/>
        <v>0.12286907971518682</v>
      </c>
      <c r="H79" s="721">
        <f t="shared" si="10"/>
        <v>0.10397415219769865</v>
      </c>
      <c r="I79" s="721">
        <f t="shared" si="10"/>
        <v>8.2519233435275466E-2</v>
      </c>
      <c r="J79" s="721">
        <f t="shared" si="10"/>
        <v>9.2382021935966424E-2</v>
      </c>
      <c r="K79" s="721">
        <f t="shared" si="10"/>
        <v>8.0821605730709858E-2</v>
      </c>
      <c r="L79" s="721" t="s">
        <v>102</v>
      </c>
      <c r="M79" s="722">
        <f t="shared" ref="M79:P79" si="15">M19/M$14</f>
        <v>0.13039589222152637</v>
      </c>
      <c r="N79" s="722">
        <f t="shared" si="15"/>
        <v>8.6535262110673916E-2</v>
      </c>
      <c r="O79" s="722">
        <f t="shared" si="15"/>
        <v>0.10970514120168651</v>
      </c>
      <c r="P79" s="721">
        <f t="shared" si="15"/>
        <v>0.1660663506207429</v>
      </c>
    </row>
    <row r="80" spans="1:16" ht="15.75" customHeight="1" x14ac:dyDescent="0.2">
      <c r="A80" s="492" t="s">
        <v>170</v>
      </c>
      <c r="B80" s="723">
        <f t="shared" si="10"/>
        <v>9.9623418323239593E-2</v>
      </c>
      <c r="C80" s="723">
        <f t="shared" si="10"/>
        <v>0.13324767178683233</v>
      </c>
      <c r="D80" s="723">
        <f t="shared" si="10"/>
        <v>0.14677421154184228</v>
      </c>
      <c r="E80" s="723">
        <f t="shared" si="10"/>
        <v>0.14285962428232094</v>
      </c>
      <c r="F80" s="723">
        <f t="shared" si="10"/>
        <v>0.14251859854949644</v>
      </c>
      <c r="G80" s="723">
        <f t="shared" si="10"/>
        <v>0.10871143853380841</v>
      </c>
      <c r="H80" s="723">
        <f t="shared" si="10"/>
        <v>8.8631392721116795E-2</v>
      </c>
      <c r="I80" s="723">
        <f t="shared" si="10"/>
        <v>7.2093854613996936E-2</v>
      </c>
      <c r="J80" s="723">
        <f t="shared" si="10"/>
        <v>7.9977203215657433E-2</v>
      </c>
      <c r="K80" s="723">
        <f t="shared" si="10"/>
        <v>7.3584266743809607E-2</v>
      </c>
      <c r="L80" s="723" t="s">
        <v>102</v>
      </c>
      <c r="M80" s="724">
        <f t="shared" ref="M80:P80" si="16">M20/M$14</f>
        <v>0.11260220326163912</v>
      </c>
      <c r="N80" s="724">
        <f t="shared" si="16"/>
        <v>7.5718309522444752E-2</v>
      </c>
      <c r="O80" s="724">
        <f t="shared" si="16"/>
        <v>9.5202647895824472E-2</v>
      </c>
      <c r="P80" s="723">
        <f t="shared" si="16"/>
        <v>0.12698561267972358</v>
      </c>
    </row>
    <row r="81" spans="1:16" ht="15.75" customHeight="1" x14ac:dyDescent="0.2">
      <c r="A81" s="490" t="s">
        <v>171</v>
      </c>
      <c r="B81" s="721">
        <f t="shared" si="10"/>
        <v>1.4231230815735605E-2</v>
      </c>
      <c r="C81" s="721">
        <f t="shared" si="10"/>
        <v>1.673534424213342E-2</v>
      </c>
      <c r="D81" s="721">
        <f t="shared" si="10"/>
        <v>1.3011871891661838E-2</v>
      </c>
      <c r="E81" s="721">
        <f t="shared" si="10"/>
        <v>2.7160067773934374E-3</v>
      </c>
      <c r="F81" s="721">
        <f t="shared" si="10"/>
        <v>3.2889036576478166E-3</v>
      </c>
      <c r="G81" s="721">
        <f t="shared" si="10"/>
        <v>1.847583111909256E-3</v>
      </c>
      <c r="H81" s="721">
        <f t="shared" si="10"/>
        <v>1.7719860875987372E-3</v>
      </c>
      <c r="I81" s="721">
        <f t="shared" si="10"/>
        <v>1.6640703370652482E-3</v>
      </c>
      <c r="J81" s="721">
        <f t="shared" si="10"/>
        <v>1.6627074962368607E-3</v>
      </c>
      <c r="K81" s="721">
        <f t="shared" si="10"/>
        <v>4.1998777844985818E-3</v>
      </c>
      <c r="L81" s="721" t="s">
        <v>102</v>
      </c>
      <c r="M81" s="722">
        <f t="shared" ref="M81:P81" si="17">M21/M$14</f>
        <v>2.3793806856406714E-3</v>
      </c>
      <c r="N81" s="722">
        <f t="shared" si="17"/>
        <v>2.0325729243185022E-3</v>
      </c>
      <c r="O81" s="722">
        <f t="shared" si="17"/>
        <v>2.2157780878420521E-3</v>
      </c>
      <c r="P81" s="721">
        <f t="shared" si="17"/>
        <v>4.5020344317733803E-3</v>
      </c>
    </row>
    <row r="82" spans="1:16" ht="15.75" customHeight="1" x14ac:dyDescent="0.2">
      <c r="A82" s="693" t="s">
        <v>607</v>
      </c>
      <c r="B82" s="723">
        <f t="shared" si="10"/>
        <v>1.5456614830021215E-2</v>
      </c>
      <c r="C82" s="723">
        <f t="shared" si="10"/>
        <v>6.1398072765023542E-2</v>
      </c>
      <c r="D82" s="723">
        <f t="shared" si="10"/>
        <v>3.5939469904137961E-2</v>
      </c>
      <c r="E82" s="723">
        <f t="shared" si="10"/>
        <v>2.6835748706655536E-2</v>
      </c>
      <c r="F82" s="723">
        <f t="shared" si="10"/>
        <v>1.3694220249783095E-2</v>
      </c>
      <c r="G82" s="723">
        <f t="shared" si="10"/>
        <v>1.2310058069469151E-2</v>
      </c>
      <c r="H82" s="723">
        <f t="shared" si="10"/>
        <v>1.3570773388983144E-2</v>
      </c>
      <c r="I82" s="723">
        <f t="shared" si="10"/>
        <v>8.7613084849164895E-3</v>
      </c>
      <c r="J82" s="723">
        <f t="shared" si="10"/>
        <v>1.0742111224072128E-2</v>
      </c>
      <c r="K82" s="723">
        <f t="shared" si="10"/>
        <v>3.0374612030909078E-3</v>
      </c>
      <c r="L82" s="723" t="s">
        <v>102</v>
      </c>
      <c r="M82" s="724">
        <f t="shared" ref="M82:P82" si="18">M22/M$14</f>
        <v>1.5414308274246559E-2</v>
      </c>
      <c r="N82" s="724">
        <f t="shared" si="18"/>
        <v>8.7843796639106662E-3</v>
      </c>
      <c r="O82" s="724">
        <f t="shared" si="18"/>
        <v>1.2286715218759873E-2</v>
      </c>
      <c r="P82" s="723">
        <f t="shared" si="18"/>
        <v>3.4578703508493749E-2</v>
      </c>
    </row>
    <row r="83" spans="1:16" ht="15.75" customHeight="1" x14ac:dyDescent="0.2">
      <c r="A83" s="490" t="s">
        <v>172</v>
      </c>
      <c r="B83" s="721">
        <f t="shared" si="10"/>
        <v>2.7840956859575168E-2</v>
      </c>
      <c r="C83" s="721">
        <f t="shared" si="10"/>
        <v>6.351328697814549E-3</v>
      </c>
      <c r="D83" s="721">
        <f t="shared" si="10"/>
        <v>4.9380293044001926E-2</v>
      </c>
      <c r="E83" s="721">
        <f t="shared" si="10"/>
        <v>2.4992006403747963E-2</v>
      </c>
      <c r="F83" s="721">
        <f t="shared" si="10"/>
        <v>2.5676447286721173E-2</v>
      </c>
      <c r="G83" s="721">
        <f t="shared" si="10"/>
        <v>2.9328412474690028E-2</v>
      </c>
      <c r="H83" s="721">
        <f t="shared" si="10"/>
        <v>3.76121678777913E-2</v>
      </c>
      <c r="I83" s="721">
        <f t="shared" si="10"/>
        <v>2.5678853505109324E-2</v>
      </c>
      <c r="J83" s="721">
        <f t="shared" si="10"/>
        <v>3.2457198574617777E-2</v>
      </c>
      <c r="K83" s="721">
        <f t="shared" si="10"/>
        <v>3.1318956346718149E-2</v>
      </c>
      <c r="L83" s="721" t="s">
        <v>102</v>
      </c>
      <c r="M83" s="722">
        <f t="shared" ref="M83:P83" si="19">M23/M$14</f>
        <v>3.1365449078277804E-2</v>
      </c>
      <c r="N83" s="722">
        <f t="shared" si="19"/>
        <v>2.9429673818544385E-2</v>
      </c>
      <c r="O83" s="722">
        <f t="shared" si="19"/>
        <v>3.0452269220994345E-2</v>
      </c>
      <c r="P83" s="721">
        <f t="shared" si="19"/>
        <v>4.2669357092669342E-2</v>
      </c>
    </row>
    <row r="84" spans="1:16" ht="15.75" customHeight="1" x14ac:dyDescent="0.2">
      <c r="A84" s="492" t="s">
        <v>173</v>
      </c>
      <c r="B84" s="723">
        <f t="shared" si="10"/>
        <v>0.37440725932110563</v>
      </c>
      <c r="C84" s="723">
        <f t="shared" si="10"/>
        <v>0.1372345483382999</v>
      </c>
      <c r="D84" s="723">
        <f t="shared" si="10"/>
        <v>0.16476508011825719</v>
      </c>
      <c r="E84" s="723">
        <f t="shared" si="10"/>
        <v>0.11856155006600659</v>
      </c>
      <c r="F84" s="723">
        <f t="shared" si="10"/>
        <v>8.9602736716664688E-2</v>
      </c>
      <c r="G84" s="723">
        <f t="shared" si="10"/>
        <v>0.10730869213504848</v>
      </c>
      <c r="H84" s="723">
        <f t="shared" si="10"/>
        <v>0.1017294400377142</v>
      </c>
      <c r="I84" s="723">
        <f t="shared" si="10"/>
        <v>8.7662976341209134E-2</v>
      </c>
      <c r="J84" s="723">
        <f t="shared" si="10"/>
        <v>9.6521961564901171E-2</v>
      </c>
      <c r="K84" s="723">
        <f t="shared" si="10"/>
        <v>0.12310754983486948</v>
      </c>
      <c r="L84" s="723" t="s">
        <v>102</v>
      </c>
      <c r="M84" s="724">
        <f t="shared" ref="M84:P84" si="20">M24/M$14</f>
        <v>0.10383624231386325</v>
      </c>
      <c r="N84" s="724">
        <f t="shared" si="20"/>
        <v>9.6651237076765595E-2</v>
      </c>
      <c r="O84" s="724">
        <f t="shared" si="20"/>
        <v>0.1004467982026135</v>
      </c>
      <c r="P84" s="723">
        <f t="shared" si="20"/>
        <v>8.1465168373126964E-2</v>
      </c>
    </row>
    <row r="85" spans="1:16" ht="15.75" customHeight="1" x14ac:dyDescent="0.2">
      <c r="A85" s="495" t="s">
        <v>174</v>
      </c>
      <c r="B85" s="725">
        <f t="shared" si="10"/>
        <v>0.10432060708469483</v>
      </c>
      <c r="C85" s="725">
        <f t="shared" si="10"/>
        <v>0.25842169656083686</v>
      </c>
      <c r="D85" s="725">
        <f t="shared" si="10"/>
        <v>0.13705684333088802</v>
      </c>
      <c r="E85" s="725">
        <f t="shared" si="10"/>
        <v>8.7011509015213262E-2</v>
      </c>
      <c r="F85" s="725">
        <f t="shared" si="10"/>
        <v>6.6692343831628517E-2</v>
      </c>
      <c r="G85" s="725">
        <f t="shared" si="10"/>
        <v>5.2195995428877623E-2</v>
      </c>
      <c r="H85" s="725">
        <f t="shared" si="10"/>
        <v>4.732923101056543E-2</v>
      </c>
      <c r="I85" s="725">
        <f t="shared" si="10"/>
        <v>3.6748732562193957E-2</v>
      </c>
      <c r="J85" s="725">
        <f t="shared" si="10"/>
        <v>3.3144265764010847E-2</v>
      </c>
      <c r="K85" s="725">
        <f t="shared" si="10"/>
        <v>3.4778599221061343E-2</v>
      </c>
      <c r="L85" s="725" t="s">
        <v>102</v>
      </c>
      <c r="M85" s="726">
        <f t="shared" ref="M85:P85" si="21">M25/M$14</f>
        <v>5.9351309558239425E-2</v>
      </c>
      <c r="N85" s="726">
        <f t="shared" si="21"/>
        <v>3.4903970175110377E-2</v>
      </c>
      <c r="O85" s="726">
        <f t="shared" si="21"/>
        <v>4.7818556586103643E-2</v>
      </c>
      <c r="P85" s="725">
        <f t="shared" si="21"/>
        <v>4.5676617350531065E-2</v>
      </c>
    </row>
    <row r="86" spans="1:16" ht="15.75" customHeight="1" x14ac:dyDescent="0.25">
      <c r="A86" s="501" t="s">
        <v>201</v>
      </c>
      <c r="B86" s="729"/>
      <c r="C86" s="729"/>
      <c r="D86" s="729"/>
      <c r="E86" s="729"/>
      <c r="F86" s="729"/>
      <c r="G86" s="729"/>
      <c r="H86" s="729"/>
      <c r="I86" s="729"/>
      <c r="J86" s="729"/>
      <c r="K86" s="729"/>
      <c r="L86" s="729"/>
      <c r="M86" s="730"/>
      <c r="N86" s="730"/>
      <c r="O86" s="730"/>
      <c r="P86" s="731"/>
    </row>
    <row r="87" spans="1:16" ht="15.75" customHeight="1" x14ac:dyDescent="0.25">
      <c r="A87" s="498" t="s">
        <v>288</v>
      </c>
      <c r="B87" s="727">
        <f>B28/B$28</f>
        <v>1</v>
      </c>
      <c r="C87" s="727">
        <f t="shared" ref="C87:K87" si="22">C28/C$28</f>
        <v>1</v>
      </c>
      <c r="D87" s="727">
        <f t="shared" si="22"/>
        <v>1</v>
      </c>
      <c r="E87" s="727">
        <f t="shared" si="22"/>
        <v>1</v>
      </c>
      <c r="F87" s="727">
        <f t="shared" si="22"/>
        <v>1</v>
      </c>
      <c r="G87" s="727">
        <f t="shared" si="22"/>
        <v>1</v>
      </c>
      <c r="H87" s="727">
        <f t="shared" si="22"/>
        <v>1</v>
      </c>
      <c r="I87" s="727">
        <f t="shared" si="22"/>
        <v>1</v>
      </c>
      <c r="J87" s="727">
        <f t="shared" si="22"/>
        <v>1</v>
      </c>
      <c r="K87" s="727">
        <f t="shared" si="22"/>
        <v>1</v>
      </c>
      <c r="L87" s="727" t="s">
        <v>102</v>
      </c>
      <c r="M87" s="728">
        <f t="shared" ref="M87:O87" si="23">M28/M$28</f>
        <v>1</v>
      </c>
      <c r="N87" s="728">
        <f t="shared" si="23"/>
        <v>1</v>
      </c>
      <c r="O87" s="728">
        <f t="shared" si="23"/>
        <v>1</v>
      </c>
      <c r="P87" s="727">
        <f>P28/P$28</f>
        <v>1</v>
      </c>
    </row>
    <row r="88" spans="1:16" ht="15.75" customHeight="1" x14ac:dyDescent="0.2">
      <c r="A88" s="490" t="s">
        <v>178</v>
      </c>
      <c r="B88" s="721">
        <f t="shared" ref="B88:K90" si="24">B29/B$28</f>
        <v>0.99668910373429376</v>
      </c>
      <c r="C88" s="721">
        <f t="shared" si="24"/>
        <v>0.99674730577305415</v>
      </c>
      <c r="D88" s="721">
        <f t="shared" si="24"/>
        <v>0.93010581861163677</v>
      </c>
      <c r="E88" s="721">
        <f t="shared" si="24"/>
        <v>0.9512077751888629</v>
      </c>
      <c r="F88" s="721">
        <f t="shared" si="24"/>
        <v>0.91894845924943547</v>
      </c>
      <c r="G88" s="721">
        <f t="shared" si="24"/>
        <v>0.89721386545090021</v>
      </c>
      <c r="H88" s="721">
        <f t="shared" si="24"/>
        <v>0.91716086690471443</v>
      </c>
      <c r="I88" s="721">
        <f t="shared" si="24"/>
        <v>0.913247383948112</v>
      </c>
      <c r="J88" s="721">
        <f t="shared" si="24"/>
        <v>0.9145222665348185</v>
      </c>
      <c r="K88" s="721">
        <f t="shared" si="24"/>
        <v>0.80211208124095912</v>
      </c>
      <c r="L88" s="721" t="s">
        <v>102</v>
      </c>
      <c r="M88" s="722">
        <f t="shared" ref="M88:P88" si="25">M29/M$28</f>
        <v>0.91867747371320441</v>
      </c>
      <c r="N88" s="722">
        <f t="shared" si="25"/>
        <v>0.90155141204723599</v>
      </c>
      <c r="O88" s="722">
        <f t="shared" si="25"/>
        <v>0.91106019947031314</v>
      </c>
      <c r="P88" s="721">
        <f t="shared" si="25"/>
        <v>0.90955037256820892</v>
      </c>
    </row>
    <row r="89" spans="1:16" ht="15.75" customHeight="1" x14ac:dyDescent="0.2">
      <c r="A89" s="492" t="s">
        <v>179</v>
      </c>
      <c r="B89" s="723" t="s">
        <v>102</v>
      </c>
      <c r="C89" s="723">
        <f t="shared" si="24"/>
        <v>1.3882444842116435E-3</v>
      </c>
      <c r="D89" s="723">
        <f t="shared" si="24"/>
        <v>1.6943713618334556E-2</v>
      </c>
      <c r="E89" s="723">
        <f t="shared" si="24"/>
        <v>2.8866930395631579E-2</v>
      </c>
      <c r="F89" s="723">
        <f t="shared" si="24"/>
        <v>5.4807387051188296E-2</v>
      </c>
      <c r="G89" s="723">
        <f t="shared" si="24"/>
        <v>6.1865949616149177E-2</v>
      </c>
      <c r="H89" s="723">
        <f t="shared" si="24"/>
        <v>4.9364622849468041E-2</v>
      </c>
      <c r="I89" s="723">
        <f t="shared" si="24"/>
        <v>5.0520013031167314E-2</v>
      </c>
      <c r="J89" s="723">
        <f t="shared" si="24"/>
        <v>6.1041121176126499E-2</v>
      </c>
      <c r="K89" s="723">
        <f t="shared" si="24"/>
        <v>0.11969903517816879</v>
      </c>
      <c r="L89" s="723" t="s">
        <v>102</v>
      </c>
      <c r="M89" s="724">
        <f t="shared" ref="M89:P89" si="26">M30/M$28</f>
        <v>4.9621195676445302E-2</v>
      </c>
      <c r="N89" s="724">
        <f t="shared" si="26"/>
        <v>6.3157460602282861E-2</v>
      </c>
      <c r="O89" s="724">
        <f t="shared" si="26"/>
        <v>5.5641811752233691E-2</v>
      </c>
      <c r="P89" s="723">
        <f t="shared" si="26"/>
        <v>5.7863798875572275E-2</v>
      </c>
    </row>
    <row r="90" spans="1:16" ht="15.75" customHeight="1" x14ac:dyDescent="0.2">
      <c r="A90" s="495" t="s">
        <v>180</v>
      </c>
      <c r="B90" s="725">
        <f t="shared" si="24"/>
        <v>3.3108962657062229E-3</v>
      </c>
      <c r="C90" s="725">
        <f t="shared" si="24"/>
        <v>1.8644497427342005E-3</v>
      </c>
      <c r="D90" s="725">
        <f t="shared" si="24"/>
        <v>5.2950467770028598E-2</v>
      </c>
      <c r="E90" s="725">
        <f t="shared" si="24"/>
        <v>1.9925294417483346E-2</v>
      </c>
      <c r="F90" s="725">
        <f t="shared" si="24"/>
        <v>2.6244153697156845E-2</v>
      </c>
      <c r="G90" s="725">
        <f t="shared" si="24"/>
        <v>4.0920184930987688E-2</v>
      </c>
      <c r="H90" s="725">
        <f t="shared" si="24"/>
        <v>3.3474510243803157E-2</v>
      </c>
      <c r="I90" s="725">
        <f t="shared" si="24"/>
        <v>3.6232603020720677E-2</v>
      </c>
      <c r="J90" s="725">
        <f t="shared" si="24"/>
        <v>2.4436612290902049E-2</v>
      </c>
      <c r="K90" s="725">
        <f t="shared" si="24"/>
        <v>7.8188883580872087E-2</v>
      </c>
      <c r="L90" s="725" t="s">
        <v>102</v>
      </c>
      <c r="M90" s="726">
        <f t="shared" ref="M90:P90" si="27">M31/M$28</f>
        <v>3.1701330610350374E-2</v>
      </c>
      <c r="N90" s="726">
        <f t="shared" si="27"/>
        <v>3.5291127350481143E-2</v>
      </c>
      <c r="O90" s="726">
        <f t="shared" si="27"/>
        <v>3.3297988777453144E-2</v>
      </c>
      <c r="P90" s="725">
        <f t="shared" si="27"/>
        <v>3.2585828556218853E-2</v>
      </c>
    </row>
    <row r="91" spans="1:16" ht="15.75" customHeight="1" x14ac:dyDescent="0.25">
      <c r="A91" s="498" t="s">
        <v>289</v>
      </c>
      <c r="B91" s="727">
        <f>B32/B$32</f>
        <v>1</v>
      </c>
      <c r="C91" s="727">
        <f t="shared" ref="C91:K91" si="28">C32/C$32</f>
        <v>1</v>
      </c>
      <c r="D91" s="727">
        <f t="shared" si="28"/>
        <v>1</v>
      </c>
      <c r="E91" s="727">
        <f t="shared" si="28"/>
        <v>1</v>
      </c>
      <c r="F91" s="727">
        <f t="shared" si="28"/>
        <v>1</v>
      </c>
      <c r="G91" s="727">
        <f t="shared" si="28"/>
        <v>1</v>
      </c>
      <c r="H91" s="727">
        <f t="shared" si="28"/>
        <v>1</v>
      </c>
      <c r="I91" s="727">
        <f t="shared" si="28"/>
        <v>1</v>
      </c>
      <c r="J91" s="727">
        <f t="shared" si="28"/>
        <v>1</v>
      </c>
      <c r="K91" s="727">
        <f t="shared" si="28"/>
        <v>1</v>
      </c>
      <c r="L91" s="727" t="s">
        <v>102</v>
      </c>
      <c r="M91" s="728">
        <f t="shared" ref="M91:O91" si="29">M32/M$32</f>
        <v>1</v>
      </c>
      <c r="N91" s="728">
        <f t="shared" si="29"/>
        <v>1</v>
      </c>
      <c r="O91" s="728">
        <f t="shared" si="29"/>
        <v>1</v>
      </c>
      <c r="P91" s="727">
        <f>P32/P$32</f>
        <v>1</v>
      </c>
    </row>
    <row r="92" spans="1:16" ht="15.75" customHeight="1" x14ac:dyDescent="0.2">
      <c r="A92" s="490" t="s">
        <v>182</v>
      </c>
      <c r="B92" s="721">
        <f t="shared" ref="B92:K94" si="30">B33/B$32</f>
        <v>0.58991177620431345</v>
      </c>
      <c r="C92" s="721">
        <f t="shared" si="30"/>
        <v>0.19352982471005134</v>
      </c>
      <c r="D92" s="721">
        <f t="shared" si="30"/>
        <v>0.15247282968701478</v>
      </c>
      <c r="E92" s="721">
        <f t="shared" si="30"/>
        <v>0.22989492384854626</v>
      </c>
      <c r="F92" s="721">
        <f t="shared" si="30"/>
        <v>0.25069872490656975</v>
      </c>
      <c r="G92" s="721">
        <f t="shared" si="30"/>
        <v>0.24141520152082349</v>
      </c>
      <c r="H92" s="721">
        <f t="shared" si="30"/>
        <v>0.24634468211769112</v>
      </c>
      <c r="I92" s="721">
        <f t="shared" si="30"/>
        <v>0.30461364572098443</v>
      </c>
      <c r="J92" s="721">
        <f t="shared" si="30"/>
        <v>0.24610215229867022</v>
      </c>
      <c r="K92" s="721">
        <f t="shared" si="30"/>
        <v>0.12893784523966137</v>
      </c>
      <c r="L92" s="721" t="s">
        <v>102</v>
      </c>
      <c r="M92" s="722">
        <f t="shared" ref="M92:P92" si="31">M33/M$32</f>
        <v>0.24181120115175314</v>
      </c>
      <c r="N92" s="722">
        <f t="shared" si="31"/>
        <v>0.2436068916648452</v>
      </c>
      <c r="O92" s="722">
        <f t="shared" si="31"/>
        <v>0.24256569211489049</v>
      </c>
      <c r="P92" s="721">
        <f t="shared" si="31"/>
        <v>0.24609757606140661</v>
      </c>
    </row>
    <row r="93" spans="1:16" ht="15.75" customHeight="1" x14ac:dyDescent="0.2">
      <c r="A93" s="492" t="s">
        <v>183</v>
      </c>
      <c r="B93" s="723">
        <f t="shared" si="30"/>
        <v>0.40084682295676316</v>
      </c>
      <c r="C93" s="723">
        <f t="shared" si="30"/>
        <v>0.78838688561818204</v>
      </c>
      <c r="D93" s="723">
        <f t="shared" si="30"/>
        <v>0.78926629693153572</v>
      </c>
      <c r="E93" s="723">
        <f t="shared" si="30"/>
        <v>0.59765004256854604</v>
      </c>
      <c r="F93" s="723">
        <f t="shared" si="30"/>
        <v>0.57199998907733585</v>
      </c>
      <c r="G93" s="723">
        <f t="shared" si="30"/>
        <v>0.46149882600486425</v>
      </c>
      <c r="H93" s="723">
        <f t="shared" si="30"/>
        <v>0.4589722496962404</v>
      </c>
      <c r="I93" s="723">
        <f t="shared" si="30"/>
        <v>0.5500210984488878</v>
      </c>
      <c r="J93" s="723">
        <f t="shared" si="30"/>
        <v>0.40587029342872177</v>
      </c>
      <c r="K93" s="723">
        <f t="shared" si="30"/>
        <v>0.32614034391039154</v>
      </c>
      <c r="L93" s="723" t="s">
        <v>102</v>
      </c>
      <c r="M93" s="724">
        <f t="shared" ref="M93:P93" si="32">M34/M$32</f>
        <v>0.51313718231514249</v>
      </c>
      <c r="N93" s="724">
        <f t="shared" si="32"/>
        <v>0.44006361868922539</v>
      </c>
      <c r="O93" s="724">
        <f t="shared" si="32"/>
        <v>0.48243403893111209</v>
      </c>
      <c r="P93" s="723">
        <f t="shared" si="32"/>
        <v>0.56153022175999079</v>
      </c>
    </row>
    <row r="94" spans="1:16" ht="15.75" customHeight="1" x14ac:dyDescent="0.2">
      <c r="A94" s="490" t="s">
        <v>184</v>
      </c>
      <c r="B94" s="725">
        <f t="shared" si="30"/>
        <v>9.2414008389233547E-3</v>
      </c>
      <c r="C94" s="725">
        <f t="shared" si="30"/>
        <v>1.8083289671766582E-2</v>
      </c>
      <c r="D94" s="725">
        <f t="shared" si="30"/>
        <v>5.8260873381449536E-2</v>
      </c>
      <c r="E94" s="725">
        <f t="shared" si="30"/>
        <v>0.17245503357826708</v>
      </c>
      <c r="F94" s="725">
        <f t="shared" si="30"/>
        <v>0.17730128601609443</v>
      </c>
      <c r="G94" s="725">
        <f t="shared" si="30"/>
        <v>0.29708597246938473</v>
      </c>
      <c r="H94" s="725">
        <f t="shared" si="30"/>
        <v>0.29468306818606849</v>
      </c>
      <c r="I94" s="725">
        <f t="shared" si="30"/>
        <v>0.14536525583669327</v>
      </c>
      <c r="J94" s="725">
        <f t="shared" si="30"/>
        <v>0.34802755427260806</v>
      </c>
      <c r="K94" s="725">
        <f t="shared" si="30"/>
        <v>0.54492181084994706</v>
      </c>
      <c r="L94" s="725" t="s">
        <v>102</v>
      </c>
      <c r="M94" s="726">
        <f t="shared" ref="M94:P94" si="33">M35/M$32</f>
        <v>0.24505161653310437</v>
      </c>
      <c r="N94" s="726">
        <f t="shared" si="33"/>
        <v>0.31632948964592938</v>
      </c>
      <c r="O94" s="726">
        <f t="shared" si="33"/>
        <v>0.27500026895901042</v>
      </c>
      <c r="P94" s="725">
        <f t="shared" si="33"/>
        <v>0.19237220217860257</v>
      </c>
    </row>
    <row r="95" spans="1:16" ht="15.75" customHeight="1" x14ac:dyDescent="0.25">
      <c r="A95" s="544" t="s">
        <v>226</v>
      </c>
      <c r="B95" s="732"/>
      <c r="C95" s="732"/>
      <c r="D95" s="732"/>
      <c r="E95" s="732"/>
      <c r="F95" s="732"/>
      <c r="G95" s="732"/>
      <c r="H95" s="732"/>
      <c r="I95" s="732"/>
      <c r="J95" s="732"/>
      <c r="K95" s="732"/>
      <c r="L95" s="732"/>
      <c r="M95" s="733"/>
      <c r="N95" s="733"/>
      <c r="O95" s="733"/>
      <c r="P95" s="734"/>
    </row>
    <row r="96" spans="1:16" ht="15.75" customHeight="1" x14ac:dyDescent="0.25">
      <c r="A96" s="550" t="s">
        <v>421</v>
      </c>
      <c r="B96" s="735">
        <v>0.27791034799999997</v>
      </c>
      <c r="C96" s="735">
        <v>0.27843681199999998</v>
      </c>
      <c r="D96" s="735">
        <v>0.26583073299999999</v>
      </c>
      <c r="E96" s="735">
        <v>0.22823595999999999</v>
      </c>
      <c r="F96" s="735">
        <v>0.21622939899999999</v>
      </c>
      <c r="G96" s="735">
        <v>0.21204300100000001</v>
      </c>
      <c r="H96" s="735">
        <v>0.211012113</v>
      </c>
      <c r="I96" s="735">
        <v>0.18586681399999999</v>
      </c>
      <c r="J96" s="735">
        <v>0.16361991400000001</v>
      </c>
      <c r="K96" s="735">
        <v>8.7778825000000005E-2</v>
      </c>
      <c r="L96" s="719" t="s">
        <v>102</v>
      </c>
      <c r="M96" s="736">
        <v>0.21539129500000001</v>
      </c>
      <c r="N96" s="736">
        <v>0.161973851</v>
      </c>
      <c r="O96" s="736">
        <v>0.19019222599999999</v>
      </c>
      <c r="P96" s="735">
        <v>0.148300929</v>
      </c>
    </row>
    <row r="97" spans="1:16" ht="15.75" customHeight="1" x14ac:dyDescent="0.2">
      <c r="A97" s="562" t="s">
        <v>407</v>
      </c>
      <c r="B97" s="741">
        <v>0.65140540499999999</v>
      </c>
      <c r="C97" s="741">
        <v>0.471282904</v>
      </c>
      <c r="D97" s="741">
        <v>0.47332226599999999</v>
      </c>
      <c r="E97" s="741">
        <v>0.48941909500000003</v>
      </c>
      <c r="F97" s="741">
        <v>0.51987060100000004</v>
      </c>
      <c r="G97" s="741">
        <v>0.54572949999999998</v>
      </c>
      <c r="H97" s="741">
        <v>0.56197572399999995</v>
      </c>
      <c r="I97" s="741">
        <v>0.58307374300000003</v>
      </c>
      <c r="J97" s="741">
        <v>0.56786472200000004</v>
      </c>
      <c r="K97" s="741">
        <v>0.60759780200000002</v>
      </c>
      <c r="L97" s="721" t="s">
        <v>102</v>
      </c>
      <c r="M97" s="742">
        <v>0.53875570699999997</v>
      </c>
      <c r="N97" s="742">
        <v>0.58039821599999997</v>
      </c>
      <c r="O97" s="742">
        <v>0.55908460800000004</v>
      </c>
      <c r="P97" s="721">
        <v>0.53555837900000003</v>
      </c>
    </row>
    <row r="98" spans="1:16" ht="15.75" customHeight="1" x14ac:dyDescent="0.25">
      <c r="A98" s="546" t="s">
        <v>415</v>
      </c>
      <c r="B98" s="737">
        <v>0.73617026699999999</v>
      </c>
      <c r="C98" s="737">
        <v>0.83559825200000004</v>
      </c>
      <c r="D98" s="737">
        <v>0.82977857399999999</v>
      </c>
      <c r="E98" s="737">
        <v>0.83179168299999995</v>
      </c>
      <c r="F98" s="737">
        <v>0.84379823499999995</v>
      </c>
      <c r="G98" s="737">
        <v>0.85132782100000004</v>
      </c>
      <c r="H98" s="737">
        <v>0.852586595</v>
      </c>
      <c r="I98" s="737">
        <v>0.87434991399999995</v>
      </c>
      <c r="J98" s="737">
        <v>0.912973115</v>
      </c>
      <c r="K98" s="737">
        <v>1.0106508590000001</v>
      </c>
      <c r="L98" s="723" t="s">
        <v>102</v>
      </c>
      <c r="M98" s="738">
        <v>0.84736861200000002</v>
      </c>
      <c r="N98" s="738">
        <v>0.91088338899999999</v>
      </c>
      <c r="O98" s="738">
        <v>0.87733098200000004</v>
      </c>
      <c r="P98" s="723">
        <v>0.91681483399999997</v>
      </c>
    </row>
    <row r="99" spans="1:16" ht="17.25" customHeight="1" x14ac:dyDescent="0.2">
      <c r="A99" s="562" t="s">
        <v>462</v>
      </c>
      <c r="B99" s="721">
        <v>0.43184593700000001</v>
      </c>
      <c r="C99" s="721">
        <v>0.69787259400000001</v>
      </c>
      <c r="D99" s="721">
        <v>0.53628138400000003</v>
      </c>
      <c r="E99" s="721">
        <v>0.43479583700000002</v>
      </c>
      <c r="F99" s="721">
        <v>0.37473645</v>
      </c>
      <c r="G99" s="721">
        <v>0.34528922200000001</v>
      </c>
      <c r="H99" s="721">
        <v>0.33158529599999997</v>
      </c>
      <c r="I99" s="721">
        <v>0.32135243000000002</v>
      </c>
      <c r="J99" s="721">
        <v>0.35259765599999998</v>
      </c>
      <c r="K99" s="721">
        <v>0.21867858300000001</v>
      </c>
      <c r="L99" s="721" t="s">
        <v>102</v>
      </c>
      <c r="M99" s="722">
        <v>0.360771709</v>
      </c>
      <c r="N99" s="722">
        <v>0.319913585</v>
      </c>
      <c r="O99" s="722">
        <v>0.34149735599999997</v>
      </c>
      <c r="P99" s="721">
        <v>0.28683293999999998</v>
      </c>
    </row>
    <row r="100" spans="1:16" ht="15.75" customHeight="1" x14ac:dyDescent="0.25">
      <c r="A100" s="492" t="s">
        <v>409</v>
      </c>
      <c r="B100" s="723">
        <v>0.11044762900000001</v>
      </c>
      <c r="C100" s="723">
        <v>0.45321940399999999</v>
      </c>
      <c r="D100" s="723">
        <v>0.60862743600000002</v>
      </c>
      <c r="E100" s="723">
        <v>0.59085068399999996</v>
      </c>
      <c r="F100" s="723">
        <v>0.65954741500000003</v>
      </c>
      <c r="G100" s="723">
        <v>0.60521861099999996</v>
      </c>
      <c r="H100" s="723">
        <v>0.60499586599999999</v>
      </c>
      <c r="I100" s="723">
        <v>0.65442082899999998</v>
      </c>
      <c r="J100" s="723">
        <v>0.79418436199999998</v>
      </c>
      <c r="K100" s="723">
        <v>1.07226412</v>
      </c>
      <c r="L100" s="723" t="s">
        <v>102</v>
      </c>
      <c r="M100" s="724">
        <v>0.61330888100000003</v>
      </c>
      <c r="N100" s="724">
        <v>0.77565054</v>
      </c>
      <c r="O100" s="724">
        <v>0.68989170300000002</v>
      </c>
      <c r="P100" s="737">
        <v>0.69401103600000003</v>
      </c>
    </row>
    <row r="101" spans="1:16" ht="15.75" customHeight="1" x14ac:dyDescent="0.2">
      <c r="A101" s="495" t="s">
        <v>467</v>
      </c>
      <c r="B101" s="739">
        <v>0.39742179300000002</v>
      </c>
      <c r="C101" s="739">
        <v>1.627728032</v>
      </c>
      <c r="D101" s="739">
        <v>2.2895299900000001</v>
      </c>
      <c r="E101" s="739">
        <v>2.5887712189999998</v>
      </c>
      <c r="F101" s="739">
        <v>3.0502208230000001</v>
      </c>
      <c r="G101" s="739">
        <v>2.8542258380000001</v>
      </c>
      <c r="H101" s="739">
        <v>2.8671143890000002</v>
      </c>
      <c r="I101" s="739">
        <v>3.5209127119999999</v>
      </c>
      <c r="J101" s="739">
        <v>4.853836802</v>
      </c>
      <c r="K101" s="739">
        <v>12.215521494000001</v>
      </c>
      <c r="L101" s="725" t="s">
        <v>102</v>
      </c>
      <c r="M101" s="740">
        <v>2.847417214</v>
      </c>
      <c r="N101" s="740">
        <v>4.7887392780000004</v>
      </c>
      <c r="O101" s="740">
        <v>3.6273391290000001</v>
      </c>
      <c r="P101" s="739">
        <v>4.6797484120000004</v>
      </c>
    </row>
    <row r="102" spans="1:16" ht="15" customHeight="1" x14ac:dyDescent="0.2">
      <c r="A102" s="255" t="s">
        <v>285</v>
      </c>
      <c r="B102" s="39"/>
      <c r="C102" s="39"/>
      <c r="D102" s="39"/>
      <c r="E102" s="39"/>
      <c r="F102" s="39"/>
      <c r="G102" s="13"/>
      <c r="H102" s="13"/>
      <c r="I102" s="13"/>
      <c r="J102" s="13"/>
      <c r="K102" s="13"/>
      <c r="L102" s="13"/>
      <c r="M102" s="215"/>
      <c r="N102" s="215"/>
      <c r="O102" s="215"/>
      <c r="P102" s="39"/>
    </row>
    <row r="103" spans="1:16" ht="15" customHeight="1" x14ac:dyDescent="0.2">
      <c r="A103" s="168" t="s">
        <v>553</v>
      </c>
      <c r="B103" s="39"/>
      <c r="C103" s="39"/>
      <c r="D103" s="39"/>
      <c r="E103" s="39"/>
      <c r="F103" s="39"/>
      <c r="G103" s="13"/>
      <c r="H103" s="13"/>
      <c r="I103" s="13"/>
      <c r="J103" s="13"/>
      <c r="K103" s="13"/>
      <c r="L103" s="13"/>
      <c r="M103" s="215"/>
      <c r="N103" s="215"/>
      <c r="O103" s="215"/>
      <c r="P103" s="39"/>
    </row>
    <row r="104" spans="1:16" ht="15" customHeight="1" x14ac:dyDescent="0.2">
      <c r="A104" s="255" t="s">
        <v>973</v>
      </c>
      <c r="B104" s="39"/>
      <c r="C104" s="39"/>
      <c r="D104" s="39"/>
      <c r="E104" s="39"/>
      <c r="F104" s="39"/>
      <c r="G104" s="13"/>
      <c r="H104" s="13"/>
      <c r="I104" s="13"/>
      <c r="J104" s="13"/>
      <c r="K104" s="13"/>
      <c r="L104" s="13"/>
      <c r="M104" s="215"/>
      <c r="N104" s="215"/>
      <c r="O104" s="215"/>
      <c r="P104" s="39"/>
    </row>
    <row r="105" spans="1:16" ht="15" customHeight="1" x14ac:dyDescent="0.2">
      <c r="A105" s="286" t="s">
        <v>902</v>
      </c>
      <c r="B105" s="425"/>
      <c r="C105" s="425"/>
      <c r="D105" s="425"/>
      <c r="E105" s="7"/>
      <c r="F105" s="7"/>
      <c r="G105" s="185"/>
      <c r="J105" s="185"/>
      <c r="M105" s="215"/>
      <c r="N105" s="215"/>
      <c r="O105" s="215"/>
    </row>
    <row r="106" spans="1:16" ht="15" customHeight="1" x14ac:dyDescent="0.2">
      <c r="A106" s="13"/>
      <c r="B106" s="13"/>
      <c r="C106" s="13"/>
      <c r="D106" s="13"/>
      <c r="E106" s="13"/>
      <c r="F106" s="13"/>
      <c r="G106" s="13"/>
      <c r="H106" s="13"/>
      <c r="I106" s="13"/>
      <c r="J106" s="13"/>
      <c r="K106" s="13"/>
      <c r="L106" s="13"/>
      <c r="M106" s="215"/>
      <c r="N106" s="215"/>
      <c r="O106" s="215"/>
      <c r="P106" s="39"/>
    </row>
    <row r="107" spans="1:16" ht="18" customHeight="1" x14ac:dyDescent="0.25">
      <c r="A107" s="280" t="s">
        <v>912</v>
      </c>
      <c r="B107" s="13"/>
      <c r="C107" s="13"/>
      <c r="D107" s="13"/>
      <c r="E107" s="13"/>
      <c r="F107" s="13"/>
      <c r="G107" s="13"/>
      <c r="H107" s="13"/>
      <c r="I107" s="13"/>
      <c r="J107" s="13"/>
      <c r="K107" s="13"/>
      <c r="L107" s="13"/>
      <c r="M107" s="215"/>
      <c r="N107" s="215"/>
      <c r="O107" s="215"/>
      <c r="P107" s="39"/>
    </row>
    <row r="108" spans="1:16" ht="15" customHeight="1" thickBot="1" x14ac:dyDescent="0.25">
      <c r="A108" s="13"/>
      <c r="B108" s="13"/>
      <c r="C108" s="13"/>
      <c r="D108" s="13"/>
      <c r="E108" s="13"/>
      <c r="F108" s="13"/>
      <c r="G108" s="13"/>
      <c r="H108" s="13"/>
      <c r="I108" s="13"/>
      <c r="J108" s="13"/>
      <c r="K108" s="13"/>
      <c r="L108" s="13"/>
      <c r="M108" s="215"/>
      <c r="N108" s="215"/>
      <c r="O108" s="215"/>
      <c r="P108" s="285" t="s">
        <v>23</v>
      </c>
    </row>
    <row r="109" spans="1:16" ht="15" customHeight="1" x14ac:dyDescent="0.2">
      <c r="A109" s="565" t="s">
        <v>81</v>
      </c>
      <c r="B109" s="42" t="s">
        <v>35</v>
      </c>
      <c r="C109" s="42" t="s">
        <v>121</v>
      </c>
      <c r="D109" s="42" t="s">
        <v>123</v>
      </c>
      <c r="E109" s="42" t="s">
        <v>36</v>
      </c>
      <c r="F109" s="42" t="s">
        <v>37</v>
      </c>
      <c r="G109" s="42" t="s">
        <v>38</v>
      </c>
      <c r="H109" s="42" t="s">
        <v>39</v>
      </c>
      <c r="I109" s="42" t="s">
        <v>125</v>
      </c>
      <c r="J109" s="42" t="s">
        <v>126</v>
      </c>
      <c r="K109" s="42" t="s">
        <v>127</v>
      </c>
      <c r="L109" s="252">
        <v>100000</v>
      </c>
      <c r="M109" s="250" t="s">
        <v>231</v>
      </c>
      <c r="N109" s="250" t="s">
        <v>229</v>
      </c>
      <c r="O109" s="257" t="s">
        <v>77</v>
      </c>
      <c r="P109" s="281" t="s">
        <v>220</v>
      </c>
    </row>
    <row r="110" spans="1:16" ht="15" customHeight="1" x14ac:dyDescent="0.2">
      <c r="A110" s="229" t="s">
        <v>225</v>
      </c>
      <c r="B110" s="43" t="s">
        <v>120</v>
      </c>
      <c r="C110" s="43" t="s">
        <v>40</v>
      </c>
      <c r="D110" s="43" t="s">
        <v>40</v>
      </c>
      <c r="E110" s="43" t="s">
        <v>40</v>
      </c>
      <c r="F110" s="43" t="s">
        <v>40</v>
      </c>
      <c r="G110" s="43" t="s">
        <v>40</v>
      </c>
      <c r="H110" s="43" t="s">
        <v>40</v>
      </c>
      <c r="I110" s="43" t="s">
        <v>40</v>
      </c>
      <c r="J110" s="43" t="s">
        <v>40</v>
      </c>
      <c r="K110" s="43" t="s">
        <v>40</v>
      </c>
      <c r="L110" s="43" t="s">
        <v>43</v>
      </c>
      <c r="M110" s="239" t="s">
        <v>230</v>
      </c>
      <c r="N110" s="239" t="s">
        <v>138</v>
      </c>
      <c r="O110" s="256" t="s">
        <v>137</v>
      </c>
      <c r="P110" s="282" t="s">
        <v>284</v>
      </c>
    </row>
    <row r="111" spans="1:16" ht="15" customHeight="1" thickBot="1" x14ac:dyDescent="0.25">
      <c r="A111" s="423" t="s">
        <v>82</v>
      </c>
      <c r="B111" s="44" t="s">
        <v>43</v>
      </c>
      <c r="C111" s="44" t="s">
        <v>122</v>
      </c>
      <c r="D111" s="44" t="s">
        <v>124</v>
      </c>
      <c r="E111" s="44" t="s">
        <v>44</v>
      </c>
      <c r="F111" s="44" t="s">
        <v>45</v>
      </c>
      <c r="G111" s="44" t="s">
        <v>46</v>
      </c>
      <c r="H111" s="44" t="s">
        <v>42</v>
      </c>
      <c r="I111" s="44" t="s">
        <v>128</v>
      </c>
      <c r="J111" s="44" t="s">
        <v>129</v>
      </c>
      <c r="K111" s="44" t="s">
        <v>130</v>
      </c>
      <c r="L111" s="44" t="s">
        <v>131</v>
      </c>
      <c r="M111" s="251" t="s">
        <v>138</v>
      </c>
      <c r="N111" s="251" t="s">
        <v>131</v>
      </c>
      <c r="O111" s="258" t="s">
        <v>41</v>
      </c>
      <c r="P111" s="283" t="s">
        <v>239</v>
      </c>
    </row>
    <row r="112" spans="1:16" ht="15.75" customHeight="1" x14ac:dyDescent="0.25">
      <c r="A112" s="544" t="s">
        <v>223</v>
      </c>
      <c r="B112" s="192"/>
      <c r="C112" s="192"/>
      <c r="D112" s="192"/>
      <c r="E112" s="192"/>
      <c r="F112" s="192"/>
      <c r="G112" s="192"/>
      <c r="H112" s="192"/>
      <c r="I112" s="192"/>
      <c r="J112" s="192"/>
      <c r="K112" s="192"/>
      <c r="L112" s="192"/>
      <c r="M112" s="253"/>
      <c r="N112" s="253"/>
      <c r="O112" s="253"/>
    </row>
    <row r="113" spans="1:16" ht="15.75" customHeight="1" x14ac:dyDescent="0.25">
      <c r="A113" s="487" t="s">
        <v>286</v>
      </c>
      <c r="B113" s="572">
        <v>5.2206430709999996</v>
      </c>
      <c r="C113" s="572">
        <v>7.1493485080000001</v>
      </c>
      <c r="D113" s="572">
        <v>6.3640953749999998</v>
      </c>
      <c r="E113" s="572">
        <v>5.56276831</v>
      </c>
      <c r="F113" s="572">
        <v>5.32798617</v>
      </c>
      <c r="G113" s="572">
        <v>3.79714778</v>
      </c>
      <c r="H113" s="572">
        <v>5.2432004579999996</v>
      </c>
      <c r="I113" s="572">
        <v>4.8151872180000002</v>
      </c>
      <c r="J113" s="572">
        <v>2.9857123240000001</v>
      </c>
      <c r="K113" s="572">
        <v>4.693890755</v>
      </c>
      <c r="L113" s="572" t="s">
        <v>102</v>
      </c>
      <c r="M113" s="573">
        <v>4.9380323109999997</v>
      </c>
      <c r="N113" s="573">
        <v>3.999106126</v>
      </c>
      <c r="O113" s="573">
        <v>4.4775617289999996</v>
      </c>
      <c r="P113" s="572">
        <v>4.1179418459999999</v>
      </c>
    </row>
    <row r="114" spans="1:16" ht="15.75" customHeight="1" x14ac:dyDescent="0.2">
      <c r="A114" s="490" t="s">
        <v>161</v>
      </c>
      <c r="B114" s="574">
        <v>8.6366789910000001</v>
      </c>
      <c r="C114" s="574">
        <v>12.585933928999999</v>
      </c>
      <c r="D114" s="574">
        <v>3.4331201249999999</v>
      </c>
      <c r="E114" s="574">
        <v>7.3993103470000001</v>
      </c>
      <c r="F114" s="574">
        <v>6.7409688140000004</v>
      </c>
      <c r="G114" s="574">
        <v>1.954519565</v>
      </c>
      <c r="H114" s="574">
        <v>6.0369571500000001</v>
      </c>
      <c r="I114" s="574">
        <v>3.9829712559999999</v>
      </c>
      <c r="J114" s="574">
        <v>2.8080264590000001</v>
      </c>
      <c r="K114" s="574">
        <v>2.9176132689999998</v>
      </c>
      <c r="L114" s="574" t="s">
        <v>102</v>
      </c>
      <c r="M114" s="575">
        <v>5.3159562879999998</v>
      </c>
      <c r="N114" s="575">
        <v>3.3188886919999998</v>
      </c>
      <c r="O114" s="575">
        <v>4.425785082</v>
      </c>
      <c r="P114" s="574">
        <v>4.0108692530000001</v>
      </c>
    </row>
    <row r="115" spans="1:16" ht="15.75" customHeight="1" x14ac:dyDescent="0.2">
      <c r="A115" s="492" t="s">
        <v>162</v>
      </c>
      <c r="B115" s="576">
        <v>4.5762375070000001</v>
      </c>
      <c r="C115" s="577">
        <v>5.5705160229999997</v>
      </c>
      <c r="D115" s="576">
        <v>5.7426582379999997</v>
      </c>
      <c r="E115" s="576">
        <v>6.5365379260000003</v>
      </c>
      <c r="F115" s="576">
        <v>6.0759195290000001</v>
      </c>
      <c r="G115" s="576">
        <v>5.4258519459999999</v>
      </c>
      <c r="H115" s="576">
        <v>5.0190244420000001</v>
      </c>
      <c r="I115" s="576">
        <v>4.8997776159999997</v>
      </c>
      <c r="J115" s="576">
        <v>5.738288002</v>
      </c>
      <c r="K115" s="576">
        <v>4.3108981069999999</v>
      </c>
      <c r="L115" s="576" t="s">
        <v>102</v>
      </c>
      <c r="M115" s="578">
        <v>5.516664864</v>
      </c>
      <c r="N115" s="578">
        <v>5.1532741270000004</v>
      </c>
      <c r="O115" s="578">
        <v>5.3321897800000002</v>
      </c>
      <c r="P115" s="576">
        <v>4.3575204349999996</v>
      </c>
    </row>
    <row r="116" spans="1:16" ht="15.75" customHeight="1" x14ac:dyDescent="0.2">
      <c r="A116" s="490" t="s">
        <v>163</v>
      </c>
      <c r="B116" s="574">
        <v>-9.5477352880000002</v>
      </c>
      <c r="C116" s="574">
        <v>3.6644283459999998</v>
      </c>
      <c r="D116" s="574">
        <v>34.90978836</v>
      </c>
      <c r="E116" s="574">
        <v>13.890734194</v>
      </c>
      <c r="F116" s="574">
        <v>8.8507527059999997</v>
      </c>
      <c r="G116" s="574">
        <v>4.1815893559999999</v>
      </c>
      <c r="H116" s="574">
        <v>2.6550988499999999</v>
      </c>
      <c r="I116" s="574">
        <v>2.7522656269999999</v>
      </c>
      <c r="J116" s="574">
        <v>16.774693749000001</v>
      </c>
      <c r="K116" s="574">
        <v>7.4468800760000002</v>
      </c>
      <c r="L116" s="574" t="s">
        <v>102</v>
      </c>
      <c r="M116" s="575">
        <v>5.7938461610000003</v>
      </c>
      <c r="N116" s="575">
        <v>9.6143685019999996</v>
      </c>
      <c r="O116" s="575">
        <v>7.8006767220000004</v>
      </c>
      <c r="P116" s="574">
        <v>9.3167023919999998</v>
      </c>
    </row>
    <row r="117" spans="1:16" ht="15.75" customHeight="1" x14ac:dyDescent="0.2">
      <c r="A117" s="492" t="s">
        <v>164</v>
      </c>
      <c r="B117" s="576">
        <v>5.3072726110000001</v>
      </c>
      <c r="C117" s="576">
        <v>-21.931007781000002</v>
      </c>
      <c r="D117" s="576">
        <v>16.227569076000002</v>
      </c>
      <c r="E117" s="576">
        <v>2.2275832200000001</v>
      </c>
      <c r="F117" s="576">
        <v>1.1433503979999999</v>
      </c>
      <c r="G117" s="576">
        <v>7.7699516519999996</v>
      </c>
      <c r="H117" s="576">
        <v>8.9283627909999996</v>
      </c>
      <c r="I117" s="576">
        <v>6.9471536010000001</v>
      </c>
      <c r="J117" s="576">
        <v>4.2375713309999998</v>
      </c>
      <c r="K117" s="576">
        <v>3.489541596</v>
      </c>
      <c r="L117" s="576" t="s">
        <v>102</v>
      </c>
      <c r="M117" s="578">
        <v>6.3028576809999999</v>
      </c>
      <c r="N117" s="578">
        <v>5.1238205389999996</v>
      </c>
      <c r="O117" s="578">
        <v>5.661476671</v>
      </c>
      <c r="P117" s="576">
        <v>4.601181585</v>
      </c>
    </row>
    <row r="118" spans="1:16" ht="15.75" customHeight="1" x14ac:dyDescent="0.2">
      <c r="A118" s="495" t="s">
        <v>651</v>
      </c>
      <c r="B118" s="579">
        <v>2.1243036640000001</v>
      </c>
      <c r="C118" s="579">
        <v>13.995528475</v>
      </c>
      <c r="D118" s="579">
        <v>7.7488659030000004</v>
      </c>
      <c r="E118" s="579">
        <v>-6.0823853349999997</v>
      </c>
      <c r="F118" s="579">
        <v>-5.0447510649999998</v>
      </c>
      <c r="G118" s="579">
        <v>-11.920522045</v>
      </c>
      <c r="H118" s="579">
        <v>-5.2440300110000004</v>
      </c>
      <c r="I118" s="579">
        <v>4.3713085669999998</v>
      </c>
      <c r="J118" s="579">
        <v>-39.861767415999999</v>
      </c>
      <c r="K118" s="579">
        <v>33.761005140999998</v>
      </c>
      <c r="L118" s="579" t="s">
        <v>102</v>
      </c>
      <c r="M118" s="580">
        <v>-6.7077307619999997</v>
      </c>
      <c r="N118" s="580">
        <v>-17.578929292000002</v>
      </c>
      <c r="O118" s="580">
        <v>-11.146150936</v>
      </c>
      <c r="P118" s="579">
        <v>-2.2468260189999998</v>
      </c>
    </row>
    <row r="119" spans="1:16" ht="15.75" customHeight="1" x14ac:dyDescent="0.25">
      <c r="A119" s="498" t="s">
        <v>287</v>
      </c>
      <c r="B119" s="581">
        <v>-2.2095760219999998</v>
      </c>
      <c r="C119" s="581">
        <v>13.574075990000001</v>
      </c>
      <c r="D119" s="581">
        <v>7.6480186379999999</v>
      </c>
      <c r="E119" s="581">
        <v>7.9731141890000004</v>
      </c>
      <c r="F119" s="581">
        <v>8.4734086790000003</v>
      </c>
      <c r="G119" s="581">
        <v>5.9883512410000002</v>
      </c>
      <c r="H119" s="581">
        <v>7.4572551960000002</v>
      </c>
      <c r="I119" s="581">
        <v>3.902194073</v>
      </c>
      <c r="J119" s="581">
        <v>2.446633517</v>
      </c>
      <c r="K119" s="581">
        <v>3.4924278439999998</v>
      </c>
      <c r="L119" s="581" t="s">
        <v>102</v>
      </c>
      <c r="M119" s="582">
        <v>7.3590748809999997</v>
      </c>
      <c r="N119" s="582">
        <v>3.2088781239999999</v>
      </c>
      <c r="O119" s="582">
        <v>5.3604529599999999</v>
      </c>
      <c r="P119" s="581">
        <v>2.9986089869999999</v>
      </c>
    </row>
    <row r="120" spans="1:16" ht="15.75" customHeight="1" x14ac:dyDescent="0.2">
      <c r="A120" s="490" t="s">
        <v>79</v>
      </c>
      <c r="B120" s="574">
        <v>-7.2037265030000004</v>
      </c>
      <c r="C120" s="574">
        <v>6.210349838</v>
      </c>
      <c r="D120" s="574">
        <v>10.726454871</v>
      </c>
      <c r="E120" s="574">
        <v>9.9473988169999998</v>
      </c>
      <c r="F120" s="574">
        <v>9.5051090879999993</v>
      </c>
      <c r="G120" s="574">
        <v>7.5504155949999996</v>
      </c>
      <c r="H120" s="574">
        <v>8.342550159</v>
      </c>
      <c r="I120" s="574">
        <v>4.6203718489999996</v>
      </c>
      <c r="J120" s="574">
        <v>2.831977604</v>
      </c>
      <c r="K120" s="574">
        <v>3.0784801480000001</v>
      </c>
      <c r="L120" s="574" t="s">
        <v>102</v>
      </c>
      <c r="M120" s="575">
        <v>8.54975299</v>
      </c>
      <c r="N120" s="575">
        <v>3.629708709</v>
      </c>
      <c r="O120" s="575">
        <v>6.0383188749999999</v>
      </c>
      <c r="P120" s="574">
        <v>2.5542567570000001</v>
      </c>
    </row>
    <row r="121" spans="1:16" ht="15.75" customHeight="1" x14ac:dyDescent="0.2">
      <c r="A121" s="492" t="s">
        <v>167</v>
      </c>
      <c r="B121" s="576">
        <v>0.97503542700000001</v>
      </c>
      <c r="C121" s="576">
        <v>8.9543527189999992</v>
      </c>
      <c r="D121" s="576">
        <v>15.298445088999999</v>
      </c>
      <c r="E121" s="576">
        <v>11.848826332</v>
      </c>
      <c r="F121" s="576">
        <v>12.29081789</v>
      </c>
      <c r="G121" s="576">
        <v>10.138862268</v>
      </c>
      <c r="H121" s="576">
        <v>11.341855162</v>
      </c>
      <c r="I121" s="576">
        <v>7.1867794060000003</v>
      </c>
      <c r="J121" s="576">
        <v>5.622574578</v>
      </c>
      <c r="K121" s="576">
        <v>4.6545961350000002</v>
      </c>
      <c r="L121" s="576" t="s">
        <v>102</v>
      </c>
      <c r="M121" s="578">
        <v>11.290680757000001</v>
      </c>
      <c r="N121" s="578">
        <v>6.1507577519999996</v>
      </c>
      <c r="O121" s="578">
        <v>8.6411195079999992</v>
      </c>
      <c r="P121" s="576">
        <v>4.3767579660000004</v>
      </c>
    </row>
    <row r="122" spans="1:16" ht="15.75" customHeight="1" x14ac:dyDescent="0.2">
      <c r="A122" s="490" t="s">
        <v>322</v>
      </c>
      <c r="B122" s="574">
        <v>0.29621467299999998</v>
      </c>
      <c r="C122" s="574">
        <v>4.4539540510000002</v>
      </c>
      <c r="D122" s="574">
        <v>7.1926060869999997</v>
      </c>
      <c r="E122" s="574">
        <v>0.62406317600000005</v>
      </c>
      <c r="F122" s="574">
        <v>7.88475006</v>
      </c>
      <c r="G122" s="574">
        <v>2.4540236530000001</v>
      </c>
      <c r="H122" s="574">
        <v>-2.5957367929999999</v>
      </c>
      <c r="I122" s="574">
        <v>-0.16915619500000001</v>
      </c>
      <c r="J122" s="574">
        <v>-1.0134526370000001</v>
      </c>
      <c r="K122" s="574">
        <v>-4.5900471290000002</v>
      </c>
      <c r="L122" s="574" t="s">
        <v>102</v>
      </c>
      <c r="M122" s="575">
        <v>1.1639900409999999</v>
      </c>
      <c r="N122" s="575">
        <v>-1.01017215</v>
      </c>
      <c r="O122" s="575">
        <v>0.20873166900000001</v>
      </c>
      <c r="P122" s="574">
        <v>0.87048807299999997</v>
      </c>
    </row>
    <row r="123" spans="1:16" ht="15.75" customHeight="1" x14ac:dyDescent="0.2">
      <c r="A123" s="492" t="s">
        <v>168</v>
      </c>
      <c r="B123" s="576">
        <v>-59.513640854000002</v>
      </c>
      <c r="C123" s="576">
        <v>-5.7453901509999996</v>
      </c>
      <c r="D123" s="576">
        <v>-2.0584954500000001</v>
      </c>
      <c r="E123" s="576">
        <v>1.0117025340000001</v>
      </c>
      <c r="F123" s="576">
        <v>-4.455296573</v>
      </c>
      <c r="G123" s="576">
        <v>-2.331884493</v>
      </c>
      <c r="H123" s="576">
        <v>-3.663011139</v>
      </c>
      <c r="I123" s="576">
        <v>-7.069034029</v>
      </c>
      <c r="J123" s="576">
        <v>-10.78468984</v>
      </c>
      <c r="K123" s="576">
        <v>-3.875153531</v>
      </c>
      <c r="L123" s="576" t="s">
        <v>102</v>
      </c>
      <c r="M123" s="578">
        <v>-2.9221801319999998</v>
      </c>
      <c r="N123" s="578">
        <v>-8.1401374390000001</v>
      </c>
      <c r="O123" s="578">
        <v>-5.4694774839999996</v>
      </c>
      <c r="P123" s="576">
        <v>-7.6748749969999999</v>
      </c>
    </row>
    <row r="124" spans="1:16" ht="15.75" customHeight="1" x14ac:dyDescent="0.2">
      <c r="A124" s="490" t="s">
        <v>169</v>
      </c>
      <c r="B124" s="574">
        <v>-2.7798290909999999</v>
      </c>
      <c r="C124" s="574">
        <v>7.7803716590000001</v>
      </c>
      <c r="D124" s="574">
        <v>-0.50158948699999995</v>
      </c>
      <c r="E124" s="574">
        <v>4.5361585680000003</v>
      </c>
      <c r="F124" s="574">
        <v>3.7180417339999998</v>
      </c>
      <c r="G124" s="574">
        <v>3.2434024049999999</v>
      </c>
      <c r="H124" s="574">
        <v>3.6984412259999999</v>
      </c>
      <c r="I124" s="574">
        <v>2.9252705739999998</v>
      </c>
      <c r="J124" s="574">
        <v>0.92328281800000001</v>
      </c>
      <c r="K124" s="574">
        <v>8.4786984999999995E-2</v>
      </c>
      <c r="L124" s="574" t="s">
        <v>102</v>
      </c>
      <c r="M124" s="575">
        <v>3.7008452489999999</v>
      </c>
      <c r="N124" s="575">
        <v>1.603235969</v>
      </c>
      <c r="O124" s="575">
        <v>2.910269854</v>
      </c>
      <c r="P124" s="574">
        <v>3.1945914609999999</v>
      </c>
    </row>
    <row r="125" spans="1:16" ht="15.75" customHeight="1" x14ac:dyDescent="0.2">
      <c r="A125" s="492" t="s">
        <v>170</v>
      </c>
      <c r="B125" s="576">
        <v>-3.4924883690000001</v>
      </c>
      <c r="C125" s="576">
        <v>-2.2430907499999999</v>
      </c>
      <c r="D125" s="576">
        <v>-6.9031712069999998</v>
      </c>
      <c r="E125" s="576">
        <v>-0.278892678</v>
      </c>
      <c r="F125" s="576">
        <v>1.60774591</v>
      </c>
      <c r="G125" s="576">
        <v>0.156695326</v>
      </c>
      <c r="H125" s="576">
        <v>0.74694986200000002</v>
      </c>
      <c r="I125" s="576">
        <v>-0.501994524</v>
      </c>
      <c r="J125" s="576">
        <v>-0.42889913000000002</v>
      </c>
      <c r="K125" s="576">
        <v>-0.36701682000000002</v>
      </c>
      <c r="L125" s="576" t="s">
        <v>102</v>
      </c>
      <c r="M125" s="578">
        <v>0.53130723899999999</v>
      </c>
      <c r="N125" s="578">
        <v>-0.44955262299999998</v>
      </c>
      <c r="O125" s="578">
        <v>0.16103952899999999</v>
      </c>
      <c r="P125" s="576">
        <v>1.9501974019999999</v>
      </c>
    </row>
    <row r="126" spans="1:16" ht="15.75" customHeight="1" x14ac:dyDescent="0.2">
      <c r="A126" s="490" t="s">
        <v>171</v>
      </c>
      <c r="B126" s="846">
        <v>55.993140021000002</v>
      </c>
      <c r="C126" s="574">
        <v>39.567610797999997</v>
      </c>
      <c r="D126" s="574">
        <v>19.423969466999999</v>
      </c>
      <c r="E126" s="574">
        <v>15.638878095999999</v>
      </c>
      <c r="F126" s="574">
        <v>4.410623706</v>
      </c>
      <c r="G126" s="574">
        <v>18.780387061999999</v>
      </c>
      <c r="H126" s="574">
        <v>25.724971880999998</v>
      </c>
      <c r="I126" s="574">
        <v>10.563831013</v>
      </c>
      <c r="J126" s="574">
        <v>-1.2845101880000001</v>
      </c>
      <c r="K126" s="574">
        <v>3.9718070050000001</v>
      </c>
      <c r="L126" s="574" t="s">
        <v>102</v>
      </c>
      <c r="M126" s="575">
        <v>16.285016554999999</v>
      </c>
      <c r="N126" s="575">
        <v>4.1573461040000002</v>
      </c>
      <c r="O126" s="575">
        <v>10.706950772000001</v>
      </c>
      <c r="P126" s="574">
        <v>4.6835640789999999</v>
      </c>
    </row>
    <row r="127" spans="1:16" ht="15.75" customHeight="1" x14ac:dyDescent="0.2">
      <c r="A127" s="693" t="s">
        <v>607</v>
      </c>
      <c r="B127" s="576">
        <v>-25.175021165</v>
      </c>
      <c r="C127" s="576">
        <v>28.377772125</v>
      </c>
      <c r="D127" s="576">
        <v>27.629906763000001</v>
      </c>
      <c r="E127" s="576">
        <v>38.886743479000003</v>
      </c>
      <c r="F127" s="576">
        <v>32.049983554999997</v>
      </c>
      <c r="G127" s="576">
        <v>38.124153569000001</v>
      </c>
      <c r="H127" s="576">
        <v>24.706225261</v>
      </c>
      <c r="I127" s="576">
        <v>41.055144671000001</v>
      </c>
      <c r="J127" s="576">
        <v>12.709056918</v>
      </c>
      <c r="K127" s="576">
        <v>6.2654899659999996</v>
      </c>
      <c r="L127" s="576" t="s">
        <v>102</v>
      </c>
      <c r="M127" s="578">
        <v>31.869101505</v>
      </c>
      <c r="N127" s="578">
        <v>22.719355451999999</v>
      </c>
      <c r="O127" s="578">
        <v>28.634432089000001</v>
      </c>
      <c r="P127" s="576">
        <v>7.8328566080000002</v>
      </c>
    </row>
    <row r="128" spans="1:16" ht="15.75" customHeight="1" x14ac:dyDescent="0.2">
      <c r="A128" s="490" t="s">
        <v>652</v>
      </c>
      <c r="B128" s="574">
        <v>-51.709605285000002</v>
      </c>
      <c r="C128" s="574">
        <v>-66.417135943000005</v>
      </c>
      <c r="D128" s="574">
        <v>37.626853285000003</v>
      </c>
      <c r="E128" s="574">
        <v>4.2014117720000002</v>
      </c>
      <c r="F128" s="574">
        <v>-1.283993768</v>
      </c>
      <c r="G128" s="574">
        <v>5.5690426159999999</v>
      </c>
      <c r="H128" s="574">
        <v>4.65324311</v>
      </c>
      <c r="I128" s="574">
        <v>-1.286487857</v>
      </c>
      <c r="J128" s="574">
        <v>6.4548232700000003</v>
      </c>
      <c r="K128" s="574">
        <v>17.852731913</v>
      </c>
      <c r="L128" s="574" t="s">
        <v>102</v>
      </c>
      <c r="M128" s="575">
        <v>3.9132865149999998</v>
      </c>
      <c r="N128" s="575">
        <v>4.9943727630000003</v>
      </c>
      <c r="O128" s="575">
        <v>4.4033767409999998</v>
      </c>
      <c r="P128" s="574">
        <v>-0.97563886200000005</v>
      </c>
    </row>
    <row r="129" spans="1:16" ht="15.75" customHeight="1" x14ac:dyDescent="0.2">
      <c r="A129" s="492" t="s">
        <v>173</v>
      </c>
      <c r="B129" s="576">
        <v>10.762940398</v>
      </c>
      <c r="C129" s="576">
        <v>-2.3984989209999998</v>
      </c>
      <c r="D129" s="576">
        <v>6.5980611339999999</v>
      </c>
      <c r="E129" s="576">
        <v>0.80147858699999996</v>
      </c>
      <c r="F129" s="576">
        <v>7.8421967559999999</v>
      </c>
      <c r="G129" s="576">
        <v>3.6890159840000001</v>
      </c>
      <c r="H129" s="576">
        <v>3.4460343660000001</v>
      </c>
      <c r="I129" s="576">
        <v>5.5676844660000002</v>
      </c>
      <c r="J129" s="576">
        <v>6.4932493200000003</v>
      </c>
      <c r="K129" s="576">
        <v>4.30103043</v>
      </c>
      <c r="L129" s="576" t="s">
        <v>102</v>
      </c>
      <c r="M129" s="578">
        <v>3.8552661810000002</v>
      </c>
      <c r="N129" s="578">
        <v>5.7263021739999997</v>
      </c>
      <c r="O129" s="578">
        <v>4.6962798550000002</v>
      </c>
      <c r="P129" s="576">
        <v>5.9018008740000001</v>
      </c>
    </row>
    <row r="130" spans="1:16" ht="15.75" customHeight="1" x14ac:dyDescent="0.2">
      <c r="A130" s="495" t="s">
        <v>174</v>
      </c>
      <c r="B130" s="579">
        <v>2.7576260060000002</v>
      </c>
      <c r="C130" s="579">
        <v>60.674229730999997</v>
      </c>
      <c r="D130" s="579">
        <v>3.3508660610000001</v>
      </c>
      <c r="E130" s="579">
        <v>13.569730440000001</v>
      </c>
      <c r="F130" s="579">
        <v>15.710185171999999</v>
      </c>
      <c r="G130" s="579">
        <v>-1.9640962550000001</v>
      </c>
      <c r="H130" s="579">
        <v>14.535430896999999</v>
      </c>
      <c r="I130" s="579">
        <v>-7.472984684</v>
      </c>
      <c r="J130" s="579">
        <v>-13.891943308</v>
      </c>
      <c r="K130" s="579">
        <v>6.2813941829999997</v>
      </c>
      <c r="L130" s="579" t="s">
        <v>102</v>
      </c>
      <c r="M130" s="580">
        <v>10.598863976000001</v>
      </c>
      <c r="N130" s="580">
        <v>-8.5546317720000005</v>
      </c>
      <c r="O130" s="580">
        <v>3.1588686699999999</v>
      </c>
      <c r="P130" s="579">
        <v>7.8138926639999999</v>
      </c>
    </row>
    <row r="131" spans="1:16" ht="15.75" customHeight="1" x14ac:dyDescent="0.25">
      <c r="A131" s="544" t="s">
        <v>224</v>
      </c>
      <c r="B131" s="583"/>
      <c r="C131" s="583"/>
      <c r="D131" s="583"/>
      <c r="E131" s="583"/>
      <c r="F131" s="583"/>
      <c r="G131" s="583"/>
      <c r="H131" s="583"/>
      <c r="I131" s="583"/>
      <c r="J131" s="583"/>
      <c r="K131" s="583"/>
      <c r="L131" s="583"/>
      <c r="M131" s="584"/>
      <c r="N131" s="584"/>
      <c r="O131" s="584"/>
      <c r="P131" s="583"/>
    </row>
    <row r="132" spans="1:16" ht="15.75" customHeight="1" x14ac:dyDescent="0.25">
      <c r="A132" s="487" t="s">
        <v>288</v>
      </c>
      <c r="B132" s="572">
        <v>-26.024845679999999</v>
      </c>
      <c r="C132" s="572">
        <v>10.637013182</v>
      </c>
      <c r="D132" s="572">
        <v>10.217758061</v>
      </c>
      <c r="E132" s="572">
        <v>7.2513871280000002</v>
      </c>
      <c r="F132" s="572">
        <v>17.166768837999999</v>
      </c>
      <c r="G132" s="572">
        <v>24.243671235000001</v>
      </c>
      <c r="H132" s="572">
        <v>9.3744197939999996</v>
      </c>
      <c r="I132" s="572">
        <v>15.153872980999999</v>
      </c>
      <c r="J132" s="572">
        <v>17.934903287000001</v>
      </c>
      <c r="K132" s="572">
        <v>-14.573421997000001</v>
      </c>
      <c r="L132" s="572" t="s">
        <v>102</v>
      </c>
      <c r="M132" s="573">
        <v>13.990255975</v>
      </c>
      <c r="N132" s="573">
        <v>12.088497107</v>
      </c>
      <c r="O132" s="573">
        <v>13.136489317000001</v>
      </c>
      <c r="P132" s="572">
        <v>10.163335259</v>
      </c>
    </row>
    <row r="133" spans="1:16" ht="15.75" customHeight="1" x14ac:dyDescent="0.2">
      <c r="A133" s="545" t="s">
        <v>554</v>
      </c>
      <c r="B133" s="585">
        <v>-8.6295026640000003</v>
      </c>
      <c r="C133" s="585">
        <v>15.054507348</v>
      </c>
      <c r="D133" s="585">
        <v>11.586139447000001</v>
      </c>
      <c r="E133" s="585">
        <v>6.1278721000000003</v>
      </c>
      <c r="F133" s="585">
        <v>15.592524914</v>
      </c>
      <c r="G133" s="585">
        <v>23.625470983</v>
      </c>
      <c r="H133" s="585">
        <v>8.7531369419999994</v>
      </c>
      <c r="I133" s="585">
        <v>11.503355598000001</v>
      </c>
      <c r="J133" s="585">
        <v>17.362333890999999</v>
      </c>
      <c r="K133" s="585">
        <v>6.838062613</v>
      </c>
      <c r="L133" s="585" t="s">
        <v>102</v>
      </c>
      <c r="M133" s="586">
        <v>13.074184971999999</v>
      </c>
      <c r="N133" s="586">
        <v>13.741357058</v>
      </c>
      <c r="O133" s="586">
        <v>13.366863664</v>
      </c>
      <c r="P133" s="585">
        <v>10.725448594</v>
      </c>
    </row>
    <row r="134" spans="1:16" ht="15.75" customHeight="1" x14ac:dyDescent="0.2">
      <c r="A134" s="546" t="s">
        <v>179</v>
      </c>
      <c r="B134" s="847" t="s">
        <v>971</v>
      </c>
      <c r="C134" s="587">
        <v>-77.153184421999995</v>
      </c>
      <c r="D134" s="587">
        <v>-71.773034801999998</v>
      </c>
      <c r="E134" s="587">
        <v>-3.9707122469999998</v>
      </c>
      <c r="F134" s="587">
        <v>33.726514465000001</v>
      </c>
      <c r="G134" s="587">
        <v>11.423850460000001</v>
      </c>
      <c r="H134" s="587">
        <v>38.787932830999999</v>
      </c>
      <c r="I134" s="587">
        <v>39.930751495999999</v>
      </c>
      <c r="J134" s="587">
        <v>52.412627419000003</v>
      </c>
      <c r="K134" s="587">
        <v>10.383537498000001</v>
      </c>
      <c r="L134" s="587" t="s">
        <v>102</v>
      </c>
      <c r="M134" s="588">
        <v>21.277239669</v>
      </c>
      <c r="N134" s="588">
        <v>37.365958812999999</v>
      </c>
      <c r="O134" s="588">
        <v>28.899039058</v>
      </c>
      <c r="P134" s="587">
        <v>2.2363989449999999</v>
      </c>
    </row>
    <row r="135" spans="1:16" ht="15.75" customHeight="1" x14ac:dyDescent="0.2">
      <c r="A135" s="545" t="s">
        <v>180</v>
      </c>
      <c r="B135" s="585">
        <v>-98.731377859999995</v>
      </c>
      <c r="C135" s="605">
        <v>-94.072486940000005</v>
      </c>
      <c r="D135" s="585">
        <v>285.47438984899998</v>
      </c>
      <c r="E135" s="585">
        <v>229.68572039</v>
      </c>
      <c r="F135" s="585">
        <v>49.879942642000003</v>
      </c>
      <c r="G135" s="585">
        <v>73.425384641999997</v>
      </c>
      <c r="H135" s="585">
        <v>-5.3863010740000004</v>
      </c>
      <c r="I135" s="585">
        <v>173.07462591500001</v>
      </c>
      <c r="J135" s="585">
        <v>-14.69361127</v>
      </c>
      <c r="K135" s="585">
        <v>-74.889800352999998</v>
      </c>
      <c r="L135" s="585" t="s">
        <v>102</v>
      </c>
      <c r="M135" s="586">
        <v>32.658612439999999</v>
      </c>
      <c r="N135" s="586">
        <v>-34.086763552999997</v>
      </c>
      <c r="O135" s="586">
        <v>-10.20510354</v>
      </c>
      <c r="P135" s="585">
        <v>9.7225327549999996</v>
      </c>
    </row>
    <row r="136" spans="1:16" ht="15.75" customHeight="1" x14ac:dyDescent="0.25">
      <c r="A136" s="547" t="s">
        <v>289</v>
      </c>
      <c r="B136" s="589">
        <v>-57.320961738999998</v>
      </c>
      <c r="C136" s="589">
        <v>3.0074301700000001</v>
      </c>
      <c r="D136" s="589">
        <v>4.0798760200000004</v>
      </c>
      <c r="E136" s="589">
        <v>-4.7922722049999997</v>
      </c>
      <c r="F136" s="589">
        <v>3.6384840980000002</v>
      </c>
      <c r="G136" s="589">
        <v>18.783676450000002</v>
      </c>
      <c r="H136" s="589">
        <v>28.618608269999999</v>
      </c>
      <c r="I136" s="589">
        <v>10.905794552</v>
      </c>
      <c r="J136" s="589">
        <v>10.945340112</v>
      </c>
      <c r="K136" s="589">
        <v>-33.383335223000003</v>
      </c>
      <c r="L136" s="589" t="s">
        <v>102</v>
      </c>
      <c r="M136" s="590">
        <v>13.523946316</v>
      </c>
      <c r="N136" s="590">
        <v>-1.69750749</v>
      </c>
      <c r="O136" s="590">
        <v>6.5892482479999996</v>
      </c>
      <c r="P136" s="589">
        <v>4.5805366169999999</v>
      </c>
    </row>
    <row r="137" spans="1:16" ht="15.75" customHeight="1" x14ac:dyDescent="0.2">
      <c r="A137" s="545" t="s">
        <v>555</v>
      </c>
      <c r="B137" s="585">
        <v>51.348495503000002</v>
      </c>
      <c r="C137" s="585">
        <v>2.516709434</v>
      </c>
      <c r="D137" s="585">
        <v>17.108740765</v>
      </c>
      <c r="E137" s="585">
        <v>4.0706588760000004</v>
      </c>
      <c r="F137" s="585">
        <v>1.1403642810000001</v>
      </c>
      <c r="G137" s="585">
        <v>8.4853924779999996</v>
      </c>
      <c r="H137" s="585">
        <v>16.884931216999998</v>
      </c>
      <c r="I137" s="585">
        <v>12.187523800999999</v>
      </c>
      <c r="J137" s="585">
        <v>20.606312456000001</v>
      </c>
      <c r="K137" s="585">
        <v>5.5923897030000003</v>
      </c>
      <c r="L137" s="585" t="s">
        <v>102</v>
      </c>
      <c r="M137" s="586">
        <v>9.1577978219999991</v>
      </c>
      <c r="N137" s="586">
        <v>15.213032727</v>
      </c>
      <c r="O137" s="586">
        <v>11.63354826</v>
      </c>
      <c r="P137" s="585">
        <v>10.330488277000001</v>
      </c>
    </row>
    <row r="138" spans="1:16" ht="15.75" customHeight="1" x14ac:dyDescent="0.2">
      <c r="A138" s="548" t="s">
        <v>556</v>
      </c>
      <c r="B138" s="587">
        <v>-73.623059725000005</v>
      </c>
      <c r="C138" s="587">
        <v>15.135147229999999</v>
      </c>
      <c r="D138" s="587">
        <v>5.0421314170000002</v>
      </c>
      <c r="E138" s="587">
        <v>-9.8132032690000006</v>
      </c>
      <c r="F138" s="587">
        <v>5.1968765499999998</v>
      </c>
      <c r="G138" s="587">
        <v>-1.8968622660000001</v>
      </c>
      <c r="H138" s="587">
        <v>6.1684743769999999</v>
      </c>
      <c r="I138" s="587">
        <v>9.2211747939999995</v>
      </c>
      <c r="J138" s="587">
        <v>15.73534452</v>
      </c>
      <c r="K138" s="587">
        <v>38.485141208000002</v>
      </c>
      <c r="L138" s="587" t="s">
        <v>102</v>
      </c>
      <c r="M138" s="588">
        <v>0.75961302100000005</v>
      </c>
      <c r="N138" s="588">
        <v>15.488771638999999</v>
      </c>
      <c r="O138" s="588">
        <v>5.937943851</v>
      </c>
      <c r="P138" s="587">
        <v>5.9774797599999996</v>
      </c>
    </row>
    <row r="139" spans="1:16" ht="15.75" customHeight="1" x14ac:dyDescent="0.2">
      <c r="A139" s="545" t="s">
        <v>184</v>
      </c>
      <c r="B139" s="585">
        <v>-97.868747108999997</v>
      </c>
      <c r="C139" s="585">
        <v>-81.410297724000003</v>
      </c>
      <c r="D139" s="585">
        <v>-26.458889803000002</v>
      </c>
      <c r="E139" s="585">
        <v>3.4200795419999999</v>
      </c>
      <c r="F139" s="585">
        <v>2.3218153259999998</v>
      </c>
      <c r="G139" s="585">
        <v>99.504410297999996</v>
      </c>
      <c r="H139" s="585">
        <v>119.21159661999999</v>
      </c>
      <c r="I139" s="585">
        <v>14.859118842999999</v>
      </c>
      <c r="J139" s="585">
        <v>0.41119426399999998</v>
      </c>
      <c r="K139" s="585">
        <v>-52.346613419000001</v>
      </c>
      <c r="L139" s="585" t="s">
        <v>102</v>
      </c>
      <c r="M139" s="586">
        <v>63.282543320000002</v>
      </c>
      <c r="N139" s="586">
        <v>-25.531562301000001</v>
      </c>
      <c r="O139" s="586">
        <v>3.578090725</v>
      </c>
      <c r="P139" s="585">
        <v>-5.3640444059999997</v>
      </c>
    </row>
    <row r="140" spans="1:16" ht="15.75" customHeight="1" x14ac:dyDescent="0.25">
      <c r="A140" s="549" t="s">
        <v>226</v>
      </c>
      <c r="B140" s="591"/>
      <c r="C140" s="591"/>
      <c r="D140" s="591"/>
      <c r="E140" s="591"/>
      <c r="F140" s="591"/>
      <c r="G140" s="591"/>
      <c r="H140" s="591"/>
      <c r="I140" s="591"/>
      <c r="J140" s="591"/>
      <c r="K140" s="591"/>
      <c r="L140" s="591"/>
      <c r="M140" s="592"/>
      <c r="N140" s="592"/>
      <c r="O140" s="592"/>
      <c r="P140" s="591"/>
    </row>
    <row r="141" spans="1:16" ht="15.75" customHeight="1" x14ac:dyDescent="0.25">
      <c r="A141" s="550" t="s">
        <v>458</v>
      </c>
      <c r="B141" s="593">
        <v>7.704392157</v>
      </c>
      <c r="C141" s="593">
        <v>6.221883515</v>
      </c>
      <c r="D141" s="593">
        <v>5.4847843449999996</v>
      </c>
      <c r="E141" s="593">
        <v>4.8398544220000002</v>
      </c>
      <c r="F141" s="593">
        <v>4.5892655229999999</v>
      </c>
      <c r="G141" s="593">
        <v>3.271540409</v>
      </c>
      <c r="H141" s="593">
        <v>4.3919136090000004</v>
      </c>
      <c r="I141" s="593">
        <v>4.1220614729999996</v>
      </c>
      <c r="J141" s="593">
        <v>2.080469914</v>
      </c>
      <c r="K141" s="593">
        <v>3.835839419</v>
      </c>
      <c r="L141" s="593" t="s">
        <v>102</v>
      </c>
      <c r="M141" s="594">
        <v>4.2107108249999996</v>
      </c>
      <c r="N141" s="594">
        <v>3.1908845960000001</v>
      </c>
      <c r="O141" s="594">
        <v>3.711413748</v>
      </c>
      <c r="P141" s="593">
        <v>3.761913233</v>
      </c>
    </row>
    <row r="142" spans="1:16" ht="15.75" customHeight="1" x14ac:dyDescent="0.2">
      <c r="A142" s="551" t="s">
        <v>402</v>
      </c>
      <c r="B142" s="595">
        <v>-2.3853353629999998</v>
      </c>
      <c r="C142" s="595">
        <v>7.6945383620000003</v>
      </c>
      <c r="D142" s="595">
        <v>11.265795476999999</v>
      </c>
      <c r="E142" s="595">
        <v>11.35086072</v>
      </c>
      <c r="F142" s="595">
        <v>10.975407126</v>
      </c>
      <c r="G142" s="595">
        <v>9.5533703509999999</v>
      </c>
      <c r="H142" s="595">
        <v>11.009944813000001</v>
      </c>
      <c r="I142" s="595">
        <v>7.5450914830000002</v>
      </c>
      <c r="J142" s="595">
        <v>5.5336595710000003</v>
      </c>
      <c r="K142" s="595">
        <v>4.3889855369999999</v>
      </c>
      <c r="L142" s="595" t="s">
        <v>102</v>
      </c>
      <c r="M142" s="596">
        <v>10.652294593000001</v>
      </c>
      <c r="N142" s="596">
        <v>6.2176538280000004</v>
      </c>
      <c r="O142" s="596">
        <v>8.3689159659999994</v>
      </c>
      <c r="P142" s="595">
        <v>4.845576178</v>
      </c>
    </row>
    <row r="143" spans="1:16" ht="15.75" customHeight="1" x14ac:dyDescent="0.25">
      <c r="A143" s="552" t="s">
        <v>403</v>
      </c>
      <c r="B143" s="597">
        <v>3.3585663060000002</v>
      </c>
      <c r="C143" s="597">
        <v>8.1456860740000003</v>
      </c>
      <c r="D143" s="597">
        <v>14.073357207000001</v>
      </c>
      <c r="E143" s="597">
        <v>11.07172495</v>
      </c>
      <c r="F143" s="597">
        <v>11.43559263</v>
      </c>
      <c r="G143" s="597">
        <v>9.5269067700000001</v>
      </c>
      <c r="H143" s="597">
        <v>10.474975611</v>
      </c>
      <c r="I143" s="597">
        <v>6.5527070639999998</v>
      </c>
      <c r="J143" s="597">
        <v>4.7232881149999999</v>
      </c>
      <c r="K143" s="597">
        <v>3.7928497980000002</v>
      </c>
      <c r="L143" s="597" t="s">
        <v>102</v>
      </c>
      <c r="M143" s="598">
        <v>10.501102309</v>
      </c>
      <c r="N143" s="598">
        <v>5.3685038240000003</v>
      </c>
      <c r="O143" s="598">
        <v>7.8570577589999999</v>
      </c>
      <c r="P143" s="597">
        <v>3.9967386170000001</v>
      </c>
    </row>
    <row r="144" spans="1:16" ht="15.75" customHeight="1" x14ac:dyDescent="0.25">
      <c r="A144" s="553" t="s">
        <v>404</v>
      </c>
      <c r="B144" s="595">
        <v>9.8781624999999998E-2</v>
      </c>
      <c r="C144" s="595">
        <v>12.731121442999999</v>
      </c>
      <c r="D144" s="595">
        <v>6.5042193179999996</v>
      </c>
      <c r="E144" s="595">
        <v>7.2229404150000001</v>
      </c>
      <c r="F144" s="595">
        <v>7.647257433</v>
      </c>
      <c r="G144" s="595">
        <v>5.3994568850000002</v>
      </c>
      <c r="H144" s="595">
        <v>6.6206201589999996</v>
      </c>
      <c r="I144" s="595">
        <v>3.28755197</v>
      </c>
      <c r="J144" s="595">
        <v>1.5743874929999999</v>
      </c>
      <c r="K144" s="595">
        <v>2.6402510280000002</v>
      </c>
      <c r="L144" s="595" t="s">
        <v>102</v>
      </c>
      <c r="M144" s="596">
        <v>6.5973901550000003</v>
      </c>
      <c r="N144" s="596">
        <v>2.4483037109999999</v>
      </c>
      <c r="O144" s="596">
        <v>4.6000677449999996</v>
      </c>
      <c r="P144" s="595">
        <v>2.6236072610000001</v>
      </c>
    </row>
    <row r="145" spans="1:16384" ht="15.75" customHeight="1" x14ac:dyDescent="0.25">
      <c r="A145" s="548" t="s">
        <v>471</v>
      </c>
      <c r="B145" s="599">
        <v>-21.715830070999999</v>
      </c>
      <c r="C145" s="599">
        <v>10.791861937</v>
      </c>
      <c r="D145" s="599">
        <v>10.665538777</v>
      </c>
      <c r="E145" s="599">
        <v>6.0574652130000004</v>
      </c>
      <c r="F145" s="599">
        <v>14.520552226</v>
      </c>
      <c r="G145" s="599">
        <v>24.463790686999999</v>
      </c>
      <c r="H145" s="599">
        <v>7.4302457589999999</v>
      </c>
      <c r="I145" s="599">
        <v>12.366041517999999</v>
      </c>
      <c r="J145" s="599">
        <v>16.081454457</v>
      </c>
      <c r="K145" s="599">
        <v>4.3972093870000002</v>
      </c>
      <c r="L145" s="599" t="s">
        <v>102</v>
      </c>
      <c r="M145" s="600">
        <v>12.485446965</v>
      </c>
      <c r="N145" s="600">
        <v>13.233164073999999</v>
      </c>
      <c r="O145" s="600">
        <v>12.814502963000001</v>
      </c>
      <c r="P145" s="599">
        <v>10.323270634</v>
      </c>
    </row>
    <row r="146" spans="1:16384" ht="15.75" customHeight="1" x14ac:dyDescent="0.25">
      <c r="A146" s="554" t="s">
        <v>416</v>
      </c>
      <c r="B146" s="595">
        <v>-9.2135583969999999</v>
      </c>
      <c r="C146" s="595">
        <v>-9.3309620599999992</v>
      </c>
      <c r="D146" s="595">
        <v>-8.4167463789999992</v>
      </c>
      <c r="E146" s="595">
        <v>1.703026116</v>
      </c>
      <c r="F146" s="595">
        <v>-8.7746457E-2</v>
      </c>
      <c r="G146" s="595">
        <v>-0.34273250100000002</v>
      </c>
      <c r="H146" s="595">
        <v>-3.1841592379999999</v>
      </c>
      <c r="I146" s="595">
        <v>2.2781325250000002</v>
      </c>
      <c r="J146" s="595">
        <v>2.339001326</v>
      </c>
      <c r="K146" s="595">
        <v>1.6128438460000001</v>
      </c>
      <c r="L146" s="595" t="s">
        <v>102</v>
      </c>
      <c r="M146" s="596">
        <v>-1.25568839</v>
      </c>
      <c r="N146" s="596">
        <v>2.1872661340000001</v>
      </c>
      <c r="O146" s="596">
        <v>0.54309221100000005</v>
      </c>
      <c r="P146" s="595">
        <v>1.1807607760000001</v>
      </c>
    </row>
    <row r="147" spans="1:16384" ht="15.75" customHeight="1" x14ac:dyDescent="0.25">
      <c r="A147" s="546" t="s">
        <v>406</v>
      </c>
      <c r="B147" s="601">
        <v>-1.21441406</v>
      </c>
      <c r="C147" s="601">
        <v>-2.9686492050000002</v>
      </c>
      <c r="D147" s="601">
        <v>-7.8923588469999997</v>
      </c>
      <c r="E147" s="601">
        <v>-0.97173329900000005</v>
      </c>
      <c r="F147" s="601">
        <v>0.83388467600000005</v>
      </c>
      <c r="G147" s="601">
        <v>-0.39979708000000003</v>
      </c>
      <c r="H147" s="601">
        <v>-3.7440434000000002E-2</v>
      </c>
      <c r="I147" s="601">
        <v>-1.0905832820000001</v>
      </c>
      <c r="J147" s="601">
        <v>-1.2766624369999999</v>
      </c>
      <c r="K147" s="601">
        <v>-1.1874142169999999</v>
      </c>
      <c r="L147" s="601" t="s">
        <v>102</v>
      </c>
      <c r="M147" s="602">
        <v>-0.18193625099999999</v>
      </c>
      <c r="N147" s="602">
        <v>-1.1831670620000001</v>
      </c>
      <c r="O147" s="602">
        <v>-0.56182157700000002</v>
      </c>
      <c r="P147" s="601">
        <v>1.5790127780000001</v>
      </c>
    </row>
    <row r="148" spans="1:16384" ht="15.75" customHeight="1" x14ac:dyDescent="0.2">
      <c r="A148" s="551" t="s">
        <v>417</v>
      </c>
      <c r="B148" s="595">
        <v>-0.40140023899999999</v>
      </c>
      <c r="C148" s="595">
        <v>-0.70481492999999995</v>
      </c>
      <c r="D148" s="595">
        <v>-0.27816591600000001</v>
      </c>
      <c r="E148" s="595">
        <v>0.44734084000000002</v>
      </c>
      <c r="F148" s="595">
        <v>0.36655686500000001</v>
      </c>
      <c r="G148" s="595">
        <v>0.84308724499999999</v>
      </c>
      <c r="H148" s="595">
        <v>-0.119960626</v>
      </c>
      <c r="I148" s="595">
        <v>4.7018630999999998E-2</v>
      </c>
      <c r="J148" s="595">
        <v>1.4782635989999999</v>
      </c>
      <c r="K148" s="595">
        <v>-0.223088379</v>
      </c>
      <c r="L148" s="595" t="s">
        <v>102</v>
      </c>
      <c r="M148" s="596">
        <v>0.29544299000000002</v>
      </c>
      <c r="N148" s="596">
        <v>0.63704820799999995</v>
      </c>
      <c r="O148" s="596">
        <v>0.45362143300000002</v>
      </c>
      <c r="P148" s="595">
        <v>0.122944939</v>
      </c>
    </row>
    <row r="149" spans="1:16384" ht="15.75" customHeight="1" x14ac:dyDescent="0.25">
      <c r="A149" s="552" t="s">
        <v>789</v>
      </c>
      <c r="B149" s="597">
        <v>-5.0990795750000002</v>
      </c>
      <c r="C149" s="597">
        <v>4.3265282599999999</v>
      </c>
      <c r="D149" s="597">
        <v>0.88621728799999999</v>
      </c>
      <c r="E149" s="597">
        <v>1.762191635</v>
      </c>
      <c r="F149" s="597">
        <v>2.3405837140000001</v>
      </c>
      <c r="G149" s="597">
        <v>1.6634118959999999</v>
      </c>
      <c r="H149" s="597">
        <v>1.6598339479999999</v>
      </c>
      <c r="I149" s="597">
        <v>-0.709151066</v>
      </c>
      <c r="J149" s="597">
        <v>-0.43780323399999999</v>
      </c>
      <c r="K149" s="597">
        <v>-1.0468613790000001</v>
      </c>
      <c r="L149" s="597" t="s">
        <v>102</v>
      </c>
      <c r="M149" s="598">
        <v>1.810183624</v>
      </c>
      <c r="N149" s="598">
        <v>-0.63676675100000002</v>
      </c>
      <c r="O149" s="598">
        <v>0.68433084600000005</v>
      </c>
      <c r="P149" s="597">
        <v>-0.91563832599999995</v>
      </c>
    </row>
    <row r="150" spans="1:16384" ht="15.75" customHeight="1" x14ac:dyDescent="0.25">
      <c r="A150" s="553" t="s">
        <v>418</v>
      </c>
      <c r="B150" s="595">
        <v>-21.167816684999998</v>
      </c>
      <c r="C150" s="595">
        <v>-2.0670188289999998</v>
      </c>
      <c r="D150" s="595">
        <v>3.1606153880000001</v>
      </c>
      <c r="E150" s="595">
        <v>-1.765905024</v>
      </c>
      <c r="F150" s="595">
        <v>-4.0336168189999997</v>
      </c>
      <c r="G150" s="595">
        <v>-2.0637055659999999</v>
      </c>
      <c r="H150" s="595">
        <v>-1.9495064580000001</v>
      </c>
      <c r="I150" s="595">
        <v>0.27651766</v>
      </c>
      <c r="J150" s="595">
        <v>-0.121365263</v>
      </c>
      <c r="K150" s="595">
        <v>-0.12890955200000001</v>
      </c>
      <c r="L150" s="595" t="s">
        <v>102</v>
      </c>
      <c r="M150" s="596">
        <v>-2.3413372570000002</v>
      </c>
      <c r="N150" s="596">
        <v>3.7420890999999998E-2</v>
      </c>
      <c r="O150" s="596">
        <v>-1.2582539610000001</v>
      </c>
      <c r="P150" s="595">
        <v>0.65463221599999999</v>
      </c>
    </row>
    <row r="151" spans="1:16384" s="3" customFormat="1" ht="15.75" customHeight="1" x14ac:dyDescent="0.25">
      <c r="A151" s="548" t="s">
        <v>463</v>
      </c>
      <c r="B151" s="599">
        <v>-12.033788475</v>
      </c>
      <c r="C151" s="599">
        <v>-1.221530209</v>
      </c>
      <c r="D151" s="599">
        <v>2.016561056</v>
      </c>
      <c r="E151" s="599">
        <v>-0.47780112800000002</v>
      </c>
      <c r="F151" s="599">
        <v>2.2490933219999998</v>
      </c>
      <c r="G151" s="599">
        <v>5.2888546529999996</v>
      </c>
      <c r="H151" s="599">
        <v>0.24989233</v>
      </c>
      <c r="I151" s="599">
        <v>2.5963312740000002</v>
      </c>
      <c r="J151" s="599">
        <v>4.4065245600000003</v>
      </c>
      <c r="K151" s="599">
        <v>0.36802627799999998</v>
      </c>
      <c r="L151" s="599" t="s">
        <v>102</v>
      </c>
      <c r="M151" s="600">
        <v>1.8884614660000001</v>
      </c>
      <c r="N151" s="600">
        <v>3.0470077980000001</v>
      </c>
      <c r="O151" s="600">
        <v>2.4865667400000002</v>
      </c>
      <c r="P151" s="599">
        <v>2.0024005030000001</v>
      </c>
      <c r="Q151"/>
    </row>
    <row r="152" spans="1:16384" ht="15.75" customHeight="1" x14ac:dyDescent="0.25">
      <c r="A152" s="554" t="s">
        <v>419</v>
      </c>
      <c r="B152" s="595">
        <v>-1.1329069140000001</v>
      </c>
      <c r="C152" s="595">
        <v>-11.027981066000001</v>
      </c>
      <c r="D152" s="595">
        <v>-9.9159057330000007</v>
      </c>
      <c r="E152" s="595">
        <v>-3.2068319559999998</v>
      </c>
      <c r="F152" s="595">
        <v>-5.1060822239999997</v>
      </c>
      <c r="G152" s="595">
        <v>-3.487231762</v>
      </c>
      <c r="H152" s="595">
        <v>-6.1269426100000004</v>
      </c>
      <c r="I152" s="595">
        <v>-0.64587130599999998</v>
      </c>
      <c r="J152" s="595">
        <v>0.59336552099999995</v>
      </c>
      <c r="K152" s="595">
        <v>-1.0841659530000001</v>
      </c>
      <c r="L152" s="595" t="s">
        <v>102</v>
      </c>
      <c r="M152" s="596">
        <v>-4.8776104030000003</v>
      </c>
      <c r="N152" s="596">
        <v>-0.19814008599999999</v>
      </c>
      <c r="O152" s="596">
        <v>-2.7837554029999998</v>
      </c>
      <c r="P152" s="595">
        <v>-0.98957892700000005</v>
      </c>
    </row>
    <row r="153" spans="1:16384" ht="15.75" customHeight="1" x14ac:dyDescent="0.25">
      <c r="A153" s="555" t="s">
        <v>784</v>
      </c>
      <c r="B153" s="603">
        <v>2.7168602E-2</v>
      </c>
      <c r="C153" s="603">
        <v>-0.76839200900000004</v>
      </c>
      <c r="D153" s="603">
        <v>-0.464840009</v>
      </c>
      <c r="E153" s="603">
        <v>-0.36886158200000002</v>
      </c>
      <c r="F153" s="603">
        <v>-0.63505617800000003</v>
      </c>
      <c r="G153" s="603">
        <v>-0.42142326899999999</v>
      </c>
      <c r="H153" s="603">
        <v>-0.55993339399999997</v>
      </c>
      <c r="I153" s="603">
        <v>9.5926812E-2</v>
      </c>
      <c r="J153" s="603">
        <v>0.161810964</v>
      </c>
      <c r="K153" s="603">
        <v>1.1912566790000001</v>
      </c>
      <c r="L153" s="603" t="s">
        <v>102</v>
      </c>
      <c r="M153" s="604">
        <v>-0.50848932700000005</v>
      </c>
      <c r="N153" s="604">
        <v>0.169368193</v>
      </c>
      <c r="O153" s="604">
        <v>-0.28721497400000001</v>
      </c>
      <c r="P153" s="603">
        <v>0.209288696</v>
      </c>
    </row>
    <row r="154" spans="1:16384" ht="15" customHeight="1" x14ac:dyDescent="0.2">
      <c r="A154" s="255" t="s">
        <v>909</v>
      </c>
      <c r="B154" s="13"/>
      <c r="C154" s="13"/>
      <c r="D154" s="13"/>
      <c r="E154" s="13"/>
      <c r="F154" s="13"/>
      <c r="G154" s="13"/>
      <c r="H154" s="13"/>
      <c r="I154" s="13"/>
      <c r="J154" s="13"/>
      <c r="K154" s="13"/>
      <c r="L154" s="13"/>
      <c r="M154" s="13"/>
      <c r="N154" s="13"/>
      <c r="O154" s="13"/>
      <c r="P154" s="39"/>
    </row>
    <row r="155" spans="1:16384" ht="15" customHeight="1" x14ac:dyDescent="0.2">
      <c r="A155" s="255" t="s">
        <v>357</v>
      </c>
      <c r="B155" s="13"/>
      <c r="C155" s="13"/>
      <c r="D155" s="13"/>
      <c r="E155" s="13"/>
      <c r="F155" s="13"/>
      <c r="G155" s="13"/>
      <c r="H155" s="13"/>
      <c r="I155" s="13"/>
      <c r="J155" s="13"/>
      <c r="K155" s="13"/>
      <c r="L155" s="13"/>
      <c r="M155" s="13"/>
      <c r="N155" s="13"/>
      <c r="O155" s="13"/>
      <c r="P155" s="39"/>
    </row>
    <row r="156" spans="1:16384" ht="15" customHeight="1" x14ac:dyDescent="0.2">
      <c r="A156" s="286" t="s">
        <v>904</v>
      </c>
      <c r="B156" s="13"/>
      <c r="C156" s="13"/>
      <c r="D156" s="13"/>
      <c r="E156" s="13"/>
      <c r="F156" s="13"/>
      <c r="G156" s="13"/>
      <c r="H156" s="13"/>
      <c r="I156" s="13"/>
      <c r="J156" s="13"/>
      <c r="K156" s="13"/>
      <c r="L156" s="13"/>
      <c r="M156" s="13"/>
      <c r="N156" s="13"/>
      <c r="O156" s="13"/>
      <c r="P156" s="39"/>
    </row>
    <row r="157" spans="1:16384" ht="15" customHeight="1" x14ac:dyDescent="0.2">
      <c r="A157" s="37" t="s">
        <v>557</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c r="CP157" s="37"/>
      <c r="CQ157" s="37"/>
      <c r="CR157" s="37"/>
      <c r="CS157" s="37"/>
      <c r="CT157" s="37"/>
      <c r="CU157" s="37"/>
      <c r="CV157" s="37"/>
      <c r="CW157" s="37"/>
      <c r="CX157" s="37"/>
      <c r="CY157" s="37"/>
      <c r="CZ157" s="37"/>
      <c r="DA157" s="37"/>
      <c r="DB157" s="37"/>
      <c r="DC157" s="37"/>
      <c r="DD157" s="37"/>
      <c r="DE157" s="37"/>
      <c r="DF157" s="37"/>
      <c r="DG157" s="37"/>
      <c r="DH157" s="37"/>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37"/>
      <c r="EQ157" s="37"/>
      <c r="ER157" s="37"/>
      <c r="ES157" s="37"/>
      <c r="ET157" s="37"/>
      <c r="EU157" s="37"/>
      <c r="EV157" s="37"/>
      <c r="EW157" s="37"/>
      <c r="EX157" s="37"/>
      <c r="EY157" s="37"/>
      <c r="EZ157" s="37"/>
      <c r="FA157" s="37"/>
      <c r="FB157" s="37"/>
      <c r="FC157" s="37"/>
      <c r="FD157" s="37"/>
      <c r="FE157" s="37"/>
      <c r="FF157" s="37"/>
      <c r="FG157" s="37"/>
      <c r="FH157" s="37"/>
      <c r="FI157" s="37"/>
      <c r="FJ157" s="37"/>
      <c r="FK157" s="37"/>
      <c r="FL157" s="37"/>
      <c r="FM157" s="37"/>
      <c r="FN157" s="37"/>
      <c r="FO157" s="37"/>
      <c r="FP157" s="37"/>
      <c r="FQ157" s="37"/>
      <c r="FR157" s="37"/>
      <c r="FS157" s="37"/>
      <c r="FT157" s="37"/>
      <c r="FU157" s="37"/>
      <c r="FV157" s="37"/>
      <c r="FW157" s="37"/>
      <c r="FX157" s="37"/>
      <c r="FY157" s="37"/>
      <c r="FZ157" s="37"/>
      <c r="GA157" s="37"/>
      <c r="GB157" s="37"/>
      <c r="GC157" s="37"/>
      <c r="GD157" s="37"/>
      <c r="GE157" s="37"/>
      <c r="GF157" s="37"/>
      <c r="GG157" s="37"/>
      <c r="GH157" s="37"/>
      <c r="GI157" s="37"/>
      <c r="GJ157" s="37"/>
      <c r="GK157" s="37"/>
      <c r="GL157" s="37"/>
      <c r="GM157" s="37"/>
      <c r="GN157" s="37"/>
      <c r="GO157" s="37"/>
      <c r="GP157" s="37"/>
      <c r="GQ157" s="37"/>
      <c r="GR157" s="37"/>
      <c r="GS157" s="37"/>
      <c r="GT157" s="37"/>
      <c r="GU157" s="37"/>
      <c r="GV157" s="37"/>
      <c r="GW157" s="37"/>
      <c r="GX157" s="37"/>
      <c r="GY157" s="37"/>
      <c r="GZ157" s="37"/>
      <c r="HA157" s="37"/>
      <c r="HB157" s="37"/>
      <c r="HC157" s="37"/>
      <c r="HD157" s="37"/>
      <c r="HE157" s="37"/>
      <c r="HF157" s="37"/>
      <c r="HG157" s="37"/>
      <c r="HH157" s="37"/>
      <c r="HI157" s="37"/>
      <c r="HJ157" s="37"/>
      <c r="HK157" s="37"/>
      <c r="HL157" s="37"/>
      <c r="HM157" s="37"/>
      <c r="HN157" s="37"/>
      <c r="HO157" s="37"/>
      <c r="HP157" s="37"/>
      <c r="HQ157" s="37"/>
      <c r="HR157" s="37"/>
      <c r="HS157" s="37"/>
      <c r="HT157" s="37"/>
      <c r="HU157" s="37"/>
      <c r="HV157" s="37"/>
      <c r="HW157" s="37"/>
      <c r="HX157" s="37"/>
      <c r="HY157" s="37"/>
      <c r="HZ157" s="37"/>
      <c r="IA157" s="37"/>
      <c r="IB157" s="37"/>
      <c r="IC157" s="37"/>
      <c r="ID157" s="37"/>
      <c r="IE157" s="37"/>
      <c r="IF157" s="37"/>
      <c r="IG157" s="37"/>
      <c r="IH157" s="37"/>
      <c r="II157" s="37"/>
      <c r="IJ157" s="37"/>
      <c r="IK157" s="37"/>
      <c r="IL157" s="37"/>
      <c r="IM157" s="37"/>
      <c r="IN157" s="37"/>
      <c r="IO157" s="37"/>
      <c r="IP157" s="37"/>
      <c r="IQ157" s="37"/>
      <c r="IR157" s="37"/>
      <c r="IS157" s="37"/>
      <c r="IT157" s="37"/>
      <c r="IU157" s="37"/>
      <c r="IV157" s="37"/>
      <c r="IW157" s="37"/>
      <c r="IX157" s="37"/>
      <c r="IY157" s="37"/>
      <c r="IZ157" s="37"/>
      <c r="JA157" s="37"/>
      <c r="JB157" s="37"/>
      <c r="JC157" s="37"/>
      <c r="JD157" s="37"/>
      <c r="JE157" s="37"/>
      <c r="JF157" s="37"/>
      <c r="JG157" s="37"/>
      <c r="JH157" s="37"/>
      <c r="JI157" s="37"/>
      <c r="JJ157" s="37"/>
      <c r="JK157" s="37"/>
      <c r="JL157" s="37"/>
      <c r="JM157" s="37"/>
      <c r="JN157" s="37"/>
      <c r="JO157" s="37"/>
      <c r="JP157" s="37"/>
      <c r="JQ157" s="37"/>
      <c r="JR157" s="37"/>
      <c r="JS157" s="37"/>
      <c r="JT157" s="37"/>
      <c r="JU157" s="37"/>
      <c r="JV157" s="37"/>
      <c r="JW157" s="37"/>
      <c r="JX157" s="37"/>
      <c r="JY157" s="37"/>
      <c r="JZ157" s="37"/>
      <c r="KA157" s="37"/>
      <c r="KB157" s="37"/>
      <c r="KC157" s="37"/>
      <c r="KD157" s="37"/>
      <c r="KE157" s="37"/>
      <c r="KF157" s="37"/>
      <c r="KG157" s="37"/>
      <c r="KH157" s="37"/>
      <c r="KI157" s="37"/>
      <c r="KJ157" s="37"/>
      <c r="KK157" s="37"/>
      <c r="KL157" s="37"/>
      <c r="KM157" s="37"/>
      <c r="KN157" s="37"/>
      <c r="KO157" s="37"/>
      <c r="KP157" s="37"/>
      <c r="KQ157" s="37"/>
      <c r="KR157" s="37"/>
      <c r="KS157" s="37"/>
      <c r="KT157" s="37"/>
      <c r="KU157" s="37"/>
      <c r="KV157" s="37"/>
      <c r="KW157" s="37"/>
      <c r="KX157" s="37"/>
      <c r="KY157" s="37"/>
      <c r="KZ157" s="37"/>
      <c r="LA157" s="37"/>
      <c r="LB157" s="37"/>
      <c r="LC157" s="37"/>
      <c r="LD157" s="37"/>
      <c r="LE157" s="37"/>
      <c r="LF157" s="37"/>
      <c r="LG157" s="37"/>
      <c r="LH157" s="37"/>
      <c r="LI157" s="37"/>
      <c r="LJ157" s="37"/>
      <c r="LK157" s="37"/>
      <c r="LL157" s="37"/>
      <c r="LM157" s="37"/>
      <c r="LN157" s="37"/>
      <c r="LO157" s="37"/>
      <c r="LP157" s="37"/>
      <c r="LQ157" s="37"/>
      <c r="LR157" s="37"/>
      <c r="LS157" s="37"/>
      <c r="LT157" s="37"/>
      <c r="LU157" s="37"/>
      <c r="LV157" s="37"/>
      <c r="LW157" s="37"/>
      <c r="LX157" s="37"/>
      <c r="LY157" s="37"/>
      <c r="LZ157" s="37"/>
      <c r="MA157" s="37"/>
      <c r="MB157" s="37"/>
      <c r="MC157" s="37"/>
      <c r="MD157" s="37"/>
      <c r="ME157" s="37"/>
      <c r="MF157" s="37"/>
      <c r="MG157" s="37"/>
      <c r="MH157" s="37"/>
      <c r="MI157" s="37"/>
      <c r="MJ157" s="37"/>
      <c r="MK157" s="37"/>
      <c r="ML157" s="37"/>
      <c r="MM157" s="37"/>
      <c r="MN157" s="37"/>
      <c r="MO157" s="37"/>
      <c r="MP157" s="37"/>
      <c r="MQ157" s="37"/>
      <c r="MR157" s="37"/>
      <c r="MS157" s="37"/>
      <c r="MT157" s="37"/>
      <c r="MU157" s="37"/>
      <c r="MV157" s="37"/>
      <c r="MW157" s="37"/>
      <c r="MX157" s="37"/>
      <c r="MY157" s="37"/>
      <c r="MZ157" s="37"/>
      <c r="NA157" s="37"/>
      <c r="NB157" s="37"/>
      <c r="NC157" s="37"/>
      <c r="ND157" s="37"/>
      <c r="NE157" s="37"/>
      <c r="NF157" s="37"/>
      <c r="NG157" s="37"/>
      <c r="NH157" s="37"/>
      <c r="NI157" s="37"/>
      <c r="NJ157" s="37"/>
      <c r="NK157" s="37"/>
      <c r="NL157" s="37"/>
      <c r="NM157" s="37"/>
      <c r="NN157" s="37"/>
      <c r="NO157" s="37"/>
      <c r="NP157" s="37"/>
      <c r="NQ157" s="37"/>
      <c r="NR157" s="37"/>
      <c r="NS157" s="37"/>
      <c r="NT157" s="37"/>
      <c r="NU157" s="37"/>
      <c r="NV157" s="37"/>
      <c r="NW157" s="37"/>
      <c r="NX157" s="37"/>
      <c r="NY157" s="37"/>
      <c r="NZ157" s="37"/>
      <c r="OA157" s="37"/>
      <c r="OB157" s="37"/>
      <c r="OC157" s="37"/>
      <c r="OD157" s="37"/>
      <c r="OE157" s="37"/>
      <c r="OF157" s="37"/>
      <c r="OG157" s="37"/>
      <c r="OH157" s="37"/>
      <c r="OI157" s="37"/>
      <c r="OJ157" s="37"/>
      <c r="OK157" s="37"/>
      <c r="OL157" s="37"/>
      <c r="OM157" s="37"/>
      <c r="ON157" s="37"/>
      <c r="OO157" s="37"/>
      <c r="OP157" s="37"/>
      <c r="OQ157" s="37"/>
      <c r="OR157" s="37"/>
      <c r="OS157" s="37"/>
      <c r="OT157" s="37"/>
      <c r="OU157" s="37"/>
      <c r="OV157" s="37"/>
      <c r="OW157" s="37"/>
      <c r="OX157" s="37"/>
      <c r="OY157" s="37"/>
      <c r="OZ157" s="37"/>
      <c r="PA157" s="37"/>
      <c r="PB157" s="37"/>
      <c r="PC157" s="37"/>
      <c r="PD157" s="37"/>
      <c r="PE157" s="37"/>
      <c r="PF157" s="37"/>
      <c r="PG157" s="37"/>
      <c r="PH157" s="37"/>
      <c r="PI157" s="37"/>
      <c r="PJ157" s="37"/>
      <c r="PK157" s="37"/>
      <c r="PL157" s="37"/>
      <c r="PM157" s="37"/>
      <c r="PN157" s="37"/>
      <c r="PO157" s="37"/>
      <c r="PP157" s="37"/>
      <c r="PQ157" s="37"/>
      <c r="PR157" s="37"/>
      <c r="PS157" s="37"/>
      <c r="PT157" s="37"/>
      <c r="PU157" s="37"/>
      <c r="PV157" s="37"/>
      <c r="PW157" s="37"/>
      <c r="PX157" s="37"/>
      <c r="PY157" s="37"/>
      <c r="PZ157" s="37"/>
      <c r="QA157" s="37"/>
      <c r="QB157" s="37"/>
      <c r="QC157" s="37"/>
      <c r="QD157" s="37"/>
      <c r="QE157" s="37"/>
      <c r="QF157" s="37"/>
      <c r="QG157" s="37"/>
      <c r="QH157" s="37"/>
      <c r="QI157" s="37"/>
      <c r="QJ157" s="37"/>
      <c r="QK157" s="37"/>
      <c r="QL157" s="37"/>
      <c r="QM157" s="37"/>
      <c r="QN157" s="37"/>
      <c r="QO157" s="37"/>
      <c r="QP157" s="37"/>
      <c r="QQ157" s="37"/>
      <c r="QR157" s="37"/>
      <c r="QS157" s="37"/>
      <c r="QT157" s="37"/>
      <c r="QU157" s="37"/>
      <c r="QV157" s="37"/>
      <c r="QW157" s="37"/>
      <c r="QX157" s="37"/>
      <c r="QY157" s="37"/>
      <c r="QZ157" s="37"/>
      <c r="RA157" s="37"/>
      <c r="RB157" s="37"/>
      <c r="RC157" s="37"/>
      <c r="RD157" s="37"/>
      <c r="RE157" s="37"/>
      <c r="RF157" s="37"/>
      <c r="RG157" s="37"/>
      <c r="RH157" s="37"/>
      <c r="RI157" s="37"/>
      <c r="RJ157" s="37"/>
      <c r="RK157" s="37"/>
      <c r="RL157" s="37"/>
      <c r="RM157" s="37"/>
      <c r="RN157" s="37"/>
      <c r="RO157" s="37"/>
      <c r="RP157" s="37"/>
      <c r="RQ157" s="37"/>
      <c r="RR157" s="37"/>
      <c r="RS157" s="37"/>
      <c r="RT157" s="37"/>
      <c r="RU157" s="37"/>
      <c r="RV157" s="37"/>
      <c r="RW157" s="37"/>
      <c r="RX157" s="37"/>
      <c r="RY157" s="37"/>
      <c r="RZ157" s="37"/>
      <c r="SA157" s="37"/>
      <c r="SB157" s="37"/>
      <c r="SC157" s="37"/>
      <c r="SD157" s="37"/>
      <c r="SE157" s="37"/>
      <c r="SF157" s="37"/>
      <c r="SG157" s="37"/>
      <c r="SH157" s="37"/>
      <c r="SI157" s="37"/>
      <c r="SJ157" s="37"/>
      <c r="SK157" s="37"/>
      <c r="SL157" s="37"/>
      <c r="SM157" s="37"/>
      <c r="SN157" s="37"/>
      <c r="SO157" s="37"/>
      <c r="SP157" s="37"/>
      <c r="SQ157" s="37"/>
      <c r="SR157" s="37"/>
      <c r="SS157" s="37"/>
      <c r="ST157" s="37"/>
      <c r="SU157" s="37"/>
      <c r="SV157" s="37"/>
      <c r="SW157" s="37"/>
      <c r="SX157" s="37"/>
      <c r="SY157" s="37"/>
      <c r="SZ157" s="37"/>
      <c r="TA157" s="37"/>
      <c r="TB157" s="37"/>
      <c r="TC157" s="37"/>
      <c r="TD157" s="37"/>
      <c r="TE157" s="37"/>
      <c r="TF157" s="37"/>
      <c r="TG157" s="37"/>
      <c r="TH157" s="37"/>
      <c r="TI157" s="37"/>
      <c r="TJ157" s="37"/>
      <c r="TK157" s="37"/>
      <c r="TL157" s="37"/>
      <c r="TM157" s="37"/>
      <c r="TN157" s="37"/>
      <c r="TO157" s="37"/>
      <c r="TP157" s="37"/>
      <c r="TQ157" s="37"/>
      <c r="TR157" s="37"/>
      <c r="TS157" s="37"/>
      <c r="TT157" s="37"/>
      <c r="TU157" s="37"/>
      <c r="TV157" s="37"/>
      <c r="TW157" s="37"/>
      <c r="TX157" s="37"/>
      <c r="TY157" s="37"/>
      <c r="TZ157" s="37"/>
      <c r="UA157" s="37"/>
      <c r="UB157" s="37"/>
      <c r="UC157" s="37"/>
      <c r="UD157" s="37"/>
      <c r="UE157" s="37"/>
      <c r="UF157" s="37"/>
      <c r="UG157" s="37"/>
      <c r="UH157" s="37"/>
      <c r="UI157" s="37"/>
      <c r="UJ157" s="37"/>
      <c r="UK157" s="37"/>
      <c r="UL157" s="37"/>
      <c r="UM157" s="37"/>
      <c r="UN157" s="37"/>
      <c r="UO157" s="37"/>
      <c r="UP157" s="37"/>
      <c r="UQ157" s="37"/>
      <c r="UR157" s="37"/>
      <c r="US157" s="37"/>
      <c r="UT157" s="37"/>
      <c r="UU157" s="37"/>
      <c r="UV157" s="37"/>
      <c r="UW157" s="37"/>
      <c r="UX157" s="37"/>
      <c r="UY157" s="37"/>
      <c r="UZ157" s="37"/>
      <c r="VA157" s="37"/>
      <c r="VB157" s="37"/>
      <c r="VC157" s="37"/>
      <c r="VD157" s="37"/>
      <c r="VE157" s="37"/>
      <c r="VF157" s="37"/>
      <c r="VG157" s="37"/>
      <c r="VH157" s="37"/>
      <c r="VI157" s="37"/>
      <c r="VJ157" s="37"/>
      <c r="VK157" s="37"/>
      <c r="VL157" s="37"/>
      <c r="VM157" s="37"/>
      <c r="VN157" s="37"/>
      <c r="VO157" s="37"/>
      <c r="VP157" s="37"/>
      <c r="VQ157" s="37"/>
      <c r="VR157" s="37"/>
      <c r="VS157" s="37"/>
      <c r="VT157" s="37"/>
      <c r="VU157" s="37"/>
      <c r="VV157" s="37"/>
      <c r="VW157" s="37"/>
      <c r="VX157" s="37"/>
      <c r="VY157" s="37"/>
      <c r="VZ157" s="37"/>
      <c r="WA157" s="37"/>
      <c r="WB157" s="37"/>
      <c r="WC157" s="37"/>
      <c r="WD157" s="37"/>
      <c r="WE157" s="37"/>
      <c r="WF157" s="37"/>
      <c r="WG157" s="37"/>
      <c r="WH157" s="37"/>
      <c r="WI157" s="37"/>
      <c r="WJ157" s="37"/>
      <c r="WK157" s="37"/>
      <c r="WL157" s="37"/>
      <c r="WM157" s="37"/>
      <c r="WN157" s="37"/>
      <c r="WO157" s="37"/>
      <c r="WP157" s="37"/>
      <c r="WQ157" s="37"/>
      <c r="WR157" s="37"/>
      <c r="WS157" s="37"/>
      <c r="WT157" s="37"/>
      <c r="WU157" s="37"/>
      <c r="WV157" s="37"/>
      <c r="WW157" s="37"/>
      <c r="WX157" s="37"/>
      <c r="WY157" s="37"/>
      <c r="WZ157" s="37"/>
      <c r="XA157" s="37"/>
      <c r="XB157" s="37"/>
      <c r="XC157" s="37"/>
      <c r="XD157" s="37"/>
      <c r="XE157" s="37"/>
      <c r="XF157" s="37"/>
      <c r="XG157" s="37"/>
      <c r="XH157" s="37"/>
      <c r="XI157" s="37"/>
      <c r="XJ157" s="37"/>
      <c r="XK157" s="37"/>
      <c r="XL157" s="37"/>
      <c r="XM157" s="37"/>
      <c r="XN157" s="37"/>
      <c r="XO157" s="37"/>
      <c r="XP157" s="37"/>
      <c r="XQ157" s="37"/>
      <c r="XR157" s="37"/>
      <c r="XS157" s="37"/>
      <c r="XT157" s="37"/>
      <c r="XU157" s="37"/>
      <c r="XV157" s="37"/>
      <c r="XW157" s="37"/>
      <c r="XX157" s="37"/>
      <c r="XY157" s="37"/>
      <c r="XZ157" s="37"/>
      <c r="YA157" s="37"/>
      <c r="YB157" s="37"/>
      <c r="YC157" s="37"/>
      <c r="YD157" s="37"/>
      <c r="YE157" s="37"/>
      <c r="YF157" s="37"/>
      <c r="YG157" s="37"/>
      <c r="YH157" s="37"/>
      <c r="YI157" s="37"/>
      <c r="YJ157" s="37"/>
      <c r="YK157" s="37"/>
      <c r="YL157" s="37"/>
      <c r="YM157" s="37"/>
      <c r="YN157" s="37"/>
      <c r="YO157" s="37"/>
      <c r="YP157" s="37"/>
      <c r="YQ157" s="37"/>
      <c r="YR157" s="37"/>
      <c r="YS157" s="37"/>
      <c r="YT157" s="37"/>
      <c r="YU157" s="37"/>
      <c r="YV157" s="37"/>
      <c r="YW157" s="37"/>
      <c r="YX157" s="37"/>
      <c r="YY157" s="37"/>
      <c r="YZ157" s="37"/>
      <c r="ZA157" s="37"/>
      <c r="ZB157" s="37"/>
      <c r="ZC157" s="37"/>
      <c r="ZD157" s="37"/>
      <c r="ZE157" s="37"/>
      <c r="ZF157" s="37"/>
      <c r="ZG157" s="37"/>
      <c r="ZH157" s="37"/>
      <c r="ZI157" s="37"/>
      <c r="ZJ157" s="37"/>
      <c r="ZK157" s="37"/>
      <c r="ZL157" s="37"/>
      <c r="ZM157" s="37"/>
      <c r="ZN157" s="37"/>
      <c r="ZO157" s="37"/>
      <c r="ZP157" s="37"/>
      <c r="ZQ157" s="37"/>
      <c r="ZR157" s="37"/>
      <c r="ZS157" s="37"/>
      <c r="ZT157" s="37"/>
      <c r="ZU157" s="37"/>
      <c r="ZV157" s="37"/>
      <c r="ZW157" s="37"/>
      <c r="ZX157" s="37"/>
      <c r="ZY157" s="37"/>
      <c r="ZZ157" s="37"/>
      <c r="AAA157" s="37"/>
      <c r="AAB157" s="37"/>
      <c r="AAC157" s="37"/>
      <c r="AAD157" s="37"/>
      <c r="AAE157" s="37"/>
      <c r="AAF157" s="37"/>
      <c r="AAG157" s="37"/>
      <c r="AAH157" s="37"/>
      <c r="AAI157" s="37"/>
      <c r="AAJ157" s="37"/>
      <c r="AAK157" s="37"/>
      <c r="AAL157" s="37"/>
      <c r="AAM157" s="37"/>
      <c r="AAN157" s="37"/>
      <c r="AAO157" s="37"/>
      <c r="AAP157" s="37"/>
      <c r="AAQ157" s="37"/>
      <c r="AAR157" s="37"/>
      <c r="AAS157" s="37"/>
      <c r="AAT157" s="37"/>
      <c r="AAU157" s="37"/>
      <c r="AAV157" s="37"/>
      <c r="AAW157" s="37"/>
      <c r="AAX157" s="37"/>
      <c r="AAY157" s="37"/>
      <c r="AAZ157" s="37"/>
      <c r="ABA157" s="37"/>
      <c r="ABB157" s="37"/>
      <c r="ABC157" s="37"/>
      <c r="ABD157" s="37"/>
      <c r="ABE157" s="37"/>
      <c r="ABF157" s="37"/>
      <c r="ABG157" s="37"/>
      <c r="ABH157" s="37"/>
      <c r="ABI157" s="37"/>
      <c r="ABJ157" s="37"/>
      <c r="ABK157" s="37"/>
      <c r="ABL157" s="37"/>
      <c r="ABM157" s="37"/>
      <c r="ABN157" s="37"/>
      <c r="ABO157" s="37"/>
      <c r="ABP157" s="37"/>
      <c r="ABQ157" s="37"/>
      <c r="ABR157" s="37"/>
      <c r="ABS157" s="37"/>
      <c r="ABT157" s="37"/>
      <c r="ABU157" s="37"/>
      <c r="ABV157" s="37"/>
      <c r="ABW157" s="37"/>
      <c r="ABX157" s="37"/>
      <c r="ABY157" s="37"/>
      <c r="ABZ157" s="37"/>
      <c r="ACA157" s="37"/>
      <c r="ACB157" s="37"/>
      <c r="ACC157" s="37"/>
      <c r="ACD157" s="37"/>
      <c r="ACE157" s="37"/>
      <c r="ACF157" s="37"/>
      <c r="ACG157" s="37"/>
      <c r="ACH157" s="37"/>
      <c r="ACI157" s="37"/>
      <c r="ACJ157" s="37"/>
      <c r="ACK157" s="37"/>
      <c r="ACL157" s="37"/>
      <c r="ACM157" s="37"/>
      <c r="ACN157" s="37"/>
      <c r="ACO157" s="37"/>
      <c r="ACP157" s="37"/>
      <c r="ACQ157" s="37"/>
      <c r="ACR157" s="37"/>
      <c r="ACS157" s="37"/>
      <c r="ACT157" s="37"/>
      <c r="ACU157" s="37"/>
      <c r="ACV157" s="37"/>
      <c r="ACW157" s="37"/>
      <c r="ACX157" s="37"/>
      <c r="ACY157" s="37"/>
      <c r="ACZ157" s="37"/>
      <c r="ADA157" s="37"/>
      <c r="ADB157" s="37"/>
      <c r="ADC157" s="37"/>
      <c r="ADD157" s="37"/>
      <c r="ADE157" s="37"/>
      <c r="ADF157" s="37"/>
      <c r="ADG157" s="37"/>
      <c r="ADH157" s="37"/>
      <c r="ADI157" s="37"/>
      <c r="ADJ157" s="37"/>
      <c r="ADK157" s="37"/>
      <c r="ADL157" s="37"/>
      <c r="ADM157" s="37"/>
      <c r="ADN157" s="37"/>
      <c r="ADO157" s="37"/>
      <c r="ADP157" s="37"/>
      <c r="ADQ157" s="37"/>
      <c r="ADR157" s="37"/>
      <c r="ADS157" s="37"/>
      <c r="ADT157" s="37"/>
      <c r="ADU157" s="37"/>
      <c r="ADV157" s="37"/>
      <c r="ADW157" s="37"/>
      <c r="ADX157" s="37"/>
      <c r="ADY157" s="37"/>
      <c r="ADZ157" s="37"/>
      <c r="AEA157" s="37"/>
      <c r="AEB157" s="37"/>
      <c r="AEC157" s="37"/>
      <c r="AED157" s="37"/>
      <c r="AEE157" s="37"/>
      <c r="AEF157" s="37"/>
      <c r="AEG157" s="37"/>
      <c r="AEH157" s="37"/>
      <c r="AEI157" s="37"/>
      <c r="AEJ157" s="37"/>
      <c r="AEK157" s="37"/>
      <c r="AEL157" s="37"/>
      <c r="AEM157" s="37"/>
      <c r="AEN157" s="37"/>
      <c r="AEO157" s="37"/>
      <c r="AEP157" s="37"/>
      <c r="AEQ157" s="37"/>
      <c r="AER157" s="37"/>
      <c r="AES157" s="37"/>
      <c r="AET157" s="37"/>
      <c r="AEU157" s="37"/>
      <c r="AEV157" s="37"/>
      <c r="AEW157" s="37"/>
      <c r="AEX157" s="37"/>
      <c r="AEY157" s="37"/>
      <c r="AEZ157" s="37"/>
      <c r="AFA157" s="37"/>
      <c r="AFB157" s="37"/>
      <c r="AFC157" s="37"/>
      <c r="AFD157" s="37"/>
      <c r="AFE157" s="37"/>
      <c r="AFF157" s="37"/>
      <c r="AFG157" s="37"/>
      <c r="AFH157" s="37"/>
      <c r="AFI157" s="37"/>
      <c r="AFJ157" s="37"/>
      <c r="AFK157" s="37"/>
      <c r="AFL157" s="37"/>
      <c r="AFM157" s="37"/>
      <c r="AFN157" s="37"/>
      <c r="AFO157" s="37"/>
      <c r="AFP157" s="37"/>
      <c r="AFQ157" s="37"/>
      <c r="AFR157" s="37"/>
      <c r="AFS157" s="37"/>
      <c r="AFT157" s="37"/>
      <c r="AFU157" s="37"/>
      <c r="AFV157" s="37"/>
      <c r="AFW157" s="37"/>
      <c r="AFX157" s="37"/>
      <c r="AFY157" s="37"/>
      <c r="AFZ157" s="37"/>
      <c r="AGA157" s="37"/>
      <c r="AGB157" s="37"/>
      <c r="AGC157" s="37"/>
      <c r="AGD157" s="37"/>
      <c r="AGE157" s="37"/>
      <c r="AGF157" s="37"/>
      <c r="AGG157" s="37"/>
      <c r="AGH157" s="37"/>
      <c r="AGI157" s="37"/>
      <c r="AGJ157" s="37"/>
      <c r="AGK157" s="37"/>
      <c r="AGL157" s="37"/>
      <c r="AGM157" s="37"/>
      <c r="AGN157" s="37"/>
      <c r="AGO157" s="37"/>
      <c r="AGP157" s="37"/>
      <c r="AGQ157" s="37"/>
      <c r="AGR157" s="37"/>
      <c r="AGS157" s="37"/>
      <c r="AGT157" s="37"/>
      <c r="AGU157" s="37"/>
      <c r="AGV157" s="37"/>
      <c r="AGW157" s="37"/>
      <c r="AGX157" s="37"/>
      <c r="AGY157" s="37"/>
      <c r="AGZ157" s="37"/>
      <c r="AHA157" s="37"/>
      <c r="AHB157" s="37"/>
      <c r="AHC157" s="37"/>
      <c r="AHD157" s="37"/>
      <c r="AHE157" s="37"/>
      <c r="AHF157" s="37"/>
      <c r="AHG157" s="37"/>
      <c r="AHH157" s="37"/>
      <c r="AHI157" s="37"/>
      <c r="AHJ157" s="37"/>
      <c r="AHK157" s="37"/>
      <c r="AHL157" s="37"/>
      <c r="AHM157" s="37"/>
      <c r="AHN157" s="37"/>
      <c r="AHO157" s="37"/>
      <c r="AHP157" s="37"/>
      <c r="AHQ157" s="37"/>
      <c r="AHR157" s="37"/>
      <c r="AHS157" s="37"/>
      <c r="AHT157" s="37"/>
      <c r="AHU157" s="37"/>
      <c r="AHV157" s="37"/>
      <c r="AHW157" s="37"/>
      <c r="AHX157" s="37"/>
      <c r="AHY157" s="37"/>
      <c r="AHZ157" s="37"/>
      <c r="AIA157" s="37"/>
      <c r="AIB157" s="37"/>
      <c r="AIC157" s="37"/>
      <c r="AID157" s="37"/>
      <c r="AIE157" s="37"/>
      <c r="AIF157" s="37"/>
      <c r="AIG157" s="37"/>
      <c r="AIH157" s="37"/>
      <c r="AII157" s="37"/>
      <c r="AIJ157" s="37"/>
      <c r="AIK157" s="37"/>
      <c r="AIL157" s="37"/>
      <c r="AIM157" s="37"/>
      <c r="AIN157" s="37"/>
      <c r="AIO157" s="37"/>
      <c r="AIP157" s="37"/>
      <c r="AIQ157" s="37"/>
      <c r="AIR157" s="37"/>
      <c r="AIS157" s="37"/>
      <c r="AIT157" s="37"/>
      <c r="AIU157" s="37"/>
      <c r="AIV157" s="37"/>
      <c r="AIW157" s="37"/>
      <c r="AIX157" s="37"/>
      <c r="AIY157" s="37"/>
      <c r="AIZ157" s="37"/>
      <c r="AJA157" s="37"/>
      <c r="AJB157" s="37"/>
      <c r="AJC157" s="37"/>
      <c r="AJD157" s="37"/>
      <c r="AJE157" s="37"/>
      <c r="AJF157" s="37"/>
      <c r="AJG157" s="37"/>
      <c r="AJH157" s="37"/>
      <c r="AJI157" s="37"/>
      <c r="AJJ157" s="37"/>
      <c r="AJK157" s="37"/>
      <c r="AJL157" s="37"/>
      <c r="AJM157" s="37"/>
      <c r="AJN157" s="37"/>
      <c r="AJO157" s="37"/>
      <c r="AJP157" s="37"/>
      <c r="AJQ157" s="37"/>
      <c r="AJR157" s="37"/>
      <c r="AJS157" s="37"/>
      <c r="AJT157" s="37"/>
      <c r="AJU157" s="37"/>
      <c r="AJV157" s="37"/>
      <c r="AJW157" s="37"/>
      <c r="AJX157" s="37"/>
      <c r="AJY157" s="37"/>
      <c r="AJZ157" s="37"/>
      <c r="AKA157" s="37"/>
      <c r="AKB157" s="37"/>
      <c r="AKC157" s="37"/>
      <c r="AKD157" s="37"/>
      <c r="AKE157" s="37"/>
      <c r="AKF157" s="37"/>
      <c r="AKG157" s="37"/>
      <c r="AKH157" s="37"/>
      <c r="AKI157" s="37"/>
      <c r="AKJ157" s="37"/>
      <c r="AKK157" s="37"/>
      <c r="AKL157" s="37"/>
      <c r="AKM157" s="37"/>
      <c r="AKN157" s="37"/>
      <c r="AKO157" s="37"/>
      <c r="AKP157" s="37"/>
      <c r="AKQ157" s="37"/>
      <c r="AKR157" s="37"/>
      <c r="AKS157" s="37"/>
      <c r="AKT157" s="37"/>
      <c r="AKU157" s="37"/>
      <c r="AKV157" s="37"/>
      <c r="AKW157" s="37"/>
      <c r="AKX157" s="37"/>
      <c r="AKY157" s="37"/>
      <c r="AKZ157" s="37"/>
      <c r="ALA157" s="37"/>
      <c r="ALB157" s="37"/>
      <c r="ALC157" s="37"/>
      <c r="ALD157" s="37"/>
      <c r="ALE157" s="37"/>
      <c r="ALF157" s="37"/>
      <c r="ALG157" s="37"/>
      <c r="ALH157" s="37"/>
      <c r="ALI157" s="37"/>
      <c r="ALJ157" s="37"/>
      <c r="ALK157" s="37"/>
      <c r="ALL157" s="37"/>
      <c r="ALM157" s="37"/>
      <c r="ALN157" s="37"/>
      <c r="ALO157" s="37"/>
      <c r="ALP157" s="37"/>
      <c r="ALQ157" s="37"/>
      <c r="ALR157" s="37"/>
      <c r="ALS157" s="37"/>
      <c r="ALT157" s="37"/>
      <c r="ALU157" s="37"/>
      <c r="ALV157" s="37"/>
      <c r="ALW157" s="37"/>
      <c r="ALX157" s="37"/>
      <c r="ALY157" s="37"/>
      <c r="ALZ157" s="37"/>
      <c r="AMA157" s="37"/>
      <c r="AMB157" s="37"/>
      <c r="AMC157" s="37"/>
      <c r="AMD157" s="37"/>
      <c r="AME157" s="37"/>
      <c r="AMF157" s="37"/>
      <c r="AMG157" s="37"/>
      <c r="AMH157" s="37"/>
      <c r="AMI157" s="37"/>
      <c r="AMJ157" s="37"/>
      <c r="AMK157" s="37"/>
      <c r="AML157" s="37"/>
      <c r="AMM157" s="37"/>
      <c r="AMN157" s="37"/>
      <c r="AMO157" s="37"/>
      <c r="AMP157" s="37"/>
      <c r="AMQ157" s="37"/>
      <c r="AMR157" s="37"/>
      <c r="AMS157" s="37"/>
      <c r="AMT157" s="37"/>
      <c r="AMU157" s="37"/>
      <c r="AMV157" s="37"/>
      <c r="AMW157" s="37"/>
      <c r="AMX157" s="37"/>
      <c r="AMY157" s="37"/>
      <c r="AMZ157" s="37"/>
      <c r="ANA157" s="37"/>
      <c r="ANB157" s="37"/>
      <c r="ANC157" s="37"/>
      <c r="AND157" s="37"/>
      <c r="ANE157" s="37"/>
      <c r="ANF157" s="37"/>
      <c r="ANG157" s="37"/>
      <c r="ANH157" s="37"/>
      <c r="ANI157" s="37"/>
      <c r="ANJ157" s="37"/>
      <c r="ANK157" s="37"/>
      <c r="ANL157" s="37"/>
      <c r="ANM157" s="37"/>
      <c r="ANN157" s="37"/>
      <c r="ANO157" s="37"/>
      <c r="ANP157" s="37"/>
      <c r="ANQ157" s="37"/>
      <c r="ANR157" s="37"/>
      <c r="ANS157" s="37"/>
      <c r="ANT157" s="37"/>
      <c r="ANU157" s="37"/>
      <c r="ANV157" s="37"/>
      <c r="ANW157" s="37"/>
      <c r="ANX157" s="37"/>
      <c r="ANY157" s="37"/>
      <c r="ANZ157" s="37"/>
      <c r="AOA157" s="37"/>
      <c r="AOB157" s="37"/>
      <c r="AOC157" s="37"/>
      <c r="AOD157" s="37"/>
      <c r="AOE157" s="37"/>
      <c r="AOF157" s="37"/>
      <c r="AOG157" s="37"/>
      <c r="AOH157" s="37"/>
      <c r="AOI157" s="37"/>
      <c r="AOJ157" s="37"/>
      <c r="AOK157" s="37"/>
      <c r="AOL157" s="37"/>
      <c r="AOM157" s="37"/>
      <c r="AON157" s="37"/>
      <c r="AOO157" s="37"/>
      <c r="AOP157" s="37"/>
      <c r="AOQ157" s="37"/>
      <c r="AOR157" s="37"/>
      <c r="AOS157" s="37"/>
      <c r="AOT157" s="37"/>
      <c r="AOU157" s="37"/>
      <c r="AOV157" s="37"/>
      <c r="AOW157" s="37"/>
      <c r="AOX157" s="37"/>
      <c r="AOY157" s="37"/>
      <c r="AOZ157" s="37"/>
      <c r="APA157" s="37"/>
      <c r="APB157" s="37"/>
      <c r="APC157" s="37"/>
      <c r="APD157" s="37"/>
      <c r="APE157" s="37"/>
      <c r="APF157" s="37"/>
      <c r="APG157" s="37"/>
      <c r="APH157" s="37"/>
      <c r="API157" s="37"/>
      <c r="APJ157" s="37"/>
      <c r="APK157" s="37"/>
      <c r="APL157" s="37"/>
      <c r="APM157" s="37"/>
      <c r="APN157" s="37"/>
      <c r="APO157" s="37"/>
      <c r="APP157" s="37"/>
      <c r="APQ157" s="37"/>
      <c r="APR157" s="37"/>
      <c r="APS157" s="37"/>
      <c r="APT157" s="37"/>
      <c r="APU157" s="37"/>
      <c r="APV157" s="37"/>
      <c r="APW157" s="37"/>
      <c r="APX157" s="37"/>
      <c r="APY157" s="37"/>
      <c r="APZ157" s="37"/>
      <c r="AQA157" s="37"/>
      <c r="AQB157" s="37"/>
      <c r="AQC157" s="37"/>
      <c r="AQD157" s="37"/>
      <c r="AQE157" s="37"/>
      <c r="AQF157" s="37"/>
      <c r="AQG157" s="37"/>
      <c r="AQH157" s="37"/>
      <c r="AQI157" s="37"/>
      <c r="AQJ157" s="37"/>
      <c r="AQK157" s="37"/>
      <c r="AQL157" s="37"/>
      <c r="AQM157" s="37"/>
      <c r="AQN157" s="37"/>
      <c r="AQO157" s="37"/>
      <c r="AQP157" s="37"/>
      <c r="AQQ157" s="37"/>
      <c r="AQR157" s="37"/>
      <c r="AQS157" s="37"/>
      <c r="AQT157" s="37"/>
      <c r="AQU157" s="37"/>
      <c r="AQV157" s="37"/>
      <c r="AQW157" s="37"/>
      <c r="AQX157" s="37"/>
      <c r="AQY157" s="37"/>
      <c r="AQZ157" s="37"/>
      <c r="ARA157" s="37"/>
      <c r="ARB157" s="37"/>
      <c r="ARC157" s="37"/>
      <c r="ARD157" s="37"/>
      <c r="ARE157" s="37"/>
      <c r="ARF157" s="37"/>
      <c r="ARG157" s="37"/>
      <c r="ARH157" s="37"/>
      <c r="ARI157" s="37"/>
      <c r="ARJ157" s="37"/>
      <c r="ARK157" s="37"/>
      <c r="ARL157" s="37"/>
      <c r="ARM157" s="37"/>
      <c r="ARN157" s="37"/>
      <c r="ARO157" s="37"/>
      <c r="ARP157" s="37"/>
      <c r="ARQ157" s="37"/>
      <c r="ARR157" s="37"/>
      <c r="ARS157" s="37"/>
      <c r="ART157" s="37"/>
      <c r="ARU157" s="37"/>
      <c r="ARV157" s="37"/>
      <c r="ARW157" s="37"/>
      <c r="ARX157" s="37"/>
      <c r="ARY157" s="37"/>
      <c r="ARZ157" s="37"/>
      <c r="ASA157" s="37"/>
      <c r="ASB157" s="37"/>
      <c r="ASC157" s="37"/>
      <c r="ASD157" s="37"/>
      <c r="ASE157" s="37"/>
      <c r="ASF157" s="37"/>
      <c r="ASG157" s="37"/>
      <c r="ASH157" s="37"/>
      <c r="ASI157" s="37"/>
      <c r="ASJ157" s="37"/>
      <c r="ASK157" s="37"/>
      <c r="ASL157" s="37"/>
      <c r="ASM157" s="37"/>
      <c r="ASN157" s="37"/>
      <c r="ASO157" s="37"/>
      <c r="ASP157" s="37"/>
      <c r="ASQ157" s="37"/>
      <c r="ASR157" s="37"/>
      <c r="ASS157" s="37"/>
      <c r="AST157" s="37"/>
      <c r="ASU157" s="37"/>
      <c r="ASV157" s="37"/>
      <c r="ASW157" s="37"/>
      <c r="ASX157" s="37"/>
      <c r="ASY157" s="37"/>
      <c r="ASZ157" s="37"/>
      <c r="ATA157" s="37"/>
      <c r="ATB157" s="37"/>
      <c r="ATC157" s="37"/>
      <c r="ATD157" s="37"/>
      <c r="ATE157" s="37"/>
      <c r="ATF157" s="37"/>
      <c r="ATG157" s="37"/>
      <c r="ATH157" s="37"/>
      <c r="ATI157" s="37"/>
      <c r="ATJ157" s="37"/>
      <c r="ATK157" s="37"/>
      <c r="ATL157" s="37"/>
      <c r="ATM157" s="37"/>
      <c r="ATN157" s="37"/>
      <c r="ATO157" s="37"/>
      <c r="ATP157" s="37"/>
      <c r="ATQ157" s="37"/>
      <c r="ATR157" s="37"/>
      <c r="ATS157" s="37"/>
      <c r="ATT157" s="37"/>
      <c r="ATU157" s="37"/>
      <c r="ATV157" s="37"/>
      <c r="ATW157" s="37"/>
      <c r="ATX157" s="37"/>
      <c r="ATY157" s="37"/>
      <c r="ATZ157" s="37"/>
      <c r="AUA157" s="37"/>
      <c r="AUB157" s="37"/>
      <c r="AUC157" s="37"/>
      <c r="AUD157" s="37"/>
      <c r="AUE157" s="37"/>
      <c r="AUF157" s="37"/>
      <c r="AUG157" s="37"/>
      <c r="AUH157" s="37"/>
      <c r="AUI157" s="37"/>
      <c r="AUJ157" s="37"/>
      <c r="AUK157" s="37"/>
      <c r="AUL157" s="37"/>
      <c r="AUM157" s="37"/>
      <c r="AUN157" s="37"/>
      <c r="AUO157" s="37"/>
      <c r="AUP157" s="37"/>
      <c r="AUQ157" s="37"/>
      <c r="AUR157" s="37"/>
      <c r="AUS157" s="37"/>
      <c r="AUT157" s="37"/>
      <c r="AUU157" s="37"/>
      <c r="AUV157" s="37"/>
      <c r="AUW157" s="37"/>
      <c r="AUX157" s="37"/>
      <c r="AUY157" s="37"/>
      <c r="AUZ157" s="37"/>
      <c r="AVA157" s="37"/>
      <c r="AVB157" s="37"/>
      <c r="AVC157" s="37"/>
      <c r="AVD157" s="37"/>
      <c r="AVE157" s="37"/>
      <c r="AVF157" s="37"/>
      <c r="AVG157" s="37"/>
      <c r="AVH157" s="37"/>
      <c r="AVI157" s="37"/>
      <c r="AVJ157" s="37"/>
      <c r="AVK157" s="37"/>
      <c r="AVL157" s="37"/>
      <c r="AVM157" s="37"/>
      <c r="AVN157" s="37"/>
      <c r="AVO157" s="37"/>
      <c r="AVP157" s="37"/>
      <c r="AVQ157" s="37"/>
      <c r="AVR157" s="37"/>
      <c r="AVS157" s="37"/>
      <c r="AVT157" s="37"/>
      <c r="AVU157" s="37"/>
      <c r="AVV157" s="37"/>
      <c r="AVW157" s="37"/>
      <c r="AVX157" s="37"/>
      <c r="AVY157" s="37"/>
      <c r="AVZ157" s="37"/>
      <c r="AWA157" s="37"/>
      <c r="AWB157" s="37"/>
      <c r="AWC157" s="37"/>
      <c r="AWD157" s="37"/>
      <c r="AWE157" s="37"/>
      <c r="AWF157" s="37"/>
      <c r="AWG157" s="37"/>
      <c r="AWH157" s="37"/>
      <c r="AWI157" s="37"/>
      <c r="AWJ157" s="37"/>
      <c r="AWK157" s="37"/>
      <c r="AWL157" s="37"/>
      <c r="AWM157" s="37"/>
      <c r="AWN157" s="37"/>
      <c r="AWO157" s="37"/>
      <c r="AWP157" s="37"/>
      <c r="AWQ157" s="37"/>
      <c r="AWR157" s="37"/>
      <c r="AWS157" s="37"/>
      <c r="AWT157" s="37"/>
      <c r="AWU157" s="37"/>
      <c r="AWV157" s="37"/>
      <c r="AWW157" s="37"/>
      <c r="AWX157" s="37"/>
      <c r="AWY157" s="37"/>
      <c r="AWZ157" s="37"/>
      <c r="AXA157" s="37"/>
      <c r="AXB157" s="37"/>
      <c r="AXC157" s="37"/>
      <c r="AXD157" s="37"/>
      <c r="AXE157" s="37"/>
      <c r="AXF157" s="37"/>
      <c r="AXG157" s="37"/>
      <c r="AXH157" s="37"/>
      <c r="AXI157" s="37"/>
      <c r="AXJ157" s="37"/>
      <c r="AXK157" s="37"/>
      <c r="AXL157" s="37"/>
      <c r="AXM157" s="37"/>
      <c r="AXN157" s="37"/>
      <c r="AXO157" s="37"/>
      <c r="AXP157" s="37"/>
      <c r="AXQ157" s="37"/>
      <c r="AXR157" s="37"/>
      <c r="AXS157" s="37"/>
      <c r="AXT157" s="37"/>
      <c r="AXU157" s="37"/>
      <c r="AXV157" s="37"/>
      <c r="AXW157" s="37"/>
      <c r="AXX157" s="37"/>
      <c r="AXY157" s="37"/>
      <c r="AXZ157" s="37"/>
      <c r="AYA157" s="37"/>
      <c r="AYB157" s="37"/>
      <c r="AYC157" s="37"/>
      <c r="AYD157" s="37"/>
      <c r="AYE157" s="37"/>
      <c r="AYF157" s="37"/>
      <c r="AYG157" s="37"/>
      <c r="AYH157" s="37"/>
      <c r="AYI157" s="37"/>
      <c r="AYJ157" s="37"/>
      <c r="AYK157" s="37"/>
      <c r="AYL157" s="37"/>
      <c r="AYM157" s="37"/>
      <c r="AYN157" s="37"/>
      <c r="AYO157" s="37"/>
      <c r="AYP157" s="37"/>
      <c r="AYQ157" s="37"/>
      <c r="AYR157" s="37"/>
      <c r="AYS157" s="37"/>
      <c r="AYT157" s="37"/>
      <c r="AYU157" s="37"/>
      <c r="AYV157" s="37"/>
      <c r="AYW157" s="37"/>
      <c r="AYX157" s="37"/>
      <c r="AYY157" s="37"/>
      <c r="AYZ157" s="37"/>
      <c r="AZA157" s="37"/>
      <c r="AZB157" s="37"/>
      <c r="AZC157" s="37"/>
      <c r="AZD157" s="37"/>
      <c r="AZE157" s="37"/>
      <c r="AZF157" s="37"/>
      <c r="AZG157" s="37"/>
      <c r="AZH157" s="37"/>
      <c r="AZI157" s="37"/>
      <c r="AZJ157" s="37"/>
      <c r="AZK157" s="37"/>
      <c r="AZL157" s="37"/>
      <c r="AZM157" s="37"/>
      <c r="AZN157" s="37"/>
      <c r="AZO157" s="37"/>
      <c r="AZP157" s="37"/>
      <c r="AZQ157" s="37"/>
      <c r="AZR157" s="37"/>
      <c r="AZS157" s="37"/>
      <c r="AZT157" s="37"/>
      <c r="AZU157" s="37"/>
      <c r="AZV157" s="37"/>
      <c r="AZW157" s="37"/>
      <c r="AZX157" s="37"/>
      <c r="AZY157" s="37"/>
      <c r="AZZ157" s="37"/>
      <c r="BAA157" s="37"/>
      <c r="BAB157" s="37"/>
      <c r="BAC157" s="37"/>
      <c r="BAD157" s="37"/>
      <c r="BAE157" s="37"/>
      <c r="BAF157" s="37"/>
      <c r="BAG157" s="37"/>
      <c r="BAH157" s="37"/>
      <c r="BAI157" s="37"/>
      <c r="BAJ157" s="37"/>
      <c r="BAK157" s="37"/>
      <c r="BAL157" s="37"/>
      <c r="BAM157" s="37"/>
      <c r="BAN157" s="37"/>
      <c r="BAO157" s="37"/>
      <c r="BAP157" s="37"/>
      <c r="BAQ157" s="37"/>
      <c r="BAR157" s="37"/>
      <c r="BAS157" s="37"/>
      <c r="BAT157" s="37"/>
      <c r="BAU157" s="37"/>
      <c r="BAV157" s="37"/>
      <c r="BAW157" s="37"/>
      <c r="BAX157" s="37"/>
      <c r="BAY157" s="37"/>
      <c r="BAZ157" s="37"/>
      <c r="BBA157" s="37"/>
      <c r="BBB157" s="37"/>
      <c r="BBC157" s="37"/>
      <c r="BBD157" s="37"/>
      <c r="BBE157" s="37"/>
      <c r="BBF157" s="37"/>
      <c r="BBG157" s="37"/>
      <c r="BBH157" s="37"/>
      <c r="BBI157" s="37"/>
      <c r="BBJ157" s="37"/>
      <c r="BBK157" s="37"/>
      <c r="BBL157" s="37"/>
      <c r="BBM157" s="37"/>
      <c r="BBN157" s="37"/>
      <c r="BBO157" s="37"/>
      <c r="BBP157" s="37"/>
      <c r="BBQ157" s="37"/>
      <c r="BBR157" s="37"/>
      <c r="BBS157" s="37"/>
      <c r="BBT157" s="37"/>
      <c r="BBU157" s="37"/>
      <c r="BBV157" s="37"/>
      <c r="BBW157" s="37"/>
      <c r="BBX157" s="37"/>
      <c r="BBY157" s="37"/>
      <c r="BBZ157" s="37"/>
      <c r="BCA157" s="37"/>
      <c r="BCB157" s="37"/>
      <c r="BCC157" s="37"/>
      <c r="BCD157" s="37"/>
      <c r="BCE157" s="37"/>
      <c r="BCF157" s="37"/>
      <c r="BCG157" s="37"/>
      <c r="BCH157" s="37"/>
      <c r="BCI157" s="37"/>
      <c r="BCJ157" s="37"/>
      <c r="BCK157" s="37"/>
      <c r="BCL157" s="37"/>
      <c r="BCM157" s="37"/>
      <c r="BCN157" s="37"/>
      <c r="BCO157" s="37"/>
      <c r="BCP157" s="37"/>
      <c r="BCQ157" s="37"/>
      <c r="BCR157" s="37"/>
      <c r="BCS157" s="37"/>
      <c r="BCT157" s="37"/>
      <c r="BCU157" s="37"/>
      <c r="BCV157" s="37"/>
      <c r="BCW157" s="37"/>
      <c r="BCX157" s="37"/>
      <c r="BCY157" s="37"/>
      <c r="BCZ157" s="37"/>
      <c r="BDA157" s="37"/>
      <c r="BDB157" s="37"/>
      <c r="BDC157" s="37"/>
      <c r="BDD157" s="37"/>
      <c r="BDE157" s="37"/>
      <c r="BDF157" s="37"/>
      <c r="BDG157" s="37"/>
      <c r="BDH157" s="37"/>
      <c r="BDI157" s="37"/>
      <c r="BDJ157" s="37"/>
      <c r="BDK157" s="37"/>
      <c r="BDL157" s="37"/>
      <c r="BDM157" s="37"/>
      <c r="BDN157" s="37"/>
      <c r="BDO157" s="37"/>
      <c r="BDP157" s="37"/>
      <c r="BDQ157" s="37"/>
      <c r="BDR157" s="37"/>
      <c r="BDS157" s="37"/>
      <c r="BDT157" s="37"/>
      <c r="BDU157" s="37"/>
      <c r="BDV157" s="37"/>
      <c r="BDW157" s="37"/>
      <c r="BDX157" s="37"/>
      <c r="BDY157" s="37"/>
      <c r="BDZ157" s="37"/>
      <c r="BEA157" s="37"/>
      <c r="BEB157" s="37"/>
      <c r="BEC157" s="37"/>
      <c r="BED157" s="37"/>
      <c r="BEE157" s="37"/>
      <c r="BEF157" s="37"/>
      <c r="BEG157" s="37"/>
      <c r="BEH157" s="37"/>
      <c r="BEI157" s="37"/>
      <c r="BEJ157" s="37"/>
      <c r="BEK157" s="37"/>
      <c r="BEL157" s="37"/>
      <c r="BEM157" s="37"/>
      <c r="BEN157" s="37"/>
      <c r="BEO157" s="37"/>
      <c r="BEP157" s="37"/>
      <c r="BEQ157" s="37"/>
      <c r="BER157" s="37"/>
      <c r="BES157" s="37"/>
      <c r="BET157" s="37"/>
      <c r="BEU157" s="37"/>
      <c r="BEV157" s="37"/>
      <c r="BEW157" s="37"/>
      <c r="BEX157" s="37"/>
      <c r="BEY157" s="37"/>
      <c r="BEZ157" s="37"/>
      <c r="BFA157" s="37"/>
      <c r="BFB157" s="37"/>
      <c r="BFC157" s="37"/>
      <c r="BFD157" s="37"/>
      <c r="BFE157" s="37"/>
      <c r="BFF157" s="37"/>
      <c r="BFG157" s="37"/>
      <c r="BFH157" s="37"/>
      <c r="BFI157" s="37"/>
      <c r="BFJ157" s="37"/>
      <c r="BFK157" s="37"/>
      <c r="BFL157" s="37"/>
      <c r="BFM157" s="37"/>
      <c r="BFN157" s="37"/>
      <c r="BFO157" s="37"/>
      <c r="BFP157" s="37"/>
      <c r="BFQ157" s="37"/>
      <c r="BFR157" s="37"/>
      <c r="BFS157" s="37"/>
      <c r="BFT157" s="37"/>
      <c r="BFU157" s="37"/>
      <c r="BFV157" s="37"/>
      <c r="BFW157" s="37"/>
      <c r="BFX157" s="37"/>
      <c r="BFY157" s="37"/>
      <c r="BFZ157" s="37"/>
      <c r="BGA157" s="37"/>
      <c r="BGB157" s="37"/>
      <c r="BGC157" s="37"/>
      <c r="BGD157" s="37"/>
      <c r="BGE157" s="37"/>
      <c r="BGF157" s="37"/>
      <c r="BGG157" s="37"/>
      <c r="BGH157" s="37"/>
      <c r="BGI157" s="37"/>
      <c r="BGJ157" s="37"/>
      <c r="BGK157" s="37"/>
      <c r="BGL157" s="37"/>
      <c r="BGM157" s="37"/>
      <c r="BGN157" s="37"/>
      <c r="BGO157" s="37"/>
      <c r="BGP157" s="37"/>
      <c r="BGQ157" s="37"/>
      <c r="BGR157" s="37"/>
      <c r="BGS157" s="37"/>
      <c r="BGT157" s="37"/>
      <c r="BGU157" s="37"/>
      <c r="BGV157" s="37"/>
      <c r="BGW157" s="37"/>
      <c r="BGX157" s="37"/>
      <c r="BGY157" s="37"/>
      <c r="BGZ157" s="37"/>
      <c r="BHA157" s="37"/>
      <c r="BHB157" s="37"/>
      <c r="BHC157" s="37"/>
      <c r="BHD157" s="37"/>
      <c r="BHE157" s="37"/>
      <c r="BHF157" s="37"/>
      <c r="BHG157" s="37"/>
      <c r="BHH157" s="37"/>
      <c r="BHI157" s="37"/>
      <c r="BHJ157" s="37"/>
      <c r="BHK157" s="37"/>
      <c r="BHL157" s="37"/>
      <c r="BHM157" s="37"/>
      <c r="BHN157" s="37"/>
      <c r="BHO157" s="37"/>
      <c r="BHP157" s="37"/>
      <c r="BHQ157" s="37"/>
      <c r="BHR157" s="37"/>
      <c r="BHS157" s="37"/>
      <c r="BHT157" s="37"/>
      <c r="BHU157" s="37"/>
      <c r="BHV157" s="37"/>
      <c r="BHW157" s="37"/>
      <c r="BHX157" s="37"/>
      <c r="BHY157" s="37"/>
      <c r="BHZ157" s="37"/>
      <c r="BIA157" s="37"/>
      <c r="BIB157" s="37"/>
      <c r="BIC157" s="37"/>
      <c r="BID157" s="37"/>
      <c r="BIE157" s="37"/>
      <c r="BIF157" s="37"/>
      <c r="BIG157" s="37"/>
      <c r="BIH157" s="37"/>
      <c r="BII157" s="37"/>
      <c r="BIJ157" s="37"/>
      <c r="BIK157" s="37"/>
      <c r="BIL157" s="37"/>
      <c r="BIM157" s="37"/>
      <c r="BIN157" s="37"/>
      <c r="BIO157" s="37"/>
      <c r="BIP157" s="37"/>
      <c r="BIQ157" s="37"/>
      <c r="BIR157" s="37"/>
      <c r="BIS157" s="37"/>
      <c r="BIT157" s="37"/>
      <c r="BIU157" s="37"/>
      <c r="BIV157" s="37"/>
      <c r="BIW157" s="37"/>
      <c r="BIX157" s="37"/>
      <c r="BIY157" s="37"/>
      <c r="BIZ157" s="37"/>
      <c r="BJA157" s="37"/>
      <c r="BJB157" s="37"/>
      <c r="BJC157" s="37"/>
      <c r="BJD157" s="37"/>
      <c r="BJE157" s="37"/>
      <c r="BJF157" s="37"/>
      <c r="BJG157" s="37"/>
      <c r="BJH157" s="37"/>
      <c r="BJI157" s="37"/>
      <c r="BJJ157" s="37"/>
      <c r="BJK157" s="37"/>
      <c r="BJL157" s="37"/>
      <c r="BJM157" s="37"/>
      <c r="BJN157" s="37"/>
      <c r="BJO157" s="37"/>
      <c r="BJP157" s="37"/>
      <c r="BJQ157" s="37"/>
      <c r="BJR157" s="37"/>
      <c r="BJS157" s="37"/>
      <c r="BJT157" s="37"/>
      <c r="BJU157" s="37"/>
      <c r="BJV157" s="37"/>
      <c r="BJW157" s="37"/>
      <c r="BJX157" s="37"/>
      <c r="BJY157" s="37"/>
      <c r="BJZ157" s="37"/>
      <c r="BKA157" s="37"/>
      <c r="BKB157" s="37"/>
      <c r="BKC157" s="37"/>
      <c r="BKD157" s="37"/>
      <c r="BKE157" s="37"/>
      <c r="BKF157" s="37"/>
      <c r="BKG157" s="37"/>
      <c r="BKH157" s="37"/>
      <c r="BKI157" s="37"/>
      <c r="BKJ157" s="37"/>
      <c r="BKK157" s="37"/>
      <c r="BKL157" s="37"/>
      <c r="BKM157" s="37"/>
      <c r="BKN157" s="37"/>
      <c r="BKO157" s="37"/>
      <c r="BKP157" s="37"/>
      <c r="BKQ157" s="37"/>
      <c r="BKR157" s="37"/>
      <c r="BKS157" s="37"/>
      <c r="BKT157" s="37"/>
      <c r="BKU157" s="37"/>
      <c r="BKV157" s="37"/>
      <c r="BKW157" s="37"/>
      <c r="BKX157" s="37"/>
      <c r="BKY157" s="37"/>
      <c r="BKZ157" s="37"/>
      <c r="BLA157" s="37"/>
      <c r="BLB157" s="37"/>
      <c r="BLC157" s="37"/>
      <c r="BLD157" s="37"/>
      <c r="BLE157" s="37"/>
      <c r="BLF157" s="37"/>
      <c r="BLG157" s="37"/>
      <c r="BLH157" s="37"/>
      <c r="BLI157" s="37"/>
      <c r="BLJ157" s="37"/>
      <c r="BLK157" s="37"/>
      <c r="BLL157" s="37"/>
      <c r="BLM157" s="37"/>
      <c r="BLN157" s="37"/>
      <c r="BLO157" s="37"/>
      <c r="BLP157" s="37"/>
      <c r="BLQ157" s="37"/>
      <c r="BLR157" s="37"/>
      <c r="BLS157" s="37"/>
      <c r="BLT157" s="37"/>
      <c r="BLU157" s="37"/>
      <c r="BLV157" s="37"/>
      <c r="BLW157" s="37"/>
      <c r="BLX157" s="37"/>
      <c r="BLY157" s="37"/>
      <c r="BLZ157" s="37"/>
      <c r="BMA157" s="37"/>
      <c r="BMB157" s="37"/>
      <c r="BMC157" s="37"/>
      <c r="BMD157" s="37"/>
      <c r="BME157" s="37"/>
      <c r="BMF157" s="37"/>
      <c r="BMG157" s="37"/>
      <c r="BMH157" s="37"/>
      <c r="BMI157" s="37"/>
      <c r="BMJ157" s="37"/>
      <c r="BMK157" s="37"/>
      <c r="BML157" s="37"/>
      <c r="BMM157" s="37"/>
      <c r="BMN157" s="37"/>
      <c r="BMO157" s="37"/>
      <c r="BMP157" s="37"/>
      <c r="BMQ157" s="37"/>
      <c r="BMR157" s="37"/>
      <c r="BMS157" s="37"/>
      <c r="BMT157" s="37"/>
      <c r="BMU157" s="37"/>
      <c r="BMV157" s="37"/>
      <c r="BMW157" s="37"/>
      <c r="BMX157" s="37"/>
      <c r="BMY157" s="37"/>
      <c r="BMZ157" s="37"/>
      <c r="BNA157" s="37"/>
      <c r="BNB157" s="37"/>
      <c r="BNC157" s="37"/>
      <c r="BND157" s="37"/>
      <c r="BNE157" s="37"/>
      <c r="BNF157" s="37"/>
      <c r="BNG157" s="37"/>
      <c r="BNH157" s="37"/>
      <c r="BNI157" s="37"/>
      <c r="BNJ157" s="37"/>
      <c r="BNK157" s="37"/>
      <c r="BNL157" s="37"/>
      <c r="BNM157" s="37"/>
      <c r="BNN157" s="37"/>
      <c r="BNO157" s="37"/>
      <c r="BNP157" s="37"/>
      <c r="BNQ157" s="37"/>
      <c r="BNR157" s="37"/>
      <c r="BNS157" s="37"/>
      <c r="BNT157" s="37"/>
      <c r="BNU157" s="37"/>
      <c r="BNV157" s="37"/>
      <c r="BNW157" s="37"/>
      <c r="BNX157" s="37"/>
      <c r="BNY157" s="37"/>
      <c r="BNZ157" s="37"/>
      <c r="BOA157" s="37"/>
      <c r="BOB157" s="37"/>
      <c r="BOC157" s="37"/>
      <c r="BOD157" s="37"/>
      <c r="BOE157" s="37"/>
      <c r="BOF157" s="37"/>
      <c r="BOG157" s="37"/>
      <c r="BOH157" s="37"/>
      <c r="BOI157" s="37"/>
      <c r="BOJ157" s="37"/>
      <c r="BOK157" s="37"/>
      <c r="BOL157" s="37"/>
      <c r="BOM157" s="37"/>
      <c r="BON157" s="37"/>
      <c r="BOO157" s="37"/>
      <c r="BOP157" s="37"/>
      <c r="BOQ157" s="37"/>
      <c r="BOR157" s="37"/>
      <c r="BOS157" s="37"/>
      <c r="BOT157" s="37"/>
      <c r="BOU157" s="37"/>
      <c r="BOV157" s="37"/>
      <c r="BOW157" s="37"/>
      <c r="BOX157" s="37"/>
      <c r="BOY157" s="37"/>
      <c r="BOZ157" s="37"/>
      <c r="BPA157" s="37"/>
      <c r="BPB157" s="37"/>
      <c r="BPC157" s="37"/>
      <c r="BPD157" s="37"/>
      <c r="BPE157" s="37"/>
      <c r="BPF157" s="37"/>
      <c r="BPG157" s="37"/>
      <c r="BPH157" s="37"/>
      <c r="BPI157" s="37"/>
      <c r="BPJ157" s="37"/>
      <c r="BPK157" s="37"/>
      <c r="BPL157" s="37"/>
      <c r="BPM157" s="37"/>
      <c r="BPN157" s="37"/>
      <c r="BPO157" s="37"/>
      <c r="BPP157" s="37"/>
      <c r="BPQ157" s="37"/>
      <c r="BPR157" s="37"/>
      <c r="BPS157" s="37"/>
      <c r="BPT157" s="37"/>
      <c r="BPU157" s="37"/>
      <c r="BPV157" s="37"/>
      <c r="BPW157" s="37"/>
      <c r="BPX157" s="37"/>
      <c r="BPY157" s="37"/>
      <c r="BPZ157" s="37"/>
      <c r="BQA157" s="37"/>
      <c r="BQB157" s="37"/>
      <c r="BQC157" s="37"/>
      <c r="BQD157" s="37"/>
      <c r="BQE157" s="37"/>
      <c r="BQF157" s="37"/>
      <c r="BQG157" s="37"/>
      <c r="BQH157" s="37"/>
      <c r="BQI157" s="37"/>
      <c r="BQJ157" s="37"/>
      <c r="BQK157" s="37"/>
      <c r="BQL157" s="37"/>
      <c r="BQM157" s="37"/>
      <c r="BQN157" s="37"/>
      <c r="BQO157" s="37"/>
      <c r="BQP157" s="37"/>
      <c r="BQQ157" s="37"/>
      <c r="BQR157" s="37"/>
      <c r="BQS157" s="37"/>
      <c r="BQT157" s="37"/>
      <c r="BQU157" s="37"/>
      <c r="BQV157" s="37"/>
      <c r="BQW157" s="37"/>
      <c r="BQX157" s="37"/>
      <c r="BQY157" s="37"/>
      <c r="BQZ157" s="37"/>
      <c r="BRA157" s="37"/>
      <c r="BRB157" s="37"/>
      <c r="BRC157" s="37"/>
      <c r="BRD157" s="37"/>
      <c r="BRE157" s="37"/>
      <c r="BRF157" s="37"/>
      <c r="BRG157" s="37"/>
      <c r="BRH157" s="37"/>
      <c r="BRI157" s="37"/>
      <c r="BRJ157" s="37"/>
      <c r="BRK157" s="37"/>
      <c r="BRL157" s="37"/>
      <c r="BRM157" s="37"/>
      <c r="BRN157" s="37"/>
      <c r="BRO157" s="37"/>
      <c r="BRP157" s="37"/>
      <c r="BRQ157" s="37"/>
      <c r="BRR157" s="37"/>
      <c r="BRS157" s="37"/>
      <c r="BRT157" s="37"/>
      <c r="BRU157" s="37"/>
      <c r="BRV157" s="37"/>
      <c r="BRW157" s="37"/>
      <c r="BRX157" s="37"/>
      <c r="BRY157" s="37"/>
      <c r="BRZ157" s="37"/>
      <c r="BSA157" s="37"/>
      <c r="BSB157" s="37"/>
      <c r="BSC157" s="37"/>
      <c r="BSD157" s="37"/>
      <c r="BSE157" s="37"/>
      <c r="BSF157" s="37"/>
      <c r="BSG157" s="37"/>
      <c r="BSH157" s="37"/>
      <c r="BSI157" s="37"/>
      <c r="BSJ157" s="37"/>
      <c r="BSK157" s="37"/>
      <c r="BSL157" s="37"/>
      <c r="BSM157" s="37"/>
      <c r="BSN157" s="37"/>
      <c r="BSO157" s="37"/>
      <c r="BSP157" s="37"/>
      <c r="BSQ157" s="37"/>
      <c r="BSR157" s="37"/>
      <c r="BSS157" s="37"/>
      <c r="BST157" s="37"/>
      <c r="BSU157" s="37"/>
      <c r="BSV157" s="37"/>
      <c r="BSW157" s="37"/>
      <c r="BSX157" s="37"/>
      <c r="BSY157" s="37"/>
      <c r="BSZ157" s="37"/>
      <c r="BTA157" s="37"/>
      <c r="BTB157" s="37"/>
      <c r="BTC157" s="37"/>
      <c r="BTD157" s="37"/>
      <c r="BTE157" s="37"/>
      <c r="BTF157" s="37"/>
      <c r="BTG157" s="37"/>
      <c r="BTH157" s="37"/>
      <c r="BTI157" s="37"/>
      <c r="BTJ157" s="37"/>
      <c r="BTK157" s="37"/>
      <c r="BTL157" s="37"/>
      <c r="BTM157" s="37"/>
      <c r="BTN157" s="37"/>
      <c r="BTO157" s="37"/>
      <c r="BTP157" s="37"/>
      <c r="BTQ157" s="37"/>
      <c r="BTR157" s="37"/>
      <c r="BTS157" s="37"/>
      <c r="BTT157" s="37"/>
      <c r="BTU157" s="37"/>
      <c r="BTV157" s="37"/>
      <c r="BTW157" s="37"/>
      <c r="BTX157" s="37"/>
      <c r="BTY157" s="37"/>
      <c r="BTZ157" s="37"/>
      <c r="BUA157" s="37"/>
      <c r="BUB157" s="37"/>
      <c r="BUC157" s="37"/>
      <c r="BUD157" s="37"/>
      <c r="BUE157" s="37"/>
      <c r="BUF157" s="37"/>
      <c r="BUG157" s="37"/>
      <c r="BUH157" s="37"/>
      <c r="BUI157" s="37"/>
      <c r="BUJ157" s="37"/>
      <c r="BUK157" s="37"/>
      <c r="BUL157" s="37"/>
      <c r="BUM157" s="37"/>
      <c r="BUN157" s="37"/>
      <c r="BUO157" s="37"/>
      <c r="BUP157" s="37"/>
      <c r="BUQ157" s="37"/>
      <c r="BUR157" s="37"/>
      <c r="BUS157" s="37"/>
      <c r="BUT157" s="37"/>
      <c r="BUU157" s="37"/>
      <c r="BUV157" s="37"/>
      <c r="BUW157" s="37"/>
      <c r="BUX157" s="37"/>
      <c r="BUY157" s="37"/>
      <c r="BUZ157" s="37"/>
      <c r="BVA157" s="37"/>
      <c r="BVB157" s="37"/>
      <c r="BVC157" s="37"/>
      <c r="BVD157" s="37"/>
      <c r="BVE157" s="37"/>
      <c r="BVF157" s="37"/>
      <c r="BVG157" s="37"/>
      <c r="BVH157" s="37"/>
      <c r="BVI157" s="37"/>
      <c r="BVJ157" s="37"/>
      <c r="BVK157" s="37"/>
      <c r="BVL157" s="37"/>
      <c r="BVM157" s="37"/>
      <c r="BVN157" s="37"/>
      <c r="BVO157" s="37"/>
      <c r="BVP157" s="37"/>
      <c r="BVQ157" s="37"/>
      <c r="BVR157" s="37"/>
      <c r="BVS157" s="37"/>
      <c r="BVT157" s="37"/>
      <c r="BVU157" s="37"/>
      <c r="BVV157" s="37"/>
      <c r="BVW157" s="37"/>
      <c r="BVX157" s="37"/>
      <c r="BVY157" s="37"/>
      <c r="BVZ157" s="37"/>
      <c r="BWA157" s="37"/>
      <c r="BWB157" s="37"/>
      <c r="BWC157" s="37"/>
      <c r="BWD157" s="37"/>
      <c r="BWE157" s="37"/>
      <c r="BWF157" s="37"/>
      <c r="BWG157" s="37"/>
      <c r="BWH157" s="37"/>
      <c r="BWI157" s="37"/>
      <c r="BWJ157" s="37"/>
      <c r="BWK157" s="37"/>
      <c r="BWL157" s="37"/>
      <c r="BWM157" s="37"/>
      <c r="BWN157" s="37"/>
      <c r="BWO157" s="37"/>
      <c r="BWP157" s="37"/>
      <c r="BWQ157" s="37"/>
      <c r="BWR157" s="37"/>
      <c r="BWS157" s="37"/>
      <c r="BWT157" s="37"/>
      <c r="BWU157" s="37"/>
      <c r="BWV157" s="37"/>
      <c r="BWW157" s="37"/>
      <c r="BWX157" s="37"/>
      <c r="BWY157" s="37"/>
      <c r="BWZ157" s="37"/>
      <c r="BXA157" s="37"/>
      <c r="BXB157" s="37"/>
      <c r="BXC157" s="37"/>
      <c r="BXD157" s="37"/>
      <c r="BXE157" s="37"/>
      <c r="BXF157" s="37"/>
      <c r="BXG157" s="37"/>
      <c r="BXH157" s="37"/>
      <c r="BXI157" s="37"/>
      <c r="BXJ157" s="37"/>
      <c r="BXK157" s="37"/>
      <c r="BXL157" s="37"/>
      <c r="BXM157" s="37"/>
      <c r="BXN157" s="37"/>
      <c r="BXO157" s="37"/>
      <c r="BXP157" s="37"/>
      <c r="BXQ157" s="37"/>
      <c r="BXR157" s="37"/>
      <c r="BXS157" s="37"/>
      <c r="BXT157" s="37"/>
      <c r="BXU157" s="37"/>
      <c r="BXV157" s="37"/>
      <c r="BXW157" s="37"/>
      <c r="BXX157" s="37"/>
      <c r="BXY157" s="37"/>
      <c r="BXZ157" s="37"/>
      <c r="BYA157" s="37"/>
      <c r="BYB157" s="37"/>
      <c r="BYC157" s="37"/>
      <c r="BYD157" s="37"/>
      <c r="BYE157" s="37"/>
      <c r="BYF157" s="37"/>
      <c r="BYG157" s="37"/>
      <c r="BYH157" s="37"/>
      <c r="BYI157" s="37"/>
      <c r="BYJ157" s="37"/>
      <c r="BYK157" s="37"/>
      <c r="BYL157" s="37"/>
      <c r="BYM157" s="37"/>
      <c r="BYN157" s="37"/>
      <c r="BYO157" s="37"/>
      <c r="BYP157" s="37"/>
      <c r="BYQ157" s="37"/>
      <c r="BYR157" s="37"/>
      <c r="BYS157" s="37"/>
      <c r="BYT157" s="37"/>
      <c r="BYU157" s="37"/>
      <c r="BYV157" s="37"/>
      <c r="BYW157" s="37"/>
      <c r="BYX157" s="37"/>
      <c r="BYY157" s="37"/>
      <c r="BYZ157" s="37"/>
      <c r="BZA157" s="37"/>
      <c r="BZB157" s="37"/>
      <c r="BZC157" s="37"/>
      <c r="BZD157" s="37"/>
      <c r="BZE157" s="37"/>
      <c r="BZF157" s="37"/>
      <c r="BZG157" s="37"/>
      <c r="BZH157" s="37"/>
      <c r="BZI157" s="37"/>
      <c r="BZJ157" s="37"/>
      <c r="BZK157" s="37"/>
      <c r="BZL157" s="37"/>
      <c r="BZM157" s="37"/>
      <c r="BZN157" s="37"/>
      <c r="BZO157" s="37"/>
      <c r="BZP157" s="37"/>
      <c r="BZQ157" s="37"/>
      <c r="BZR157" s="37"/>
      <c r="BZS157" s="37"/>
      <c r="BZT157" s="37"/>
      <c r="BZU157" s="37"/>
      <c r="BZV157" s="37"/>
      <c r="BZW157" s="37"/>
      <c r="BZX157" s="37"/>
      <c r="BZY157" s="37"/>
      <c r="BZZ157" s="37"/>
      <c r="CAA157" s="37"/>
      <c r="CAB157" s="37"/>
      <c r="CAC157" s="37"/>
      <c r="CAD157" s="37"/>
      <c r="CAE157" s="37"/>
      <c r="CAF157" s="37"/>
      <c r="CAG157" s="37"/>
      <c r="CAH157" s="37"/>
      <c r="CAI157" s="37"/>
      <c r="CAJ157" s="37"/>
      <c r="CAK157" s="37"/>
      <c r="CAL157" s="37"/>
      <c r="CAM157" s="37"/>
      <c r="CAN157" s="37"/>
      <c r="CAO157" s="37"/>
      <c r="CAP157" s="37"/>
      <c r="CAQ157" s="37"/>
      <c r="CAR157" s="37"/>
      <c r="CAS157" s="37"/>
      <c r="CAT157" s="37"/>
      <c r="CAU157" s="37"/>
      <c r="CAV157" s="37"/>
      <c r="CAW157" s="37"/>
      <c r="CAX157" s="37"/>
      <c r="CAY157" s="37"/>
      <c r="CAZ157" s="37"/>
      <c r="CBA157" s="37"/>
      <c r="CBB157" s="37"/>
      <c r="CBC157" s="37"/>
      <c r="CBD157" s="37"/>
      <c r="CBE157" s="37"/>
      <c r="CBF157" s="37"/>
      <c r="CBG157" s="37"/>
      <c r="CBH157" s="37"/>
      <c r="CBI157" s="37"/>
      <c r="CBJ157" s="37"/>
      <c r="CBK157" s="37"/>
      <c r="CBL157" s="37"/>
      <c r="CBM157" s="37"/>
      <c r="CBN157" s="37"/>
      <c r="CBO157" s="37"/>
      <c r="CBP157" s="37"/>
      <c r="CBQ157" s="37"/>
      <c r="CBR157" s="37"/>
      <c r="CBS157" s="37"/>
      <c r="CBT157" s="37"/>
      <c r="CBU157" s="37"/>
      <c r="CBV157" s="37"/>
      <c r="CBW157" s="37"/>
      <c r="CBX157" s="37"/>
      <c r="CBY157" s="37"/>
      <c r="CBZ157" s="37"/>
      <c r="CCA157" s="37"/>
      <c r="CCB157" s="37"/>
      <c r="CCC157" s="37"/>
      <c r="CCD157" s="37"/>
      <c r="CCE157" s="37"/>
      <c r="CCF157" s="37"/>
      <c r="CCG157" s="37"/>
      <c r="CCH157" s="37"/>
      <c r="CCI157" s="37"/>
      <c r="CCJ157" s="37"/>
      <c r="CCK157" s="37"/>
      <c r="CCL157" s="37"/>
      <c r="CCM157" s="37"/>
      <c r="CCN157" s="37"/>
      <c r="CCO157" s="37"/>
      <c r="CCP157" s="37"/>
      <c r="CCQ157" s="37"/>
      <c r="CCR157" s="37"/>
      <c r="CCS157" s="37"/>
      <c r="CCT157" s="37"/>
      <c r="CCU157" s="37"/>
      <c r="CCV157" s="37"/>
      <c r="CCW157" s="37"/>
      <c r="CCX157" s="37"/>
      <c r="CCY157" s="37"/>
      <c r="CCZ157" s="37"/>
      <c r="CDA157" s="37"/>
      <c r="CDB157" s="37"/>
      <c r="CDC157" s="37"/>
      <c r="CDD157" s="37"/>
      <c r="CDE157" s="37"/>
      <c r="CDF157" s="37"/>
      <c r="CDG157" s="37"/>
      <c r="CDH157" s="37"/>
      <c r="CDI157" s="37"/>
      <c r="CDJ157" s="37"/>
      <c r="CDK157" s="37"/>
      <c r="CDL157" s="37"/>
      <c r="CDM157" s="37"/>
      <c r="CDN157" s="37"/>
      <c r="CDO157" s="37"/>
      <c r="CDP157" s="37"/>
      <c r="CDQ157" s="37"/>
      <c r="CDR157" s="37"/>
      <c r="CDS157" s="37"/>
      <c r="CDT157" s="37"/>
      <c r="CDU157" s="37"/>
      <c r="CDV157" s="37"/>
      <c r="CDW157" s="37"/>
      <c r="CDX157" s="37"/>
      <c r="CDY157" s="37"/>
      <c r="CDZ157" s="37"/>
      <c r="CEA157" s="37"/>
      <c r="CEB157" s="37"/>
      <c r="CEC157" s="37"/>
      <c r="CED157" s="37"/>
      <c r="CEE157" s="37"/>
      <c r="CEF157" s="37"/>
      <c r="CEG157" s="37"/>
      <c r="CEH157" s="37"/>
      <c r="CEI157" s="37"/>
      <c r="CEJ157" s="37"/>
      <c r="CEK157" s="37"/>
      <c r="CEL157" s="37"/>
      <c r="CEM157" s="37"/>
      <c r="CEN157" s="37"/>
      <c r="CEO157" s="37"/>
      <c r="CEP157" s="37"/>
      <c r="CEQ157" s="37"/>
      <c r="CER157" s="37"/>
      <c r="CES157" s="37"/>
      <c r="CET157" s="37"/>
      <c r="CEU157" s="37"/>
      <c r="CEV157" s="37"/>
      <c r="CEW157" s="37"/>
      <c r="CEX157" s="37"/>
      <c r="CEY157" s="37"/>
      <c r="CEZ157" s="37"/>
      <c r="CFA157" s="37"/>
      <c r="CFB157" s="37"/>
      <c r="CFC157" s="37"/>
      <c r="CFD157" s="37"/>
      <c r="CFE157" s="37"/>
      <c r="CFF157" s="37"/>
      <c r="CFG157" s="37"/>
      <c r="CFH157" s="37"/>
      <c r="CFI157" s="37"/>
      <c r="CFJ157" s="37"/>
      <c r="CFK157" s="37"/>
      <c r="CFL157" s="37"/>
      <c r="CFM157" s="37"/>
      <c r="CFN157" s="37"/>
      <c r="CFO157" s="37"/>
      <c r="CFP157" s="37"/>
      <c r="CFQ157" s="37"/>
      <c r="CFR157" s="37"/>
      <c r="CFS157" s="37"/>
      <c r="CFT157" s="37"/>
      <c r="CFU157" s="37"/>
      <c r="CFV157" s="37"/>
      <c r="CFW157" s="37"/>
      <c r="CFX157" s="37"/>
      <c r="CFY157" s="37"/>
      <c r="CFZ157" s="37"/>
      <c r="CGA157" s="37"/>
      <c r="CGB157" s="37"/>
      <c r="CGC157" s="37"/>
      <c r="CGD157" s="37"/>
      <c r="CGE157" s="37"/>
      <c r="CGF157" s="37"/>
      <c r="CGG157" s="37"/>
      <c r="CGH157" s="37"/>
      <c r="CGI157" s="37"/>
      <c r="CGJ157" s="37"/>
      <c r="CGK157" s="37"/>
      <c r="CGL157" s="37"/>
      <c r="CGM157" s="37"/>
      <c r="CGN157" s="37"/>
      <c r="CGO157" s="37"/>
      <c r="CGP157" s="37"/>
      <c r="CGQ157" s="37"/>
      <c r="CGR157" s="37"/>
      <c r="CGS157" s="37"/>
      <c r="CGT157" s="37"/>
      <c r="CGU157" s="37"/>
      <c r="CGV157" s="37"/>
      <c r="CGW157" s="37"/>
      <c r="CGX157" s="37"/>
      <c r="CGY157" s="37"/>
      <c r="CGZ157" s="37"/>
      <c r="CHA157" s="37"/>
      <c r="CHB157" s="37"/>
      <c r="CHC157" s="37"/>
      <c r="CHD157" s="37"/>
      <c r="CHE157" s="37"/>
      <c r="CHF157" s="37"/>
      <c r="CHG157" s="37"/>
      <c r="CHH157" s="37"/>
      <c r="CHI157" s="37"/>
      <c r="CHJ157" s="37"/>
      <c r="CHK157" s="37"/>
      <c r="CHL157" s="37"/>
      <c r="CHM157" s="37"/>
      <c r="CHN157" s="37"/>
      <c r="CHO157" s="37"/>
      <c r="CHP157" s="37"/>
      <c r="CHQ157" s="37"/>
      <c r="CHR157" s="37"/>
      <c r="CHS157" s="37"/>
      <c r="CHT157" s="37"/>
      <c r="CHU157" s="37"/>
      <c r="CHV157" s="37"/>
      <c r="CHW157" s="37"/>
      <c r="CHX157" s="37"/>
      <c r="CHY157" s="37"/>
      <c r="CHZ157" s="37"/>
      <c r="CIA157" s="37"/>
      <c r="CIB157" s="37"/>
      <c r="CIC157" s="37"/>
      <c r="CID157" s="37"/>
      <c r="CIE157" s="37"/>
      <c r="CIF157" s="37"/>
      <c r="CIG157" s="37"/>
      <c r="CIH157" s="37"/>
      <c r="CII157" s="37"/>
      <c r="CIJ157" s="37"/>
      <c r="CIK157" s="37"/>
      <c r="CIL157" s="37"/>
      <c r="CIM157" s="37"/>
      <c r="CIN157" s="37"/>
      <c r="CIO157" s="37"/>
      <c r="CIP157" s="37"/>
      <c r="CIQ157" s="37"/>
      <c r="CIR157" s="37"/>
      <c r="CIS157" s="37"/>
      <c r="CIT157" s="37"/>
      <c r="CIU157" s="37"/>
      <c r="CIV157" s="37"/>
      <c r="CIW157" s="37"/>
      <c r="CIX157" s="37"/>
      <c r="CIY157" s="37"/>
      <c r="CIZ157" s="37"/>
      <c r="CJA157" s="37"/>
      <c r="CJB157" s="37"/>
      <c r="CJC157" s="37"/>
      <c r="CJD157" s="37"/>
      <c r="CJE157" s="37"/>
      <c r="CJF157" s="37"/>
      <c r="CJG157" s="37"/>
      <c r="CJH157" s="37"/>
      <c r="CJI157" s="37"/>
      <c r="CJJ157" s="37"/>
      <c r="CJK157" s="37"/>
      <c r="CJL157" s="37"/>
      <c r="CJM157" s="37"/>
      <c r="CJN157" s="37"/>
      <c r="CJO157" s="37"/>
      <c r="CJP157" s="37"/>
      <c r="CJQ157" s="37"/>
      <c r="CJR157" s="37"/>
      <c r="CJS157" s="37"/>
      <c r="CJT157" s="37"/>
      <c r="CJU157" s="37"/>
      <c r="CJV157" s="37"/>
      <c r="CJW157" s="37"/>
      <c r="CJX157" s="37"/>
      <c r="CJY157" s="37"/>
      <c r="CJZ157" s="37"/>
      <c r="CKA157" s="37"/>
      <c r="CKB157" s="37"/>
      <c r="CKC157" s="37"/>
      <c r="CKD157" s="37"/>
      <c r="CKE157" s="37"/>
      <c r="CKF157" s="37"/>
      <c r="CKG157" s="37"/>
      <c r="CKH157" s="37"/>
      <c r="CKI157" s="37"/>
      <c r="CKJ157" s="37"/>
      <c r="CKK157" s="37"/>
      <c r="CKL157" s="37"/>
      <c r="CKM157" s="37"/>
      <c r="CKN157" s="37"/>
      <c r="CKO157" s="37"/>
      <c r="CKP157" s="37"/>
      <c r="CKQ157" s="37"/>
      <c r="CKR157" s="37"/>
      <c r="CKS157" s="37"/>
      <c r="CKT157" s="37"/>
      <c r="CKU157" s="37"/>
      <c r="CKV157" s="37"/>
      <c r="CKW157" s="37"/>
      <c r="CKX157" s="37"/>
      <c r="CKY157" s="37"/>
      <c r="CKZ157" s="37"/>
      <c r="CLA157" s="37"/>
      <c r="CLB157" s="37"/>
      <c r="CLC157" s="37"/>
      <c r="CLD157" s="37"/>
      <c r="CLE157" s="37"/>
      <c r="CLF157" s="37"/>
      <c r="CLG157" s="37"/>
      <c r="CLH157" s="37"/>
      <c r="CLI157" s="37"/>
      <c r="CLJ157" s="37"/>
      <c r="CLK157" s="37"/>
      <c r="CLL157" s="37"/>
      <c r="CLM157" s="37"/>
      <c r="CLN157" s="37"/>
      <c r="CLO157" s="37"/>
      <c r="CLP157" s="37"/>
      <c r="CLQ157" s="37"/>
      <c r="CLR157" s="37"/>
      <c r="CLS157" s="37"/>
      <c r="CLT157" s="37"/>
      <c r="CLU157" s="37"/>
      <c r="CLV157" s="37"/>
      <c r="CLW157" s="37"/>
      <c r="CLX157" s="37"/>
      <c r="CLY157" s="37"/>
      <c r="CLZ157" s="37"/>
      <c r="CMA157" s="37"/>
      <c r="CMB157" s="37"/>
      <c r="CMC157" s="37"/>
      <c r="CMD157" s="37"/>
      <c r="CME157" s="37"/>
      <c r="CMF157" s="37"/>
      <c r="CMG157" s="37"/>
      <c r="CMH157" s="37"/>
      <c r="CMI157" s="37"/>
      <c r="CMJ157" s="37"/>
      <c r="CMK157" s="37"/>
      <c r="CML157" s="37"/>
      <c r="CMM157" s="37"/>
      <c r="CMN157" s="37"/>
      <c r="CMO157" s="37"/>
      <c r="CMP157" s="37"/>
      <c r="CMQ157" s="37"/>
      <c r="CMR157" s="37"/>
      <c r="CMS157" s="37"/>
      <c r="CMT157" s="37"/>
      <c r="CMU157" s="37"/>
      <c r="CMV157" s="37"/>
      <c r="CMW157" s="37"/>
      <c r="CMX157" s="37"/>
      <c r="CMY157" s="37"/>
      <c r="CMZ157" s="37"/>
      <c r="CNA157" s="37"/>
      <c r="CNB157" s="37"/>
      <c r="CNC157" s="37"/>
      <c r="CND157" s="37"/>
      <c r="CNE157" s="37"/>
      <c r="CNF157" s="37"/>
      <c r="CNG157" s="37"/>
      <c r="CNH157" s="37"/>
      <c r="CNI157" s="37"/>
      <c r="CNJ157" s="37"/>
      <c r="CNK157" s="37"/>
      <c r="CNL157" s="37"/>
      <c r="CNM157" s="37"/>
      <c r="CNN157" s="37"/>
      <c r="CNO157" s="37"/>
      <c r="CNP157" s="37"/>
      <c r="CNQ157" s="37"/>
      <c r="CNR157" s="37"/>
      <c r="CNS157" s="37"/>
      <c r="CNT157" s="37"/>
      <c r="CNU157" s="37"/>
      <c r="CNV157" s="37"/>
      <c r="CNW157" s="37"/>
      <c r="CNX157" s="37"/>
      <c r="CNY157" s="37"/>
      <c r="CNZ157" s="37"/>
      <c r="COA157" s="37"/>
      <c r="COB157" s="37"/>
      <c r="COC157" s="37"/>
      <c r="COD157" s="37"/>
      <c r="COE157" s="37"/>
      <c r="COF157" s="37"/>
      <c r="COG157" s="37"/>
      <c r="COH157" s="37"/>
      <c r="COI157" s="37"/>
      <c r="COJ157" s="37"/>
      <c r="COK157" s="37"/>
      <c r="COL157" s="37"/>
      <c r="COM157" s="37"/>
      <c r="CON157" s="37"/>
      <c r="COO157" s="37"/>
      <c r="COP157" s="37"/>
      <c r="COQ157" s="37"/>
      <c r="COR157" s="37"/>
      <c r="COS157" s="37"/>
      <c r="COT157" s="37"/>
      <c r="COU157" s="37"/>
      <c r="COV157" s="37"/>
      <c r="COW157" s="37"/>
      <c r="COX157" s="37"/>
      <c r="COY157" s="37"/>
      <c r="COZ157" s="37"/>
      <c r="CPA157" s="37"/>
      <c r="CPB157" s="37"/>
      <c r="CPC157" s="37"/>
      <c r="CPD157" s="37"/>
      <c r="CPE157" s="37"/>
      <c r="CPF157" s="37"/>
      <c r="CPG157" s="37"/>
      <c r="CPH157" s="37"/>
      <c r="CPI157" s="37"/>
      <c r="CPJ157" s="37"/>
      <c r="CPK157" s="37"/>
      <c r="CPL157" s="37"/>
      <c r="CPM157" s="37"/>
      <c r="CPN157" s="37"/>
      <c r="CPO157" s="37"/>
      <c r="CPP157" s="37"/>
      <c r="CPQ157" s="37"/>
      <c r="CPR157" s="37"/>
      <c r="CPS157" s="37"/>
      <c r="CPT157" s="37"/>
      <c r="CPU157" s="37"/>
      <c r="CPV157" s="37"/>
      <c r="CPW157" s="37"/>
      <c r="CPX157" s="37"/>
      <c r="CPY157" s="37"/>
      <c r="CPZ157" s="37"/>
      <c r="CQA157" s="37"/>
      <c r="CQB157" s="37"/>
      <c r="CQC157" s="37"/>
      <c r="CQD157" s="37"/>
      <c r="CQE157" s="37"/>
      <c r="CQF157" s="37"/>
      <c r="CQG157" s="37"/>
      <c r="CQH157" s="37"/>
      <c r="CQI157" s="37"/>
      <c r="CQJ157" s="37"/>
      <c r="CQK157" s="37"/>
      <c r="CQL157" s="37"/>
      <c r="CQM157" s="37"/>
      <c r="CQN157" s="37"/>
      <c r="CQO157" s="37"/>
      <c r="CQP157" s="37"/>
      <c r="CQQ157" s="37"/>
      <c r="CQR157" s="37"/>
      <c r="CQS157" s="37"/>
      <c r="CQT157" s="37"/>
      <c r="CQU157" s="37"/>
      <c r="CQV157" s="37"/>
      <c r="CQW157" s="37"/>
      <c r="CQX157" s="37"/>
      <c r="CQY157" s="37"/>
      <c r="CQZ157" s="37"/>
      <c r="CRA157" s="37"/>
      <c r="CRB157" s="37"/>
      <c r="CRC157" s="37"/>
      <c r="CRD157" s="37"/>
      <c r="CRE157" s="37"/>
      <c r="CRF157" s="37"/>
      <c r="CRG157" s="37"/>
      <c r="CRH157" s="37"/>
      <c r="CRI157" s="37"/>
      <c r="CRJ157" s="37"/>
      <c r="CRK157" s="37"/>
      <c r="CRL157" s="37"/>
      <c r="CRM157" s="37"/>
      <c r="CRN157" s="37"/>
      <c r="CRO157" s="37"/>
      <c r="CRP157" s="37"/>
      <c r="CRQ157" s="37"/>
      <c r="CRR157" s="37"/>
      <c r="CRS157" s="37"/>
      <c r="CRT157" s="37"/>
      <c r="CRU157" s="37"/>
      <c r="CRV157" s="37"/>
      <c r="CRW157" s="37"/>
      <c r="CRX157" s="37"/>
      <c r="CRY157" s="37"/>
      <c r="CRZ157" s="37"/>
      <c r="CSA157" s="37"/>
      <c r="CSB157" s="37"/>
      <c r="CSC157" s="37"/>
      <c r="CSD157" s="37"/>
      <c r="CSE157" s="37"/>
      <c r="CSF157" s="37"/>
      <c r="CSG157" s="37"/>
      <c r="CSH157" s="37"/>
      <c r="CSI157" s="37"/>
      <c r="CSJ157" s="37"/>
      <c r="CSK157" s="37"/>
      <c r="CSL157" s="37"/>
      <c r="CSM157" s="37"/>
      <c r="CSN157" s="37"/>
      <c r="CSO157" s="37"/>
      <c r="CSP157" s="37"/>
      <c r="CSQ157" s="37"/>
      <c r="CSR157" s="37"/>
      <c r="CSS157" s="37"/>
      <c r="CST157" s="37"/>
      <c r="CSU157" s="37"/>
      <c r="CSV157" s="37"/>
      <c r="CSW157" s="37"/>
      <c r="CSX157" s="37"/>
      <c r="CSY157" s="37"/>
      <c r="CSZ157" s="37"/>
      <c r="CTA157" s="37"/>
      <c r="CTB157" s="37"/>
      <c r="CTC157" s="37"/>
      <c r="CTD157" s="37"/>
      <c r="CTE157" s="37"/>
      <c r="CTF157" s="37"/>
      <c r="CTG157" s="37"/>
      <c r="CTH157" s="37"/>
      <c r="CTI157" s="37"/>
      <c r="CTJ157" s="37"/>
      <c r="CTK157" s="37"/>
      <c r="CTL157" s="37"/>
      <c r="CTM157" s="37"/>
      <c r="CTN157" s="37"/>
      <c r="CTO157" s="37"/>
      <c r="CTP157" s="37"/>
      <c r="CTQ157" s="37"/>
      <c r="CTR157" s="37"/>
      <c r="CTS157" s="37"/>
      <c r="CTT157" s="37"/>
      <c r="CTU157" s="37"/>
      <c r="CTV157" s="37"/>
      <c r="CTW157" s="37"/>
      <c r="CTX157" s="37"/>
      <c r="CTY157" s="37"/>
      <c r="CTZ157" s="37"/>
      <c r="CUA157" s="37"/>
      <c r="CUB157" s="37"/>
      <c r="CUC157" s="37"/>
      <c r="CUD157" s="37"/>
      <c r="CUE157" s="37"/>
      <c r="CUF157" s="37"/>
      <c r="CUG157" s="37"/>
      <c r="CUH157" s="37"/>
      <c r="CUI157" s="37"/>
      <c r="CUJ157" s="37"/>
      <c r="CUK157" s="37"/>
      <c r="CUL157" s="37"/>
      <c r="CUM157" s="37"/>
      <c r="CUN157" s="37"/>
      <c r="CUO157" s="37"/>
      <c r="CUP157" s="37"/>
      <c r="CUQ157" s="37"/>
      <c r="CUR157" s="37"/>
      <c r="CUS157" s="37"/>
      <c r="CUT157" s="37"/>
      <c r="CUU157" s="37"/>
      <c r="CUV157" s="37"/>
      <c r="CUW157" s="37"/>
      <c r="CUX157" s="37"/>
      <c r="CUY157" s="37"/>
      <c r="CUZ157" s="37"/>
      <c r="CVA157" s="37"/>
      <c r="CVB157" s="37"/>
      <c r="CVC157" s="37"/>
      <c r="CVD157" s="37"/>
      <c r="CVE157" s="37"/>
      <c r="CVF157" s="37"/>
      <c r="CVG157" s="37"/>
      <c r="CVH157" s="37"/>
      <c r="CVI157" s="37"/>
      <c r="CVJ157" s="37"/>
      <c r="CVK157" s="37"/>
      <c r="CVL157" s="37"/>
      <c r="CVM157" s="37"/>
      <c r="CVN157" s="37"/>
      <c r="CVO157" s="37"/>
      <c r="CVP157" s="37"/>
      <c r="CVQ157" s="37"/>
      <c r="CVR157" s="37"/>
      <c r="CVS157" s="37"/>
      <c r="CVT157" s="37"/>
      <c r="CVU157" s="37"/>
      <c r="CVV157" s="37"/>
      <c r="CVW157" s="37"/>
      <c r="CVX157" s="37"/>
      <c r="CVY157" s="37"/>
      <c r="CVZ157" s="37"/>
      <c r="CWA157" s="37"/>
      <c r="CWB157" s="37"/>
      <c r="CWC157" s="37"/>
      <c r="CWD157" s="37"/>
      <c r="CWE157" s="37"/>
      <c r="CWF157" s="37"/>
      <c r="CWG157" s="37"/>
      <c r="CWH157" s="37"/>
      <c r="CWI157" s="37"/>
      <c r="CWJ157" s="37"/>
      <c r="CWK157" s="37"/>
      <c r="CWL157" s="37"/>
      <c r="CWM157" s="37"/>
      <c r="CWN157" s="37"/>
      <c r="CWO157" s="37"/>
      <c r="CWP157" s="37"/>
      <c r="CWQ157" s="37"/>
      <c r="CWR157" s="37"/>
      <c r="CWS157" s="37"/>
      <c r="CWT157" s="37"/>
      <c r="CWU157" s="37"/>
      <c r="CWV157" s="37"/>
      <c r="CWW157" s="37"/>
      <c r="CWX157" s="37"/>
      <c r="CWY157" s="37"/>
      <c r="CWZ157" s="37"/>
      <c r="CXA157" s="37"/>
      <c r="CXB157" s="37"/>
      <c r="CXC157" s="37"/>
      <c r="CXD157" s="37"/>
      <c r="CXE157" s="37"/>
      <c r="CXF157" s="37"/>
      <c r="CXG157" s="37"/>
      <c r="CXH157" s="37"/>
      <c r="CXI157" s="37"/>
      <c r="CXJ157" s="37"/>
      <c r="CXK157" s="37"/>
      <c r="CXL157" s="37"/>
      <c r="CXM157" s="37"/>
      <c r="CXN157" s="37"/>
      <c r="CXO157" s="37"/>
      <c r="CXP157" s="37"/>
      <c r="CXQ157" s="37"/>
      <c r="CXR157" s="37"/>
      <c r="CXS157" s="37"/>
      <c r="CXT157" s="37"/>
      <c r="CXU157" s="37"/>
      <c r="CXV157" s="37"/>
      <c r="CXW157" s="37"/>
      <c r="CXX157" s="37"/>
      <c r="CXY157" s="37"/>
      <c r="CXZ157" s="37"/>
      <c r="CYA157" s="37"/>
      <c r="CYB157" s="37"/>
      <c r="CYC157" s="37"/>
      <c r="CYD157" s="37"/>
      <c r="CYE157" s="37"/>
      <c r="CYF157" s="37"/>
      <c r="CYG157" s="37"/>
      <c r="CYH157" s="37"/>
      <c r="CYI157" s="37"/>
      <c r="CYJ157" s="37"/>
      <c r="CYK157" s="37"/>
      <c r="CYL157" s="37"/>
      <c r="CYM157" s="37"/>
      <c r="CYN157" s="37"/>
      <c r="CYO157" s="37"/>
      <c r="CYP157" s="37"/>
      <c r="CYQ157" s="37"/>
      <c r="CYR157" s="37"/>
      <c r="CYS157" s="37"/>
      <c r="CYT157" s="37"/>
      <c r="CYU157" s="37"/>
      <c r="CYV157" s="37"/>
      <c r="CYW157" s="37"/>
      <c r="CYX157" s="37"/>
      <c r="CYY157" s="37"/>
      <c r="CYZ157" s="37"/>
      <c r="CZA157" s="37"/>
      <c r="CZB157" s="37"/>
      <c r="CZC157" s="37"/>
      <c r="CZD157" s="37"/>
      <c r="CZE157" s="37"/>
      <c r="CZF157" s="37"/>
      <c r="CZG157" s="37"/>
      <c r="CZH157" s="37"/>
      <c r="CZI157" s="37"/>
      <c r="CZJ157" s="37"/>
      <c r="CZK157" s="37"/>
      <c r="CZL157" s="37"/>
      <c r="CZM157" s="37"/>
      <c r="CZN157" s="37"/>
      <c r="CZO157" s="37"/>
      <c r="CZP157" s="37"/>
      <c r="CZQ157" s="37"/>
      <c r="CZR157" s="37"/>
      <c r="CZS157" s="37"/>
      <c r="CZT157" s="37"/>
      <c r="CZU157" s="37"/>
      <c r="CZV157" s="37"/>
      <c r="CZW157" s="37"/>
      <c r="CZX157" s="37"/>
      <c r="CZY157" s="37"/>
      <c r="CZZ157" s="37"/>
      <c r="DAA157" s="37"/>
      <c r="DAB157" s="37"/>
      <c r="DAC157" s="37"/>
      <c r="DAD157" s="37"/>
      <c r="DAE157" s="37"/>
      <c r="DAF157" s="37"/>
      <c r="DAG157" s="37"/>
      <c r="DAH157" s="37"/>
      <c r="DAI157" s="37"/>
      <c r="DAJ157" s="37"/>
      <c r="DAK157" s="37"/>
      <c r="DAL157" s="37"/>
      <c r="DAM157" s="37"/>
      <c r="DAN157" s="37"/>
      <c r="DAO157" s="37"/>
      <c r="DAP157" s="37"/>
      <c r="DAQ157" s="37"/>
      <c r="DAR157" s="37"/>
      <c r="DAS157" s="37"/>
      <c r="DAT157" s="37"/>
      <c r="DAU157" s="37"/>
      <c r="DAV157" s="37"/>
      <c r="DAW157" s="37"/>
      <c r="DAX157" s="37"/>
      <c r="DAY157" s="37"/>
      <c r="DAZ157" s="37"/>
      <c r="DBA157" s="37"/>
      <c r="DBB157" s="37"/>
      <c r="DBC157" s="37"/>
      <c r="DBD157" s="37"/>
      <c r="DBE157" s="37"/>
      <c r="DBF157" s="37"/>
      <c r="DBG157" s="37"/>
      <c r="DBH157" s="37"/>
      <c r="DBI157" s="37"/>
      <c r="DBJ157" s="37"/>
      <c r="DBK157" s="37"/>
      <c r="DBL157" s="37"/>
      <c r="DBM157" s="37"/>
      <c r="DBN157" s="37"/>
      <c r="DBO157" s="37"/>
      <c r="DBP157" s="37"/>
      <c r="DBQ157" s="37"/>
      <c r="DBR157" s="37"/>
      <c r="DBS157" s="37"/>
      <c r="DBT157" s="37"/>
      <c r="DBU157" s="37"/>
      <c r="DBV157" s="37"/>
      <c r="DBW157" s="37"/>
      <c r="DBX157" s="37"/>
      <c r="DBY157" s="37"/>
      <c r="DBZ157" s="37"/>
      <c r="DCA157" s="37"/>
      <c r="DCB157" s="37"/>
      <c r="DCC157" s="37"/>
      <c r="DCD157" s="37"/>
      <c r="DCE157" s="37"/>
      <c r="DCF157" s="37"/>
      <c r="DCG157" s="37"/>
      <c r="DCH157" s="37"/>
      <c r="DCI157" s="37"/>
      <c r="DCJ157" s="37"/>
      <c r="DCK157" s="37"/>
      <c r="DCL157" s="37"/>
      <c r="DCM157" s="37"/>
      <c r="DCN157" s="37"/>
      <c r="DCO157" s="37"/>
      <c r="DCP157" s="37"/>
      <c r="DCQ157" s="37"/>
      <c r="DCR157" s="37"/>
      <c r="DCS157" s="37"/>
      <c r="DCT157" s="37"/>
      <c r="DCU157" s="37"/>
      <c r="DCV157" s="37"/>
      <c r="DCW157" s="37"/>
      <c r="DCX157" s="37"/>
      <c r="DCY157" s="37"/>
      <c r="DCZ157" s="37"/>
      <c r="DDA157" s="37"/>
      <c r="DDB157" s="37"/>
      <c r="DDC157" s="37"/>
      <c r="DDD157" s="37"/>
      <c r="DDE157" s="37"/>
      <c r="DDF157" s="37"/>
      <c r="DDG157" s="37"/>
      <c r="DDH157" s="37"/>
      <c r="DDI157" s="37"/>
      <c r="DDJ157" s="37"/>
      <c r="DDK157" s="37"/>
      <c r="DDL157" s="37"/>
      <c r="DDM157" s="37"/>
      <c r="DDN157" s="37"/>
      <c r="DDO157" s="37"/>
      <c r="DDP157" s="37"/>
      <c r="DDQ157" s="37"/>
      <c r="DDR157" s="37"/>
      <c r="DDS157" s="37"/>
      <c r="DDT157" s="37"/>
      <c r="DDU157" s="37"/>
      <c r="DDV157" s="37"/>
      <c r="DDW157" s="37"/>
      <c r="DDX157" s="37"/>
      <c r="DDY157" s="37"/>
      <c r="DDZ157" s="37"/>
      <c r="DEA157" s="37"/>
      <c r="DEB157" s="37"/>
      <c r="DEC157" s="37"/>
      <c r="DED157" s="37"/>
      <c r="DEE157" s="37"/>
      <c r="DEF157" s="37"/>
      <c r="DEG157" s="37"/>
      <c r="DEH157" s="37"/>
      <c r="DEI157" s="37"/>
      <c r="DEJ157" s="37"/>
      <c r="DEK157" s="37"/>
      <c r="DEL157" s="37"/>
      <c r="DEM157" s="37"/>
      <c r="DEN157" s="37"/>
      <c r="DEO157" s="37"/>
      <c r="DEP157" s="37"/>
      <c r="DEQ157" s="37"/>
      <c r="DER157" s="37"/>
      <c r="DES157" s="37"/>
      <c r="DET157" s="37"/>
      <c r="DEU157" s="37"/>
      <c r="DEV157" s="37"/>
      <c r="DEW157" s="37"/>
      <c r="DEX157" s="37"/>
      <c r="DEY157" s="37"/>
      <c r="DEZ157" s="37"/>
      <c r="DFA157" s="37"/>
      <c r="DFB157" s="37"/>
      <c r="DFC157" s="37"/>
      <c r="DFD157" s="37"/>
      <c r="DFE157" s="37"/>
      <c r="DFF157" s="37"/>
      <c r="DFG157" s="37"/>
      <c r="DFH157" s="37"/>
      <c r="DFI157" s="37"/>
      <c r="DFJ157" s="37"/>
      <c r="DFK157" s="37"/>
      <c r="DFL157" s="37"/>
      <c r="DFM157" s="37"/>
      <c r="DFN157" s="37"/>
      <c r="DFO157" s="37"/>
      <c r="DFP157" s="37"/>
      <c r="DFQ157" s="37"/>
      <c r="DFR157" s="37"/>
      <c r="DFS157" s="37"/>
      <c r="DFT157" s="37"/>
      <c r="DFU157" s="37"/>
      <c r="DFV157" s="37"/>
      <c r="DFW157" s="37"/>
      <c r="DFX157" s="37"/>
      <c r="DFY157" s="37"/>
      <c r="DFZ157" s="37"/>
      <c r="DGA157" s="37"/>
      <c r="DGB157" s="37"/>
      <c r="DGC157" s="37"/>
      <c r="DGD157" s="37"/>
      <c r="DGE157" s="37"/>
      <c r="DGF157" s="37"/>
      <c r="DGG157" s="37"/>
      <c r="DGH157" s="37"/>
      <c r="DGI157" s="37"/>
      <c r="DGJ157" s="37"/>
      <c r="DGK157" s="37"/>
      <c r="DGL157" s="37"/>
      <c r="DGM157" s="37"/>
      <c r="DGN157" s="37"/>
      <c r="DGO157" s="37"/>
      <c r="DGP157" s="37"/>
      <c r="DGQ157" s="37"/>
      <c r="DGR157" s="37"/>
      <c r="DGS157" s="37"/>
      <c r="DGT157" s="37"/>
      <c r="DGU157" s="37"/>
      <c r="DGV157" s="37"/>
      <c r="DGW157" s="37"/>
      <c r="DGX157" s="37"/>
      <c r="DGY157" s="37"/>
      <c r="DGZ157" s="37"/>
      <c r="DHA157" s="37"/>
      <c r="DHB157" s="37"/>
      <c r="DHC157" s="37"/>
      <c r="DHD157" s="37"/>
      <c r="DHE157" s="37"/>
      <c r="DHF157" s="37"/>
      <c r="DHG157" s="37"/>
      <c r="DHH157" s="37"/>
      <c r="DHI157" s="37"/>
      <c r="DHJ157" s="37"/>
      <c r="DHK157" s="37"/>
      <c r="DHL157" s="37"/>
      <c r="DHM157" s="37"/>
      <c r="DHN157" s="37"/>
      <c r="DHO157" s="37"/>
      <c r="DHP157" s="37"/>
      <c r="DHQ157" s="37"/>
      <c r="DHR157" s="37"/>
      <c r="DHS157" s="37"/>
      <c r="DHT157" s="37"/>
      <c r="DHU157" s="37"/>
      <c r="DHV157" s="37"/>
      <c r="DHW157" s="37"/>
      <c r="DHX157" s="37"/>
      <c r="DHY157" s="37"/>
      <c r="DHZ157" s="37"/>
      <c r="DIA157" s="37"/>
      <c r="DIB157" s="37"/>
      <c r="DIC157" s="37"/>
      <c r="DID157" s="37"/>
      <c r="DIE157" s="37"/>
      <c r="DIF157" s="37"/>
      <c r="DIG157" s="37"/>
      <c r="DIH157" s="37"/>
      <c r="DII157" s="37"/>
      <c r="DIJ157" s="37"/>
      <c r="DIK157" s="37"/>
      <c r="DIL157" s="37"/>
      <c r="DIM157" s="37"/>
      <c r="DIN157" s="37"/>
      <c r="DIO157" s="37"/>
      <c r="DIP157" s="37"/>
      <c r="DIQ157" s="37"/>
      <c r="DIR157" s="37"/>
      <c r="DIS157" s="37"/>
      <c r="DIT157" s="37"/>
      <c r="DIU157" s="37"/>
      <c r="DIV157" s="37"/>
      <c r="DIW157" s="37"/>
      <c r="DIX157" s="37"/>
      <c r="DIY157" s="37"/>
      <c r="DIZ157" s="37"/>
      <c r="DJA157" s="37"/>
      <c r="DJB157" s="37"/>
      <c r="DJC157" s="37"/>
      <c r="DJD157" s="37"/>
      <c r="DJE157" s="37"/>
      <c r="DJF157" s="37"/>
      <c r="DJG157" s="37"/>
      <c r="DJH157" s="37"/>
      <c r="DJI157" s="37"/>
      <c r="DJJ157" s="37"/>
      <c r="DJK157" s="37"/>
      <c r="DJL157" s="37"/>
      <c r="DJM157" s="37"/>
      <c r="DJN157" s="37"/>
      <c r="DJO157" s="37"/>
      <c r="DJP157" s="37"/>
      <c r="DJQ157" s="37"/>
      <c r="DJR157" s="37"/>
      <c r="DJS157" s="37"/>
      <c r="DJT157" s="37"/>
      <c r="DJU157" s="37"/>
      <c r="DJV157" s="37"/>
      <c r="DJW157" s="37"/>
      <c r="DJX157" s="37"/>
      <c r="DJY157" s="37"/>
      <c r="DJZ157" s="37"/>
      <c r="DKA157" s="37"/>
      <c r="DKB157" s="37"/>
      <c r="DKC157" s="37"/>
      <c r="DKD157" s="37"/>
      <c r="DKE157" s="37"/>
      <c r="DKF157" s="37"/>
      <c r="DKG157" s="37"/>
      <c r="DKH157" s="37"/>
      <c r="DKI157" s="37"/>
      <c r="DKJ157" s="37"/>
      <c r="DKK157" s="37"/>
      <c r="DKL157" s="37"/>
      <c r="DKM157" s="37"/>
      <c r="DKN157" s="37"/>
      <c r="DKO157" s="37"/>
      <c r="DKP157" s="37"/>
      <c r="DKQ157" s="37"/>
      <c r="DKR157" s="37"/>
      <c r="DKS157" s="37"/>
      <c r="DKT157" s="37"/>
      <c r="DKU157" s="37"/>
      <c r="DKV157" s="37"/>
      <c r="DKW157" s="37"/>
      <c r="DKX157" s="37"/>
      <c r="DKY157" s="37"/>
      <c r="DKZ157" s="37"/>
      <c r="DLA157" s="37"/>
      <c r="DLB157" s="37"/>
      <c r="DLC157" s="37"/>
      <c r="DLD157" s="37"/>
      <c r="DLE157" s="37"/>
      <c r="DLF157" s="37"/>
      <c r="DLG157" s="37"/>
      <c r="DLH157" s="37"/>
      <c r="DLI157" s="37"/>
      <c r="DLJ157" s="37"/>
      <c r="DLK157" s="37"/>
      <c r="DLL157" s="37"/>
      <c r="DLM157" s="37"/>
      <c r="DLN157" s="37"/>
      <c r="DLO157" s="37"/>
      <c r="DLP157" s="37"/>
      <c r="DLQ157" s="37"/>
      <c r="DLR157" s="37"/>
      <c r="DLS157" s="37"/>
      <c r="DLT157" s="37"/>
      <c r="DLU157" s="37"/>
      <c r="DLV157" s="37"/>
      <c r="DLW157" s="37"/>
      <c r="DLX157" s="37"/>
      <c r="DLY157" s="37"/>
      <c r="DLZ157" s="37"/>
      <c r="DMA157" s="37"/>
      <c r="DMB157" s="37"/>
      <c r="DMC157" s="37"/>
      <c r="DMD157" s="37"/>
      <c r="DME157" s="37"/>
      <c r="DMF157" s="37"/>
      <c r="DMG157" s="37"/>
      <c r="DMH157" s="37"/>
      <c r="DMI157" s="37"/>
      <c r="DMJ157" s="37"/>
      <c r="DMK157" s="37"/>
      <c r="DML157" s="37"/>
      <c r="DMM157" s="37"/>
      <c r="DMN157" s="37"/>
      <c r="DMO157" s="37"/>
      <c r="DMP157" s="37"/>
      <c r="DMQ157" s="37"/>
      <c r="DMR157" s="37"/>
      <c r="DMS157" s="37"/>
      <c r="DMT157" s="37"/>
      <c r="DMU157" s="37"/>
      <c r="DMV157" s="37"/>
      <c r="DMW157" s="37"/>
      <c r="DMX157" s="37"/>
      <c r="DMY157" s="37"/>
      <c r="DMZ157" s="37"/>
      <c r="DNA157" s="37"/>
      <c r="DNB157" s="37"/>
      <c r="DNC157" s="37"/>
      <c r="DND157" s="37"/>
      <c r="DNE157" s="37"/>
      <c r="DNF157" s="37"/>
      <c r="DNG157" s="37"/>
      <c r="DNH157" s="37"/>
      <c r="DNI157" s="37"/>
      <c r="DNJ157" s="37"/>
      <c r="DNK157" s="37"/>
      <c r="DNL157" s="37"/>
      <c r="DNM157" s="37"/>
      <c r="DNN157" s="37"/>
      <c r="DNO157" s="37"/>
      <c r="DNP157" s="37"/>
      <c r="DNQ157" s="37"/>
      <c r="DNR157" s="37"/>
      <c r="DNS157" s="37"/>
      <c r="DNT157" s="37"/>
      <c r="DNU157" s="37"/>
      <c r="DNV157" s="37"/>
      <c r="DNW157" s="37"/>
      <c r="DNX157" s="37"/>
      <c r="DNY157" s="37"/>
      <c r="DNZ157" s="37"/>
      <c r="DOA157" s="37"/>
      <c r="DOB157" s="37"/>
      <c r="DOC157" s="37"/>
      <c r="DOD157" s="37"/>
      <c r="DOE157" s="37"/>
      <c r="DOF157" s="37"/>
      <c r="DOG157" s="37"/>
      <c r="DOH157" s="37"/>
      <c r="DOI157" s="37"/>
      <c r="DOJ157" s="37"/>
      <c r="DOK157" s="37"/>
      <c r="DOL157" s="37"/>
      <c r="DOM157" s="37"/>
      <c r="DON157" s="37"/>
      <c r="DOO157" s="37"/>
      <c r="DOP157" s="37"/>
      <c r="DOQ157" s="37"/>
      <c r="DOR157" s="37"/>
      <c r="DOS157" s="37"/>
      <c r="DOT157" s="37"/>
      <c r="DOU157" s="37"/>
      <c r="DOV157" s="37"/>
      <c r="DOW157" s="37"/>
      <c r="DOX157" s="37"/>
      <c r="DOY157" s="37"/>
      <c r="DOZ157" s="37"/>
      <c r="DPA157" s="37"/>
      <c r="DPB157" s="37"/>
      <c r="DPC157" s="37"/>
      <c r="DPD157" s="37"/>
      <c r="DPE157" s="37"/>
      <c r="DPF157" s="37"/>
      <c r="DPG157" s="37"/>
      <c r="DPH157" s="37"/>
      <c r="DPI157" s="37"/>
      <c r="DPJ157" s="37"/>
      <c r="DPK157" s="37"/>
      <c r="DPL157" s="37"/>
      <c r="DPM157" s="37"/>
      <c r="DPN157" s="37"/>
      <c r="DPO157" s="37"/>
      <c r="DPP157" s="37"/>
      <c r="DPQ157" s="37"/>
      <c r="DPR157" s="37"/>
      <c r="DPS157" s="37"/>
      <c r="DPT157" s="37"/>
      <c r="DPU157" s="37"/>
      <c r="DPV157" s="37"/>
      <c r="DPW157" s="37"/>
      <c r="DPX157" s="37"/>
      <c r="DPY157" s="37"/>
      <c r="DPZ157" s="37"/>
      <c r="DQA157" s="37"/>
      <c r="DQB157" s="37"/>
      <c r="DQC157" s="37"/>
      <c r="DQD157" s="37"/>
      <c r="DQE157" s="37"/>
      <c r="DQF157" s="37"/>
      <c r="DQG157" s="37"/>
      <c r="DQH157" s="37"/>
      <c r="DQI157" s="37"/>
      <c r="DQJ157" s="37"/>
      <c r="DQK157" s="37"/>
      <c r="DQL157" s="37"/>
      <c r="DQM157" s="37"/>
      <c r="DQN157" s="37"/>
      <c r="DQO157" s="37"/>
      <c r="DQP157" s="37"/>
      <c r="DQQ157" s="37"/>
      <c r="DQR157" s="37"/>
      <c r="DQS157" s="37"/>
      <c r="DQT157" s="37"/>
      <c r="DQU157" s="37"/>
      <c r="DQV157" s="37"/>
      <c r="DQW157" s="37"/>
      <c r="DQX157" s="37"/>
      <c r="DQY157" s="37"/>
      <c r="DQZ157" s="37"/>
      <c r="DRA157" s="37"/>
      <c r="DRB157" s="37"/>
      <c r="DRC157" s="37"/>
      <c r="DRD157" s="37"/>
      <c r="DRE157" s="37"/>
      <c r="DRF157" s="37"/>
      <c r="DRG157" s="37"/>
      <c r="DRH157" s="37"/>
      <c r="DRI157" s="37"/>
      <c r="DRJ157" s="37"/>
      <c r="DRK157" s="37"/>
      <c r="DRL157" s="37"/>
      <c r="DRM157" s="37"/>
      <c r="DRN157" s="37"/>
      <c r="DRO157" s="37"/>
      <c r="DRP157" s="37"/>
      <c r="DRQ157" s="37"/>
      <c r="DRR157" s="37"/>
      <c r="DRS157" s="37"/>
      <c r="DRT157" s="37"/>
      <c r="DRU157" s="37"/>
      <c r="DRV157" s="37"/>
      <c r="DRW157" s="37"/>
      <c r="DRX157" s="37"/>
      <c r="DRY157" s="37"/>
      <c r="DRZ157" s="37"/>
      <c r="DSA157" s="37"/>
      <c r="DSB157" s="37"/>
      <c r="DSC157" s="37"/>
      <c r="DSD157" s="37"/>
      <c r="DSE157" s="37"/>
      <c r="DSF157" s="37"/>
      <c r="DSG157" s="37"/>
      <c r="DSH157" s="37"/>
      <c r="DSI157" s="37"/>
      <c r="DSJ157" s="37"/>
      <c r="DSK157" s="37"/>
      <c r="DSL157" s="37"/>
      <c r="DSM157" s="37"/>
      <c r="DSN157" s="37"/>
      <c r="DSO157" s="37"/>
      <c r="DSP157" s="37"/>
      <c r="DSQ157" s="37"/>
      <c r="DSR157" s="37"/>
      <c r="DSS157" s="37"/>
      <c r="DST157" s="37"/>
      <c r="DSU157" s="37"/>
      <c r="DSV157" s="37"/>
      <c r="DSW157" s="37"/>
      <c r="DSX157" s="37"/>
      <c r="DSY157" s="37"/>
      <c r="DSZ157" s="37"/>
      <c r="DTA157" s="37"/>
      <c r="DTB157" s="37"/>
      <c r="DTC157" s="37"/>
      <c r="DTD157" s="37"/>
      <c r="DTE157" s="37"/>
      <c r="DTF157" s="37"/>
      <c r="DTG157" s="37"/>
      <c r="DTH157" s="37"/>
      <c r="DTI157" s="37"/>
      <c r="DTJ157" s="37"/>
      <c r="DTK157" s="37"/>
      <c r="DTL157" s="37"/>
      <c r="DTM157" s="37"/>
      <c r="DTN157" s="37"/>
      <c r="DTO157" s="37"/>
      <c r="DTP157" s="37"/>
      <c r="DTQ157" s="37"/>
      <c r="DTR157" s="37"/>
      <c r="DTS157" s="37"/>
      <c r="DTT157" s="37"/>
      <c r="DTU157" s="37"/>
      <c r="DTV157" s="37"/>
      <c r="DTW157" s="37"/>
      <c r="DTX157" s="37"/>
      <c r="DTY157" s="37"/>
      <c r="DTZ157" s="37"/>
      <c r="DUA157" s="37"/>
      <c r="DUB157" s="37"/>
      <c r="DUC157" s="37"/>
      <c r="DUD157" s="37"/>
      <c r="DUE157" s="37"/>
      <c r="DUF157" s="37"/>
      <c r="DUG157" s="37"/>
      <c r="DUH157" s="37"/>
      <c r="DUI157" s="37"/>
      <c r="DUJ157" s="37"/>
      <c r="DUK157" s="37"/>
      <c r="DUL157" s="37"/>
      <c r="DUM157" s="37"/>
      <c r="DUN157" s="37"/>
      <c r="DUO157" s="37"/>
      <c r="DUP157" s="37"/>
      <c r="DUQ157" s="37"/>
      <c r="DUR157" s="37"/>
      <c r="DUS157" s="37"/>
      <c r="DUT157" s="37"/>
      <c r="DUU157" s="37"/>
      <c r="DUV157" s="37"/>
      <c r="DUW157" s="37"/>
      <c r="DUX157" s="37"/>
      <c r="DUY157" s="37"/>
      <c r="DUZ157" s="37"/>
      <c r="DVA157" s="37"/>
      <c r="DVB157" s="37"/>
      <c r="DVC157" s="37"/>
      <c r="DVD157" s="37"/>
      <c r="DVE157" s="37"/>
      <c r="DVF157" s="37"/>
      <c r="DVG157" s="37"/>
      <c r="DVH157" s="37"/>
      <c r="DVI157" s="37"/>
      <c r="DVJ157" s="37"/>
      <c r="DVK157" s="37"/>
      <c r="DVL157" s="37"/>
      <c r="DVM157" s="37"/>
      <c r="DVN157" s="37"/>
      <c r="DVO157" s="37"/>
      <c r="DVP157" s="37"/>
      <c r="DVQ157" s="37"/>
      <c r="DVR157" s="37"/>
      <c r="DVS157" s="37"/>
      <c r="DVT157" s="37"/>
      <c r="DVU157" s="37"/>
      <c r="DVV157" s="37"/>
      <c r="DVW157" s="37"/>
      <c r="DVX157" s="37"/>
      <c r="DVY157" s="37"/>
      <c r="DVZ157" s="37"/>
      <c r="DWA157" s="37"/>
      <c r="DWB157" s="37"/>
      <c r="DWC157" s="37"/>
      <c r="DWD157" s="37"/>
      <c r="DWE157" s="37"/>
      <c r="DWF157" s="37"/>
      <c r="DWG157" s="37"/>
      <c r="DWH157" s="37"/>
      <c r="DWI157" s="37"/>
      <c r="DWJ157" s="37"/>
      <c r="DWK157" s="37"/>
      <c r="DWL157" s="37"/>
      <c r="DWM157" s="37"/>
      <c r="DWN157" s="37"/>
      <c r="DWO157" s="37"/>
      <c r="DWP157" s="37"/>
      <c r="DWQ157" s="37"/>
      <c r="DWR157" s="37"/>
      <c r="DWS157" s="37"/>
      <c r="DWT157" s="37"/>
      <c r="DWU157" s="37"/>
      <c r="DWV157" s="37"/>
      <c r="DWW157" s="37"/>
      <c r="DWX157" s="37"/>
      <c r="DWY157" s="37"/>
      <c r="DWZ157" s="37"/>
      <c r="DXA157" s="37"/>
      <c r="DXB157" s="37"/>
      <c r="DXC157" s="37"/>
      <c r="DXD157" s="37"/>
      <c r="DXE157" s="37"/>
      <c r="DXF157" s="37"/>
      <c r="DXG157" s="37"/>
      <c r="DXH157" s="37"/>
      <c r="DXI157" s="37"/>
      <c r="DXJ157" s="37"/>
      <c r="DXK157" s="37"/>
      <c r="DXL157" s="37"/>
      <c r="DXM157" s="37"/>
      <c r="DXN157" s="37"/>
      <c r="DXO157" s="37"/>
      <c r="DXP157" s="37"/>
      <c r="DXQ157" s="37"/>
      <c r="DXR157" s="37"/>
      <c r="DXS157" s="37"/>
      <c r="DXT157" s="37"/>
      <c r="DXU157" s="37"/>
      <c r="DXV157" s="37"/>
      <c r="DXW157" s="37"/>
      <c r="DXX157" s="37"/>
      <c r="DXY157" s="37"/>
      <c r="DXZ157" s="37"/>
      <c r="DYA157" s="37"/>
      <c r="DYB157" s="37"/>
      <c r="DYC157" s="37"/>
      <c r="DYD157" s="37"/>
      <c r="DYE157" s="37"/>
      <c r="DYF157" s="37"/>
      <c r="DYG157" s="37"/>
      <c r="DYH157" s="37"/>
      <c r="DYI157" s="37"/>
      <c r="DYJ157" s="37"/>
      <c r="DYK157" s="37"/>
      <c r="DYL157" s="37"/>
      <c r="DYM157" s="37"/>
      <c r="DYN157" s="37"/>
      <c r="DYO157" s="37"/>
      <c r="DYP157" s="37"/>
      <c r="DYQ157" s="37"/>
      <c r="DYR157" s="37"/>
      <c r="DYS157" s="37"/>
      <c r="DYT157" s="37"/>
      <c r="DYU157" s="37"/>
      <c r="DYV157" s="37"/>
      <c r="DYW157" s="37"/>
      <c r="DYX157" s="37"/>
      <c r="DYY157" s="37"/>
      <c r="DYZ157" s="37"/>
      <c r="DZA157" s="37"/>
      <c r="DZB157" s="37"/>
      <c r="DZC157" s="37"/>
      <c r="DZD157" s="37"/>
      <c r="DZE157" s="37"/>
      <c r="DZF157" s="37"/>
      <c r="DZG157" s="37"/>
      <c r="DZH157" s="37"/>
      <c r="DZI157" s="37"/>
      <c r="DZJ157" s="37"/>
      <c r="DZK157" s="37"/>
      <c r="DZL157" s="37"/>
      <c r="DZM157" s="37"/>
      <c r="DZN157" s="37"/>
      <c r="DZO157" s="37"/>
      <c r="DZP157" s="37"/>
      <c r="DZQ157" s="37"/>
      <c r="DZR157" s="37"/>
      <c r="DZS157" s="37"/>
      <c r="DZT157" s="37"/>
      <c r="DZU157" s="37"/>
      <c r="DZV157" s="37"/>
      <c r="DZW157" s="37"/>
      <c r="DZX157" s="37"/>
      <c r="DZY157" s="37"/>
      <c r="DZZ157" s="37"/>
      <c r="EAA157" s="37"/>
      <c r="EAB157" s="37"/>
      <c r="EAC157" s="37"/>
      <c r="EAD157" s="37"/>
      <c r="EAE157" s="37"/>
      <c r="EAF157" s="37"/>
      <c r="EAG157" s="37"/>
      <c r="EAH157" s="37"/>
      <c r="EAI157" s="37"/>
      <c r="EAJ157" s="37"/>
      <c r="EAK157" s="37"/>
      <c r="EAL157" s="37"/>
      <c r="EAM157" s="37"/>
      <c r="EAN157" s="37"/>
      <c r="EAO157" s="37"/>
      <c r="EAP157" s="37"/>
      <c r="EAQ157" s="37"/>
      <c r="EAR157" s="37"/>
      <c r="EAS157" s="37"/>
      <c r="EAT157" s="37"/>
      <c r="EAU157" s="37"/>
      <c r="EAV157" s="37"/>
      <c r="EAW157" s="37"/>
      <c r="EAX157" s="37"/>
      <c r="EAY157" s="37"/>
      <c r="EAZ157" s="37"/>
      <c r="EBA157" s="37"/>
      <c r="EBB157" s="37"/>
      <c r="EBC157" s="37"/>
      <c r="EBD157" s="37"/>
      <c r="EBE157" s="37"/>
      <c r="EBF157" s="37"/>
      <c r="EBG157" s="37"/>
      <c r="EBH157" s="37"/>
      <c r="EBI157" s="37"/>
      <c r="EBJ157" s="37"/>
      <c r="EBK157" s="37"/>
      <c r="EBL157" s="37"/>
      <c r="EBM157" s="37"/>
      <c r="EBN157" s="37"/>
      <c r="EBO157" s="37"/>
      <c r="EBP157" s="37"/>
      <c r="EBQ157" s="37"/>
      <c r="EBR157" s="37"/>
      <c r="EBS157" s="37"/>
      <c r="EBT157" s="37"/>
      <c r="EBU157" s="37"/>
      <c r="EBV157" s="37"/>
      <c r="EBW157" s="37"/>
      <c r="EBX157" s="37"/>
      <c r="EBY157" s="37"/>
      <c r="EBZ157" s="37"/>
      <c r="ECA157" s="37"/>
      <c r="ECB157" s="37"/>
      <c r="ECC157" s="37"/>
      <c r="ECD157" s="37"/>
      <c r="ECE157" s="37"/>
      <c r="ECF157" s="37"/>
      <c r="ECG157" s="37"/>
      <c r="ECH157" s="37"/>
      <c r="ECI157" s="37"/>
      <c r="ECJ157" s="37"/>
      <c r="ECK157" s="37"/>
      <c r="ECL157" s="37"/>
      <c r="ECM157" s="37"/>
      <c r="ECN157" s="37"/>
      <c r="ECO157" s="37"/>
      <c r="ECP157" s="37"/>
      <c r="ECQ157" s="37"/>
      <c r="ECR157" s="37"/>
      <c r="ECS157" s="37"/>
      <c r="ECT157" s="37"/>
      <c r="ECU157" s="37"/>
      <c r="ECV157" s="37"/>
      <c r="ECW157" s="37"/>
      <c r="ECX157" s="37"/>
      <c r="ECY157" s="37"/>
      <c r="ECZ157" s="37"/>
      <c r="EDA157" s="37"/>
      <c r="EDB157" s="37"/>
      <c r="EDC157" s="37"/>
      <c r="EDD157" s="37"/>
      <c r="EDE157" s="37"/>
      <c r="EDF157" s="37"/>
      <c r="EDG157" s="37"/>
      <c r="EDH157" s="37"/>
      <c r="EDI157" s="37"/>
      <c r="EDJ157" s="37"/>
      <c r="EDK157" s="37"/>
      <c r="EDL157" s="37"/>
      <c r="EDM157" s="37"/>
      <c r="EDN157" s="37"/>
      <c r="EDO157" s="37"/>
      <c r="EDP157" s="37"/>
      <c r="EDQ157" s="37"/>
      <c r="EDR157" s="37"/>
      <c r="EDS157" s="37"/>
      <c r="EDT157" s="37"/>
      <c r="EDU157" s="37"/>
      <c r="EDV157" s="37"/>
      <c r="EDW157" s="37"/>
      <c r="EDX157" s="37"/>
      <c r="EDY157" s="37"/>
      <c r="EDZ157" s="37"/>
      <c r="EEA157" s="37"/>
      <c r="EEB157" s="37"/>
      <c r="EEC157" s="37"/>
      <c r="EED157" s="37"/>
      <c r="EEE157" s="37"/>
      <c r="EEF157" s="37"/>
      <c r="EEG157" s="37"/>
      <c r="EEH157" s="37"/>
      <c r="EEI157" s="37"/>
      <c r="EEJ157" s="37"/>
      <c r="EEK157" s="37"/>
      <c r="EEL157" s="37"/>
      <c r="EEM157" s="37"/>
      <c r="EEN157" s="37"/>
      <c r="EEO157" s="37"/>
      <c r="EEP157" s="37"/>
      <c r="EEQ157" s="37"/>
      <c r="EER157" s="37"/>
      <c r="EES157" s="37"/>
      <c r="EET157" s="37"/>
      <c r="EEU157" s="37"/>
      <c r="EEV157" s="37"/>
      <c r="EEW157" s="37"/>
      <c r="EEX157" s="37"/>
      <c r="EEY157" s="37"/>
      <c r="EEZ157" s="37"/>
      <c r="EFA157" s="37"/>
      <c r="EFB157" s="37"/>
      <c r="EFC157" s="37"/>
      <c r="EFD157" s="37"/>
      <c r="EFE157" s="37"/>
      <c r="EFF157" s="37"/>
      <c r="EFG157" s="37"/>
      <c r="EFH157" s="37"/>
      <c r="EFI157" s="37"/>
      <c r="EFJ157" s="37"/>
      <c r="EFK157" s="37"/>
      <c r="EFL157" s="37"/>
      <c r="EFM157" s="37"/>
      <c r="EFN157" s="37"/>
      <c r="EFO157" s="37"/>
      <c r="EFP157" s="37"/>
      <c r="EFQ157" s="37"/>
      <c r="EFR157" s="37"/>
      <c r="EFS157" s="37"/>
      <c r="EFT157" s="37"/>
      <c r="EFU157" s="37"/>
      <c r="EFV157" s="37"/>
      <c r="EFW157" s="37"/>
      <c r="EFX157" s="37"/>
      <c r="EFY157" s="37"/>
      <c r="EFZ157" s="37"/>
      <c r="EGA157" s="37"/>
      <c r="EGB157" s="37"/>
      <c r="EGC157" s="37"/>
      <c r="EGD157" s="37"/>
      <c r="EGE157" s="37"/>
      <c r="EGF157" s="37"/>
      <c r="EGG157" s="37"/>
      <c r="EGH157" s="37"/>
      <c r="EGI157" s="37"/>
      <c r="EGJ157" s="37"/>
      <c r="EGK157" s="37"/>
      <c r="EGL157" s="37"/>
      <c r="EGM157" s="37"/>
      <c r="EGN157" s="37"/>
      <c r="EGO157" s="37"/>
      <c r="EGP157" s="37"/>
      <c r="EGQ157" s="37"/>
      <c r="EGR157" s="37"/>
      <c r="EGS157" s="37"/>
      <c r="EGT157" s="37"/>
      <c r="EGU157" s="37"/>
      <c r="EGV157" s="37"/>
      <c r="EGW157" s="37"/>
      <c r="EGX157" s="37"/>
      <c r="EGY157" s="37"/>
      <c r="EGZ157" s="37"/>
      <c r="EHA157" s="37"/>
      <c r="EHB157" s="37"/>
      <c r="EHC157" s="37"/>
      <c r="EHD157" s="37"/>
      <c r="EHE157" s="37"/>
      <c r="EHF157" s="37"/>
      <c r="EHG157" s="37"/>
      <c r="EHH157" s="37"/>
      <c r="EHI157" s="37"/>
      <c r="EHJ157" s="37"/>
      <c r="EHK157" s="37"/>
      <c r="EHL157" s="37"/>
      <c r="EHM157" s="37"/>
      <c r="EHN157" s="37"/>
      <c r="EHO157" s="37"/>
      <c r="EHP157" s="37"/>
      <c r="EHQ157" s="37"/>
      <c r="EHR157" s="37"/>
      <c r="EHS157" s="37"/>
      <c r="EHT157" s="37"/>
      <c r="EHU157" s="37"/>
      <c r="EHV157" s="37"/>
      <c r="EHW157" s="37"/>
      <c r="EHX157" s="37"/>
      <c r="EHY157" s="37"/>
      <c r="EHZ157" s="37"/>
      <c r="EIA157" s="37"/>
      <c r="EIB157" s="37"/>
      <c r="EIC157" s="37"/>
      <c r="EID157" s="37"/>
      <c r="EIE157" s="37"/>
      <c r="EIF157" s="37"/>
      <c r="EIG157" s="37"/>
      <c r="EIH157" s="37"/>
      <c r="EII157" s="37"/>
      <c r="EIJ157" s="37"/>
      <c r="EIK157" s="37"/>
      <c r="EIL157" s="37"/>
      <c r="EIM157" s="37"/>
      <c r="EIN157" s="37"/>
      <c r="EIO157" s="37"/>
      <c r="EIP157" s="37"/>
      <c r="EIQ157" s="37"/>
      <c r="EIR157" s="37"/>
      <c r="EIS157" s="37"/>
      <c r="EIT157" s="37"/>
      <c r="EIU157" s="37"/>
      <c r="EIV157" s="37"/>
      <c r="EIW157" s="37"/>
      <c r="EIX157" s="37"/>
      <c r="EIY157" s="37"/>
      <c r="EIZ157" s="37"/>
      <c r="EJA157" s="37"/>
      <c r="EJB157" s="37"/>
      <c r="EJC157" s="37"/>
      <c r="EJD157" s="37"/>
      <c r="EJE157" s="37"/>
      <c r="EJF157" s="37"/>
      <c r="EJG157" s="37"/>
      <c r="EJH157" s="37"/>
      <c r="EJI157" s="37"/>
      <c r="EJJ157" s="37"/>
      <c r="EJK157" s="37"/>
      <c r="EJL157" s="37"/>
      <c r="EJM157" s="37"/>
      <c r="EJN157" s="37"/>
      <c r="EJO157" s="37"/>
      <c r="EJP157" s="37"/>
      <c r="EJQ157" s="37"/>
      <c r="EJR157" s="37"/>
      <c r="EJS157" s="37"/>
      <c r="EJT157" s="37"/>
      <c r="EJU157" s="37"/>
      <c r="EJV157" s="37"/>
      <c r="EJW157" s="37"/>
      <c r="EJX157" s="37"/>
      <c r="EJY157" s="37"/>
      <c r="EJZ157" s="37"/>
      <c r="EKA157" s="37"/>
      <c r="EKB157" s="37"/>
      <c r="EKC157" s="37"/>
      <c r="EKD157" s="37"/>
      <c r="EKE157" s="37"/>
      <c r="EKF157" s="37"/>
      <c r="EKG157" s="37"/>
      <c r="EKH157" s="37"/>
      <c r="EKI157" s="37"/>
      <c r="EKJ157" s="37"/>
      <c r="EKK157" s="37"/>
      <c r="EKL157" s="37"/>
      <c r="EKM157" s="37"/>
      <c r="EKN157" s="37"/>
      <c r="EKO157" s="37"/>
      <c r="EKP157" s="37"/>
      <c r="EKQ157" s="37"/>
      <c r="EKR157" s="37"/>
      <c r="EKS157" s="37"/>
      <c r="EKT157" s="37"/>
      <c r="EKU157" s="37"/>
      <c r="EKV157" s="37"/>
      <c r="EKW157" s="37"/>
      <c r="EKX157" s="37"/>
      <c r="EKY157" s="37"/>
      <c r="EKZ157" s="37"/>
      <c r="ELA157" s="37"/>
      <c r="ELB157" s="37"/>
      <c r="ELC157" s="37"/>
      <c r="ELD157" s="37"/>
      <c r="ELE157" s="37"/>
      <c r="ELF157" s="37"/>
      <c r="ELG157" s="37"/>
      <c r="ELH157" s="37"/>
      <c r="ELI157" s="37"/>
      <c r="ELJ157" s="37"/>
      <c r="ELK157" s="37"/>
      <c r="ELL157" s="37"/>
      <c r="ELM157" s="37"/>
      <c r="ELN157" s="37"/>
      <c r="ELO157" s="37"/>
      <c r="ELP157" s="37"/>
      <c r="ELQ157" s="37"/>
      <c r="ELR157" s="37"/>
      <c r="ELS157" s="37"/>
      <c r="ELT157" s="37"/>
      <c r="ELU157" s="37"/>
      <c r="ELV157" s="37"/>
      <c r="ELW157" s="37"/>
      <c r="ELX157" s="37"/>
      <c r="ELY157" s="37"/>
      <c r="ELZ157" s="37"/>
      <c r="EMA157" s="37"/>
      <c r="EMB157" s="37"/>
      <c r="EMC157" s="37"/>
      <c r="EMD157" s="37"/>
      <c r="EME157" s="37"/>
      <c r="EMF157" s="37"/>
      <c r="EMG157" s="37"/>
      <c r="EMH157" s="37"/>
      <c r="EMI157" s="37"/>
      <c r="EMJ157" s="37"/>
      <c r="EMK157" s="37"/>
      <c r="EML157" s="37"/>
      <c r="EMM157" s="37"/>
      <c r="EMN157" s="37"/>
      <c r="EMO157" s="37"/>
      <c r="EMP157" s="37"/>
      <c r="EMQ157" s="37"/>
      <c r="EMR157" s="37"/>
      <c r="EMS157" s="37"/>
      <c r="EMT157" s="37"/>
      <c r="EMU157" s="37"/>
      <c r="EMV157" s="37"/>
      <c r="EMW157" s="37"/>
      <c r="EMX157" s="37"/>
      <c r="EMY157" s="37"/>
      <c r="EMZ157" s="37"/>
      <c r="ENA157" s="37"/>
      <c r="ENB157" s="37"/>
      <c r="ENC157" s="37"/>
      <c r="END157" s="37"/>
      <c r="ENE157" s="37"/>
      <c r="ENF157" s="37"/>
      <c r="ENG157" s="37"/>
      <c r="ENH157" s="37"/>
      <c r="ENI157" s="37"/>
      <c r="ENJ157" s="37"/>
      <c r="ENK157" s="37"/>
      <c r="ENL157" s="37"/>
      <c r="ENM157" s="37"/>
      <c r="ENN157" s="37"/>
      <c r="ENO157" s="37"/>
      <c r="ENP157" s="37"/>
      <c r="ENQ157" s="37"/>
      <c r="ENR157" s="37"/>
      <c r="ENS157" s="37"/>
      <c r="ENT157" s="37"/>
      <c r="ENU157" s="37"/>
      <c r="ENV157" s="37"/>
      <c r="ENW157" s="37"/>
      <c r="ENX157" s="37"/>
      <c r="ENY157" s="37"/>
      <c r="ENZ157" s="37"/>
      <c r="EOA157" s="37"/>
      <c r="EOB157" s="37"/>
      <c r="EOC157" s="37"/>
      <c r="EOD157" s="37"/>
      <c r="EOE157" s="37"/>
      <c r="EOF157" s="37"/>
      <c r="EOG157" s="37"/>
      <c r="EOH157" s="37"/>
      <c r="EOI157" s="37"/>
      <c r="EOJ157" s="37"/>
      <c r="EOK157" s="37"/>
      <c r="EOL157" s="37"/>
      <c r="EOM157" s="37"/>
      <c r="EON157" s="37"/>
      <c r="EOO157" s="37"/>
      <c r="EOP157" s="37"/>
      <c r="EOQ157" s="37"/>
      <c r="EOR157" s="37"/>
      <c r="EOS157" s="37"/>
      <c r="EOT157" s="37"/>
      <c r="EOU157" s="37"/>
      <c r="EOV157" s="37"/>
      <c r="EOW157" s="37"/>
      <c r="EOX157" s="37"/>
      <c r="EOY157" s="37"/>
      <c r="EOZ157" s="37"/>
      <c r="EPA157" s="37"/>
      <c r="EPB157" s="37"/>
      <c r="EPC157" s="37"/>
      <c r="EPD157" s="37"/>
      <c r="EPE157" s="37"/>
      <c r="EPF157" s="37"/>
      <c r="EPG157" s="37"/>
      <c r="EPH157" s="37"/>
      <c r="EPI157" s="37"/>
      <c r="EPJ157" s="37"/>
      <c r="EPK157" s="37"/>
      <c r="EPL157" s="37"/>
      <c r="EPM157" s="37"/>
      <c r="EPN157" s="37"/>
      <c r="EPO157" s="37"/>
      <c r="EPP157" s="37"/>
      <c r="EPQ157" s="37"/>
      <c r="EPR157" s="37"/>
      <c r="EPS157" s="37"/>
      <c r="EPT157" s="37"/>
      <c r="EPU157" s="37"/>
      <c r="EPV157" s="37"/>
      <c r="EPW157" s="37"/>
      <c r="EPX157" s="37"/>
      <c r="EPY157" s="37"/>
      <c r="EPZ157" s="37"/>
      <c r="EQA157" s="37"/>
      <c r="EQB157" s="37"/>
      <c r="EQC157" s="37"/>
      <c r="EQD157" s="37"/>
      <c r="EQE157" s="37"/>
      <c r="EQF157" s="37"/>
      <c r="EQG157" s="37"/>
      <c r="EQH157" s="37"/>
      <c r="EQI157" s="37"/>
      <c r="EQJ157" s="37"/>
      <c r="EQK157" s="37"/>
      <c r="EQL157" s="37"/>
      <c r="EQM157" s="37"/>
      <c r="EQN157" s="37"/>
      <c r="EQO157" s="37"/>
      <c r="EQP157" s="37"/>
      <c r="EQQ157" s="37"/>
      <c r="EQR157" s="37"/>
      <c r="EQS157" s="37"/>
      <c r="EQT157" s="37"/>
      <c r="EQU157" s="37"/>
      <c r="EQV157" s="37"/>
      <c r="EQW157" s="37"/>
      <c r="EQX157" s="37"/>
      <c r="EQY157" s="37"/>
      <c r="EQZ157" s="37"/>
      <c r="ERA157" s="37"/>
      <c r="ERB157" s="37"/>
      <c r="ERC157" s="37"/>
      <c r="ERD157" s="37"/>
      <c r="ERE157" s="37"/>
      <c r="ERF157" s="37"/>
      <c r="ERG157" s="37"/>
      <c r="ERH157" s="37"/>
      <c r="ERI157" s="37"/>
      <c r="ERJ157" s="37"/>
      <c r="ERK157" s="37"/>
      <c r="ERL157" s="37"/>
      <c r="ERM157" s="37"/>
      <c r="ERN157" s="37"/>
      <c r="ERO157" s="37"/>
      <c r="ERP157" s="37"/>
      <c r="ERQ157" s="37"/>
      <c r="ERR157" s="37"/>
      <c r="ERS157" s="37"/>
      <c r="ERT157" s="37"/>
      <c r="ERU157" s="37"/>
      <c r="ERV157" s="37"/>
      <c r="ERW157" s="37"/>
      <c r="ERX157" s="37"/>
      <c r="ERY157" s="37"/>
      <c r="ERZ157" s="37"/>
      <c r="ESA157" s="37"/>
      <c r="ESB157" s="37"/>
      <c r="ESC157" s="37"/>
      <c r="ESD157" s="37"/>
      <c r="ESE157" s="37"/>
      <c r="ESF157" s="37"/>
      <c r="ESG157" s="37"/>
      <c r="ESH157" s="37"/>
      <c r="ESI157" s="37"/>
      <c r="ESJ157" s="37"/>
      <c r="ESK157" s="37"/>
      <c r="ESL157" s="37"/>
      <c r="ESM157" s="37"/>
      <c r="ESN157" s="37"/>
      <c r="ESO157" s="37"/>
      <c r="ESP157" s="37"/>
      <c r="ESQ157" s="37"/>
      <c r="ESR157" s="37"/>
      <c r="ESS157" s="37"/>
      <c r="EST157" s="37"/>
      <c r="ESU157" s="37"/>
      <c r="ESV157" s="37"/>
      <c r="ESW157" s="37"/>
      <c r="ESX157" s="37"/>
      <c r="ESY157" s="37"/>
      <c r="ESZ157" s="37"/>
      <c r="ETA157" s="37"/>
      <c r="ETB157" s="37"/>
      <c r="ETC157" s="37"/>
      <c r="ETD157" s="37"/>
      <c r="ETE157" s="37"/>
      <c r="ETF157" s="37"/>
      <c r="ETG157" s="37"/>
      <c r="ETH157" s="37"/>
      <c r="ETI157" s="37"/>
      <c r="ETJ157" s="37"/>
      <c r="ETK157" s="37"/>
      <c r="ETL157" s="37"/>
      <c r="ETM157" s="37"/>
      <c r="ETN157" s="37"/>
      <c r="ETO157" s="37"/>
      <c r="ETP157" s="37"/>
      <c r="ETQ157" s="37"/>
      <c r="ETR157" s="37"/>
      <c r="ETS157" s="37"/>
      <c r="ETT157" s="37"/>
      <c r="ETU157" s="37"/>
      <c r="ETV157" s="37"/>
      <c r="ETW157" s="37"/>
      <c r="ETX157" s="37"/>
      <c r="ETY157" s="37"/>
      <c r="ETZ157" s="37"/>
      <c r="EUA157" s="37"/>
      <c r="EUB157" s="37"/>
      <c r="EUC157" s="37"/>
      <c r="EUD157" s="37"/>
      <c r="EUE157" s="37"/>
      <c r="EUF157" s="37"/>
      <c r="EUG157" s="37"/>
      <c r="EUH157" s="37"/>
      <c r="EUI157" s="37"/>
      <c r="EUJ157" s="37"/>
      <c r="EUK157" s="37"/>
      <c r="EUL157" s="37"/>
      <c r="EUM157" s="37"/>
      <c r="EUN157" s="37"/>
      <c r="EUO157" s="37"/>
      <c r="EUP157" s="37"/>
      <c r="EUQ157" s="37"/>
      <c r="EUR157" s="37"/>
      <c r="EUS157" s="37"/>
      <c r="EUT157" s="37"/>
      <c r="EUU157" s="37"/>
      <c r="EUV157" s="37"/>
      <c r="EUW157" s="37"/>
      <c r="EUX157" s="37"/>
      <c r="EUY157" s="37"/>
      <c r="EUZ157" s="37"/>
      <c r="EVA157" s="37"/>
      <c r="EVB157" s="37"/>
      <c r="EVC157" s="37"/>
      <c r="EVD157" s="37"/>
      <c r="EVE157" s="37"/>
      <c r="EVF157" s="37"/>
      <c r="EVG157" s="37"/>
      <c r="EVH157" s="37"/>
      <c r="EVI157" s="37"/>
      <c r="EVJ157" s="37"/>
      <c r="EVK157" s="37"/>
      <c r="EVL157" s="37"/>
      <c r="EVM157" s="37"/>
      <c r="EVN157" s="37"/>
      <c r="EVO157" s="37"/>
      <c r="EVP157" s="37"/>
      <c r="EVQ157" s="37"/>
      <c r="EVR157" s="37"/>
      <c r="EVS157" s="37"/>
      <c r="EVT157" s="37"/>
      <c r="EVU157" s="37"/>
      <c r="EVV157" s="37"/>
      <c r="EVW157" s="37"/>
      <c r="EVX157" s="37"/>
      <c r="EVY157" s="37"/>
      <c r="EVZ157" s="37"/>
      <c r="EWA157" s="37"/>
      <c r="EWB157" s="37"/>
      <c r="EWC157" s="37"/>
      <c r="EWD157" s="37"/>
      <c r="EWE157" s="37"/>
      <c r="EWF157" s="37"/>
      <c r="EWG157" s="37"/>
      <c r="EWH157" s="37"/>
      <c r="EWI157" s="37"/>
      <c r="EWJ157" s="37"/>
      <c r="EWK157" s="37"/>
      <c r="EWL157" s="37"/>
      <c r="EWM157" s="37"/>
      <c r="EWN157" s="37"/>
      <c r="EWO157" s="37"/>
      <c r="EWP157" s="37"/>
      <c r="EWQ157" s="37"/>
      <c r="EWR157" s="37"/>
      <c r="EWS157" s="37"/>
      <c r="EWT157" s="37"/>
      <c r="EWU157" s="37"/>
      <c r="EWV157" s="37"/>
      <c r="EWW157" s="37"/>
      <c r="EWX157" s="37"/>
      <c r="EWY157" s="37"/>
      <c r="EWZ157" s="37"/>
      <c r="EXA157" s="37"/>
      <c r="EXB157" s="37"/>
      <c r="EXC157" s="37"/>
      <c r="EXD157" s="37"/>
      <c r="EXE157" s="37"/>
      <c r="EXF157" s="37"/>
      <c r="EXG157" s="37"/>
      <c r="EXH157" s="37"/>
      <c r="EXI157" s="37"/>
      <c r="EXJ157" s="37"/>
      <c r="EXK157" s="37"/>
      <c r="EXL157" s="37"/>
      <c r="EXM157" s="37"/>
      <c r="EXN157" s="37"/>
      <c r="EXO157" s="37"/>
      <c r="EXP157" s="37"/>
      <c r="EXQ157" s="37"/>
      <c r="EXR157" s="37"/>
      <c r="EXS157" s="37"/>
      <c r="EXT157" s="37"/>
      <c r="EXU157" s="37"/>
      <c r="EXV157" s="37"/>
      <c r="EXW157" s="37"/>
      <c r="EXX157" s="37"/>
      <c r="EXY157" s="37"/>
      <c r="EXZ157" s="37"/>
      <c r="EYA157" s="37"/>
      <c r="EYB157" s="37"/>
      <c r="EYC157" s="37"/>
      <c r="EYD157" s="37"/>
      <c r="EYE157" s="37"/>
      <c r="EYF157" s="37"/>
      <c r="EYG157" s="37"/>
      <c r="EYH157" s="37"/>
      <c r="EYI157" s="37"/>
      <c r="EYJ157" s="37"/>
      <c r="EYK157" s="37"/>
      <c r="EYL157" s="37"/>
      <c r="EYM157" s="37"/>
      <c r="EYN157" s="37"/>
      <c r="EYO157" s="37"/>
      <c r="EYP157" s="37"/>
      <c r="EYQ157" s="37"/>
      <c r="EYR157" s="37"/>
      <c r="EYS157" s="37"/>
      <c r="EYT157" s="37"/>
      <c r="EYU157" s="37"/>
      <c r="EYV157" s="37"/>
      <c r="EYW157" s="37"/>
      <c r="EYX157" s="37"/>
      <c r="EYY157" s="37"/>
      <c r="EYZ157" s="37"/>
      <c r="EZA157" s="37"/>
      <c r="EZB157" s="37"/>
      <c r="EZC157" s="37"/>
      <c r="EZD157" s="37"/>
      <c r="EZE157" s="37"/>
      <c r="EZF157" s="37"/>
      <c r="EZG157" s="37"/>
      <c r="EZH157" s="37"/>
      <c r="EZI157" s="37"/>
      <c r="EZJ157" s="37"/>
      <c r="EZK157" s="37"/>
      <c r="EZL157" s="37"/>
      <c r="EZM157" s="37"/>
      <c r="EZN157" s="37"/>
      <c r="EZO157" s="37"/>
      <c r="EZP157" s="37"/>
      <c r="EZQ157" s="37"/>
      <c r="EZR157" s="37"/>
      <c r="EZS157" s="37"/>
      <c r="EZT157" s="37"/>
      <c r="EZU157" s="37"/>
      <c r="EZV157" s="37"/>
      <c r="EZW157" s="37"/>
      <c r="EZX157" s="37"/>
      <c r="EZY157" s="37"/>
      <c r="EZZ157" s="37"/>
      <c r="FAA157" s="37"/>
      <c r="FAB157" s="37"/>
      <c r="FAC157" s="37"/>
      <c r="FAD157" s="37"/>
      <c r="FAE157" s="37"/>
      <c r="FAF157" s="37"/>
      <c r="FAG157" s="37"/>
      <c r="FAH157" s="37"/>
      <c r="FAI157" s="37"/>
      <c r="FAJ157" s="37"/>
      <c r="FAK157" s="37"/>
      <c r="FAL157" s="37"/>
      <c r="FAM157" s="37"/>
      <c r="FAN157" s="37"/>
      <c r="FAO157" s="37"/>
      <c r="FAP157" s="37"/>
      <c r="FAQ157" s="37"/>
      <c r="FAR157" s="37"/>
      <c r="FAS157" s="37"/>
      <c r="FAT157" s="37"/>
      <c r="FAU157" s="37"/>
      <c r="FAV157" s="37"/>
      <c r="FAW157" s="37"/>
      <c r="FAX157" s="37"/>
      <c r="FAY157" s="37"/>
      <c r="FAZ157" s="37"/>
      <c r="FBA157" s="37"/>
      <c r="FBB157" s="37"/>
      <c r="FBC157" s="37"/>
      <c r="FBD157" s="37"/>
      <c r="FBE157" s="37"/>
      <c r="FBF157" s="37"/>
      <c r="FBG157" s="37"/>
      <c r="FBH157" s="37"/>
      <c r="FBI157" s="37"/>
      <c r="FBJ157" s="37"/>
      <c r="FBK157" s="37"/>
      <c r="FBL157" s="37"/>
      <c r="FBM157" s="37"/>
      <c r="FBN157" s="37"/>
      <c r="FBO157" s="37"/>
      <c r="FBP157" s="37"/>
      <c r="FBQ157" s="37"/>
      <c r="FBR157" s="37"/>
      <c r="FBS157" s="37"/>
      <c r="FBT157" s="37"/>
      <c r="FBU157" s="37"/>
      <c r="FBV157" s="37"/>
      <c r="FBW157" s="37"/>
      <c r="FBX157" s="37"/>
      <c r="FBY157" s="37"/>
      <c r="FBZ157" s="37"/>
      <c r="FCA157" s="37"/>
      <c r="FCB157" s="37"/>
      <c r="FCC157" s="37"/>
      <c r="FCD157" s="37"/>
      <c r="FCE157" s="37"/>
      <c r="FCF157" s="37"/>
      <c r="FCG157" s="37"/>
      <c r="FCH157" s="37"/>
      <c r="FCI157" s="37"/>
      <c r="FCJ157" s="37"/>
      <c r="FCK157" s="37"/>
      <c r="FCL157" s="37"/>
      <c r="FCM157" s="37"/>
      <c r="FCN157" s="37"/>
      <c r="FCO157" s="37"/>
      <c r="FCP157" s="37"/>
      <c r="FCQ157" s="37"/>
      <c r="FCR157" s="37"/>
      <c r="FCS157" s="37"/>
      <c r="FCT157" s="37"/>
      <c r="FCU157" s="37"/>
      <c r="FCV157" s="37"/>
      <c r="FCW157" s="37"/>
      <c r="FCX157" s="37"/>
      <c r="FCY157" s="37"/>
      <c r="FCZ157" s="37"/>
      <c r="FDA157" s="37"/>
      <c r="FDB157" s="37"/>
      <c r="FDC157" s="37"/>
      <c r="FDD157" s="37"/>
      <c r="FDE157" s="37"/>
      <c r="FDF157" s="37"/>
      <c r="FDG157" s="37"/>
      <c r="FDH157" s="37"/>
      <c r="FDI157" s="37"/>
      <c r="FDJ157" s="37"/>
      <c r="FDK157" s="37"/>
      <c r="FDL157" s="37"/>
      <c r="FDM157" s="37"/>
      <c r="FDN157" s="37"/>
      <c r="FDO157" s="37"/>
      <c r="FDP157" s="37"/>
      <c r="FDQ157" s="37"/>
      <c r="FDR157" s="37"/>
      <c r="FDS157" s="37"/>
      <c r="FDT157" s="37"/>
      <c r="FDU157" s="37"/>
      <c r="FDV157" s="37"/>
      <c r="FDW157" s="37"/>
      <c r="FDX157" s="37"/>
      <c r="FDY157" s="37"/>
      <c r="FDZ157" s="37"/>
      <c r="FEA157" s="37"/>
      <c r="FEB157" s="37"/>
      <c r="FEC157" s="37"/>
      <c r="FED157" s="37"/>
      <c r="FEE157" s="37"/>
      <c r="FEF157" s="37"/>
      <c r="FEG157" s="37"/>
      <c r="FEH157" s="37"/>
      <c r="FEI157" s="37"/>
      <c r="FEJ157" s="37"/>
      <c r="FEK157" s="37"/>
      <c r="FEL157" s="37"/>
      <c r="FEM157" s="37"/>
      <c r="FEN157" s="37"/>
      <c r="FEO157" s="37"/>
      <c r="FEP157" s="37"/>
      <c r="FEQ157" s="37"/>
      <c r="FER157" s="37"/>
      <c r="FES157" s="37"/>
      <c r="FET157" s="37"/>
      <c r="FEU157" s="37"/>
      <c r="FEV157" s="37"/>
      <c r="FEW157" s="37"/>
      <c r="FEX157" s="37"/>
      <c r="FEY157" s="37"/>
      <c r="FEZ157" s="37"/>
      <c r="FFA157" s="37"/>
      <c r="FFB157" s="37"/>
      <c r="FFC157" s="37"/>
      <c r="FFD157" s="37"/>
      <c r="FFE157" s="37"/>
      <c r="FFF157" s="37"/>
      <c r="FFG157" s="37"/>
      <c r="FFH157" s="37"/>
      <c r="FFI157" s="37"/>
      <c r="FFJ157" s="37"/>
      <c r="FFK157" s="37"/>
      <c r="FFL157" s="37"/>
      <c r="FFM157" s="37"/>
      <c r="FFN157" s="37"/>
      <c r="FFO157" s="37"/>
      <c r="FFP157" s="37"/>
      <c r="FFQ157" s="37"/>
      <c r="FFR157" s="37"/>
      <c r="FFS157" s="37"/>
      <c r="FFT157" s="37"/>
      <c r="FFU157" s="37"/>
      <c r="FFV157" s="37"/>
      <c r="FFW157" s="37"/>
      <c r="FFX157" s="37"/>
      <c r="FFY157" s="37"/>
      <c r="FFZ157" s="37"/>
      <c r="FGA157" s="37"/>
      <c r="FGB157" s="37"/>
      <c r="FGC157" s="37"/>
      <c r="FGD157" s="37"/>
      <c r="FGE157" s="37"/>
      <c r="FGF157" s="37"/>
      <c r="FGG157" s="37"/>
      <c r="FGH157" s="37"/>
      <c r="FGI157" s="37"/>
      <c r="FGJ157" s="37"/>
      <c r="FGK157" s="37"/>
      <c r="FGL157" s="37"/>
      <c r="FGM157" s="37"/>
      <c r="FGN157" s="37"/>
      <c r="FGO157" s="37"/>
      <c r="FGP157" s="37"/>
      <c r="FGQ157" s="37"/>
      <c r="FGR157" s="37"/>
      <c r="FGS157" s="37"/>
      <c r="FGT157" s="37"/>
      <c r="FGU157" s="37"/>
      <c r="FGV157" s="37"/>
      <c r="FGW157" s="37"/>
      <c r="FGX157" s="37"/>
      <c r="FGY157" s="37"/>
      <c r="FGZ157" s="37"/>
      <c r="FHA157" s="37"/>
      <c r="FHB157" s="37"/>
      <c r="FHC157" s="37"/>
      <c r="FHD157" s="37"/>
      <c r="FHE157" s="37"/>
      <c r="FHF157" s="37"/>
      <c r="FHG157" s="37"/>
      <c r="FHH157" s="37"/>
      <c r="FHI157" s="37"/>
      <c r="FHJ157" s="37"/>
      <c r="FHK157" s="37"/>
      <c r="FHL157" s="37"/>
      <c r="FHM157" s="37"/>
      <c r="FHN157" s="37"/>
      <c r="FHO157" s="37"/>
      <c r="FHP157" s="37"/>
      <c r="FHQ157" s="37"/>
      <c r="FHR157" s="37"/>
      <c r="FHS157" s="37"/>
      <c r="FHT157" s="37"/>
      <c r="FHU157" s="37"/>
      <c r="FHV157" s="37"/>
      <c r="FHW157" s="37"/>
      <c r="FHX157" s="37"/>
      <c r="FHY157" s="37"/>
      <c r="FHZ157" s="37"/>
      <c r="FIA157" s="37"/>
      <c r="FIB157" s="37"/>
      <c r="FIC157" s="37"/>
      <c r="FID157" s="37"/>
      <c r="FIE157" s="37"/>
      <c r="FIF157" s="37"/>
      <c r="FIG157" s="37"/>
      <c r="FIH157" s="37"/>
      <c r="FII157" s="37"/>
      <c r="FIJ157" s="37"/>
      <c r="FIK157" s="37"/>
      <c r="FIL157" s="37"/>
      <c r="FIM157" s="37"/>
      <c r="FIN157" s="37"/>
      <c r="FIO157" s="37"/>
      <c r="FIP157" s="37"/>
      <c r="FIQ157" s="37"/>
      <c r="FIR157" s="37"/>
      <c r="FIS157" s="37"/>
      <c r="FIT157" s="37"/>
      <c r="FIU157" s="37"/>
      <c r="FIV157" s="37"/>
      <c r="FIW157" s="37"/>
      <c r="FIX157" s="37"/>
      <c r="FIY157" s="37"/>
      <c r="FIZ157" s="37"/>
      <c r="FJA157" s="37"/>
      <c r="FJB157" s="37"/>
      <c r="FJC157" s="37"/>
      <c r="FJD157" s="37"/>
      <c r="FJE157" s="37"/>
      <c r="FJF157" s="37"/>
      <c r="FJG157" s="37"/>
      <c r="FJH157" s="37"/>
      <c r="FJI157" s="37"/>
      <c r="FJJ157" s="37"/>
      <c r="FJK157" s="37"/>
      <c r="FJL157" s="37"/>
      <c r="FJM157" s="37"/>
      <c r="FJN157" s="37"/>
      <c r="FJO157" s="37"/>
      <c r="FJP157" s="37"/>
      <c r="FJQ157" s="37"/>
      <c r="FJR157" s="37"/>
      <c r="FJS157" s="37"/>
      <c r="FJT157" s="37"/>
      <c r="FJU157" s="37"/>
      <c r="FJV157" s="37"/>
      <c r="FJW157" s="37"/>
      <c r="FJX157" s="37"/>
      <c r="FJY157" s="37"/>
      <c r="FJZ157" s="37"/>
      <c r="FKA157" s="37"/>
      <c r="FKB157" s="37"/>
      <c r="FKC157" s="37"/>
      <c r="FKD157" s="37"/>
      <c r="FKE157" s="37"/>
      <c r="FKF157" s="37"/>
      <c r="FKG157" s="37"/>
      <c r="FKH157" s="37"/>
      <c r="FKI157" s="37"/>
      <c r="FKJ157" s="37"/>
      <c r="FKK157" s="37"/>
      <c r="FKL157" s="37"/>
      <c r="FKM157" s="37"/>
      <c r="FKN157" s="37"/>
      <c r="FKO157" s="37"/>
      <c r="FKP157" s="37"/>
      <c r="FKQ157" s="37"/>
      <c r="FKR157" s="37"/>
      <c r="FKS157" s="37"/>
      <c r="FKT157" s="37"/>
      <c r="FKU157" s="37"/>
      <c r="FKV157" s="37"/>
      <c r="FKW157" s="37"/>
      <c r="FKX157" s="37"/>
      <c r="FKY157" s="37"/>
      <c r="FKZ157" s="37"/>
      <c r="FLA157" s="37"/>
      <c r="FLB157" s="37"/>
      <c r="FLC157" s="37"/>
      <c r="FLD157" s="37"/>
      <c r="FLE157" s="37"/>
      <c r="FLF157" s="37"/>
      <c r="FLG157" s="37"/>
      <c r="FLH157" s="37"/>
      <c r="FLI157" s="37"/>
      <c r="FLJ157" s="37"/>
      <c r="FLK157" s="37"/>
      <c r="FLL157" s="37"/>
      <c r="FLM157" s="37"/>
      <c r="FLN157" s="37"/>
      <c r="FLO157" s="37"/>
      <c r="FLP157" s="37"/>
      <c r="FLQ157" s="37"/>
      <c r="FLR157" s="37"/>
      <c r="FLS157" s="37"/>
      <c r="FLT157" s="37"/>
      <c r="FLU157" s="37"/>
      <c r="FLV157" s="37"/>
      <c r="FLW157" s="37"/>
      <c r="FLX157" s="37"/>
      <c r="FLY157" s="37"/>
      <c r="FLZ157" s="37"/>
      <c r="FMA157" s="37"/>
      <c r="FMB157" s="37"/>
      <c r="FMC157" s="37"/>
      <c r="FMD157" s="37"/>
      <c r="FME157" s="37"/>
      <c r="FMF157" s="37"/>
      <c r="FMG157" s="37"/>
      <c r="FMH157" s="37"/>
      <c r="FMI157" s="37"/>
      <c r="FMJ157" s="37"/>
      <c r="FMK157" s="37"/>
      <c r="FML157" s="37"/>
      <c r="FMM157" s="37"/>
      <c r="FMN157" s="37"/>
      <c r="FMO157" s="37"/>
      <c r="FMP157" s="37"/>
      <c r="FMQ157" s="37"/>
      <c r="FMR157" s="37"/>
      <c r="FMS157" s="37"/>
      <c r="FMT157" s="37"/>
      <c r="FMU157" s="37"/>
      <c r="FMV157" s="37"/>
      <c r="FMW157" s="37"/>
      <c r="FMX157" s="37"/>
      <c r="FMY157" s="37"/>
      <c r="FMZ157" s="37"/>
      <c r="FNA157" s="37"/>
      <c r="FNB157" s="37"/>
      <c r="FNC157" s="37"/>
      <c r="FND157" s="37"/>
      <c r="FNE157" s="37"/>
      <c r="FNF157" s="37"/>
      <c r="FNG157" s="37"/>
      <c r="FNH157" s="37"/>
      <c r="FNI157" s="37"/>
      <c r="FNJ157" s="37"/>
      <c r="FNK157" s="37"/>
      <c r="FNL157" s="37"/>
      <c r="FNM157" s="37"/>
      <c r="FNN157" s="37"/>
      <c r="FNO157" s="37"/>
      <c r="FNP157" s="37"/>
      <c r="FNQ157" s="37"/>
      <c r="FNR157" s="37"/>
      <c r="FNS157" s="37"/>
      <c r="FNT157" s="37"/>
      <c r="FNU157" s="37"/>
      <c r="FNV157" s="37"/>
      <c r="FNW157" s="37"/>
      <c r="FNX157" s="37"/>
      <c r="FNY157" s="37"/>
      <c r="FNZ157" s="37"/>
      <c r="FOA157" s="37"/>
      <c r="FOB157" s="37"/>
      <c r="FOC157" s="37"/>
      <c r="FOD157" s="37"/>
      <c r="FOE157" s="37"/>
      <c r="FOF157" s="37"/>
      <c r="FOG157" s="37"/>
      <c r="FOH157" s="37"/>
      <c r="FOI157" s="37"/>
      <c r="FOJ157" s="37"/>
      <c r="FOK157" s="37"/>
      <c r="FOL157" s="37"/>
      <c r="FOM157" s="37"/>
      <c r="FON157" s="37"/>
      <c r="FOO157" s="37"/>
      <c r="FOP157" s="37"/>
      <c r="FOQ157" s="37"/>
      <c r="FOR157" s="37"/>
      <c r="FOS157" s="37"/>
      <c r="FOT157" s="37"/>
      <c r="FOU157" s="37"/>
      <c r="FOV157" s="37"/>
      <c r="FOW157" s="37"/>
      <c r="FOX157" s="37"/>
      <c r="FOY157" s="37"/>
      <c r="FOZ157" s="37"/>
      <c r="FPA157" s="37"/>
      <c r="FPB157" s="37"/>
      <c r="FPC157" s="37"/>
      <c r="FPD157" s="37"/>
      <c r="FPE157" s="37"/>
      <c r="FPF157" s="37"/>
      <c r="FPG157" s="37"/>
      <c r="FPH157" s="37"/>
      <c r="FPI157" s="37"/>
      <c r="FPJ157" s="37"/>
      <c r="FPK157" s="37"/>
      <c r="FPL157" s="37"/>
      <c r="FPM157" s="37"/>
      <c r="FPN157" s="37"/>
      <c r="FPO157" s="37"/>
      <c r="FPP157" s="37"/>
      <c r="FPQ157" s="37"/>
      <c r="FPR157" s="37"/>
      <c r="FPS157" s="37"/>
      <c r="FPT157" s="37"/>
      <c r="FPU157" s="37"/>
      <c r="FPV157" s="37"/>
      <c r="FPW157" s="37"/>
      <c r="FPX157" s="37"/>
      <c r="FPY157" s="37"/>
      <c r="FPZ157" s="37"/>
      <c r="FQA157" s="37"/>
      <c r="FQB157" s="37"/>
      <c r="FQC157" s="37"/>
      <c r="FQD157" s="37"/>
      <c r="FQE157" s="37"/>
      <c r="FQF157" s="37"/>
      <c r="FQG157" s="37"/>
      <c r="FQH157" s="37"/>
      <c r="FQI157" s="37"/>
      <c r="FQJ157" s="37"/>
      <c r="FQK157" s="37"/>
      <c r="FQL157" s="37"/>
      <c r="FQM157" s="37"/>
      <c r="FQN157" s="37"/>
      <c r="FQO157" s="37"/>
      <c r="FQP157" s="37"/>
      <c r="FQQ157" s="37"/>
      <c r="FQR157" s="37"/>
      <c r="FQS157" s="37"/>
      <c r="FQT157" s="37"/>
      <c r="FQU157" s="37"/>
      <c r="FQV157" s="37"/>
      <c r="FQW157" s="37"/>
      <c r="FQX157" s="37"/>
      <c r="FQY157" s="37"/>
      <c r="FQZ157" s="37"/>
      <c r="FRA157" s="37"/>
      <c r="FRB157" s="37"/>
      <c r="FRC157" s="37"/>
      <c r="FRD157" s="37"/>
      <c r="FRE157" s="37"/>
      <c r="FRF157" s="37"/>
      <c r="FRG157" s="37"/>
      <c r="FRH157" s="37"/>
      <c r="FRI157" s="37"/>
      <c r="FRJ157" s="37"/>
      <c r="FRK157" s="37"/>
      <c r="FRL157" s="37"/>
      <c r="FRM157" s="37"/>
      <c r="FRN157" s="37"/>
      <c r="FRO157" s="37"/>
      <c r="FRP157" s="37"/>
      <c r="FRQ157" s="37"/>
      <c r="FRR157" s="37"/>
      <c r="FRS157" s="37"/>
      <c r="FRT157" s="37"/>
      <c r="FRU157" s="37"/>
      <c r="FRV157" s="37"/>
      <c r="FRW157" s="37"/>
      <c r="FRX157" s="37"/>
      <c r="FRY157" s="37"/>
      <c r="FRZ157" s="37"/>
      <c r="FSA157" s="37"/>
      <c r="FSB157" s="37"/>
      <c r="FSC157" s="37"/>
      <c r="FSD157" s="37"/>
      <c r="FSE157" s="37"/>
      <c r="FSF157" s="37"/>
      <c r="FSG157" s="37"/>
      <c r="FSH157" s="37"/>
      <c r="FSI157" s="37"/>
      <c r="FSJ157" s="37"/>
      <c r="FSK157" s="37"/>
      <c r="FSL157" s="37"/>
      <c r="FSM157" s="37"/>
      <c r="FSN157" s="37"/>
      <c r="FSO157" s="37"/>
      <c r="FSP157" s="37"/>
      <c r="FSQ157" s="37"/>
      <c r="FSR157" s="37"/>
      <c r="FSS157" s="37"/>
      <c r="FST157" s="37"/>
      <c r="FSU157" s="37"/>
      <c r="FSV157" s="37"/>
      <c r="FSW157" s="37"/>
      <c r="FSX157" s="37"/>
      <c r="FSY157" s="37"/>
      <c r="FSZ157" s="37"/>
      <c r="FTA157" s="37"/>
      <c r="FTB157" s="37"/>
      <c r="FTC157" s="37"/>
      <c r="FTD157" s="37"/>
      <c r="FTE157" s="37"/>
      <c r="FTF157" s="37"/>
      <c r="FTG157" s="37"/>
      <c r="FTH157" s="37"/>
      <c r="FTI157" s="37"/>
      <c r="FTJ157" s="37"/>
      <c r="FTK157" s="37"/>
      <c r="FTL157" s="37"/>
      <c r="FTM157" s="37"/>
      <c r="FTN157" s="37"/>
      <c r="FTO157" s="37"/>
      <c r="FTP157" s="37"/>
      <c r="FTQ157" s="37"/>
      <c r="FTR157" s="37"/>
      <c r="FTS157" s="37"/>
      <c r="FTT157" s="37"/>
      <c r="FTU157" s="37"/>
      <c r="FTV157" s="37"/>
      <c r="FTW157" s="37"/>
      <c r="FTX157" s="37"/>
      <c r="FTY157" s="37"/>
      <c r="FTZ157" s="37"/>
      <c r="FUA157" s="37"/>
      <c r="FUB157" s="37"/>
      <c r="FUC157" s="37"/>
      <c r="FUD157" s="37"/>
      <c r="FUE157" s="37"/>
      <c r="FUF157" s="37"/>
      <c r="FUG157" s="37"/>
      <c r="FUH157" s="37"/>
      <c r="FUI157" s="37"/>
      <c r="FUJ157" s="37"/>
      <c r="FUK157" s="37"/>
      <c r="FUL157" s="37"/>
      <c r="FUM157" s="37"/>
      <c r="FUN157" s="37"/>
      <c r="FUO157" s="37"/>
      <c r="FUP157" s="37"/>
      <c r="FUQ157" s="37"/>
      <c r="FUR157" s="37"/>
      <c r="FUS157" s="37"/>
      <c r="FUT157" s="37"/>
      <c r="FUU157" s="37"/>
      <c r="FUV157" s="37"/>
      <c r="FUW157" s="37"/>
      <c r="FUX157" s="37"/>
      <c r="FUY157" s="37"/>
      <c r="FUZ157" s="37"/>
      <c r="FVA157" s="37"/>
      <c r="FVB157" s="37"/>
      <c r="FVC157" s="37"/>
      <c r="FVD157" s="37"/>
      <c r="FVE157" s="37"/>
      <c r="FVF157" s="37"/>
      <c r="FVG157" s="37"/>
      <c r="FVH157" s="37"/>
      <c r="FVI157" s="37"/>
      <c r="FVJ157" s="37"/>
      <c r="FVK157" s="37"/>
      <c r="FVL157" s="37"/>
      <c r="FVM157" s="37"/>
      <c r="FVN157" s="37"/>
      <c r="FVO157" s="37"/>
      <c r="FVP157" s="37"/>
      <c r="FVQ157" s="37"/>
      <c r="FVR157" s="37"/>
      <c r="FVS157" s="37"/>
      <c r="FVT157" s="37"/>
      <c r="FVU157" s="37"/>
      <c r="FVV157" s="37"/>
      <c r="FVW157" s="37"/>
      <c r="FVX157" s="37"/>
      <c r="FVY157" s="37"/>
      <c r="FVZ157" s="37"/>
      <c r="FWA157" s="37"/>
      <c r="FWB157" s="37"/>
      <c r="FWC157" s="37"/>
      <c r="FWD157" s="37"/>
      <c r="FWE157" s="37"/>
      <c r="FWF157" s="37"/>
      <c r="FWG157" s="37"/>
      <c r="FWH157" s="37"/>
      <c r="FWI157" s="37"/>
      <c r="FWJ157" s="37"/>
      <c r="FWK157" s="37"/>
      <c r="FWL157" s="37"/>
      <c r="FWM157" s="37"/>
      <c r="FWN157" s="37"/>
      <c r="FWO157" s="37"/>
      <c r="FWP157" s="37"/>
      <c r="FWQ157" s="37"/>
      <c r="FWR157" s="37"/>
      <c r="FWS157" s="37"/>
      <c r="FWT157" s="37"/>
      <c r="FWU157" s="37"/>
      <c r="FWV157" s="37"/>
      <c r="FWW157" s="37"/>
      <c r="FWX157" s="37"/>
      <c r="FWY157" s="37"/>
      <c r="FWZ157" s="37"/>
      <c r="FXA157" s="37"/>
      <c r="FXB157" s="37"/>
      <c r="FXC157" s="37"/>
      <c r="FXD157" s="37"/>
      <c r="FXE157" s="37"/>
      <c r="FXF157" s="37"/>
      <c r="FXG157" s="37"/>
      <c r="FXH157" s="37"/>
      <c r="FXI157" s="37"/>
      <c r="FXJ157" s="37"/>
      <c r="FXK157" s="37"/>
      <c r="FXL157" s="37"/>
      <c r="FXM157" s="37"/>
      <c r="FXN157" s="37"/>
      <c r="FXO157" s="37"/>
      <c r="FXP157" s="37"/>
      <c r="FXQ157" s="37"/>
      <c r="FXR157" s="37"/>
      <c r="FXS157" s="37"/>
      <c r="FXT157" s="37"/>
      <c r="FXU157" s="37"/>
      <c r="FXV157" s="37"/>
      <c r="FXW157" s="37"/>
      <c r="FXX157" s="37"/>
      <c r="FXY157" s="37"/>
      <c r="FXZ157" s="37"/>
      <c r="FYA157" s="37"/>
      <c r="FYB157" s="37"/>
      <c r="FYC157" s="37"/>
      <c r="FYD157" s="37"/>
      <c r="FYE157" s="37"/>
      <c r="FYF157" s="37"/>
      <c r="FYG157" s="37"/>
      <c r="FYH157" s="37"/>
      <c r="FYI157" s="37"/>
      <c r="FYJ157" s="37"/>
      <c r="FYK157" s="37"/>
      <c r="FYL157" s="37"/>
      <c r="FYM157" s="37"/>
      <c r="FYN157" s="37"/>
      <c r="FYO157" s="37"/>
      <c r="FYP157" s="37"/>
      <c r="FYQ157" s="37"/>
      <c r="FYR157" s="37"/>
      <c r="FYS157" s="37"/>
      <c r="FYT157" s="37"/>
      <c r="FYU157" s="37"/>
      <c r="FYV157" s="37"/>
      <c r="FYW157" s="37"/>
      <c r="FYX157" s="37"/>
      <c r="FYY157" s="37"/>
      <c r="FYZ157" s="37"/>
      <c r="FZA157" s="37"/>
      <c r="FZB157" s="37"/>
      <c r="FZC157" s="37"/>
      <c r="FZD157" s="37"/>
      <c r="FZE157" s="37"/>
      <c r="FZF157" s="37"/>
      <c r="FZG157" s="37"/>
      <c r="FZH157" s="37"/>
      <c r="FZI157" s="37"/>
      <c r="FZJ157" s="37"/>
      <c r="FZK157" s="37"/>
      <c r="FZL157" s="37"/>
      <c r="FZM157" s="37"/>
      <c r="FZN157" s="37"/>
      <c r="FZO157" s="37"/>
      <c r="FZP157" s="37"/>
      <c r="FZQ157" s="37"/>
      <c r="FZR157" s="37"/>
      <c r="FZS157" s="37"/>
      <c r="FZT157" s="37"/>
      <c r="FZU157" s="37"/>
      <c r="FZV157" s="37"/>
      <c r="FZW157" s="37"/>
      <c r="FZX157" s="37"/>
      <c r="FZY157" s="37"/>
      <c r="FZZ157" s="37"/>
      <c r="GAA157" s="37"/>
      <c r="GAB157" s="37"/>
      <c r="GAC157" s="37"/>
      <c r="GAD157" s="37"/>
      <c r="GAE157" s="37"/>
      <c r="GAF157" s="37"/>
      <c r="GAG157" s="37"/>
      <c r="GAH157" s="37"/>
      <c r="GAI157" s="37"/>
      <c r="GAJ157" s="37"/>
      <c r="GAK157" s="37"/>
      <c r="GAL157" s="37"/>
      <c r="GAM157" s="37"/>
      <c r="GAN157" s="37"/>
      <c r="GAO157" s="37"/>
      <c r="GAP157" s="37"/>
      <c r="GAQ157" s="37"/>
      <c r="GAR157" s="37"/>
      <c r="GAS157" s="37"/>
      <c r="GAT157" s="37"/>
      <c r="GAU157" s="37"/>
      <c r="GAV157" s="37"/>
      <c r="GAW157" s="37"/>
      <c r="GAX157" s="37"/>
      <c r="GAY157" s="37"/>
      <c r="GAZ157" s="37"/>
      <c r="GBA157" s="37"/>
      <c r="GBB157" s="37"/>
      <c r="GBC157" s="37"/>
      <c r="GBD157" s="37"/>
      <c r="GBE157" s="37"/>
      <c r="GBF157" s="37"/>
      <c r="GBG157" s="37"/>
      <c r="GBH157" s="37"/>
      <c r="GBI157" s="37"/>
      <c r="GBJ157" s="37"/>
      <c r="GBK157" s="37"/>
      <c r="GBL157" s="37"/>
      <c r="GBM157" s="37"/>
      <c r="GBN157" s="37"/>
      <c r="GBO157" s="37"/>
      <c r="GBP157" s="37"/>
      <c r="GBQ157" s="37"/>
      <c r="GBR157" s="37"/>
      <c r="GBS157" s="37"/>
      <c r="GBT157" s="37"/>
      <c r="GBU157" s="37"/>
      <c r="GBV157" s="37"/>
      <c r="GBW157" s="37"/>
      <c r="GBX157" s="37"/>
      <c r="GBY157" s="37"/>
      <c r="GBZ157" s="37"/>
      <c r="GCA157" s="37"/>
      <c r="GCB157" s="37"/>
      <c r="GCC157" s="37"/>
      <c r="GCD157" s="37"/>
      <c r="GCE157" s="37"/>
      <c r="GCF157" s="37"/>
      <c r="GCG157" s="37"/>
      <c r="GCH157" s="37"/>
      <c r="GCI157" s="37"/>
      <c r="GCJ157" s="37"/>
      <c r="GCK157" s="37"/>
      <c r="GCL157" s="37"/>
      <c r="GCM157" s="37"/>
      <c r="GCN157" s="37"/>
      <c r="GCO157" s="37"/>
      <c r="GCP157" s="37"/>
      <c r="GCQ157" s="37"/>
      <c r="GCR157" s="37"/>
      <c r="GCS157" s="37"/>
      <c r="GCT157" s="37"/>
      <c r="GCU157" s="37"/>
      <c r="GCV157" s="37"/>
      <c r="GCW157" s="37"/>
      <c r="GCX157" s="37"/>
      <c r="GCY157" s="37"/>
      <c r="GCZ157" s="37"/>
      <c r="GDA157" s="37"/>
      <c r="GDB157" s="37"/>
      <c r="GDC157" s="37"/>
      <c r="GDD157" s="37"/>
      <c r="GDE157" s="37"/>
      <c r="GDF157" s="37"/>
      <c r="GDG157" s="37"/>
      <c r="GDH157" s="37"/>
      <c r="GDI157" s="37"/>
      <c r="GDJ157" s="37"/>
      <c r="GDK157" s="37"/>
      <c r="GDL157" s="37"/>
      <c r="GDM157" s="37"/>
      <c r="GDN157" s="37"/>
      <c r="GDO157" s="37"/>
      <c r="GDP157" s="37"/>
      <c r="GDQ157" s="37"/>
      <c r="GDR157" s="37"/>
      <c r="GDS157" s="37"/>
      <c r="GDT157" s="37"/>
      <c r="GDU157" s="37"/>
      <c r="GDV157" s="37"/>
      <c r="GDW157" s="37"/>
      <c r="GDX157" s="37"/>
      <c r="GDY157" s="37"/>
      <c r="GDZ157" s="37"/>
      <c r="GEA157" s="37"/>
      <c r="GEB157" s="37"/>
      <c r="GEC157" s="37"/>
      <c r="GED157" s="37"/>
      <c r="GEE157" s="37"/>
      <c r="GEF157" s="37"/>
      <c r="GEG157" s="37"/>
      <c r="GEH157" s="37"/>
      <c r="GEI157" s="37"/>
      <c r="GEJ157" s="37"/>
      <c r="GEK157" s="37"/>
      <c r="GEL157" s="37"/>
      <c r="GEM157" s="37"/>
      <c r="GEN157" s="37"/>
      <c r="GEO157" s="37"/>
      <c r="GEP157" s="37"/>
      <c r="GEQ157" s="37"/>
      <c r="GER157" s="37"/>
      <c r="GES157" s="37"/>
      <c r="GET157" s="37"/>
      <c r="GEU157" s="37"/>
      <c r="GEV157" s="37"/>
      <c r="GEW157" s="37"/>
      <c r="GEX157" s="37"/>
      <c r="GEY157" s="37"/>
      <c r="GEZ157" s="37"/>
      <c r="GFA157" s="37"/>
      <c r="GFB157" s="37"/>
      <c r="GFC157" s="37"/>
      <c r="GFD157" s="37"/>
      <c r="GFE157" s="37"/>
      <c r="GFF157" s="37"/>
      <c r="GFG157" s="37"/>
      <c r="GFH157" s="37"/>
      <c r="GFI157" s="37"/>
      <c r="GFJ157" s="37"/>
      <c r="GFK157" s="37"/>
      <c r="GFL157" s="37"/>
      <c r="GFM157" s="37"/>
      <c r="GFN157" s="37"/>
      <c r="GFO157" s="37"/>
      <c r="GFP157" s="37"/>
      <c r="GFQ157" s="37"/>
      <c r="GFR157" s="37"/>
      <c r="GFS157" s="37"/>
      <c r="GFT157" s="37"/>
      <c r="GFU157" s="37"/>
      <c r="GFV157" s="37"/>
      <c r="GFW157" s="37"/>
      <c r="GFX157" s="37"/>
      <c r="GFY157" s="37"/>
      <c r="GFZ157" s="37"/>
      <c r="GGA157" s="37"/>
      <c r="GGB157" s="37"/>
      <c r="GGC157" s="37"/>
      <c r="GGD157" s="37"/>
      <c r="GGE157" s="37"/>
      <c r="GGF157" s="37"/>
      <c r="GGG157" s="37"/>
      <c r="GGH157" s="37"/>
      <c r="GGI157" s="37"/>
      <c r="GGJ157" s="37"/>
      <c r="GGK157" s="37"/>
      <c r="GGL157" s="37"/>
      <c r="GGM157" s="37"/>
      <c r="GGN157" s="37"/>
      <c r="GGO157" s="37"/>
      <c r="GGP157" s="37"/>
      <c r="GGQ157" s="37"/>
      <c r="GGR157" s="37"/>
      <c r="GGS157" s="37"/>
      <c r="GGT157" s="37"/>
      <c r="GGU157" s="37"/>
      <c r="GGV157" s="37"/>
      <c r="GGW157" s="37"/>
      <c r="GGX157" s="37"/>
      <c r="GGY157" s="37"/>
      <c r="GGZ157" s="37"/>
      <c r="GHA157" s="37"/>
      <c r="GHB157" s="37"/>
      <c r="GHC157" s="37"/>
      <c r="GHD157" s="37"/>
      <c r="GHE157" s="37"/>
      <c r="GHF157" s="37"/>
      <c r="GHG157" s="37"/>
      <c r="GHH157" s="37"/>
      <c r="GHI157" s="37"/>
      <c r="GHJ157" s="37"/>
      <c r="GHK157" s="37"/>
      <c r="GHL157" s="37"/>
      <c r="GHM157" s="37"/>
      <c r="GHN157" s="37"/>
      <c r="GHO157" s="37"/>
      <c r="GHP157" s="37"/>
      <c r="GHQ157" s="37"/>
      <c r="GHR157" s="37"/>
      <c r="GHS157" s="37"/>
      <c r="GHT157" s="37"/>
      <c r="GHU157" s="37"/>
      <c r="GHV157" s="37"/>
      <c r="GHW157" s="37"/>
      <c r="GHX157" s="37"/>
      <c r="GHY157" s="37"/>
      <c r="GHZ157" s="37"/>
      <c r="GIA157" s="37"/>
      <c r="GIB157" s="37"/>
      <c r="GIC157" s="37"/>
      <c r="GID157" s="37"/>
      <c r="GIE157" s="37"/>
      <c r="GIF157" s="37"/>
      <c r="GIG157" s="37"/>
      <c r="GIH157" s="37"/>
      <c r="GII157" s="37"/>
      <c r="GIJ157" s="37"/>
      <c r="GIK157" s="37"/>
      <c r="GIL157" s="37"/>
      <c r="GIM157" s="37"/>
      <c r="GIN157" s="37"/>
      <c r="GIO157" s="37"/>
      <c r="GIP157" s="37"/>
      <c r="GIQ157" s="37"/>
      <c r="GIR157" s="37"/>
      <c r="GIS157" s="37"/>
      <c r="GIT157" s="37"/>
      <c r="GIU157" s="37"/>
      <c r="GIV157" s="37"/>
      <c r="GIW157" s="37"/>
      <c r="GIX157" s="37"/>
      <c r="GIY157" s="37"/>
      <c r="GIZ157" s="37"/>
      <c r="GJA157" s="37"/>
      <c r="GJB157" s="37"/>
      <c r="GJC157" s="37"/>
      <c r="GJD157" s="37"/>
      <c r="GJE157" s="37"/>
      <c r="GJF157" s="37"/>
      <c r="GJG157" s="37"/>
      <c r="GJH157" s="37"/>
      <c r="GJI157" s="37"/>
      <c r="GJJ157" s="37"/>
      <c r="GJK157" s="37"/>
      <c r="GJL157" s="37"/>
      <c r="GJM157" s="37"/>
      <c r="GJN157" s="37"/>
      <c r="GJO157" s="37"/>
      <c r="GJP157" s="37"/>
      <c r="GJQ157" s="37"/>
      <c r="GJR157" s="37"/>
      <c r="GJS157" s="37"/>
      <c r="GJT157" s="37"/>
      <c r="GJU157" s="37"/>
      <c r="GJV157" s="37"/>
      <c r="GJW157" s="37"/>
      <c r="GJX157" s="37"/>
      <c r="GJY157" s="37"/>
      <c r="GJZ157" s="37"/>
      <c r="GKA157" s="37"/>
      <c r="GKB157" s="37"/>
      <c r="GKC157" s="37"/>
      <c r="GKD157" s="37"/>
      <c r="GKE157" s="37"/>
      <c r="GKF157" s="37"/>
      <c r="GKG157" s="37"/>
      <c r="GKH157" s="37"/>
      <c r="GKI157" s="37"/>
      <c r="GKJ157" s="37"/>
      <c r="GKK157" s="37"/>
      <c r="GKL157" s="37"/>
      <c r="GKM157" s="37"/>
      <c r="GKN157" s="37"/>
      <c r="GKO157" s="37"/>
      <c r="GKP157" s="37"/>
      <c r="GKQ157" s="37"/>
      <c r="GKR157" s="37"/>
      <c r="GKS157" s="37"/>
      <c r="GKT157" s="37"/>
      <c r="GKU157" s="37"/>
      <c r="GKV157" s="37"/>
      <c r="GKW157" s="37"/>
      <c r="GKX157" s="37"/>
      <c r="GKY157" s="37"/>
      <c r="GKZ157" s="37"/>
      <c r="GLA157" s="37"/>
      <c r="GLB157" s="37"/>
      <c r="GLC157" s="37"/>
      <c r="GLD157" s="37"/>
      <c r="GLE157" s="37"/>
      <c r="GLF157" s="37"/>
      <c r="GLG157" s="37"/>
      <c r="GLH157" s="37"/>
      <c r="GLI157" s="37"/>
      <c r="GLJ157" s="37"/>
      <c r="GLK157" s="37"/>
      <c r="GLL157" s="37"/>
      <c r="GLM157" s="37"/>
      <c r="GLN157" s="37"/>
      <c r="GLO157" s="37"/>
      <c r="GLP157" s="37"/>
      <c r="GLQ157" s="37"/>
      <c r="GLR157" s="37"/>
      <c r="GLS157" s="37"/>
      <c r="GLT157" s="37"/>
      <c r="GLU157" s="37"/>
      <c r="GLV157" s="37"/>
      <c r="GLW157" s="37"/>
      <c r="GLX157" s="37"/>
      <c r="GLY157" s="37"/>
      <c r="GLZ157" s="37"/>
      <c r="GMA157" s="37"/>
      <c r="GMB157" s="37"/>
      <c r="GMC157" s="37"/>
      <c r="GMD157" s="37"/>
      <c r="GME157" s="37"/>
      <c r="GMF157" s="37"/>
      <c r="GMG157" s="37"/>
      <c r="GMH157" s="37"/>
      <c r="GMI157" s="37"/>
      <c r="GMJ157" s="37"/>
      <c r="GMK157" s="37"/>
      <c r="GML157" s="37"/>
      <c r="GMM157" s="37"/>
      <c r="GMN157" s="37"/>
      <c r="GMO157" s="37"/>
      <c r="GMP157" s="37"/>
      <c r="GMQ157" s="37"/>
      <c r="GMR157" s="37"/>
      <c r="GMS157" s="37"/>
      <c r="GMT157" s="37"/>
      <c r="GMU157" s="37"/>
      <c r="GMV157" s="37"/>
      <c r="GMW157" s="37"/>
      <c r="GMX157" s="37"/>
      <c r="GMY157" s="37"/>
      <c r="GMZ157" s="37"/>
      <c r="GNA157" s="37"/>
      <c r="GNB157" s="37"/>
      <c r="GNC157" s="37"/>
      <c r="GND157" s="37"/>
      <c r="GNE157" s="37"/>
      <c r="GNF157" s="37"/>
      <c r="GNG157" s="37"/>
      <c r="GNH157" s="37"/>
      <c r="GNI157" s="37"/>
      <c r="GNJ157" s="37"/>
      <c r="GNK157" s="37"/>
      <c r="GNL157" s="37"/>
      <c r="GNM157" s="37"/>
      <c r="GNN157" s="37"/>
      <c r="GNO157" s="37"/>
      <c r="GNP157" s="37"/>
      <c r="GNQ157" s="37"/>
      <c r="GNR157" s="37"/>
      <c r="GNS157" s="37"/>
      <c r="GNT157" s="37"/>
      <c r="GNU157" s="37"/>
      <c r="GNV157" s="37"/>
      <c r="GNW157" s="37"/>
      <c r="GNX157" s="37"/>
      <c r="GNY157" s="37"/>
      <c r="GNZ157" s="37"/>
      <c r="GOA157" s="37"/>
      <c r="GOB157" s="37"/>
      <c r="GOC157" s="37"/>
      <c r="GOD157" s="37"/>
      <c r="GOE157" s="37"/>
      <c r="GOF157" s="37"/>
      <c r="GOG157" s="37"/>
      <c r="GOH157" s="37"/>
      <c r="GOI157" s="37"/>
      <c r="GOJ157" s="37"/>
      <c r="GOK157" s="37"/>
      <c r="GOL157" s="37"/>
      <c r="GOM157" s="37"/>
      <c r="GON157" s="37"/>
      <c r="GOO157" s="37"/>
      <c r="GOP157" s="37"/>
      <c r="GOQ157" s="37"/>
      <c r="GOR157" s="37"/>
      <c r="GOS157" s="37"/>
      <c r="GOT157" s="37"/>
      <c r="GOU157" s="37"/>
      <c r="GOV157" s="37"/>
      <c r="GOW157" s="37"/>
      <c r="GOX157" s="37"/>
      <c r="GOY157" s="37"/>
      <c r="GOZ157" s="37"/>
      <c r="GPA157" s="37"/>
      <c r="GPB157" s="37"/>
      <c r="GPC157" s="37"/>
      <c r="GPD157" s="37"/>
      <c r="GPE157" s="37"/>
      <c r="GPF157" s="37"/>
      <c r="GPG157" s="37"/>
      <c r="GPH157" s="37"/>
      <c r="GPI157" s="37"/>
      <c r="GPJ157" s="37"/>
      <c r="GPK157" s="37"/>
      <c r="GPL157" s="37"/>
      <c r="GPM157" s="37"/>
      <c r="GPN157" s="37"/>
      <c r="GPO157" s="37"/>
      <c r="GPP157" s="37"/>
      <c r="GPQ157" s="37"/>
      <c r="GPR157" s="37"/>
      <c r="GPS157" s="37"/>
      <c r="GPT157" s="37"/>
      <c r="GPU157" s="37"/>
      <c r="GPV157" s="37"/>
      <c r="GPW157" s="37"/>
      <c r="GPX157" s="37"/>
      <c r="GPY157" s="37"/>
      <c r="GPZ157" s="37"/>
      <c r="GQA157" s="37"/>
      <c r="GQB157" s="37"/>
      <c r="GQC157" s="37"/>
      <c r="GQD157" s="37"/>
      <c r="GQE157" s="37"/>
      <c r="GQF157" s="37"/>
      <c r="GQG157" s="37"/>
      <c r="GQH157" s="37"/>
      <c r="GQI157" s="37"/>
      <c r="GQJ157" s="37"/>
      <c r="GQK157" s="37"/>
      <c r="GQL157" s="37"/>
      <c r="GQM157" s="37"/>
      <c r="GQN157" s="37"/>
      <c r="GQO157" s="37"/>
      <c r="GQP157" s="37"/>
      <c r="GQQ157" s="37"/>
      <c r="GQR157" s="37"/>
      <c r="GQS157" s="37"/>
      <c r="GQT157" s="37"/>
      <c r="GQU157" s="37"/>
      <c r="GQV157" s="37"/>
      <c r="GQW157" s="37"/>
      <c r="GQX157" s="37"/>
      <c r="GQY157" s="37"/>
      <c r="GQZ157" s="37"/>
      <c r="GRA157" s="37"/>
      <c r="GRB157" s="37"/>
      <c r="GRC157" s="37"/>
      <c r="GRD157" s="37"/>
      <c r="GRE157" s="37"/>
      <c r="GRF157" s="37"/>
      <c r="GRG157" s="37"/>
      <c r="GRH157" s="37"/>
      <c r="GRI157" s="37"/>
      <c r="GRJ157" s="37"/>
      <c r="GRK157" s="37"/>
      <c r="GRL157" s="37"/>
      <c r="GRM157" s="37"/>
      <c r="GRN157" s="37"/>
      <c r="GRO157" s="37"/>
      <c r="GRP157" s="37"/>
      <c r="GRQ157" s="37"/>
      <c r="GRR157" s="37"/>
      <c r="GRS157" s="37"/>
      <c r="GRT157" s="37"/>
      <c r="GRU157" s="37"/>
      <c r="GRV157" s="37"/>
      <c r="GRW157" s="37"/>
      <c r="GRX157" s="37"/>
      <c r="GRY157" s="37"/>
      <c r="GRZ157" s="37"/>
      <c r="GSA157" s="37"/>
      <c r="GSB157" s="37"/>
      <c r="GSC157" s="37"/>
      <c r="GSD157" s="37"/>
      <c r="GSE157" s="37"/>
      <c r="GSF157" s="37"/>
      <c r="GSG157" s="37"/>
      <c r="GSH157" s="37"/>
      <c r="GSI157" s="37"/>
      <c r="GSJ157" s="37"/>
      <c r="GSK157" s="37"/>
      <c r="GSL157" s="37"/>
      <c r="GSM157" s="37"/>
      <c r="GSN157" s="37"/>
      <c r="GSO157" s="37"/>
      <c r="GSP157" s="37"/>
      <c r="GSQ157" s="37"/>
      <c r="GSR157" s="37"/>
      <c r="GSS157" s="37"/>
      <c r="GST157" s="37"/>
      <c r="GSU157" s="37"/>
      <c r="GSV157" s="37"/>
      <c r="GSW157" s="37"/>
      <c r="GSX157" s="37"/>
      <c r="GSY157" s="37"/>
      <c r="GSZ157" s="37"/>
      <c r="GTA157" s="37"/>
      <c r="GTB157" s="37"/>
      <c r="GTC157" s="37"/>
      <c r="GTD157" s="37"/>
      <c r="GTE157" s="37"/>
      <c r="GTF157" s="37"/>
      <c r="GTG157" s="37"/>
      <c r="GTH157" s="37"/>
      <c r="GTI157" s="37"/>
      <c r="GTJ157" s="37"/>
      <c r="GTK157" s="37"/>
      <c r="GTL157" s="37"/>
      <c r="GTM157" s="37"/>
      <c r="GTN157" s="37"/>
      <c r="GTO157" s="37"/>
      <c r="GTP157" s="37"/>
      <c r="GTQ157" s="37"/>
      <c r="GTR157" s="37"/>
      <c r="GTS157" s="37"/>
      <c r="GTT157" s="37"/>
      <c r="GTU157" s="37"/>
      <c r="GTV157" s="37"/>
      <c r="GTW157" s="37"/>
      <c r="GTX157" s="37"/>
      <c r="GTY157" s="37"/>
      <c r="GTZ157" s="37"/>
      <c r="GUA157" s="37"/>
      <c r="GUB157" s="37"/>
      <c r="GUC157" s="37"/>
      <c r="GUD157" s="37"/>
      <c r="GUE157" s="37"/>
      <c r="GUF157" s="37"/>
      <c r="GUG157" s="37"/>
      <c r="GUH157" s="37"/>
      <c r="GUI157" s="37"/>
      <c r="GUJ157" s="37"/>
      <c r="GUK157" s="37"/>
      <c r="GUL157" s="37"/>
      <c r="GUM157" s="37"/>
      <c r="GUN157" s="37"/>
      <c r="GUO157" s="37"/>
      <c r="GUP157" s="37"/>
      <c r="GUQ157" s="37"/>
      <c r="GUR157" s="37"/>
      <c r="GUS157" s="37"/>
      <c r="GUT157" s="37"/>
      <c r="GUU157" s="37"/>
      <c r="GUV157" s="37"/>
      <c r="GUW157" s="37"/>
      <c r="GUX157" s="37"/>
      <c r="GUY157" s="37"/>
      <c r="GUZ157" s="37"/>
      <c r="GVA157" s="37"/>
      <c r="GVB157" s="37"/>
      <c r="GVC157" s="37"/>
      <c r="GVD157" s="37"/>
      <c r="GVE157" s="37"/>
      <c r="GVF157" s="37"/>
      <c r="GVG157" s="37"/>
      <c r="GVH157" s="37"/>
      <c r="GVI157" s="37"/>
      <c r="GVJ157" s="37"/>
      <c r="GVK157" s="37"/>
      <c r="GVL157" s="37"/>
      <c r="GVM157" s="37"/>
      <c r="GVN157" s="37"/>
      <c r="GVO157" s="37"/>
      <c r="GVP157" s="37"/>
      <c r="GVQ157" s="37"/>
      <c r="GVR157" s="37"/>
      <c r="GVS157" s="37"/>
      <c r="GVT157" s="37"/>
      <c r="GVU157" s="37"/>
      <c r="GVV157" s="37"/>
      <c r="GVW157" s="37"/>
      <c r="GVX157" s="37"/>
      <c r="GVY157" s="37"/>
      <c r="GVZ157" s="37"/>
      <c r="GWA157" s="37"/>
      <c r="GWB157" s="37"/>
      <c r="GWC157" s="37"/>
      <c r="GWD157" s="37"/>
      <c r="GWE157" s="37"/>
      <c r="GWF157" s="37"/>
      <c r="GWG157" s="37"/>
      <c r="GWH157" s="37"/>
      <c r="GWI157" s="37"/>
      <c r="GWJ157" s="37"/>
      <c r="GWK157" s="37"/>
      <c r="GWL157" s="37"/>
      <c r="GWM157" s="37"/>
      <c r="GWN157" s="37"/>
      <c r="GWO157" s="37"/>
      <c r="GWP157" s="37"/>
      <c r="GWQ157" s="37"/>
      <c r="GWR157" s="37"/>
      <c r="GWS157" s="37"/>
      <c r="GWT157" s="37"/>
      <c r="GWU157" s="37"/>
      <c r="GWV157" s="37"/>
      <c r="GWW157" s="37"/>
      <c r="GWX157" s="37"/>
      <c r="GWY157" s="37"/>
      <c r="GWZ157" s="37"/>
      <c r="GXA157" s="37"/>
      <c r="GXB157" s="37"/>
      <c r="GXC157" s="37"/>
      <c r="GXD157" s="37"/>
      <c r="GXE157" s="37"/>
      <c r="GXF157" s="37"/>
      <c r="GXG157" s="37"/>
      <c r="GXH157" s="37"/>
      <c r="GXI157" s="37"/>
      <c r="GXJ157" s="37"/>
      <c r="GXK157" s="37"/>
      <c r="GXL157" s="37"/>
      <c r="GXM157" s="37"/>
      <c r="GXN157" s="37"/>
      <c r="GXO157" s="37"/>
      <c r="GXP157" s="37"/>
      <c r="GXQ157" s="37"/>
      <c r="GXR157" s="37"/>
      <c r="GXS157" s="37"/>
      <c r="GXT157" s="37"/>
      <c r="GXU157" s="37"/>
      <c r="GXV157" s="37"/>
      <c r="GXW157" s="37"/>
      <c r="GXX157" s="37"/>
      <c r="GXY157" s="37"/>
      <c r="GXZ157" s="37"/>
      <c r="GYA157" s="37"/>
      <c r="GYB157" s="37"/>
      <c r="GYC157" s="37"/>
      <c r="GYD157" s="37"/>
      <c r="GYE157" s="37"/>
      <c r="GYF157" s="37"/>
      <c r="GYG157" s="37"/>
      <c r="GYH157" s="37"/>
      <c r="GYI157" s="37"/>
      <c r="GYJ157" s="37"/>
      <c r="GYK157" s="37"/>
      <c r="GYL157" s="37"/>
      <c r="GYM157" s="37"/>
      <c r="GYN157" s="37"/>
      <c r="GYO157" s="37"/>
      <c r="GYP157" s="37"/>
      <c r="GYQ157" s="37"/>
      <c r="GYR157" s="37"/>
      <c r="GYS157" s="37"/>
      <c r="GYT157" s="37"/>
      <c r="GYU157" s="37"/>
      <c r="GYV157" s="37"/>
      <c r="GYW157" s="37"/>
      <c r="GYX157" s="37"/>
      <c r="GYY157" s="37"/>
      <c r="GYZ157" s="37"/>
      <c r="GZA157" s="37"/>
      <c r="GZB157" s="37"/>
      <c r="GZC157" s="37"/>
      <c r="GZD157" s="37"/>
      <c r="GZE157" s="37"/>
      <c r="GZF157" s="37"/>
      <c r="GZG157" s="37"/>
      <c r="GZH157" s="37"/>
      <c r="GZI157" s="37"/>
      <c r="GZJ157" s="37"/>
      <c r="GZK157" s="37"/>
      <c r="GZL157" s="37"/>
      <c r="GZM157" s="37"/>
      <c r="GZN157" s="37"/>
      <c r="GZO157" s="37"/>
      <c r="GZP157" s="37"/>
      <c r="GZQ157" s="37"/>
      <c r="GZR157" s="37"/>
      <c r="GZS157" s="37"/>
      <c r="GZT157" s="37"/>
      <c r="GZU157" s="37"/>
      <c r="GZV157" s="37"/>
      <c r="GZW157" s="37"/>
      <c r="GZX157" s="37"/>
      <c r="GZY157" s="37"/>
      <c r="GZZ157" s="37"/>
      <c r="HAA157" s="37"/>
      <c r="HAB157" s="37"/>
      <c r="HAC157" s="37"/>
      <c r="HAD157" s="37"/>
      <c r="HAE157" s="37"/>
      <c r="HAF157" s="37"/>
      <c r="HAG157" s="37"/>
      <c r="HAH157" s="37"/>
      <c r="HAI157" s="37"/>
      <c r="HAJ157" s="37"/>
      <c r="HAK157" s="37"/>
      <c r="HAL157" s="37"/>
      <c r="HAM157" s="37"/>
      <c r="HAN157" s="37"/>
      <c r="HAO157" s="37"/>
      <c r="HAP157" s="37"/>
      <c r="HAQ157" s="37"/>
      <c r="HAR157" s="37"/>
      <c r="HAS157" s="37"/>
      <c r="HAT157" s="37"/>
      <c r="HAU157" s="37"/>
      <c r="HAV157" s="37"/>
      <c r="HAW157" s="37"/>
      <c r="HAX157" s="37"/>
      <c r="HAY157" s="37"/>
      <c r="HAZ157" s="37"/>
      <c r="HBA157" s="37"/>
      <c r="HBB157" s="37"/>
      <c r="HBC157" s="37"/>
      <c r="HBD157" s="37"/>
      <c r="HBE157" s="37"/>
      <c r="HBF157" s="37"/>
      <c r="HBG157" s="37"/>
      <c r="HBH157" s="37"/>
      <c r="HBI157" s="37"/>
      <c r="HBJ157" s="37"/>
      <c r="HBK157" s="37"/>
      <c r="HBL157" s="37"/>
      <c r="HBM157" s="37"/>
      <c r="HBN157" s="37"/>
      <c r="HBO157" s="37"/>
      <c r="HBP157" s="37"/>
      <c r="HBQ157" s="37"/>
      <c r="HBR157" s="37"/>
      <c r="HBS157" s="37"/>
      <c r="HBT157" s="37"/>
      <c r="HBU157" s="37"/>
      <c r="HBV157" s="37"/>
      <c r="HBW157" s="37"/>
      <c r="HBX157" s="37"/>
      <c r="HBY157" s="37"/>
      <c r="HBZ157" s="37"/>
      <c r="HCA157" s="37"/>
      <c r="HCB157" s="37"/>
      <c r="HCC157" s="37"/>
      <c r="HCD157" s="37"/>
      <c r="HCE157" s="37"/>
      <c r="HCF157" s="37"/>
      <c r="HCG157" s="37"/>
      <c r="HCH157" s="37"/>
      <c r="HCI157" s="37"/>
      <c r="HCJ157" s="37"/>
      <c r="HCK157" s="37"/>
      <c r="HCL157" s="37"/>
      <c r="HCM157" s="37"/>
      <c r="HCN157" s="37"/>
      <c r="HCO157" s="37"/>
      <c r="HCP157" s="37"/>
      <c r="HCQ157" s="37"/>
      <c r="HCR157" s="37"/>
      <c r="HCS157" s="37"/>
      <c r="HCT157" s="37"/>
      <c r="HCU157" s="37"/>
      <c r="HCV157" s="37"/>
      <c r="HCW157" s="37"/>
      <c r="HCX157" s="37"/>
      <c r="HCY157" s="37"/>
      <c r="HCZ157" s="37"/>
      <c r="HDA157" s="37"/>
      <c r="HDB157" s="37"/>
      <c r="HDC157" s="37"/>
      <c r="HDD157" s="37"/>
      <c r="HDE157" s="37"/>
      <c r="HDF157" s="37"/>
      <c r="HDG157" s="37"/>
      <c r="HDH157" s="37"/>
      <c r="HDI157" s="37"/>
      <c r="HDJ157" s="37"/>
      <c r="HDK157" s="37"/>
      <c r="HDL157" s="37"/>
      <c r="HDM157" s="37"/>
      <c r="HDN157" s="37"/>
      <c r="HDO157" s="37"/>
      <c r="HDP157" s="37"/>
      <c r="HDQ157" s="37"/>
      <c r="HDR157" s="37"/>
      <c r="HDS157" s="37"/>
      <c r="HDT157" s="37"/>
      <c r="HDU157" s="37"/>
      <c r="HDV157" s="37"/>
      <c r="HDW157" s="37"/>
      <c r="HDX157" s="37"/>
      <c r="HDY157" s="37"/>
      <c r="HDZ157" s="37"/>
      <c r="HEA157" s="37"/>
      <c r="HEB157" s="37"/>
      <c r="HEC157" s="37"/>
      <c r="HED157" s="37"/>
      <c r="HEE157" s="37"/>
      <c r="HEF157" s="37"/>
      <c r="HEG157" s="37"/>
      <c r="HEH157" s="37"/>
      <c r="HEI157" s="37"/>
      <c r="HEJ157" s="37"/>
      <c r="HEK157" s="37"/>
      <c r="HEL157" s="37"/>
      <c r="HEM157" s="37"/>
      <c r="HEN157" s="37"/>
      <c r="HEO157" s="37"/>
      <c r="HEP157" s="37"/>
      <c r="HEQ157" s="37"/>
      <c r="HER157" s="37"/>
      <c r="HES157" s="37"/>
      <c r="HET157" s="37"/>
      <c r="HEU157" s="37"/>
      <c r="HEV157" s="37"/>
      <c r="HEW157" s="37"/>
      <c r="HEX157" s="37"/>
      <c r="HEY157" s="37"/>
      <c r="HEZ157" s="37"/>
      <c r="HFA157" s="37"/>
      <c r="HFB157" s="37"/>
      <c r="HFC157" s="37"/>
      <c r="HFD157" s="37"/>
      <c r="HFE157" s="37"/>
      <c r="HFF157" s="37"/>
      <c r="HFG157" s="37"/>
      <c r="HFH157" s="37"/>
      <c r="HFI157" s="37"/>
      <c r="HFJ157" s="37"/>
      <c r="HFK157" s="37"/>
      <c r="HFL157" s="37"/>
      <c r="HFM157" s="37"/>
      <c r="HFN157" s="37"/>
      <c r="HFO157" s="37"/>
      <c r="HFP157" s="37"/>
      <c r="HFQ157" s="37"/>
      <c r="HFR157" s="37"/>
      <c r="HFS157" s="37"/>
      <c r="HFT157" s="37"/>
      <c r="HFU157" s="37"/>
      <c r="HFV157" s="37"/>
      <c r="HFW157" s="37"/>
      <c r="HFX157" s="37"/>
      <c r="HFY157" s="37"/>
      <c r="HFZ157" s="37"/>
      <c r="HGA157" s="37"/>
      <c r="HGB157" s="37"/>
      <c r="HGC157" s="37"/>
      <c r="HGD157" s="37"/>
      <c r="HGE157" s="37"/>
      <c r="HGF157" s="37"/>
      <c r="HGG157" s="37"/>
      <c r="HGH157" s="37"/>
      <c r="HGI157" s="37"/>
      <c r="HGJ157" s="37"/>
      <c r="HGK157" s="37"/>
      <c r="HGL157" s="37"/>
      <c r="HGM157" s="37"/>
      <c r="HGN157" s="37"/>
      <c r="HGO157" s="37"/>
      <c r="HGP157" s="37"/>
      <c r="HGQ157" s="37"/>
      <c r="HGR157" s="37"/>
      <c r="HGS157" s="37"/>
      <c r="HGT157" s="37"/>
      <c r="HGU157" s="37"/>
      <c r="HGV157" s="37"/>
      <c r="HGW157" s="37"/>
      <c r="HGX157" s="37"/>
      <c r="HGY157" s="37"/>
      <c r="HGZ157" s="37"/>
      <c r="HHA157" s="37"/>
      <c r="HHB157" s="37"/>
      <c r="HHC157" s="37"/>
      <c r="HHD157" s="37"/>
      <c r="HHE157" s="37"/>
      <c r="HHF157" s="37"/>
      <c r="HHG157" s="37"/>
      <c r="HHH157" s="37"/>
      <c r="HHI157" s="37"/>
      <c r="HHJ157" s="37"/>
      <c r="HHK157" s="37"/>
      <c r="HHL157" s="37"/>
      <c r="HHM157" s="37"/>
      <c r="HHN157" s="37"/>
      <c r="HHO157" s="37"/>
      <c r="HHP157" s="37"/>
      <c r="HHQ157" s="37"/>
      <c r="HHR157" s="37"/>
      <c r="HHS157" s="37"/>
      <c r="HHT157" s="37"/>
      <c r="HHU157" s="37"/>
      <c r="HHV157" s="37"/>
      <c r="HHW157" s="37"/>
      <c r="HHX157" s="37"/>
      <c r="HHY157" s="37"/>
      <c r="HHZ157" s="37"/>
      <c r="HIA157" s="37"/>
      <c r="HIB157" s="37"/>
      <c r="HIC157" s="37"/>
      <c r="HID157" s="37"/>
      <c r="HIE157" s="37"/>
      <c r="HIF157" s="37"/>
      <c r="HIG157" s="37"/>
      <c r="HIH157" s="37"/>
      <c r="HII157" s="37"/>
      <c r="HIJ157" s="37"/>
      <c r="HIK157" s="37"/>
      <c r="HIL157" s="37"/>
      <c r="HIM157" s="37"/>
      <c r="HIN157" s="37"/>
      <c r="HIO157" s="37"/>
      <c r="HIP157" s="37"/>
      <c r="HIQ157" s="37"/>
      <c r="HIR157" s="37"/>
      <c r="HIS157" s="37"/>
      <c r="HIT157" s="37"/>
      <c r="HIU157" s="37"/>
      <c r="HIV157" s="37"/>
      <c r="HIW157" s="37"/>
      <c r="HIX157" s="37"/>
      <c r="HIY157" s="37"/>
      <c r="HIZ157" s="37"/>
      <c r="HJA157" s="37"/>
      <c r="HJB157" s="37"/>
      <c r="HJC157" s="37"/>
      <c r="HJD157" s="37"/>
      <c r="HJE157" s="37"/>
      <c r="HJF157" s="37"/>
      <c r="HJG157" s="37"/>
      <c r="HJH157" s="37"/>
      <c r="HJI157" s="37"/>
      <c r="HJJ157" s="37"/>
      <c r="HJK157" s="37"/>
      <c r="HJL157" s="37"/>
      <c r="HJM157" s="37"/>
      <c r="HJN157" s="37"/>
      <c r="HJO157" s="37"/>
      <c r="HJP157" s="37"/>
      <c r="HJQ157" s="37"/>
      <c r="HJR157" s="37"/>
      <c r="HJS157" s="37"/>
      <c r="HJT157" s="37"/>
      <c r="HJU157" s="37"/>
      <c r="HJV157" s="37"/>
      <c r="HJW157" s="37"/>
      <c r="HJX157" s="37"/>
      <c r="HJY157" s="37"/>
      <c r="HJZ157" s="37"/>
      <c r="HKA157" s="37"/>
      <c r="HKB157" s="37"/>
      <c r="HKC157" s="37"/>
      <c r="HKD157" s="37"/>
      <c r="HKE157" s="37"/>
      <c r="HKF157" s="37"/>
      <c r="HKG157" s="37"/>
      <c r="HKH157" s="37"/>
      <c r="HKI157" s="37"/>
      <c r="HKJ157" s="37"/>
      <c r="HKK157" s="37"/>
      <c r="HKL157" s="37"/>
      <c r="HKM157" s="37"/>
      <c r="HKN157" s="37"/>
      <c r="HKO157" s="37"/>
      <c r="HKP157" s="37"/>
      <c r="HKQ157" s="37"/>
      <c r="HKR157" s="37"/>
      <c r="HKS157" s="37"/>
      <c r="HKT157" s="37"/>
      <c r="HKU157" s="37"/>
      <c r="HKV157" s="37"/>
      <c r="HKW157" s="37"/>
      <c r="HKX157" s="37"/>
      <c r="HKY157" s="37"/>
      <c r="HKZ157" s="37"/>
      <c r="HLA157" s="37"/>
      <c r="HLB157" s="37"/>
      <c r="HLC157" s="37"/>
      <c r="HLD157" s="37"/>
      <c r="HLE157" s="37"/>
      <c r="HLF157" s="37"/>
      <c r="HLG157" s="37"/>
      <c r="HLH157" s="37"/>
      <c r="HLI157" s="37"/>
      <c r="HLJ157" s="37"/>
      <c r="HLK157" s="37"/>
      <c r="HLL157" s="37"/>
      <c r="HLM157" s="37"/>
      <c r="HLN157" s="37"/>
      <c r="HLO157" s="37"/>
      <c r="HLP157" s="37"/>
      <c r="HLQ157" s="37"/>
      <c r="HLR157" s="37"/>
      <c r="HLS157" s="37"/>
      <c r="HLT157" s="37"/>
      <c r="HLU157" s="37"/>
      <c r="HLV157" s="37"/>
      <c r="HLW157" s="37"/>
      <c r="HLX157" s="37"/>
      <c r="HLY157" s="37"/>
      <c r="HLZ157" s="37"/>
      <c r="HMA157" s="37"/>
      <c r="HMB157" s="37"/>
      <c r="HMC157" s="37"/>
      <c r="HMD157" s="37"/>
      <c r="HME157" s="37"/>
      <c r="HMF157" s="37"/>
      <c r="HMG157" s="37"/>
      <c r="HMH157" s="37"/>
      <c r="HMI157" s="37"/>
      <c r="HMJ157" s="37"/>
      <c r="HMK157" s="37"/>
      <c r="HML157" s="37"/>
      <c r="HMM157" s="37"/>
      <c r="HMN157" s="37"/>
      <c r="HMO157" s="37"/>
      <c r="HMP157" s="37"/>
      <c r="HMQ157" s="37"/>
      <c r="HMR157" s="37"/>
      <c r="HMS157" s="37"/>
      <c r="HMT157" s="37"/>
      <c r="HMU157" s="37"/>
      <c r="HMV157" s="37"/>
      <c r="HMW157" s="37"/>
      <c r="HMX157" s="37"/>
      <c r="HMY157" s="37"/>
      <c r="HMZ157" s="37"/>
      <c r="HNA157" s="37"/>
      <c r="HNB157" s="37"/>
      <c r="HNC157" s="37"/>
      <c r="HND157" s="37"/>
      <c r="HNE157" s="37"/>
      <c r="HNF157" s="37"/>
      <c r="HNG157" s="37"/>
      <c r="HNH157" s="37"/>
      <c r="HNI157" s="37"/>
      <c r="HNJ157" s="37"/>
      <c r="HNK157" s="37"/>
      <c r="HNL157" s="37"/>
      <c r="HNM157" s="37"/>
      <c r="HNN157" s="37"/>
      <c r="HNO157" s="37"/>
      <c r="HNP157" s="37"/>
      <c r="HNQ157" s="37"/>
      <c r="HNR157" s="37"/>
      <c r="HNS157" s="37"/>
      <c r="HNT157" s="37"/>
      <c r="HNU157" s="37"/>
      <c r="HNV157" s="37"/>
      <c r="HNW157" s="37"/>
      <c r="HNX157" s="37"/>
      <c r="HNY157" s="37"/>
      <c r="HNZ157" s="37"/>
      <c r="HOA157" s="37"/>
      <c r="HOB157" s="37"/>
      <c r="HOC157" s="37"/>
      <c r="HOD157" s="37"/>
      <c r="HOE157" s="37"/>
      <c r="HOF157" s="37"/>
      <c r="HOG157" s="37"/>
      <c r="HOH157" s="37"/>
      <c r="HOI157" s="37"/>
      <c r="HOJ157" s="37"/>
      <c r="HOK157" s="37"/>
      <c r="HOL157" s="37"/>
      <c r="HOM157" s="37"/>
      <c r="HON157" s="37"/>
      <c r="HOO157" s="37"/>
      <c r="HOP157" s="37"/>
      <c r="HOQ157" s="37"/>
      <c r="HOR157" s="37"/>
      <c r="HOS157" s="37"/>
      <c r="HOT157" s="37"/>
      <c r="HOU157" s="37"/>
      <c r="HOV157" s="37"/>
      <c r="HOW157" s="37"/>
      <c r="HOX157" s="37"/>
      <c r="HOY157" s="37"/>
      <c r="HOZ157" s="37"/>
      <c r="HPA157" s="37"/>
      <c r="HPB157" s="37"/>
      <c r="HPC157" s="37"/>
      <c r="HPD157" s="37"/>
      <c r="HPE157" s="37"/>
      <c r="HPF157" s="37"/>
      <c r="HPG157" s="37"/>
      <c r="HPH157" s="37"/>
      <c r="HPI157" s="37"/>
      <c r="HPJ157" s="37"/>
      <c r="HPK157" s="37"/>
      <c r="HPL157" s="37"/>
      <c r="HPM157" s="37"/>
      <c r="HPN157" s="37"/>
      <c r="HPO157" s="37"/>
      <c r="HPP157" s="37"/>
      <c r="HPQ157" s="37"/>
      <c r="HPR157" s="37"/>
      <c r="HPS157" s="37"/>
      <c r="HPT157" s="37"/>
      <c r="HPU157" s="37"/>
      <c r="HPV157" s="37"/>
      <c r="HPW157" s="37"/>
      <c r="HPX157" s="37"/>
      <c r="HPY157" s="37"/>
      <c r="HPZ157" s="37"/>
      <c r="HQA157" s="37"/>
      <c r="HQB157" s="37"/>
      <c r="HQC157" s="37"/>
      <c r="HQD157" s="37"/>
      <c r="HQE157" s="37"/>
      <c r="HQF157" s="37"/>
      <c r="HQG157" s="37"/>
      <c r="HQH157" s="37"/>
      <c r="HQI157" s="37"/>
      <c r="HQJ157" s="37"/>
      <c r="HQK157" s="37"/>
      <c r="HQL157" s="37"/>
      <c r="HQM157" s="37"/>
      <c r="HQN157" s="37"/>
      <c r="HQO157" s="37"/>
      <c r="HQP157" s="37"/>
      <c r="HQQ157" s="37"/>
      <c r="HQR157" s="37"/>
      <c r="HQS157" s="37"/>
      <c r="HQT157" s="37"/>
      <c r="HQU157" s="37"/>
      <c r="HQV157" s="37"/>
      <c r="HQW157" s="37"/>
      <c r="HQX157" s="37"/>
      <c r="HQY157" s="37"/>
      <c r="HQZ157" s="37"/>
      <c r="HRA157" s="37"/>
      <c r="HRB157" s="37"/>
      <c r="HRC157" s="37"/>
      <c r="HRD157" s="37"/>
      <c r="HRE157" s="37"/>
      <c r="HRF157" s="37"/>
      <c r="HRG157" s="37"/>
      <c r="HRH157" s="37"/>
      <c r="HRI157" s="37"/>
      <c r="HRJ157" s="37"/>
      <c r="HRK157" s="37"/>
      <c r="HRL157" s="37"/>
      <c r="HRM157" s="37"/>
      <c r="HRN157" s="37"/>
      <c r="HRO157" s="37"/>
      <c r="HRP157" s="37"/>
      <c r="HRQ157" s="37"/>
      <c r="HRR157" s="37"/>
      <c r="HRS157" s="37"/>
      <c r="HRT157" s="37"/>
      <c r="HRU157" s="37"/>
      <c r="HRV157" s="37"/>
      <c r="HRW157" s="37"/>
      <c r="HRX157" s="37"/>
      <c r="HRY157" s="37"/>
      <c r="HRZ157" s="37"/>
      <c r="HSA157" s="37"/>
      <c r="HSB157" s="37"/>
      <c r="HSC157" s="37"/>
      <c r="HSD157" s="37"/>
      <c r="HSE157" s="37"/>
      <c r="HSF157" s="37"/>
      <c r="HSG157" s="37"/>
      <c r="HSH157" s="37"/>
      <c r="HSI157" s="37"/>
      <c r="HSJ157" s="37"/>
      <c r="HSK157" s="37"/>
      <c r="HSL157" s="37"/>
      <c r="HSM157" s="37"/>
      <c r="HSN157" s="37"/>
      <c r="HSO157" s="37"/>
      <c r="HSP157" s="37"/>
      <c r="HSQ157" s="37"/>
      <c r="HSR157" s="37"/>
      <c r="HSS157" s="37"/>
      <c r="HST157" s="37"/>
      <c r="HSU157" s="37"/>
      <c r="HSV157" s="37"/>
      <c r="HSW157" s="37"/>
      <c r="HSX157" s="37"/>
      <c r="HSY157" s="37"/>
      <c r="HSZ157" s="37"/>
      <c r="HTA157" s="37"/>
      <c r="HTB157" s="37"/>
      <c r="HTC157" s="37"/>
      <c r="HTD157" s="37"/>
      <c r="HTE157" s="37"/>
      <c r="HTF157" s="37"/>
      <c r="HTG157" s="37"/>
      <c r="HTH157" s="37"/>
      <c r="HTI157" s="37"/>
      <c r="HTJ157" s="37"/>
      <c r="HTK157" s="37"/>
      <c r="HTL157" s="37"/>
      <c r="HTM157" s="37"/>
      <c r="HTN157" s="37"/>
      <c r="HTO157" s="37"/>
      <c r="HTP157" s="37"/>
      <c r="HTQ157" s="37"/>
      <c r="HTR157" s="37"/>
      <c r="HTS157" s="37"/>
      <c r="HTT157" s="37"/>
      <c r="HTU157" s="37"/>
      <c r="HTV157" s="37"/>
      <c r="HTW157" s="37"/>
      <c r="HTX157" s="37"/>
      <c r="HTY157" s="37"/>
      <c r="HTZ157" s="37"/>
      <c r="HUA157" s="37"/>
      <c r="HUB157" s="37"/>
      <c r="HUC157" s="37"/>
      <c r="HUD157" s="37"/>
      <c r="HUE157" s="37"/>
      <c r="HUF157" s="37"/>
      <c r="HUG157" s="37"/>
      <c r="HUH157" s="37"/>
      <c r="HUI157" s="37"/>
      <c r="HUJ157" s="37"/>
      <c r="HUK157" s="37"/>
      <c r="HUL157" s="37"/>
      <c r="HUM157" s="37"/>
      <c r="HUN157" s="37"/>
      <c r="HUO157" s="37"/>
      <c r="HUP157" s="37"/>
      <c r="HUQ157" s="37"/>
      <c r="HUR157" s="37"/>
      <c r="HUS157" s="37"/>
      <c r="HUT157" s="37"/>
      <c r="HUU157" s="37"/>
      <c r="HUV157" s="37"/>
      <c r="HUW157" s="37"/>
      <c r="HUX157" s="37"/>
      <c r="HUY157" s="37"/>
      <c r="HUZ157" s="37"/>
      <c r="HVA157" s="37"/>
      <c r="HVB157" s="37"/>
      <c r="HVC157" s="37"/>
      <c r="HVD157" s="37"/>
      <c r="HVE157" s="37"/>
      <c r="HVF157" s="37"/>
      <c r="HVG157" s="37"/>
      <c r="HVH157" s="37"/>
      <c r="HVI157" s="37"/>
      <c r="HVJ157" s="37"/>
      <c r="HVK157" s="37"/>
      <c r="HVL157" s="37"/>
      <c r="HVM157" s="37"/>
      <c r="HVN157" s="37"/>
      <c r="HVO157" s="37"/>
      <c r="HVP157" s="37"/>
      <c r="HVQ157" s="37"/>
      <c r="HVR157" s="37"/>
      <c r="HVS157" s="37"/>
      <c r="HVT157" s="37"/>
      <c r="HVU157" s="37"/>
      <c r="HVV157" s="37"/>
      <c r="HVW157" s="37"/>
      <c r="HVX157" s="37"/>
      <c r="HVY157" s="37"/>
      <c r="HVZ157" s="37"/>
      <c r="HWA157" s="37"/>
      <c r="HWB157" s="37"/>
      <c r="HWC157" s="37"/>
      <c r="HWD157" s="37"/>
      <c r="HWE157" s="37"/>
      <c r="HWF157" s="37"/>
      <c r="HWG157" s="37"/>
      <c r="HWH157" s="37"/>
      <c r="HWI157" s="37"/>
      <c r="HWJ157" s="37"/>
      <c r="HWK157" s="37"/>
      <c r="HWL157" s="37"/>
      <c r="HWM157" s="37"/>
      <c r="HWN157" s="37"/>
      <c r="HWO157" s="37"/>
      <c r="HWP157" s="37"/>
      <c r="HWQ157" s="37"/>
      <c r="HWR157" s="37"/>
      <c r="HWS157" s="37"/>
      <c r="HWT157" s="37"/>
      <c r="HWU157" s="37"/>
      <c r="HWV157" s="37"/>
      <c r="HWW157" s="37"/>
      <c r="HWX157" s="37"/>
      <c r="HWY157" s="37"/>
      <c r="HWZ157" s="37"/>
      <c r="HXA157" s="37"/>
      <c r="HXB157" s="37"/>
      <c r="HXC157" s="37"/>
      <c r="HXD157" s="37"/>
      <c r="HXE157" s="37"/>
      <c r="HXF157" s="37"/>
      <c r="HXG157" s="37"/>
      <c r="HXH157" s="37"/>
      <c r="HXI157" s="37"/>
      <c r="HXJ157" s="37"/>
      <c r="HXK157" s="37"/>
      <c r="HXL157" s="37"/>
      <c r="HXM157" s="37"/>
      <c r="HXN157" s="37"/>
      <c r="HXO157" s="37"/>
      <c r="HXP157" s="37"/>
      <c r="HXQ157" s="37"/>
      <c r="HXR157" s="37"/>
      <c r="HXS157" s="37"/>
      <c r="HXT157" s="37"/>
      <c r="HXU157" s="37"/>
      <c r="HXV157" s="37"/>
      <c r="HXW157" s="37"/>
      <c r="HXX157" s="37"/>
      <c r="HXY157" s="37"/>
      <c r="HXZ157" s="37"/>
      <c r="HYA157" s="37"/>
      <c r="HYB157" s="37"/>
      <c r="HYC157" s="37"/>
      <c r="HYD157" s="37"/>
      <c r="HYE157" s="37"/>
      <c r="HYF157" s="37"/>
      <c r="HYG157" s="37"/>
      <c r="HYH157" s="37"/>
      <c r="HYI157" s="37"/>
      <c r="HYJ157" s="37"/>
      <c r="HYK157" s="37"/>
      <c r="HYL157" s="37"/>
      <c r="HYM157" s="37"/>
      <c r="HYN157" s="37"/>
      <c r="HYO157" s="37"/>
      <c r="HYP157" s="37"/>
      <c r="HYQ157" s="37"/>
      <c r="HYR157" s="37"/>
      <c r="HYS157" s="37"/>
      <c r="HYT157" s="37"/>
      <c r="HYU157" s="37"/>
      <c r="HYV157" s="37"/>
      <c r="HYW157" s="37"/>
      <c r="HYX157" s="37"/>
      <c r="HYY157" s="37"/>
      <c r="HYZ157" s="37"/>
      <c r="HZA157" s="37"/>
      <c r="HZB157" s="37"/>
      <c r="HZC157" s="37"/>
      <c r="HZD157" s="37"/>
      <c r="HZE157" s="37"/>
      <c r="HZF157" s="37"/>
      <c r="HZG157" s="37"/>
      <c r="HZH157" s="37"/>
      <c r="HZI157" s="37"/>
      <c r="HZJ157" s="37"/>
      <c r="HZK157" s="37"/>
      <c r="HZL157" s="37"/>
      <c r="HZM157" s="37"/>
      <c r="HZN157" s="37"/>
      <c r="HZO157" s="37"/>
      <c r="HZP157" s="37"/>
      <c r="HZQ157" s="37"/>
      <c r="HZR157" s="37"/>
      <c r="HZS157" s="37"/>
      <c r="HZT157" s="37"/>
      <c r="HZU157" s="37"/>
      <c r="HZV157" s="37"/>
      <c r="HZW157" s="37"/>
      <c r="HZX157" s="37"/>
      <c r="HZY157" s="37"/>
      <c r="HZZ157" s="37"/>
      <c r="IAA157" s="37"/>
      <c r="IAB157" s="37"/>
      <c r="IAC157" s="37"/>
      <c r="IAD157" s="37"/>
      <c r="IAE157" s="37"/>
      <c r="IAF157" s="37"/>
      <c r="IAG157" s="37"/>
      <c r="IAH157" s="37"/>
      <c r="IAI157" s="37"/>
      <c r="IAJ157" s="37"/>
      <c r="IAK157" s="37"/>
      <c r="IAL157" s="37"/>
      <c r="IAM157" s="37"/>
      <c r="IAN157" s="37"/>
      <c r="IAO157" s="37"/>
      <c r="IAP157" s="37"/>
      <c r="IAQ157" s="37"/>
      <c r="IAR157" s="37"/>
      <c r="IAS157" s="37"/>
      <c r="IAT157" s="37"/>
      <c r="IAU157" s="37"/>
      <c r="IAV157" s="37"/>
      <c r="IAW157" s="37"/>
      <c r="IAX157" s="37"/>
      <c r="IAY157" s="37"/>
      <c r="IAZ157" s="37"/>
      <c r="IBA157" s="37"/>
      <c r="IBB157" s="37"/>
      <c r="IBC157" s="37"/>
      <c r="IBD157" s="37"/>
      <c r="IBE157" s="37"/>
      <c r="IBF157" s="37"/>
      <c r="IBG157" s="37"/>
      <c r="IBH157" s="37"/>
      <c r="IBI157" s="37"/>
      <c r="IBJ157" s="37"/>
      <c r="IBK157" s="37"/>
      <c r="IBL157" s="37"/>
      <c r="IBM157" s="37"/>
      <c r="IBN157" s="37"/>
      <c r="IBO157" s="37"/>
      <c r="IBP157" s="37"/>
      <c r="IBQ157" s="37"/>
      <c r="IBR157" s="37"/>
      <c r="IBS157" s="37"/>
      <c r="IBT157" s="37"/>
      <c r="IBU157" s="37"/>
      <c r="IBV157" s="37"/>
      <c r="IBW157" s="37"/>
      <c r="IBX157" s="37"/>
      <c r="IBY157" s="37"/>
      <c r="IBZ157" s="37"/>
      <c r="ICA157" s="37"/>
      <c r="ICB157" s="37"/>
      <c r="ICC157" s="37"/>
      <c r="ICD157" s="37"/>
      <c r="ICE157" s="37"/>
      <c r="ICF157" s="37"/>
      <c r="ICG157" s="37"/>
      <c r="ICH157" s="37"/>
      <c r="ICI157" s="37"/>
      <c r="ICJ157" s="37"/>
      <c r="ICK157" s="37"/>
      <c r="ICL157" s="37"/>
      <c r="ICM157" s="37"/>
      <c r="ICN157" s="37"/>
      <c r="ICO157" s="37"/>
      <c r="ICP157" s="37"/>
      <c r="ICQ157" s="37"/>
      <c r="ICR157" s="37"/>
      <c r="ICS157" s="37"/>
      <c r="ICT157" s="37"/>
      <c r="ICU157" s="37"/>
      <c r="ICV157" s="37"/>
      <c r="ICW157" s="37"/>
      <c r="ICX157" s="37"/>
      <c r="ICY157" s="37"/>
      <c r="ICZ157" s="37"/>
      <c r="IDA157" s="37"/>
      <c r="IDB157" s="37"/>
      <c r="IDC157" s="37"/>
      <c r="IDD157" s="37"/>
      <c r="IDE157" s="37"/>
      <c r="IDF157" s="37"/>
      <c r="IDG157" s="37"/>
      <c r="IDH157" s="37"/>
      <c r="IDI157" s="37"/>
      <c r="IDJ157" s="37"/>
      <c r="IDK157" s="37"/>
      <c r="IDL157" s="37"/>
      <c r="IDM157" s="37"/>
      <c r="IDN157" s="37"/>
      <c r="IDO157" s="37"/>
      <c r="IDP157" s="37"/>
      <c r="IDQ157" s="37"/>
      <c r="IDR157" s="37"/>
      <c r="IDS157" s="37"/>
      <c r="IDT157" s="37"/>
      <c r="IDU157" s="37"/>
      <c r="IDV157" s="37"/>
      <c r="IDW157" s="37"/>
      <c r="IDX157" s="37"/>
      <c r="IDY157" s="37"/>
      <c r="IDZ157" s="37"/>
      <c r="IEA157" s="37"/>
      <c r="IEB157" s="37"/>
      <c r="IEC157" s="37"/>
      <c r="IED157" s="37"/>
      <c r="IEE157" s="37"/>
      <c r="IEF157" s="37"/>
      <c r="IEG157" s="37"/>
      <c r="IEH157" s="37"/>
      <c r="IEI157" s="37"/>
      <c r="IEJ157" s="37"/>
      <c r="IEK157" s="37"/>
      <c r="IEL157" s="37"/>
      <c r="IEM157" s="37"/>
      <c r="IEN157" s="37"/>
      <c r="IEO157" s="37"/>
      <c r="IEP157" s="37"/>
      <c r="IEQ157" s="37"/>
      <c r="IER157" s="37"/>
      <c r="IES157" s="37"/>
      <c r="IET157" s="37"/>
      <c r="IEU157" s="37"/>
      <c r="IEV157" s="37"/>
      <c r="IEW157" s="37"/>
      <c r="IEX157" s="37"/>
      <c r="IEY157" s="37"/>
      <c r="IEZ157" s="37"/>
      <c r="IFA157" s="37"/>
      <c r="IFB157" s="37"/>
      <c r="IFC157" s="37"/>
      <c r="IFD157" s="37"/>
      <c r="IFE157" s="37"/>
      <c r="IFF157" s="37"/>
      <c r="IFG157" s="37"/>
      <c r="IFH157" s="37"/>
      <c r="IFI157" s="37"/>
      <c r="IFJ157" s="37"/>
      <c r="IFK157" s="37"/>
      <c r="IFL157" s="37"/>
      <c r="IFM157" s="37"/>
      <c r="IFN157" s="37"/>
      <c r="IFO157" s="37"/>
      <c r="IFP157" s="37"/>
      <c r="IFQ157" s="37"/>
      <c r="IFR157" s="37"/>
      <c r="IFS157" s="37"/>
      <c r="IFT157" s="37"/>
      <c r="IFU157" s="37"/>
      <c r="IFV157" s="37"/>
      <c r="IFW157" s="37"/>
      <c r="IFX157" s="37"/>
      <c r="IFY157" s="37"/>
      <c r="IFZ157" s="37"/>
      <c r="IGA157" s="37"/>
      <c r="IGB157" s="37"/>
      <c r="IGC157" s="37"/>
      <c r="IGD157" s="37"/>
      <c r="IGE157" s="37"/>
      <c r="IGF157" s="37"/>
      <c r="IGG157" s="37"/>
      <c r="IGH157" s="37"/>
      <c r="IGI157" s="37"/>
      <c r="IGJ157" s="37"/>
      <c r="IGK157" s="37"/>
      <c r="IGL157" s="37"/>
      <c r="IGM157" s="37"/>
      <c r="IGN157" s="37"/>
      <c r="IGO157" s="37"/>
      <c r="IGP157" s="37"/>
      <c r="IGQ157" s="37"/>
      <c r="IGR157" s="37"/>
      <c r="IGS157" s="37"/>
      <c r="IGT157" s="37"/>
      <c r="IGU157" s="37"/>
      <c r="IGV157" s="37"/>
      <c r="IGW157" s="37"/>
      <c r="IGX157" s="37"/>
      <c r="IGY157" s="37"/>
      <c r="IGZ157" s="37"/>
      <c r="IHA157" s="37"/>
      <c r="IHB157" s="37"/>
      <c r="IHC157" s="37"/>
      <c r="IHD157" s="37"/>
      <c r="IHE157" s="37"/>
      <c r="IHF157" s="37"/>
      <c r="IHG157" s="37"/>
      <c r="IHH157" s="37"/>
      <c r="IHI157" s="37"/>
      <c r="IHJ157" s="37"/>
      <c r="IHK157" s="37"/>
      <c r="IHL157" s="37"/>
      <c r="IHM157" s="37"/>
      <c r="IHN157" s="37"/>
      <c r="IHO157" s="37"/>
      <c r="IHP157" s="37"/>
      <c r="IHQ157" s="37"/>
      <c r="IHR157" s="37"/>
      <c r="IHS157" s="37"/>
      <c r="IHT157" s="37"/>
      <c r="IHU157" s="37"/>
      <c r="IHV157" s="37"/>
      <c r="IHW157" s="37"/>
      <c r="IHX157" s="37"/>
      <c r="IHY157" s="37"/>
      <c r="IHZ157" s="37"/>
      <c r="IIA157" s="37"/>
      <c r="IIB157" s="37"/>
      <c r="IIC157" s="37"/>
      <c r="IID157" s="37"/>
      <c r="IIE157" s="37"/>
      <c r="IIF157" s="37"/>
      <c r="IIG157" s="37"/>
      <c r="IIH157" s="37"/>
      <c r="III157" s="37"/>
      <c r="IIJ157" s="37"/>
      <c r="IIK157" s="37"/>
      <c r="IIL157" s="37"/>
      <c r="IIM157" s="37"/>
      <c r="IIN157" s="37"/>
      <c r="IIO157" s="37"/>
      <c r="IIP157" s="37"/>
      <c r="IIQ157" s="37"/>
      <c r="IIR157" s="37"/>
      <c r="IIS157" s="37"/>
      <c r="IIT157" s="37"/>
      <c r="IIU157" s="37"/>
      <c r="IIV157" s="37"/>
      <c r="IIW157" s="37"/>
      <c r="IIX157" s="37"/>
      <c r="IIY157" s="37"/>
      <c r="IIZ157" s="37"/>
      <c r="IJA157" s="37"/>
      <c r="IJB157" s="37"/>
      <c r="IJC157" s="37"/>
      <c r="IJD157" s="37"/>
      <c r="IJE157" s="37"/>
      <c r="IJF157" s="37"/>
      <c r="IJG157" s="37"/>
      <c r="IJH157" s="37"/>
      <c r="IJI157" s="37"/>
      <c r="IJJ157" s="37"/>
      <c r="IJK157" s="37"/>
      <c r="IJL157" s="37"/>
      <c r="IJM157" s="37"/>
      <c r="IJN157" s="37"/>
      <c r="IJO157" s="37"/>
      <c r="IJP157" s="37"/>
      <c r="IJQ157" s="37"/>
      <c r="IJR157" s="37"/>
      <c r="IJS157" s="37"/>
      <c r="IJT157" s="37"/>
      <c r="IJU157" s="37"/>
      <c r="IJV157" s="37"/>
      <c r="IJW157" s="37"/>
      <c r="IJX157" s="37"/>
      <c r="IJY157" s="37"/>
      <c r="IJZ157" s="37"/>
      <c r="IKA157" s="37"/>
      <c r="IKB157" s="37"/>
      <c r="IKC157" s="37"/>
      <c r="IKD157" s="37"/>
      <c r="IKE157" s="37"/>
      <c r="IKF157" s="37"/>
      <c r="IKG157" s="37"/>
      <c r="IKH157" s="37"/>
      <c r="IKI157" s="37"/>
      <c r="IKJ157" s="37"/>
      <c r="IKK157" s="37"/>
      <c r="IKL157" s="37"/>
      <c r="IKM157" s="37"/>
      <c r="IKN157" s="37"/>
      <c r="IKO157" s="37"/>
      <c r="IKP157" s="37"/>
      <c r="IKQ157" s="37"/>
      <c r="IKR157" s="37"/>
      <c r="IKS157" s="37"/>
      <c r="IKT157" s="37"/>
      <c r="IKU157" s="37"/>
      <c r="IKV157" s="37"/>
      <c r="IKW157" s="37"/>
      <c r="IKX157" s="37"/>
      <c r="IKY157" s="37"/>
      <c r="IKZ157" s="37"/>
      <c r="ILA157" s="37"/>
      <c r="ILB157" s="37"/>
      <c r="ILC157" s="37"/>
      <c r="ILD157" s="37"/>
      <c r="ILE157" s="37"/>
      <c r="ILF157" s="37"/>
      <c r="ILG157" s="37"/>
      <c r="ILH157" s="37"/>
      <c r="ILI157" s="37"/>
      <c r="ILJ157" s="37"/>
      <c r="ILK157" s="37"/>
      <c r="ILL157" s="37"/>
      <c r="ILM157" s="37"/>
      <c r="ILN157" s="37"/>
      <c r="ILO157" s="37"/>
      <c r="ILP157" s="37"/>
      <c r="ILQ157" s="37"/>
      <c r="ILR157" s="37"/>
      <c r="ILS157" s="37"/>
      <c r="ILT157" s="37"/>
      <c r="ILU157" s="37"/>
      <c r="ILV157" s="37"/>
      <c r="ILW157" s="37"/>
      <c r="ILX157" s="37"/>
      <c r="ILY157" s="37"/>
      <c r="ILZ157" s="37"/>
      <c r="IMA157" s="37"/>
      <c r="IMB157" s="37"/>
      <c r="IMC157" s="37"/>
      <c r="IMD157" s="37"/>
      <c r="IME157" s="37"/>
      <c r="IMF157" s="37"/>
      <c r="IMG157" s="37"/>
      <c r="IMH157" s="37"/>
      <c r="IMI157" s="37"/>
      <c r="IMJ157" s="37"/>
      <c r="IMK157" s="37"/>
      <c r="IML157" s="37"/>
      <c r="IMM157" s="37"/>
      <c r="IMN157" s="37"/>
      <c r="IMO157" s="37"/>
      <c r="IMP157" s="37"/>
      <c r="IMQ157" s="37"/>
      <c r="IMR157" s="37"/>
      <c r="IMS157" s="37"/>
      <c r="IMT157" s="37"/>
      <c r="IMU157" s="37"/>
      <c r="IMV157" s="37"/>
      <c r="IMW157" s="37"/>
      <c r="IMX157" s="37"/>
      <c r="IMY157" s="37"/>
      <c r="IMZ157" s="37"/>
      <c r="INA157" s="37"/>
      <c r="INB157" s="37"/>
      <c r="INC157" s="37"/>
      <c r="IND157" s="37"/>
      <c r="INE157" s="37"/>
      <c r="INF157" s="37"/>
      <c r="ING157" s="37"/>
      <c r="INH157" s="37"/>
      <c r="INI157" s="37"/>
      <c r="INJ157" s="37"/>
      <c r="INK157" s="37"/>
      <c r="INL157" s="37"/>
      <c r="INM157" s="37"/>
      <c r="INN157" s="37"/>
      <c r="INO157" s="37"/>
      <c r="INP157" s="37"/>
      <c r="INQ157" s="37"/>
      <c r="INR157" s="37"/>
      <c r="INS157" s="37"/>
      <c r="INT157" s="37"/>
      <c r="INU157" s="37"/>
      <c r="INV157" s="37"/>
      <c r="INW157" s="37"/>
      <c r="INX157" s="37"/>
      <c r="INY157" s="37"/>
      <c r="INZ157" s="37"/>
      <c r="IOA157" s="37"/>
      <c r="IOB157" s="37"/>
      <c r="IOC157" s="37"/>
      <c r="IOD157" s="37"/>
      <c r="IOE157" s="37"/>
      <c r="IOF157" s="37"/>
      <c r="IOG157" s="37"/>
      <c r="IOH157" s="37"/>
      <c r="IOI157" s="37"/>
      <c r="IOJ157" s="37"/>
      <c r="IOK157" s="37"/>
      <c r="IOL157" s="37"/>
      <c r="IOM157" s="37"/>
      <c r="ION157" s="37"/>
      <c r="IOO157" s="37"/>
      <c r="IOP157" s="37"/>
      <c r="IOQ157" s="37"/>
      <c r="IOR157" s="37"/>
      <c r="IOS157" s="37"/>
      <c r="IOT157" s="37"/>
      <c r="IOU157" s="37"/>
      <c r="IOV157" s="37"/>
      <c r="IOW157" s="37"/>
      <c r="IOX157" s="37"/>
      <c r="IOY157" s="37"/>
      <c r="IOZ157" s="37"/>
      <c r="IPA157" s="37"/>
      <c r="IPB157" s="37"/>
      <c r="IPC157" s="37"/>
      <c r="IPD157" s="37"/>
      <c r="IPE157" s="37"/>
      <c r="IPF157" s="37"/>
      <c r="IPG157" s="37"/>
      <c r="IPH157" s="37"/>
      <c r="IPI157" s="37"/>
      <c r="IPJ157" s="37"/>
      <c r="IPK157" s="37"/>
      <c r="IPL157" s="37"/>
      <c r="IPM157" s="37"/>
      <c r="IPN157" s="37"/>
      <c r="IPO157" s="37"/>
      <c r="IPP157" s="37"/>
      <c r="IPQ157" s="37"/>
      <c r="IPR157" s="37"/>
      <c r="IPS157" s="37"/>
      <c r="IPT157" s="37"/>
      <c r="IPU157" s="37"/>
      <c r="IPV157" s="37"/>
      <c r="IPW157" s="37"/>
      <c r="IPX157" s="37"/>
      <c r="IPY157" s="37"/>
      <c r="IPZ157" s="37"/>
      <c r="IQA157" s="37"/>
      <c r="IQB157" s="37"/>
      <c r="IQC157" s="37"/>
      <c r="IQD157" s="37"/>
      <c r="IQE157" s="37"/>
      <c r="IQF157" s="37"/>
      <c r="IQG157" s="37"/>
      <c r="IQH157" s="37"/>
      <c r="IQI157" s="37"/>
      <c r="IQJ157" s="37"/>
      <c r="IQK157" s="37"/>
      <c r="IQL157" s="37"/>
      <c r="IQM157" s="37"/>
      <c r="IQN157" s="37"/>
      <c r="IQO157" s="37"/>
      <c r="IQP157" s="37"/>
      <c r="IQQ157" s="37"/>
      <c r="IQR157" s="37"/>
      <c r="IQS157" s="37"/>
      <c r="IQT157" s="37"/>
      <c r="IQU157" s="37"/>
      <c r="IQV157" s="37"/>
      <c r="IQW157" s="37"/>
      <c r="IQX157" s="37"/>
      <c r="IQY157" s="37"/>
      <c r="IQZ157" s="37"/>
      <c r="IRA157" s="37"/>
      <c r="IRB157" s="37"/>
      <c r="IRC157" s="37"/>
      <c r="IRD157" s="37"/>
      <c r="IRE157" s="37"/>
      <c r="IRF157" s="37"/>
      <c r="IRG157" s="37"/>
      <c r="IRH157" s="37"/>
      <c r="IRI157" s="37"/>
      <c r="IRJ157" s="37"/>
      <c r="IRK157" s="37"/>
      <c r="IRL157" s="37"/>
      <c r="IRM157" s="37"/>
      <c r="IRN157" s="37"/>
      <c r="IRO157" s="37"/>
      <c r="IRP157" s="37"/>
      <c r="IRQ157" s="37"/>
      <c r="IRR157" s="37"/>
      <c r="IRS157" s="37"/>
      <c r="IRT157" s="37"/>
      <c r="IRU157" s="37"/>
      <c r="IRV157" s="37"/>
      <c r="IRW157" s="37"/>
      <c r="IRX157" s="37"/>
      <c r="IRY157" s="37"/>
      <c r="IRZ157" s="37"/>
      <c r="ISA157" s="37"/>
      <c r="ISB157" s="37"/>
      <c r="ISC157" s="37"/>
      <c r="ISD157" s="37"/>
      <c r="ISE157" s="37"/>
      <c r="ISF157" s="37"/>
      <c r="ISG157" s="37"/>
      <c r="ISH157" s="37"/>
      <c r="ISI157" s="37"/>
      <c r="ISJ157" s="37"/>
      <c r="ISK157" s="37"/>
      <c r="ISL157" s="37"/>
      <c r="ISM157" s="37"/>
      <c r="ISN157" s="37"/>
      <c r="ISO157" s="37"/>
      <c r="ISP157" s="37"/>
      <c r="ISQ157" s="37"/>
      <c r="ISR157" s="37"/>
      <c r="ISS157" s="37"/>
      <c r="IST157" s="37"/>
      <c r="ISU157" s="37"/>
      <c r="ISV157" s="37"/>
      <c r="ISW157" s="37"/>
      <c r="ISX157" s="37"/>
      <c r="ISY157" s="37"/>
      <c r="ISZ157" s="37"/>
      <c r="ITA157" s="37"/>
      <c r="ITB157" s="37"/>
      <c r="ITC157" s="37"/>
      <c r="ITD157" s="37"/>
      <c r="ITE157" s="37"/>
      <c r="ITF157" s="37"/>
      <c r="ITG157" s="37"/>
      <c r="ITH157" s="37"/>
      <c r="ITI157" s="37"/>
      <c r="ITJ157" s="37"/>
      <c r="ITK157" s="37"/>
      <c r="ITL157" s="37"/>
      <c r="ITM157" s="37"/>
      <c r="ITN157" s="37"/>
      <c r="ITO157" s="37"/>
      <c r="ITP157" s="37"/>
      <c r="ITQ157" s="37"/>
      <c r="ITR157" s="37"/>
      <c r="ITS157" s="37"/>
      <c r="ITT157" s="37"/>
      <c r="ITU157" s="37"/>
      <c r="ITV157" s="37"/>
      <c r="ITW157" s="37"/>
      <c r="ITX157" s="37"/>
      <c r="ITY157" s="37"/>
      <c r="ITZ157" s="37"/>
      <c r="IUA157" s="37"/>
      <c r="IUB157" s="37"/>
      <c r="IUC157" s="37"/>
      <c r="IUD157" s="37"/>
      <c r="IUE157" s="37"/>
      <c r="IUF157" s="37"/>
      <c r="IUG157" s="37"/>
      <c r="IUH157" s="37"/>
      <c r="IUI157" s="37"/>
      <c r="IUJ157" s="37"/>
      <c r="IUK157" s="37"/>
      <c r="IUL157" s="37"/>
      <c r="IUM157" s="37"/>
      <c r="IUN157" s="37"/>
      <c r="IUO157" s="37"/>
      <c r="IUP157" s="37"/>
      <c r="IUQ157" s="37"/>
      <c r="IUR157" s="37"/>
      <c r="IUS157" s="37"/>
      <c r="IUT157" s="37"/>
      <c r="IUU157" s="37"/>
      <c r="IUV157" s="37"/>
      <c r="IUW157" s="37"/>
      <c r="IUX157" s="37"/>
      <c r="IUY157" s="37"/>
      <c r="IUZ157" s="37"/>
      <c r="IVA157" s="37"/>
      <c r="IVB157" s="37"/>
      <c r="IVC157" s="37"/>
      <c r="IVD157" s="37"/>
      <c r="IVE157" s="37"/>
      <c r="IVF157" s="37"/>
      <c r="IVG157" s="37"/>
      <c r="IVH157" s="37"/>
      <c r="IVI157" s="37"/>
      <c r="IVJ157" s="37"/>
      <c r="IVK157" s="37"/>
      <c r="IVL157" s="37"/>
      <c r="IVM157" s="37"/>
      <c r="IVN157" s="37"/>
      <c r="IVO157" s="37"/>
      <c r="IVP157" s="37"/>
      <c r="IVQ157" s="37"/>
      <c r="IVR157" s="37"/>
      <c r="IVS157" s="37"/>
      <c r="IVT157" s="37"/>
      <c r="IVU157" s="37"/>
      <c r="IVV157" s="37"/>
      <c r="IVW157" s="37"/>
      <c r="IVX157" s="37"/>
      <c r="IVY157" s="37"/>
      <c r="IVZ157" s="37"/>
      <c r="IWA157" s="37"/>
      <c r="IWB157" s="37"/>
      <c r="IWC157" s="37"/>
      <c r="IWD157" s="37"/>
      <c r="IWE157" s="37"/>
      <c r="IWF157" s="37"/>
      <c r="IWG157" s="37"/>
      <c r="IWH157" s="37"/>
      <c r="IWI157" s="37"/>
      <c r="IWJ157" s="37"/>
      <c r="IWK157" s="37"/>
      <c r="IWL157" s="37"/>
      <c r="IWM157" s="37"/>
      <c r="IWN157" s="37"/>
      <c r="IWO157" s="37"/>
      <c r="IWP157" s="37"/>
      <c r="IWQ157" s="37"/>
      <c r="IWR157" s="37"/>
      <c r="IWS157" s="37"/>
      <c r="IWT157" s="37"/>
      <c r="IWU157" s="37"/>
      <c r="IWV157" s="37"/>
      <c r="IWW157" s="37"/>
      <c r="IWX157" s="37"/>
      <c r="IWY157" s="37"/>
      <c r="IWZ157" s="37"/>
      <c r="IXA157" s="37"/>
      <c r="IXB157" s="37"/>
      <c r="IXC157" s="37"/>
      <c r="IXD157" s="37"/>
      <c r="IXE157" s="37"/>
      <c r="IXF157" s="37"/>
      <c r="IXG157" s="37"/>
      <c r="IXH157" s="37"/>
      <c r="IXI157" s="37"/>
      <c r="IXJ157" s="37"/>
      <c r="IXK157" s="37"/>
      <c r="IXL157" s="37"/>
      <c r="IXM157" s="37"/>
      <c r="IXN157" s="37"/>
      <c r="IXO157" s="37"/>
      <c r="IXP157" s="37"/>
      <c r="IXQ157" s="37"/>
      <c r="IXR157" s="37"/>
      <c r="IXS157" s="37"/>
      <c r="IXT157" s="37"/>
      <c r="IXU157" s="37"/>
      <c r="IXV157" s="37"/>
      <c r="IXW157" s="37"/>
      <c r="IXX157" s="37"/>
      <c r="IXY157" s="37"/>
      <c r="IXZ157" s="37"/>
      <c r="IYA157" s="37"/>
      <c r="IYB157" s="37"/>
      <c r="IYC157" s="37"/>
      <c r="IYD157" s="37"/>
      <c r="IYE157" s="37"/>
      <c r="IYF157" s="37"/>
      <c r="IYG157" s="37"/>
      <c r="IYH157" s="37"/>
      <c r="IYI157" s="37"/>
      <c r="IYJ157" s="37"/>
      <c r="IYK157" s="37"/>
      <c r="IYL157" s="37"/>
      <c r="IYM157" s="37"/>
      <c r="IYN157" s="37"/>
      <c r="IYO157" s="37"/>
      <c r="IYP157" s="37"/>
      <c r="IYQ157" s="37"/>
      <c r="IYR157" s="37"/>
      <c r="IYS157" s="37"/>
      <c r="IYT157" s="37"/>
      <c r="IYU157" s="37"/>
      <c r="IYV157" s="37"/>
      <c r="IYW157" s="37"/>
      <c r="IYX157" s="37"/>
      <c r="IYY157" s="37"/>
      <c r="IYZ157" s="37"/>
      <c r="IZA157" s="37"/>
      <c r="IZB157" s="37"/>
      <c r="IZC157" s="37"/>
      <c r="IZD157" s="37"/>
      <c r="IZE157" s="37"/>
      <c r="IZF157" s="37"/>
      <c r="IZG157" s="37"/>
      <c r="IZH157" s="37"/>
      <c r="IZI157" s="37"/>
      <c r="IZJ157" s="37"/>
      <c r="IZK157" s="37"/>
      <c r="IZL157" s="37"/>
      <c r="IZM157" s="37"/>
      <c r="IZN157" s="37"/>
      <c r="IZO157" s="37"/>
      <c r="IZP157" s="37"/>
      <c r="IZQ157" s="37"/>
      <c r="IZR157" s="37"/>
      <c r="IZS157" s="37"/>
      <c r="IZT157" s="37"/>
      <c r="IZU157" s="37"/>
      <c r="IZV157" s="37"/>
      <c r="IZW157" s="37"/>
      <c r="IZX157" s="37"/>
      <c r="IZY157" s="37"/>
      <c r="IZZ157" s="37"/>
      <c r="JAA157" s="37"/>
      <c r="JAB157" s="37"/>
      <c r="JAC157" s="37"/>
      <c r="JAD157" s="37"/>
      <c r="JAE157" s="37"/>
      <c r="JAF157" s="37"/>
      <c r="JAG157" s="37"/>
      <c r="JAH157" s="37"/>
      <c r="JAI157" s="37"/>
      <c r="JAJ157" s="37"/>
      <c r="JAK157" s="37"/>
      <c r="JAL157" s="37"/>
      <c r="JAM157" s="37"/>
      <c r="JAN157" s="37"/>
      <c r="JAO157" s="37"/>
      <c r="JAP157" s="37"/>
      <c r="JAQ157" s="37"/>
      <c r="JAR157" s="37"/>
      <c r="JAS157" s="37"/>
      <c r="JAT157" s="37"/>
      <c r="JAU157" s="37"/>
      <c r="JAV157" s="37"/>
      <c r="JAW157" s="37"/>
      <c r="JAX157" s="37"/>
      <c r="JAY157" s="37"/>
      <c r="JAZ157" s="37"/>
      <c r="JBA157" s="37"/>
      <c r="JBB157" s="37"/>
      <c r="JBC157" s="37"/>
      <c r="JBD157" s="37"/>
      <c r="JBE157" s="37"/>
      <c r="JBF157" s="37"/>
      <c r="JBG157" s="37"/>
      <c r="JBH157" s="37"/>
      <c r="JBI157" s="37"/>
      <c r="JBJ157" s="37"/>
      <c r="JBK157" s="37"/>
      <c r="JBL157" s="37"/>
      <c r="JBM157" s="37"/>
      <c r="JBN157" s="37"/>
      <c r="JBO157" s="37"/>
      <c r="JBP157" s="37"/>
      <c r="JBQ157" s="37"/>
      <c r="JBR157" s="37"/>
      <c r="JBS157" s="37"/>
      <c r="JBT157" s="37"/>
      <c r="JBU157" s="37"/>
      <c r="JBV157" s="37"/>
      <c r="JBW157" s="37"/>
      <c r="JBX157" s="37"/>
      <c r="JBY157" s="37"/>
      <c r="JBZ157" s="37"/>
      <c r="JCA157" s="37"/>
      <c r="JCB157" s="37"/>
      <c r="JCC157" s="37"/>
      <c r="JCD157" s="37"/>
      <c r="JCE157" s="37"/>
      <c r="JCF157" s="37"/>
      <c r="JCG157" s="37"/>
      <c r="JCH157" s="37"/>
      <c r="JCI157" s="37"/>
      <c r="JCJ157" s="37"/>
      <c r="JCK157" s="37"/>
      <c r="JCL157" s="37"/>
      <c r="JCM157" s="37"/>
      <c r="JCN157" s="37"/>
      <c r="JCO157" s="37"/>
      <c r="JCP157" s="37"/>
      <c r="JCQ157" s="37"/>
      <c r="JCR157" s="37"/>
      <c r="JCS157" s="37"/>
      <c r="JCT157" s="37"/>
      <c r="JCU157" s="37"/>
      <c r="JCV157" s="37"/>
      <c r="JCW157" s="37"/>
      <c r="JCX157" s="37"/>
      <c r="JCY157" s="37"/>
      <c r="JCZ157" s="37"/>
      <c r="JDA157" s="37"/>
      <c r="JDB157" s="37"/>
      <c r="JDC157" s="37"/>
      <c r="JDD157" s="37"/>
      <c r="JDE157" s="37"/>
      <c r="JDF157" s="37"/>
      <c r="JDG157" s="37"/>
      <c r="JDH157" s="37"/>
      <c r="JDI157" s="37"/>
      <c r="JDJ157" s="37"/>
      <c r="JDK157" s="37"/>
      <c r="JDL157" s="37"/>
      <c r="JDM157" s="37"/>
      <c r="JDN157" s="37"/>
      <c r="JDO157" s="37"/>
      <c r="JDP157" s="37"/>
      <c r="JDQ157" s="37"/>
      <c r="JDR157" s="37"/>
      <c r="JDS157" s="37"/>
      <c r="JDT157" s="37"/>
      <c r="JDU157" s="37"/>
      <c r="JDV157" s="37"/>
      <c r="JDW157" s="37"/>
      <c r="JDX157" s="37"/>
      <c r="JDY157" s="37"/>
      <c r="JDZ157" s="37"/>
      <c r="JEA157" s="37"/>
      <c r="JEB157" s="37"/>
      <c r="JEC157" s="37"/>
      <c r="JED157" s="37"/>
      <c r="JEE157" s="37"/>
      <c r="JEF157" s="37"/>
      <c r="JEG157" s="37"/>
      <c r="JEH157" s="37"/>
      <c r="JEI157" s="37"/>
      <c r="JEJ157" s="37"/>
      <c r="JEK157" s="37"/>
      <c r="JEL157" s="37"/>
      <c r="JEM157" s="37"/>
      <c r="JEN157" s="37"/>
      <c r="JEO157" s="37"/>
      <c r="JEP157" s="37"/>
      <c r="JEQ157" s="37"/>
      <c r="JER157" s="37"/>
      <c r="JES157" s="37"/>
      <c r="JET157" s="37"/>
      <c r="JEU157" s="37"/>
      <c r="JEV157" s="37"/>
      <c r="JEW157" s="37"/>
      <c r="JEX157" s="37"/>
      <c r="JEY157" s="37"/>
      <c r="JEZ157" s="37"/>
      <c r="JFA157" s="37"/>
      <c r="JFB157" s="37"/>
      <c r="JFC157" s="37"/>
      <c r="JFD157" s="37"/>
      <c r="JFE157" s="37"/>
      <c r="JFF157" s="37"/>
      <c r="JFG157" s="37"/>
      <c r="JFH157" s="37"/>
      <c r="JFI157" s="37"/>
      <c r="JFJ157" s="37"/>
      <c r="JFK157" s="37"/>
      <c r="JFL157" s="37"/>
      <c r="JFM157" s="37"/>
      <c r="JFN157" s="37"/>
      <c r="JFO157" s="37"/>
      <c r="JFP157" s="37"/>
      <c r="JFQ157" s="37"/>
      <c r="JFR157" s="37"/>
      <c r="JFS157" s="37"/>
      <c r="JFT157" s="37"/>
      <c r="JFU157" s="37"/>
      <c r="JFV157" s="37"/>
      <c r="JFW157" s="37"/>
      <c r="JFX157" s="37"/>
      <c r="JFY157" s="37"/>
      <c r="JFZ157" s="37"/>
      <c r="JGA157" s="37"/>
      <c r="JGB157" s="37"/>
      <c r="JGC157" s="37"/>
      <c r="JGD157" s="37"/>
      <c r="JGE157" s="37"/>
      <c r="JGF157" s="37"/>
      <c r="JGG157" s="37"/>
      <c r="JGH157" s="37"/>
      <c r="JGI157" s="37"/>
      <c r="JGJ157" s="37"/>
      <c r="JGK157" s="37"/>
      <c r="JGL157" s="37"/>
      <c r="JGM157" s="37"/>
      <c r="JGN157" s="37"/>
      <c r="JGO157" s="37"/>
      <c r="JGP157" s="37"/>
      <c r="JGQ157" s="37"/>
      <c r="JGR157" s="37"/>
      <c r="JGS157" s="37"/>
      <c r="JGT157" s="37"/>
      <c r="JGU157" s="37"/>
      <c r="JGV157" s="37"/>
      <c r="JGW157" s="37"/>
      <c r="JGX157" s="37"/>
      <c r="JGY157" s="37"/>
      <c r="JGZ157" s="37"/>
      <c r="JHA157" s="37"/>
      <c r="JHB157" s="37"/>
      <c r="JHC157" s="37"/>
      <c r="JHD157" s="37"/>
      <c r="JHE157" s="37"/>
      <c r="JHF157" s="37"/>
      <c r="JHG157" s="37"/>
      <c r="JHH157" s="37"/>
      <c r="JHI157" s="37"/>
      <c r="JHJ157" s="37"/>
      <c r="JHK157" s="37"/>
      <c r="JHL157" s="37"/>
      <c r="JHM157" s="37"/>
      <c r="JHN157" s="37"/>
      <c r="JHO157" s="37"/>
      <c r="JHP157" s="37"/>
      <c r="JHQ157" s="37"/>
      <c r="JHR157" s="37"/>
      <c r="JHS157" s="37"/>
      <c r="JHT157" s="37"/>
      <c r="JHU157" s="37"/>
      <c r="JHV157" s="37"/>
      <c r="JHW157" s="37"/>
      <c r="JHX157" s="37"/>
      <c r="JHY157" s="37"/>
      <c r="JHZ157" s="37"/>
      <c r="JIA157" s="37"/>
      <c r="JIB157" s="37"/>
      <c r="JIC157" s="37"/>
      <c r="JID157" s="37"/>
      <c r="JIE157" s="37"/>
      <c r="JIF157" s="37"/>
      <c r="JIG157" s="37"/>
      <c r="JIH157" s="37"/>
      <c r="JII157" s="37"/>
      <c r="JIJ157" s="37"/>
      <c r="JIK157" s="37"/>
      <c r="JIL157" s="37"/>
      <c r="JIM157" s="37"/>
      <c r="JIN157" s="37"/>
      <c r="JIO157" s="37"/>
      <c r="JIP157" s="37"/>
      <c r="JIQ157" s="37"/>
      <c r="JIR157" s="37"/>
      <c r="JIS157" s="37"/>
      <c r="JIT157" s="37"/>
      <c r="JIU157" s="37"/>
      <c r="JIV157" s="37"/>
      <c r="JIW157" s="37"/>
      <c r="JIX157" s="37"/>
      <c r="JIY157" s="37"/>
      <c r="JIZ157" s="37"/>
      <c r="JJA157" s="37"/>
      <c r="JJB157" s="37"/>
      <c r="JJC157" s="37"/>
      <c r="JJD157" s="37"/>
      <c r="JJE157" s="37"/>
      <c r="JJF157" s="37"/>
      <c r="JJG157" s="37"/>
      <c r="JJH157" s="37"/>
      <c r="JJI157" s="37"/>
      <c r="JJJ157" s="37"/>
      <c r="JJK157" s="37"/>
      <c r="JJL157" s="37"/>
      <c r="JJM157" s="37"/>
      <c r="JJN157" s="37"/>
      <c r="JJO157" s="37"/>
      <c r="JJP157" s="37"/>
      <c r="JJQ157" s="37"/>
      <c r="JJR157" s="37"/>
      <c r="JJS157" s="37"/>
      <c r="JJT157" s="37"/>
      <c r="JJU157" s="37"/>
      <c r="JJV157" s="37"/>
      <c r="JJW157" s="37"/>
      <c r="JJX157" s="37"/>
      <c r="JJY157" s="37"/>
      <c r="JJZ157" s="37"/>
      <c r="JKA157" s="37"/>
      <c r="JKB157" s="37"/>
      <c r="JKC157" s="37"/>
      <c r="JKD157" s="37"/>
      <c r="JKE157" s="37"/>
      <c r="JKF157" s="37"/>
      <c r="JKG157" s="37"/>
      <c r="JKH157" s="37"/>
      <c r="JKI157" s="37"/>
      <c r="JKJ157" s="37"/>
      <c r="JKK157" s="37"/>
      <c r="JKL157" s="37"/>
      <c r="JKM157" s="37"/>
      <c r="JKN157" s="37"/>
      <c r="JKO157" s="37"/>
      <c r="JKP157" s="37"/>
      <c r="JKQ157" s="37"/>
      <c r="JKR157" s="37"/>
      <c r="JKS157" s="37"/>
      <c r="JKT157" s="37"/>
      <c r="JKU157" s="37"/>
      <c r="JKV157" s="37"/>
      <c r="JKW157" s="37"/>
      <c r="JKX157" s="37"/>
      <c r="JKY157" s="37"/>
      <c r="JKZ157" s="37"/>
      <c r="JLA157" s="37"/>
      <c r="JLB157" s="37"/>
      <c r="JLC157" s="37"/>
      <c r="JLD157" s="37"/>
      <c r="JLE157" s="37"/>
      <c r="JLF157" s="37"/>
      <c r="JLG157" s="37"/>
      <c r="JLH157" s="37"/>
      <c r="JLI157" s="37"/>
      <c r="JLJ157" s="37"/>
      <c r="JLK157" s="37"/>
      <c r="JLL157" s="37"/>
      <c r="JLM157" s="37"/>
      <c r="JLN157" s="37"/>
      <c r="JLO157" s="37"/>
      <c r="JLP157" s="37"/>
      <c r="JLQ157" s="37"/>
      <c r="JLR157" s="37"/>
      <c r="JLS157" s="37"/>
      <c r="JLT157" s="37"/>
      <c r="JLU157" s="37"/>
      <c r="JLV157" s="37"/>
      <c r="JLW157" s="37"/>
      <c r="JLX157" s="37"/>
      <c r="JLY157" s="37"/>
      <c r="JLZ157" s="37"/>
      <c r="JMA157" s="37"/>
      <c r="JMB157" s="37"/>
      <c r="JMC157" s="37"/>
      <c r="JMD157" s="37"/>
      <c r="JME157" s="37"/>
      <c r="JMF157" s="37"/>
      <c r="JMG157" s="37"/>
      <c r="JMH157" s="37"/>
      <c r="JMI157" s="37"/>
      <c r="JMJ157" s="37"/>
      <c r="JMK157" s="37"/>
      <c r="JML157" s="37"/>
      <c r="JMM157" s="37"/>
      <c r="JMN157" s="37"/>
      <c r="JMO157" s="37"/>
      <c r="JMP157" s="37"/>
      <c r="JMQ157" s="37"/>
      <c r="JMR157" s="37"/>
      <c r="JMS157" s="37"/>
      <c r="JMT157" s="37"/>
      <c r="JMU157" s="37"/>
      <c r="JMV157" s="37"/>
      <c r="JMW157" s="37"/>
      <c r="JMX157" s="37"/>
      <c r="JMY157" s="37"/>
      <c r="JMZ157" s="37"/>
      <c r="JNA157" s="37"/>
      <c r="JNB157" s="37"/>
      <c r="JNC157" s="37"/>
      <c r="JND157" s="37"/>
      <c r="JNE157" s="37"/>
      <c r="JNF157" s="37"/>
      <c r="JNG157" s="37"/>
      <c r="JNH157" s="37"/>
      <c r="JNI157" s="37"/>
      <c r="JNJ157" s="37"/>
      <c r="JNK157" s="37"/>
      <c r="JNL157" s="37"/>
      <c r="JNM157" s="37"/>
      <c r="JNN157" s="37"/>
      <c r="JNO157" s="37"/>
      <c r="JNP157" s="37"/>
      <c r="JNQ157" s="37"/>
      <c r="JNR157" s="37"/>
      <c r="JNS157" s="37"/>
      <c r="JNT157" s="37"/>
      <c r="JNU157" s="37"/>
      <c r="JNV157" s="37"/>
      <c r="JNW157" s="37"/>
      <c r="JNX157" s="37"/>
      <c r="JNY157" s="37"/>
      <c r="JNZ157" s="37"/>
      <c r="JOA157" s="37"/>
      <c r="JOB157" s="37"/>
      <c r="JOC157" s="37"/>
      <c r="JOD157" s="37"/>
      <c r="JOE157" s="37"/>
      <c r="JOF157" s="37"/>
      <c r="JOG157" s="37"/>
      <c r="JOH157" s="37"/>
      <c r="JOI157" s="37"/>
      <c r="JOJ157" s="37"/>
      <c r="JOK157" s="37"/>
      <c r="JOL157" s="37"/>
      <c r="JOM157" s="37"/>
      <c r="JON157" s="37"/>
      <c r="JOO157" s="37"/>
      <c r="JOP157" s="37"/>
      <c r="JOQ157" s="37"/>
      <c r="JOR157" s="37"/>
      <c r="JOS157" s="37"/>
      <c r="JOT157" s="37"/>
      <c r="JOU157" s="37"/>
      <c r="JOV157" s="37"/>
      <c r="JOW157" s="37"/>
      <c r="JOX157" s="37"/>
      <c r="JOY157" s="37"/>
      <c r="JOZ157" s="37"/>
      <c r="JPA157" s="37"/>
      <c r="JPB157" s="37"/>
      <c r="JPC157" s="37"/>
      <c r="JPD157" s="37"/>
      <c r="JPE157" s="37"/>
      <c r="JPF157" s="37"/>
      <c r="JPG157" s="37"/>
      <c r="JPH157" s="37"/>
      <c r="JPI157" s="37"/>
      <c r="JPJ157" s="37"/>
      <c r="JPK157" s="37"/>
      <c r="JPL157" s="37"/>
      <c r="JPM157" s="37"/>
      <c r="JPN157" s="37"/>
      <c r="JPO157" s="37"/>
      <c r="JPP157" s="37"/>
      <c r="JPQ157" s="37"/>
      <c r="JPR157" s="37"/>
      <c r="JPS157" s="37"/>
      <c r="JPT157" s="37"/>
      <c r="JPU157" s="37"/>
      <c r="JPV157" s="37"/>
      <c r="JPW157" s="37"/>
      <c r="JPX157" s="37"/>
      <c r="JPY157" s="37"/>
      <c r="JPZ157" s="37"/>
      <c r="JQA157" s="37"/>
      <c r="JQB157" s="37"/>
      <c r="JQC157" s="37"/>
      <c r="JQD157" s="37"/>
      <c r="JQE157" s="37"/>
      <c r="JQF157" s="37"/>
      <c r="JQG157" s="37"/>
      <c r="JQH157" s="37"/>
      <c r="JQI157" s="37"/>
      <c r="JQJ157" s="37"/>
      <c r="JQK157" s="37"/>
      <c r="JQL157" s="37"/>
      <c r="JQM157" s="37"/>
      <c r="JQN157" s="37"/>
      <c r="JQO157" s="37"/>
      <c r="JQP157" s="37"/>
      <c r="JQQ157" s="37"/>
      <c r="JQR157" s="37"/>
      <c r="JQS157" s="37"/>
      <c r="JQT157" s="37"/>
      <c r="JQU157" s="37"/>
      <c r="JQV157" s="37"/>
      <c r="JQW157" s="37"/>
      <c r="JQX157" s="37"/>
      <c r="JQY157" s="37"/>
      <c r="JQZ157" s="37"/>
      <c r="JRA157" s="37"/>
      <c r="JRB157" s="37"/>
      <c r="JRC157" s="37"/>
      <c r="JRD157" s="37"/>
      <c r="JRE157" s="37"/>
      <c r="JRF157" s="37"/>
      <c r="JRG157" s="37"/>
      <c r="JRH157" s="37"/>
      <c r="JRI157" s="37"/>
      <c r="JRJ157" s="37"/>
      <c r="JRK157" s="37"/>
      <c r="JRL157" s="37"/>
      <c r="JRM157" s="37"/>
      <c r="JRN157" s="37"/>
      <c r="JRO157" s="37"/>
      <c r="JRP157" s="37"/>
      <c r="JRQ157" s="37"/>
      <c r="JRR157" s="37"/>
      <c r="JRS157" s="37"/>
      <c r="JRT157" s="37"/>
      <c r="JRU157" s="37"/>
      <c r="JRV157" s="37"/>
      <c r="JRW157" s="37"/>
      <c r="JRX157" s="37"/>
      <c r="JRY157" s="37"/>
      <c r="JRZ157" s="37"/>
      <c r="JSA157" s="37"/>
      <c r="JSB157" s="37"/>
      <c r="JSC157" s="37"/>
      <c r="JSD157" s="37"/>
      <c r="JSE157" s="37"/>
      <c r="JSF157" s="37"/>
      <c r="JSG157" s="37"/>
      <c r="JSH157" s="37"/>
      <c r="JSI157" s="37"/>
      <c r="JSJ157" s="37"/>
      <c r="JSK157" s="37"/>
      <c r="JSL157" s="37"/>
      <c r="JSM157" s="37"/>
      <c r="JSN157" s="37"/>
      <c r="JSO157" s="37"/>
      <c r="JSP157" s="37"/>
      <c r="JSQ157" s="37"/>
      <c r="JSR157" s="37"/>
      <c r="JSS157" s="37"/>
      <c r="JST157" s="37"/>
      <c r="JSU157" s="37"/>
      <c r="JSV157" s="37"/>
      <c r="JSW157" s="37"/>
      <c r="JSX157" s="37"/>
      <c r="JSY157" s="37"/>
      <c r="JSZ157" s="37"/>
      <c r="JTA157" s="37"/>
      <c r="JTB157" s="37"/>
      <c r="JTC157" s="37"/>
      <c r="JTD157" s="37"/>
      <c r="JTE157" s="37"/>
      <c r="JTF157" s="37"/>
      <c r="JTG157" s="37"/>
      <c r="JTH157" s="37"/>
      <c r="JTI157" s="37"/>
      <c r="JTJ157" s="37"/>
      <c r="JTK157" s="37"/>
      <c r="JTL157" s="37"/>
      <c r="JTM157" s="37"/>
      <c r="JTN157" s="37"/>
      <c r="JTO157" s="37"/>
      <c r="JTP157" s="37"/>
      <c r="JTQ157" s="37"/>
      <c r="JTR157" s="37"/>
      <c r="JTS157" s="37"/>
      <c r="JTT157" s="37"/>
      <c r="JTU157" s="37"/>
      <c r="JTV157" s="37"/>
      <c r="JTW157" s="37"/>
      <c r="JTX157" s="37"/>
      <c r="JTY157" s="37"/>
      <c r="JTZ157" s="37"/>
      <c r="JUA157" s="37"/>
      <c r="JUB157" s="37"/>
      <c r="JUC157" s="37"/>
      <c r="JUD157" s="37"/>
      <c r="JUE157" s="37"/>
      <c r="JUF157" s="37"/>
      <c r="JUG157" s="37"/>
      <c r="JUH157" s="37"/>
      <c r="JUI157" s="37"/>
      <c r="JUJ157" s="37"/>
      <c r="JUK157" s="37"/>
      <c r="JUL157" s="37"/>
      <c r="JUM157" s="37"/>
      <c r="JUN157" s="37"/>
      <c r="JUO157" s="37"/>
      <c r="JUP157" s="37"/>
      <c r="JUQ157" s="37"/>
      <c r="JUR157" s="37"/>
      <c r="JUS157" s="37"/>
      <c r="JUT157" s="37"/>
      <c r="JUU157" s="37"/>
      <c r="JUV157" s="37"/>
      <c r="JUW157" s="37"/>
      <c r="JUX157" s="37"/>
      <c r="JUY157" s="37"/>
      <c r="JUZ157" s="37"/>
      <c r="JVA157" s="37"/>
      <c r="JVB157" s="37"/>
      <c r="JVC157" s="37"/>
      <c r="JVD157" s="37"/>
      <c r="JVE157" s="37"/>
      <c r="JVF157" s="37"/>
      <c r="JVG157" s="37"/>
      <c r="JVH157" s="37"/>
      <c r="JVI157" s="37"/>
      <c r="JVJ157" s="37"/>
      <c r="JVK157" s="37"/>
      <c r="JVL157" s="37"/>
      <c r="JVM157" s="37"/>
      <c r="JVN157" s="37"/>
      <c r="JVO157" s="37"/>
      <c r="JVP157" s="37"/>
      <c r="JVQ157" s="37"/>
      <c r="JVR157" s="37"/>
      <c r="JVS157" s="37"/>
      <c r="JVT157" s="37"/>
      <c r="JVU157" s="37"/>
      <c r="JVV157" s="37"/>
      <c r="JVW157" s="37"/>
      <c r="JVX157" s="37"/>
      <c r="JVY157" s="37"/>
      <c r="JVZ157" s="37"/>
      <c r="JWA157" s="37"/>
      <c r="JWB157" s="37"/>
      <c r="JWC157" s="37"/>
      <c r="JWD157" s="37"/>
      <c r="JWE157" s="37"/>
      <c r="JWF157" s="37"/>
      <c r="JWG157" s="37"/>
      <c r="JWH157" s="37"/>
      <c r="JWI157" s="37"/>
      <c r="JWJ157" s="37"/>
      <c r="JWK157" s="37"/>
      <c r="JWL157" s="37"/>
      <c r="JWM157" s="37"/>
      <c r="JWN157" s="37"/>
      <c r="JWO157" s="37"/>
      <c r="JWP157" s="37"/>
      <c r="JWQ157" s="37"/>
      <c r="JWR157" s="37"/>
      <c r="JWS157" s="37"/>
      <c r="JWT157" s="37"/>
      <c r="JWU157" s="37"/>
      <c r="JWV157" s="37"/>
      <c r="JWW157" s="37"/>
      <c r="JWX157" s="37"/>
      <c r="JWY157" s="37"/>
      <c r="JWZ157" s="37"/>
      <c r="JXA157" s="37"/>
      <c r="JXB157" s="37"/>
      <c r="JXC157" s="37"/>
      <c r="JXD157" s="37"/>
      <c r="JXE157" s="37"/>
      <c r="JXF157" s="37"/>
      <c r="JXG157" s="37"/>
      <c r="JXH157" s="37"/>
      <c r="JXI157" s="37"/>
      <c r="JXJ157" s="37"/>
      <c r="JXK157" s="37"/>
      <c r="JXL157" s="37"/>
      <c r="JXM157" s="37"/>
      <c r="JXN157" s="37"/>
      <c r="JXO157" s="37"/>
      <c r="JXP157" s="37"/>
      <c r="JXQ157" s="37"/>
      <c r="JXR157" s="37"/>
      <c r="JXS157" s="37"/>
      <c r="JXT157" s="37"/>
      <c r="JXU157" s="37"/>
      <c r="JXV157" s="37"/>
      <c r="JXW157" s="37"/>
      <c r="JXX157" s="37"/>
      <c r="JXY157" s="37"/>
      <c r="JXZ157" s="37"/>
      <c r="JYA157" s="37"/>
      <c r="JYB157" s="37"/>
      <c r="JYC157" s="37"/>
      <c r="JYD157" s="37"/>
      <c r="JYE157" s="37"/>
      <c r="JYF157" s="37"/>
      <c r="JYG157" s="37"/>
      <c r="JYH157" s="37"/>
      <c r="JYI157" s="37"/>
      <c r="JYJ157" s="37"/>
      <c r="JYK157" s="37"/>
      <c r="JYL157" s="37"/>
      <c r="JYM157" s="37"/>
      <c r="JYN157" s="37"/>
      <c r="JYO157" s="37"/>
      <c r="JYP157" s="37"/>
      <c r="JYQ157" s="37"/>
      <c r="JYR157" s="37"/>
      <c r="JYS157" s="37"/>
      <c r="JYT157" s="37"/>
      <c r="JYU157" s="37"/>
      <c r="JYV157" s="37"/>
      <c r="JYW157" s="37"/>
      <c r="JYX157" s="37"/>
      <c r="JYY157" s="37"/>
      <c r="JYZ157" s="37"/>
      <c r="JZA157" s="37"/>
      <c r="JZB157" s="37"/>
      <c r="JZC157" s="37"/>
      <c r="JZD157" s="37"/>
      <c r="JZE157" s="37"/>
      <c r="JZF157" s="37"/>
      <c r="JZG157" s="37"/>
      <c r="JZH157" s="37"/>
      <c r="JZI157" s="37"/>
      <c r="JZJ157" s="37"/>
      <c r="JZK157" s="37"/>
      <c r="JZL157" s="37"/>
      <c r="JZM157" s="37"/>
      <c r="JZN157" s="37"/>
      <c r="JZO157" s="37"/>
      <c r="JZP157" s="37"/>
      <c r="JZQ157" s="37"/>
      <c r="JZR157" s="37"/>
      <c r="JZS157" s="37"/>
      <c r="JZT157" s="37"/>
      <c r="JZU157" s="37"/>
      <c r="JZV157" s="37"/>
      <c r="JZW157" s="37"/>
      <c r="JZX157" s="37"/>
      <c r="JZY157" s="37"/>
      <c r="JZZ157" s="37"/>
      <c r="KAA157" s="37"/>
      <c r="KAB157" s="37"/>
      <c r="KAC157" s="37"/>
      <c r="KAD157" s="37"/>
      <c r="KAE157" s="37"/>
      <c r="KAF157" s="37"/>
      <c r="KAG157" s="37"/>
      <c r="KAH157" s="37"/>
      <c r="KAI157" s="37"/>
      <c r="KAJ157" s="37"/>
      <c r="KAK157" s="37"/>
      <c r="KAL157" s="37"/>
      <c r="KAM157" s="37"/>
      <c r="KAN157" s="37"/>
      <c r="KAO157" s="37"/>
      <c r="KAP157" s="37"/>
      <c r="KAQ157" s="37"/>
      <c r="KAR157" s="37"/>
      <c r="KAS157" s="37"/>
      <c r="KAT157" s="37"/>
      <c r="KAU157" s="37"/>
      <c r="KAV157" s="37"/>
      <c r="KAW157" s="37"/>
      <c r="KAX157" s="37"/>
      <c r="KAY157" s="37"/>
      <c r="KAZ157" s="37"/>
      <c r="KBA157" s="37"/>
      <c r="KBB157" s="37"/>
      <c r="KBC157" s="37"/>
      <c r="KBD157" s="37"/>
      <c r="KBE157" s="37"/>
      <c r="KBF157" s="37"/>
      <c r="KBG157" s="37"/>
      <c r="KBH157" s="37"/>
      <c r="KBI157" s="37"/>
      <c r="KBJ157" s="37"/>
      <c r="KBK157" s="37"/>
      <c r="KBL157" s="37"/>
      <c r="KBM157" s="37"/>
      <c r="KBN157" s="37"/>
      <c r="KBO157" s="37"/>
      <c r="KBP157" s="37"/>
      <c r="KBQ157" s="37"/>
      <c r="KBR157" s="37"/>
      <c r="KBS157" s="37"/>
      <c r="KBT157" s="37"/>
      <c r="KBU157" s="37"/>
      <c r="KBV157" s="37"/>
      <c r="KBW157" s="37"/>
      <c r="KBX157" s="37"/>
      <c r="KBY157" s="37"/>
      <c r="KBZ157" s="37"/>
      <c r="KCA157" s="37"/>
      <c r="KCB157" s="37"/>
      <c r="KCC157" s="37"/>
      <c r="KCD157" s="37"/>
      <c r="KCE157" s="37"/>
      <c r="KCF157" s="37"/>
      <c r="KCG157" s="37"/>
      <c r="KCH157" s="37"/>
      <c r="KCI157" s="37"/>
      <c r="KCJ157" s="37"/>
      <c r="KCK157" s="37"/>
      <c r="KCL157" s="37"/>
      <c r="KCM157" s="37"/>
      <c r="KCN157" s="37"/>
      <c r="KCO157" s="37"/>
      <c r="KCP157" s="37"/>
      <c r="KCQ157" s="37"/>
      <c r="KCR157" s="37"/>
      <c r="KCS157" s="37"/>
      <c r="KCT157" s="37"/>
      <c r="KCU157" s="37"/>
      <c r="KCV157" s="37"/>
      <c r="KCW157" s="37"/>
      <c r="KCX157" s="37"/>
      <c r="KCY157" s="37"/>
      <c r="KCZ157" s="37"/>
      <c r="KDA157" s="37"/>
      <c r="KDB157" s="37"/>
      <c r="KDC157" s="37"/>
      <c r="KDD157" s="37"/>
      <c r="KDE157" s="37"/>
      <c r="KDF157" s="37"/>
      <c r="KDG157" s="37"/>
      <c r="KDH157" s="37"/>
      <c r="KDI157" s="37"/>
      <c r="KDJ157" s="37"/>
      <c r="KDK157" s="37"/>
      <c r="KDL157" s="37"/>
      <c r="KDM157" s="37"/>
      <c r="KDN157" s="37"/>
      <c r="KDO157" s="37"/>
      <c r="KDP157" s="37"/>
      <c r="KDQ157" s="37"/>
      <c r="KDR157" s="37"/>
      <c r="KDS157" s="37"/>
      <c r="KDT157" s="37"/>
      <c r="KDU157" s="37"/>
      <c r="KDV157" s="37"/>
      <c r="KDW157" s="37"/>
      <c r="KDX157" s="37"/>
      <c r="KDY157" s="37"/>
      <c r="KDZ157" s="37"/>
      <c r="KEA157" s="37"/>
      <c r="KEB157" s="37"/>
      <c r="KEC157" s="37"/>
      <c r="KED157" s="37"/>
      <c r="KEE157" s="37"/>
      <c r="KEF157" s="37"/>
      <c r="KEG157" s="37"/>
      <c r="KEH157" s="37"/>
      <c r="KEI157" s="37"/>
      <c r="KEJ157" s="37"/>
      <c r="KEK157" s="37"/>
      <c r="KEL157" s="37"/>
      <c r="KEM157" s="37"/>
      <c r="KEN157" s="37"/>
      <c r="KEO157" s="37"/>
      <c r="KEP157" s="37"/>
      <c r="KEQ157" s="37"/>
      <c r="KER157" s="37"/>
      <c r="KES157" s="37"/>
      <c r="KET157" s="37"/>
      <c r="KEU157" s="37"/>
      <c r="KEV157" s="37"/>
      <c r="KEW157" s="37"/>
      <c r="KEX157" s="37"/>
      <c r="KEY157" s="37"/>
      <c r="KEZ157" s="37"/>
      <c r="KFA157" s="37"/>
      <c r="KFB157" s="37"/>
      <c r="KFC157" s="37"/>
      <c r="KFD157" s="37"/>
      <c r="KFE157" s="37"/>
      <c r="KFF157" s="37"/>
      <c r="KFG157" s="37"/>
      <c r="KFH157" s="37"/>
      <c r="KFI157" s="37"/>
      <c r="KFJ157" s="37"/>
      <c r="KFK157" s="37"/>
      <c r="KFL157" s="37"/>
      <c r="KFM157" s="37"/>
      <c r="KFN157" s="37"/>
      <c r="KFO157" s="37"/>
      <c r="KFP157" s="37"/>
      <c r="KFQ157" s="37"/>
      <c r="KFR157" s="37"/>
      <c r="KFS157" s="37"/>
      <c r="KFT157" s="37"/>
      <c r="KFU157" s="37"/>
      <c r="KFV157" s="37"/>
      <c r="KFW157" s="37"/>
      <c r="KFX157" s="37"/>
      <c r="KFY157" s="37"/>
      <c r="KFZ157" s="37"/>
      <c r="KGA157" s="37"/>
      <c r="KGB157" s="37"/>
      <c r="KGC157" s="37"/>
      <c r="KGD157" s="37"/>
      <c r="KGE157" s="37"/>
      <c r="KGF157" s="37"/>
      <c r="KGG157" s="37"/>
      <c r="KGH157" s="37"/>
      <c r="KGI157" s="37"/>
      <c r="KGJ157" s="37"/>
      <c r="KGK157" s="37"/>
      <c r="KGL157" s="37"/>
      <c r="KGM157" s="37"/>
      <c r="KGN157" s="37"/>
      <c r="KGO157" s="37"/>
      <c r="KGP157" s="37"/>
      <c r="KGQ157" s="37"/>
      <c r="KGR157" s="37"/>
      <c r="KGS157" s="37"/>
      <c r="KGT157" s="37"/>
      <c r="KGU157" s="37"/>
      <c r="KGV157" s="37"/>
      <c r="KGW157" s="37"/>
      <c r="KGX157" s="37"/>
      <c r="KGY157" s="37"/>
      <c r="KGZ157" s="37"/>
      <c r="KHA157" s="37"/>
      <c r="KHB157" s="37"/>
      <c r="KHC157" s="37"/>
      <c r="KHD157" s="37"/>
      <c r="KHE157" s="37"/>
      <c r="KHF157" s="37"/>
      <c r="KHG157" s="37"/>
      <c r="KHH157" s="37"/>
      <c r="KHI157" s="37"/>
      <c r="KHJ157" s="37"/>
      <c r="KHK157" s="37"/>
      <c r="KHL157" s="37"/>
      <c r="KHM157" s="37"/>
      <c r="KHN157" s="37"/>
      <c r="KHO157" s="37"/>
      <c r="KHP157" s="37"/>
      <c r="KHQ157" s="37"/>
      <c r="KHR157" s="37"/>
      <c r="KHS157" s="37"/>
      <c r="KHT157" s="37"/>
      <c r="KHU157" s="37"/>
      <c r="KHV157" s="37"/>
      <c r="KHW157" s="37"/>
      <c r="KHX157" s="37"/>
      <c r="KHY157" s="37"/>
      <c r="KHZ157" s="37"/>
      <c r="KIA157" s="37"/>
      <c r="KIB157" s="37"/>
      <c r="KIC157" s="37"/>
      <c r="KID157" s="37"/>
      <c r="KIE157" s="37"/>
      <c r="KIF157" s="37"/>
      <c r="KIG157" s="37"/>
      <c r="KIH157" s="37"/>
      <c r="KII157" s="37"/>
      <c r="KIJ157" s="37"/>
      <c r="KIK157" s="37"/>
      <c r="KIL157" s="37"/>
      <c r="KIM157" s="37"/>
      <c r="KIN157" s="37"/>
      <c r="KIO157" s="37"/>
      <c r="KIP157" s="37"/>
      <c r="KIQ157" s="37"/>
      <c r="KIR157" s="37"/>
      <c r="KIS157" s="37"/>
      <c r="KIT157" s="37"/>
      <c r="KIU157" s="37"/>
      <c r="KIV157" s="37"/>
      <c r="KIW157" s="37"/>
      <c r="KIX157" s="37"/>
      <c r="KIY157" s="37"/>
      <c r="KIZ157" s="37"/>
      <c r="KJA157" s="37"/>
      <c r="KJB157" s="37"/>
      <c r="KJC157" s="37"/>
      <c r="KJD157" s="37"/>
      <c r="KJE157" s="37"/>
      <c r="KJF157" s="37"/>
      <c r="KJG157" s="37"/>
      <c r="KJH157" s="37"/>
      <c r="KJI157" s="37"/>
      <c r="KJJ157" s="37"/>
      <c r="KJK157" s="37"/>
      <c r="KJL157" s="37"/>
      <c r="KJM157" s="37"/>
      <c r="KJN157" s="37"/>
      <c r="KJO157" s="37"/>
      <c r="KJP157" s="37"/>
      <c r="KJQ157" s="37"/>
      <c r="KJR157" s="37"/>
      <c r="KJS157" s="37"/>
      <c r="KJT157" s="37"/>
      <c r="KJU157" s="37"/>
      <c r="KJV157" s="37"/>
      <c r="KJW157" s="37"/>
      <c r="KJX157" s="37"/>
      <c r="KJY157" s="37"/>
      <c r="KJZ157" s="37"/>
      <c r="KKA157" s="37"/>
      <c r="KKB157" s="37"/>
      <c r="KKC157" s="37"/>
      <c r="KKD157" s="37"/>
      <c r="KKE157" s="37"/>
      <c r="KKF157" s="37"/>
      <c r="KKG157" s="37"/>
      <c r="KKH157" s="37"/>
      <c r="KKI157" s="37"/>
      <c r="KKJ157" s="37"/>
      <c r="KKK157" s="37"/>
      <c r="KKL157" s="37"/>
      <c r="KKM157" s="37"/>
      <c r="KKN157" s="37"/>
      <c r="KKO157" s="37"/>
      <c r="KKP157" s="37"/>
      <c r="KKQ157" s="37"/>
      <c r="KKR157" s="37"/>
      <c r="KKS157" s="37"/>
      <c r="KKT157" s="37"/>
      <c r="KKU157" s="37"/>
      <c r="KKV157" s="37"/>
      <c r="KKW157" s="37"/>
      <c r="KKX157" s="37"/>
      <c r="KKY157" s="37"/>
      <c r="KKZ157" s="37"/>
      <c r="KLA157" s="37"/>
      <c r="KLB157" s="37"/>
      <c r="KLC157" s="37"/>
      <c r="KLD157" s="37"/>
      <c r="KLE157" s="37"/>
      <c r="KLF157" s="37"/>
      <c r="KLG157" s="37"/>
      <c r="KLH157" s="37"/>
      <c r="KLI157" s="37"/>
      <c r="KLJ157" s="37"/>
      <c r="KLK157" s="37"/>
      <c r="KLL157" s="37"/>
      <c r="KLM157" s="37"/>
      <c r="KLN157" s="37"/>
      <c r="KLO157" s="37"/>
      <c r="KLP157" s="37"/>
      <c r="KLQ157" s="37"/>
      <c r="KLR157" s="37"/>
      <c r="KLS157" s="37"/>
      <c r="KLT157" s="37"/>
      <c r="KLU157" s="37"/>
      <c r="KLV157" s="37"/>
      <c r="KLW157" s="37"/>
      <c r="KLX157" s="37"/>
      <c r="KLY157" s="37"/>
      <c r="KLZ157" s="37"/>
      <c r="KMA157" s="37"/>
      <c r="KMB157" s="37"/>
      <c r="KMC157" s="37"/>
      <c r="KMD157" s="37"/>
      <c r="KME157" s="37"/>
      <c r="KMF157" s="37"/>
      <c r="KMG157" s="37"/>
      <c r="KMH157" s="37"/>
      <c r="KMI157" s="37"/>
      <c r="KMJ157" s="37"/>
      <c r="KMK157" s="37"/>
      <c r="KML157" s="37"/>
      <c r="KMM157" s="37"/>
      <c r="KMN157" s="37"/>
      <c r="KMO157" s="37"/>
      <c r="KMP157" s="37"/>
      <c r="KMQ157" s="37"/>
      <c r="KMR157" s="37"/>
      <c r="KMS157" s="37"/>
      <c r="KMT157" s="37"/>
      <c r="KMU157" s="37"/>
      <c r="KMV157" s="37"/>
      <c r="KMW157" s="37"/>
      <c r="KMX157" s="37"/>
      <c r="KMY157" s="37"/>
      <c r="KMZ157" s="37"/>
      <c r="KNA157" s="37"/>
      <c r="KNB157" s="37"/>
      <c r="KNC157" s="37"/>
      <c r="KND157" s="37"/>
      <c r="KNE157" s="37"/>
      <c r="KNF157" s="37"/>
      <c r="KNG157" s="37"/>
      <c r="KNH157" s="37"/>
      <c r="KNI157" s="37"/>
      <c r="KNJ157" s="37"/>
      <c r="KNK157" s="37"/>
      <c r="KNL157" s="37"/>
      <c r="KNM157" s="37"/>
      <c r="KNN157" s="37"/>
      <c r="KNO157" s="37"/>
      <c r="KNP157" s="37"/>
      <c r="KNQ157" s="37"/>
      <c r="KNR157" s="37"/>
      <c r="KNS157" s="37"/>
      <c r="KNT157" s="37"/>
      <c r="KNU157" s="37"/>
      <c r="KNV157" s="37"/>
      <c r="KNW157" s="37"/>
      <c r="KNX157" s="37"/>
      <c r="KNY157" s="37"/>
      <c r="KNZ157" s="37"/>
      <c r="KOA157" s="37"/>
      <c r="KOB157" s="37"/>
      <c r="KOC157" s="37"/>
      <c r="KOD157" s="37"/>
      <c r="KOE157" s="37"/>
      <c r="KOF157" s="37"/>
      <c r="KOG157" s="37"/>
      <c r="KOH157" s="37"/>
      <c r="KOI157" s="37"/>
      <c r="KOJ157" s="37"/>
      <c r="KOK157" s="37"/>
      <c r="KOL157" s="37"/>
      <c r="KOM157" s="37"/>
      <c r="KON157" s="37"/>
      <c r="KOO157" s="37"/>
      <c r="KOP157" s="37"/>
      <c r="KOQ157" s="37"/>
      <c r="KOR157" s="37"/>
      <c r="KOS157" s="37"/>
      <c r="KOT157" s="37"/>
      <c r="KOU157" s="37"/>
      <c r="KOV157" s="37"/>
      <c r="KOW157" s="37"/>
      <c r="KOX157" s="37"/>
      <c r="KOY157" s="37"/>
      <c r="KOZ157" s="37"/>
      <c r="KPA157" s="37"/>
      <c r="KPB157" s="37"/>
      <c r="KPC157" s="37"/>
      <c r="KPD157" s="37"/>
      <c r="KPE157" s="37"/>
      <c r="KPF157" s="37"/>
      <c r="KPG157" s="37"/>
      <c r="KPH157" s="37"/>
      <c r="KPI157" s="37"/>
      <c r="KPJ157" s="37"/>
      <c r="KPK157" s="37"/>
      <c r="KPL157" s="37"/>
      <c r="KPM157" s="37"/>
      <c r="KPN157" s="37"/>
      <c r="KPO157" s="37"/>
      <c r="KPP157" s="37"/>
      <c r="KPQ157" s="37"/>
      <c r="KPR157" s="37"/>
      <c r="KPS157" s="37"/>
      <c r="KPT157" s="37"/>
      <c r="KPU157" s="37"/>
      <c r="KPV157" s="37"/>
      <c r="KPW157" s="37"/>
      <c r="KPX157" s="37"/>
      <c r="KPY157" s="37"/>
      <c r="KPZ157" s="37"/>
      <c r="KQA157" s="37"/>
      <c r="KQB157" s="37"/>
      <c r="KQC157" s="37"/>
      <c r="KQD157" s="37"/>
      <c r="KQE157" s="37"/>
      <c r="KQF157" s="37"/>
      <c r="KQG157" s="37"/>
      <c r="KQH157" s="37"/>
      <c r="KQI157" s="37"/>
      <c r="KQJ157" s="37"/>
      <c r="KQK157" s="37"/>
      <c r="KQL157" s="37"/>
      <c r="KQM157" s="37"/>
      <c r="KQN157" s="37"/>
      <c r="KQO157" s="37"/>
      <c r="KQP157" s="37"/>
      <c r="KQQ157" s="37"/>
      <c r="KQR157" s="37"/>
      <c r="KQS157" s="37"/>
      <c r="KQT157" s="37"/>
      <c r="KQU157" s="37"/>
      <c r="KQV157" s="37"/>
      <c r="KQW157" s="37"/>
      <c r="KQX157" s="37"/>
      <c r="KQY157" s="37"/>
      <c r="KQZ157" s="37"/>
      <c r="KRA157" s="37"/>
      <c r="KRB157" s="37"/>
      <c r="KRC157" s="37"/>
      <c r="KRD157" s="37"/>
      <c r="KRE157" s="37"/>
      <c r="KRF157" s="37"/>
      <c r="KRG157" s="37"/>
      <c r="KRH157" s="37"/>
      <c r="KRI157" s="37"/>
      <c r="KRJ157" s="37"/>
      <c r="KRK157" s="37"/>
      <c r="KRL157" s="37"/>
      <c r="KRM157" s="37"/>
      <c r="KRN157" s="37"/>
      <c r="KRO157" s="37"/>
      <c r="KRP157" s="37"/>
      <c r="KRQ157" s="37"/>
      <c r="KRR157" s="37"/>
      <c r="KRS157" s="37"/>
      <c r="KRT157" s="37"/>
      <c r="KRU157" s="37"/>
      <c r="KRV157" s="37"/>
      <c r="KRW157" s="37"/>
      <c r="KRX157" s="37"/>
      <c r="KRY157" s="37"/>
      <c r="KRZ157" s="37"/>
      <c r="KSA157" s="37"/>
      <c r="KSB157" s="37"/>
      <c r="KSC157" s="37"/>
      <c r="KSD157" s="37"/>
      <c r="KSE157" s="37"/>
      <c r="KSF157" s="37"/>
      <c r="KSG157" s="37"/>
      <c r="KSH157" s="37"/>
      <c r="KSI157" s="37"/>
      <c r="KSJ157" s="37"/>
      <c r="KSK157" s="37"/>
      <c r="KSL157" s="37"/>
      <c r="KSM157" s="37"/>
      <c r="KSN157" s="37"/>
      <c r="KSO157" s="37"/>
      <c r="KSP157" s="37"/>
      <c r="KSQ157" s="37"/>
      <c r="KSR157" s="37"/>
      <c r="KSS157" s="37"/>
      <c r="KST157" s="37"/>
      <c r="KSU157" s="37"/>
      <c r="KSV157" s="37"/>
      <c r="KSW157" s="37"/>
      <c r="KSX157" s="37"/>
      <c r="KSY157" s="37"/>
      <c r="KSZ157" s="37"/>
      <c r="KTA157" s="37"/>
      <c r="KTB157" s="37"/>
      <c r="KTC157" s="37"/>
      <c r="KTD157" s="37"/>
      <c r="KTE157" s="37"/>
      <c r="KTF157" s="37"/>
      <c r="KTG157" s="37"/>
      <c r="KTH157" s="37"/>
      <c r="KTI157" s="37"/>
      <c r="KTJ157" s="37"/>
      <c r="KTK157" s="37"/>
      <c r="KTL157" s="37"/>
      <c r="KTM157" s="37"/>
      <c r="KTN157" s="37"/>
      <c r="KTO157" s="37"/>
      <c r="KTP157" s="37"/>
      <c r="KTQ157" s="37"/>
      <c r="KTR157" s="37"/>
      <c r="KTS157" s="37"/>
      <c r="KTT157" s="37"/>
      <c r="KTU157" s="37"/>
      <c r="KTV157" s="37"/>
      <c r="KTW157" s="37"/>
      <c r="KTX157" s="37"/>
      <c r="KTY157" s="37"/>
      <c r="KTZ157" s="37"/>
      <c r="KUA157" s="37"/>
      <c r="KUB157" s="37"/>
      <c r="KUC157" s="37"/>
      <c r="KUD157" s="37"/>
      <c r="KUE157" s="37"/>
      <c r="KUF157" s="37"/>
      <c r="KUG157" s="37"/>
      <c r="KUH157" s="37"/>
      <c r="KUI157" s="37"/>
      <c r="KUJ157" s="37"/>
      <c r="KUK157" s="37"/>
      <c r="KUL157" s="37"/>
      <c r="KUM157" s="37"/>
      <c r="KUN157" s="37"/>
      <c r="KUO157" s="37"/>
      <c r="KUP157" s="37"/>
      <c r="KUQ157" s="37"/>
      <c r="KUR157" s="37"/>
      <c r="KUS157" s="37"/>
      <c r="KUT157" s="37"/>
      <c r="KUU157" s="37"/>
      <c r="KUV157" s="37"/>
      <c r="KUW157" s="37"/>
      <c r="KUX157" s="37"/>
      <c r="KUY157" s="37"/>
      <c r="KUZ157" s="37"/>
      <c r="KVA157" s="37"/>
      <c r="KVB157" s="37"/>
      <c r="KVC157" s="37"/>
      <c r="KVD157" s="37"/>
      <c r="KVE157" s="37"/>
      <c r="KVF157" s="37"/>
      <c r="KVG157" s="37"/>
      <c r="KVH157" s="37"/>
      <c r="KVI157" s="37"/>
      <c r="KVJ157" s="37"/>
      <c r="KVK157" s="37"/>
      <c r="KVL157" s="37"/>
      <c r="KVM157" s="37"/>
      <c r="KVN157" s="37"/>
      <c r="KVO157" s="37"/>
      <c r="KVP157" s="37"/>
      <c r="KVQ157" s="37"/>
      <c r="KVR157" s="37"/>
      <c r="KVS157" s="37"/>
      <c r="KVT157" s="37"/>
      <c r="KVU157" s="37"/>
      <c r="KVV157" s="37"/>
      <c r="KVW157" s="37"/>
      <c r="KVX157" s="37"/>
      <c r="KVY157" s="37"/>
      <c r="KVZ157" s="37"/>
      <c r="KWA157" s="37"/>
      <c r="KWB157" s="37"/>
      <c r="KWC157" s="37"/>
      <c r="KWD157" s="37"/>
      <c r="KWE157" s="37"/>
      <c r="KWF157" s="37"/>
      <c r="KWG157" s="37"/>
      <c r="KWH157" s="37"/>
      <c r="KWI157" s="37"/>
      <c r="KWJ157" s="37"/>
      <c r="KWK157" s="37"/>
      <c r="KWL157" s="37"/>
      <c r="KWM157" s="37"/>
      <c r="KWN157" s="37"/>
      <c r="KWO157" s="37"/>
      <c r="KWP157" s="37"/>
      <c r="KWQ157" s="37"/>
      <c r="KWR157" s="37"/>
      <c r="KWS157" s="37"/>
      <c r="KWT157" s="37"/>
      <c r="KWU157" s="37"/>
      <c r="KWV157" s="37"/>
      <c r="KWW157" s="37"/>
      <c r="KWX157" s="37"/>
      <c r="KWY157" s="37"/>
      <c r="KWZ157" s="37"/>
      <c r="KXA157" s="37"/>
      <c r="KXB157" s="37"/>
      <c r="KXC157" s="37"/>
      <c r="KXD157" s="37"/>
      <c r="KXE157" s="37"/>
      <c r="KXF157" s="37"/>
      <c r="KXG157" s="37"/>
      <c r="KXH157" s="37"/>
      <c r="KXI157" s="37"/>
      <c r="KXJ157" s="37"/>
      <c r="KXK157" s="37"/>
      <c r="KXL157" s="37"/>
      <c r="KXM157" s="37"/>
      <c r="KXN157" s="37"/>
      <c r="KXO157" s="37"/>
      <c r="KXP157" s="37"/>
      <c r="KXQ157" s="37"/>
      <c r="KXR157" s="37"/>
      <c r="KXS157" s="37"/>
      <c r="KXT157" s="37"/>
      <c r="KXU157" s="37"/>
      <c r="KXV157" s="37"/>
      <c r="KXW157" s="37"/>
      <c r="KXX157" s="37"/>
      <c r="KXY157" s="37"/>
      <c r="KXZ157" s="37"/>
      <c r="KYA157" s="37"/>
      <c r="KYB157" s="37"/>
      <c r="KYC157" s="37"/>
      <c r="KYD157" s="37"/>
      <c r="KYE157" s="37"/>
      <c r="KYF157" s="37"/>
      <c r="KYG157" s="37"/>
      <c r="KYH157" s="37"/>
      <c r="KYI157" s="37"/>
      <c r="KYJ157" s="37"/>
      <c r="KYK157" s="37"/>
      <c r="KYL157" s="37"/>
      <c r="KYM157" s="37"/>
      <c r="KYN157" s="37"/>
      <c r="KYO157" s="37"/>
      <c r="KYP157" s="37"/>
      <c r="KYQ157" s="37"/>
      <c r="KYR157" s="37"/>
      <c r="KYS157" s="37"/>
      <c r="KYT157" s="37"/>
      <c r="KYU157" s="37"/>
      <c r="KYV157" s="37"/>
      <c r="KYW157" s="37"/>
      <c r="KYX157" s="37"/>
      <c r="KYY157" s="37"/>
      <c r="KYZ157" s="37"/>
      <c r="KZA157" s="37"/>
      <c r="KZB157" s="37"/>
      <c r="KZC157" s="37"/>
      <c r="KZD157" s="37"/>
      <c r="KZE157" s="37"/>
      <c r="KZF157" s="37"/>
      <c r="KZG157" s="37"/>
      <c r="KZH157" s="37"/>
      <c r="KZI157" s="37"/>
      <c r="KZJ157" s="37"/>
      <c r="KZK157" s="37"/>
      <c r="KZL157" s="37"/>
      <c r="KZM157" s="37"/>
      <c r="KZN157" s="37"/>
      <c r="KZO157" s="37"/>
      <c r="KZP157" s="37"/>
      <c r="KZQ157" s="37"/>
      <c r="KZR157" s="37"/>
      <c r="KZS157" s="37"/>
      <c r="KZT157" s="37"/>
      <c r="KZU157" s="37"/>
      <c r="KZV157" s="37"/>
      <c r="KZW157" s="37"/>
      <c r="KZX157" s="37"/>
      <c r="KZY157" s="37"/>
      <c r="KZZ157" s="37"/>
      <c r="LAA157" s="37"/>
      <c r="LAB157" s="37"/>
      <c r="LAC157" s="37"/>
      <c r="LAD157" s="37"/>
      <c r="LAE157" s="37"/>
      <c r="LAF157" s="37"/>
      <c r="LAG157" s="37"/>
      <c r="LAH157" s="37"/>
      <c r="LAI157" s="37"/>
      <c r="LAJ157" s="37"/>
      <c r="LAK157" s="37"/>
      <c r="LAL157" s="37"/>
      <c r="LAM157" s="37"/>
      <c r="LAN157" s="37"/>
      <c r="LAO157" s="37"/>
      <c r="LAP157" s="37"/>
      <c r="LAQ157" s="37"/>
      <c r="LAR157" s="37"/>
      <c r="LAS157" s="37"/>
      <c r="LAT157" s="37"/>
      <c r="LAU157" s="37"/>
      <c r="LAV157" s="37"/>
      <c r="LAW157" s="37"/>
      <c r="LAX157" s="37"/>
      <c r="LAY157" s="37"/>
      <c r="LAZ157" s="37"/>
      <c r="LBA157" s="37"/>
      <c r="LBB157" s="37"/>
      <c r="LBC157" s="37"/>
      <c r="LBD157" s="37"/>
      <c r="LBE157" s="37"/>
      <c r="LBF157" s="37"/>
      <c r="LBG157" s="37"/>
      <c r="LBH157" s="37"/>
      <c r="LBI157" s="37"/>
      <c r="LBJ157" s="37"/>
      <c r="LBK157" s="37"/>
      <c r="LBL157" s="37"/>
      <c r="LBM157" s="37"/>
      <c r="LBN157" s="37"/>
      <c r="LBO157" s="37"/>
      <c r="LBP157" s="37"/>
      <c r="LBQ157" s="37"/>
      <c r="LBR157" s="37"/>
      <c r="LBS157" s="37"/>
      <c r="LBT157" s="37"/>
      <c r="LBU157" s="37"/>
      <c r="LBV157" s="37"/>
      <c r="LBW157" s="37"/>
      <c r="LBX157" s="37"/>
      <c r="LBY157" s="37"/>
      <c r="LBZ157" s="37"/>
      <c r="LCA157" s="37"/>
      <c r="LCB157" s="37"/>
      <c r="LCC157" s="37"/>
      <c r="LCD157" s="37"/>
      <c r="LCE157" s="37"/>
      <c r="LCF157" s="37"/>
      <c r="LCG157" s="37"/>
      <c r="LCH157" s="37"/>
      <c r="LCI157" s="37"/>
      <c r="LCJ157" s="37"/>
      <c r="LCK157" s="37"/>
      <c r="LCL157" s="37"/>
      <c r="LCM157" s="37"/>
      <c r="LCN157" s="37"/>
      <c r="LCO157" s="37"/>
      <c r="LCP157" s="37"/>
      <c r="LCQ157" s="37"/>
      <c r="LCR157" s="37"/>
      <c r="LCS157" s="37"/>
      <c r="LCT157" s="37"/>
      <c r="LCU157" s="37"/>
      <c r="LCV157" s="37"/>
      <c r="LCW157" s="37"/>
      <c r="LCX157" s="37"/>
      <c r="LCY157" s="37"/>
      <c r="LCZ157" s="37"/>
      <c r="LDA157" s="37"/>
      <c r="LDB157" s="37"/>
      <c r="LDC157" s="37"/>
      <c r="LDD157" s="37"/>
      <c r="LDE157" s="37"/>
      <c r="LDF157" s="37"/>
      <c r="LDG157" s="37"/>
      <c r="LDH157" s="37"/>
      <c r="LDI157" s="37"/>
      <c r="LDJ157" s="37"/>
      <c r="LDK157" s="37"/>
      <c r="LDL157" s="37"/>
      <c r="LDM157" s="37"/>
      <c r="LDN157" s="37"/>
      <c r="LDO157" s="37"/>
      <c r="LDP157" s="37"/>
      <c r="LDQ157" s="37"/>
      <c r="LDR157" s="37"/>
      <c r="LDS157" s="37"/>
      <c r="LDT157" s="37"/>
      <c r="LDU157" s="37"/>
      <c r="LDV157" s="37"/>
      <c r="LDW157" s="37"/>
      <c r="LDX157" s="37"/>
      <c r="LDY157" s="37"/>
      <c r="LDZ157" s="37"/>
      <c r="LEA157" s="37"/>
      <c r="LEB157" s="37"/>
      <c r="LEC157" s="37"/>
      <c r="LED157" s="37"/>
      <c r="LEE157" s="37"/>
      <c r="LEF157" s="37"/>
      <c r="LEG157" s="37"/>
      <c r="LEH157" s="37"/>
      <c r="LEI157" s="37"/>
      <c r="LEJ157" s="37"/>
      <c r="LEK157" s="37"/>
      <c r="LEL157" s="37"/>
      <c r="LEM157" s="37"/>
      <c r="LEN157" s="37"/>
      <c r="LEO157" s="37"/>
      <c r="LEP157" s="37"/>
      <c r="LEQ157" s="37"/>
      <c r="LER157" s="37"/>
      <c r="LES157" s="37"/>
      <c r="LET157" s="37"/>
      <c r="LEU157" s="37"/>
      <c r="LEV157" s="37"/>
      <c r="LEW157" s="37"/>
      <c r="LEX157" s="37"/>
      <c r="LEY157" s="37"/>
      <c r="LEZ157" s="37"/>
      <c r="LFA157" s="37"/>
      <c r="LFB157" s="37"/>
      <c r="LFC157" s="37"/>
      <c r="LFD157" s="37"/>
      <c r="LFE157" s="37"/>
      <c r="LFF157" s="37"/>
      <c r="LFG157" s="37"/>
      <c r="LFH157" s="37"/>
      <c r="LFI157" s="37"/>
      <c r="LFJ157" s="37"/>
      <c r="LFK157" s="37"/>
      <c r="LFL157" s="37"/>
      <c r="LFM157" s="37"/>
      <c r="LFN157" s="37"/>
      <c r="LFO157" s="37"/>
      <c r="LFP157" s="37"/>
      <c r="LFQ157" s="37"/>
      <c r="LFR157" s="37"/>
      <c r="LFS157" s="37"/>
      <c r="LFT157" s="37"/>
      <c r="LFU157" s="37"/>
      <c r="LFV157" s="37"/>
      <c r="LFW157" s="37"/>
      <c r="LFX157" s="37"/>
      <c r="LFY157" s="37"/>
      <c r="LFZ157" s="37"/>
      <c r="LGA157" s="37"/>
      <c r="LGB157" s="37"/>
      <c r="LGC157" s="37"/>
      <c r="LGD157" s="37"/>
      <c r="LGE157" s="37"/>
      <c r="LGF157" s="37"/>
      <c r="LGG157" s="37"/>
      <c r="LGH157" s="37"/>
      <c r="LGI157" s="37"/>
      <c r="LGJ157" s="37"/>
      <c r="LGK157" s="37"/>
      <c r="LGL157" s="37"/>
      <c r="LGM157" s="37"/>
      <c r="LGN157" s="37"/>
      <c r="LGO157" s="37"/>
      <c r="LGP157" s="37"/>
      <c r="LGQ157" s="37"/>
      <c r="LGR157" s="37"/>
      <c r="LGS157" s="37"/>
      <c r="LGT157" s="37"/>
      <c r="LGU157" s="37"/>
      <c r="LGV157" s="37"/>
      <c r="LGW157" s="37"/>
      <c r="LGX157" s="37"/>
      <c r="LGY157" s="37"/>
      <c r="LGZ157" s="37"/>
      <c r="LHA157" s="37"/>
      <c r="LHB157" s="37"/>
      <c r="LHC157" s="37"/>
      <c r="LHD157" s="37"/>
      <c r="LHE157" s="37"/>
      <c r="LHF157" s="37"/>
      <c r="LHG157" s="37"/>
      <c r="LHH157" s="37"/>
      <c r="LHI157" s="37"/>
      <c r="LHJ157" s="37"/>
      <c r="LHK157" s="37"/>
      <c r="LHL157" s="37"/>
      <c r="LHM157" s="37"/>
      <c r="LHN157" s="37"/>
      <c r="LHO157" s="37"/>
      <c r="LHP157" s="37"/>
      <c r="LHQ157" s="37"/>
      <c r="LHR157" s="37"/>
      <c r="LHS157" s="37"/>
      <c r="LHT157" s="37"/>
      <c r="LHU157" s="37"/>
      <c r="LHV157" s="37"/>
      <c r="LHW157" s="37"/>
      <c r="LHX157" s="37"/>
      <c r="LHY157" s="37"/>
      <c r="LHZ157" s="37"/>
      <c r="LIA157" s="37"/>
      <c r="LIB157" s="37"/>
      <c r="LIC157" s="37"/>
      <c r="LID157" s="37"/>
      <c r="LIE157" s="37"/>
      <c r="LIF157" s="37"/>
      <c r="LIG157" s="37"/>
      <c r="LIH157" s="37"/>
      <c r="LII157" s="37"/>
      <c r="LIJ157" s="37"/>
      <c r="LIK157" s="37"/>
      <c r="LIL157" s="37"/>
      <c r="LIM157" s="37"/>
      <c r="LIN157" s="37"/>
      <c r="LIO157" s="37"/>
      <c r="LIP157" s="37"/>
      <c r="LIQ157" s="37"/>
      <c r="LIR157" s="37"/>
      <c r="LIS157" s="37"/>
      <c r="LIT157" s="37"/>
      <c r="LIU157" s="37"/>
      <c r="LIV157" s="37"/>
      <c r="LIW157" s="37"/>
      <c r="LIX157" s="37"/>
      <c r="LIY157" s="37"/>
      <c r="LIZ157" s="37"/>
      <c r="LJA157" s="37"/>
      <c r="LJB157" s="37"/>
      <c r="LJC157" s="37"/>
      <c r="LJD157" s="37"/>
      <c r="LJE157" s="37"/>
      <c r="LJF157" s="37"/>
      <c r="LJG157" s="37"/>
      <c r="LJH157" s="37"/>
      <c r="LJI157" s="37"/>
      <c r="LJJ157" s="37"/>
      <c r="LJK157" s="37"/>
      <c r="LJL157" s="37"/>
      <c r="LJM157" s="37"/>
      <c r="LJN157" s="37"/>
      <c r="LJO157" s="37"/>
      <c r="LJP157" s="37"/>
      <c r="LJQ157" s="37"/>
      <c r="LJR157" s="37"/>
      <c r="LJS157" s="37"/>
      <c r="LJT157" s="37"/>
      <c r="LJU157" s="37"/>
      <c r="LJV157" s="37"/>
      <c r="LJW157" s="37"/>
      <c r="LJX157" s="37"/>
      <c r="LJY157" s="37"/>
      <c r="LJZ157" s="37"/>
      <c r="LKA157" s="37"/>
      <c r="LKB157" s="37"/>
      <c r="LKC157" s="37"/>
      <c r="LKD157" s="37"/>
      <c r="LKE157" s="37"/>
      <c r="LKF157" s="37"/>
      <c r="LKG157" s="37"/>
      <c r="LKH157" s="37"/>
      <c r="LKI157" s="37"/>
      <c r="LKJ157" s="37"/>
      <c r="LKK157" s="37"/>
      <c r="LKL157" s="37"/>
      <c r="LKM157" s="37"/>
      <c r="LKN157" s="37"/>
      <c r="LKO157" s="37"/>
      <c r="LKP157" s="37"/>
      <c r="LKQ157" s="37"/>
      <c r="LKR157" s="37"/>
      <c r="LKS157" s="37"/>
      <c r="LKT157" s="37"/>
      <c r="LKU157" s="37"/>
      <c r="LKV157" s="37"/>
      <c r="LKW157" s="37"/>
      <c r="LKX157" s="37"/>
      <c r="LKY157" s="37"/>
      <c r="LKZ157" s="37"/>
      <c r="LLA157" s="37"/>
      <c r="LLB157" s="37"/>
      <c r="LLC157" s="37"/>
      <c r="LLD157" s="37"/>
      <c r="LLE157" s="37"/>
      <c r="LLF157" s="37"/>
      <c r="LLG157" s="37"/>
      <c r="LLH157" s="37"/>
      <c r="LLI157" s="37"/>
      <c r="LLJ157" s="37"/>
      <c r="LLK157" s="37"/>
      <c r="LLL157" s="37"/>
      <c r="LLM157" s="37"/>
      <c r="LLN157" s="37"/>
      <c r="LLO157" s="37"/>
      <c r="LLP157" s="37"/>
      <c r="LLQ157" s="37"/>
      <c r="LLR157" s="37"/>
      <c r="LLS157" s="37"/>
      <c r="LLT157" s="37"/>
      <c r="LLU157" s="37"/>
      <c r="LLV157" s="37"/>
      <c r="LLW157" s="37"/>
      <c r="LLX157" s="37"/>
      <c r="LLY157" s="37"/>
      <c r="LLZ157" s="37"/>
      <c r="LMA157" s="37"/>
      <c r="LMB157" s="37"/>
      <c r="LMC157" s="37"/>
      <c r="LMD157" s="37"/>
      <c r="LME157" s="37"/>
      <c r="LMF157" s="37"/>
      <c r="LMG157" s="37"/>
      <c r="LMH157" s="37"/>
      <c r="LMI157" s="37"/>
      <c r="LMJ157" s="37"/>
      <c r="LMK157" s="37"/>
      <c r="LML157" s="37"/>
      <c r="LMM157" s="37"/>
      <c r="LMN157" s="37"/>
      <c r="LMO157" s="37"/>
      <c r="LMP157" s="37"/>
      <c r="LMQ157" s="37"/>
      <c r="LMR157" s="37"/>
      <c r="LMS157" s="37"/>
      <c r="LMT157" s="37"/>
      <c r="LMU157" s="37"/>
      <c r="LMV157" s="37"/>
      <c r="LMW157" s="37"/>
      <c r="LMX157" s="37"/>
      <c r="LMY157" s="37"/>
      <c r="LMZ157" s="37"/>
      <c r="LNA157" s="37"/>
      <c r="LNB157" s="37"/>
      <c r="LNC157" s="37"/>
      <c r="LND157" s="37"/>
      <c r="LNE157" s="37"/>
      <c r="LNF157" s="37"/>
      <c r="LNG157" s="37"/>
      <c r="LNH157" s="37"/>
      <c r="LNI157" s="37"/>
      <c r="LNJ157" s="37"/>
      <c r="LNK157" s="37"/>
      <c r="LNL157" s="37"/>
      <c r="LNM157" s="37"/>
      <c r="LNN157" s="37"/>
      <c r="LNO157" s="37"/>
      <c r="LNP157" s="37"/>
      <c r="LNQ157" s="37"/>
      <c r="LNR157" s="37"/>
      <c r="LNS157" s="37"/>
      <c r="LNT157" s="37"/>
      <c r="LNU157" s="37"/>
      <c r="LNV157" s="37"/>
      <c r="LNW157" s="37"/>
      <c r="LNX157" s="37"/>
      <c r="LNY157" s="37"/>
      <c r="LNZ157" s="37"/>
      <c r="LOA157" s="37"/>
      <c r="LOB157" s="37"/>
      <c r="LOC157" s="37"/>
      <c r="LOD157" s="37"/>
      <c r="LOE157" s="37"/>
      <c r="LOF157" s="37"/>
      <c r="LOG157" s="37"/>
      <c r="LOH157" s="37"/>
      <c r="LOI157" s="37"/>
      <c r="LOJ157" s="37"/>
      <c r="LOK157" s="37"/>
      <c r="LOL157" s="37"/>
      <c r="LOM157" s="37"/>
      <c r="LON157" s="37"/>
      <c r="LOO157" s="37"/>
      <c r="LOP157" s="37"/>
      <c r="LOQ157" s="37"/>
      <c r="LOR157" s="37"/>
      <c r="LOS157" s="37"/>
      <c r="LOT157" s="37"/>
      <c r="LOU157" s="37"/>
      <c r="LOV157" s="37"/>
      <c r="LOW157" s="37"/>
      <c r="LOX157" s="37"/>
      <c r="LOY157" s="37"/>
      <c r="LOZ157" s="37"/>
      <c r="LPA157" s="37"/>
      <c r="LPB157" s="37"/>
      <c r="LPC157" s="37"/>
      <c r="LPD157" s="37"/>
      <c r="LPE157" s="37"/>
      <c r="LPF157" s="37"/>
      <c r="LPG157" s="37"/>
      <c r="LPH157" s="37"/>
      <c r="LPI157" s="37"/>
      <c r="LPJ157" s="37"/>
      <c r="LPK157" s="37"/>
      <c r="LPL157" s="37"/>
      <c r="LPM157" s="37"/>
      <c r="LPN157" s="37"/>
      <c r="LPO157" s="37"/>
      <c r="LPP157" s="37"/>
      <c r="LPQ157" s="37"/>
      <c r="LPR157" s="37"/>
      <c r="LPS157" s="37"/>
      <c r="LPT157" s="37"/>
      <c r="LPU157" s="37"/>
      <c r="LPV157" s="37"/>
      <c r="LPW157" s="37"/>
      <c r="LPX157" s="37"/>
      <c r="LPY157" s="37"/>
      <c r="LPZ157" s="37"/>
      <c r="LQA157" s="37"/>
      <c r="LQB157" s="37"/>
      <c r="LQC157" s="37"/>
      <c r="LQD157" s="37"/>
      <c r="LQE157" s="37"/>
      <c r="LQF157" s="37"/>
      <c r="LQG157" s="37"/>
      <c r="LQH157" s="37"/>
      <c r="LQI157" s="37"/>
      <c r="LQJ157" s="37"/>
      <c r="LQK157" s="37"/>
      <c r="LQL157" s="37"/>
      <c r="LQM157" s="37"/>
      <c r="LQN157" s="37"/>
      <c r="LQO157" s="37"/>
      <c r="LQP157" s="37"/>
      <c r="LQQ157" s="37"/>
      <c r="LQR157" s="37"/>
      <c r="LQS157" s="37"/>
      <c r="LQT157" s="37"/>
      <c r="LQU157" s="37"/>
      <c r="LQV157" s="37"/>
      <c r="LQW157" s="37"/>
      <c r="LQX157" s="37"/>
      <c r="LQY157" s="37"/>
      <c r="LQZ157" s="37"/>
      <c r="LRA157" s="37"/>
      <c r="LRB157" s="37"/>
      <c r="LRC157" s="37"/>
      <c r="LRD157" s="37"/>
      <c r="LRE157" s="37"/>
      <c r="LRF157" s="37"/>
      <c r="LRG157" s="37"/>
      <c r="LRH157" s="37"/>
      <c r="LRI157" s="37"/>
      <c r="LRJ157" s="37"/>
      <c r="LRK157" s="37"/>
      <c r="LRL157" s="37"/>
      <c r="LRM157" s="37"/>
      <c r="LRN157" s="37"/>
      <c r="LRO157" s="37"/>
      <c r="LRP157" s="37"/>
      <c r="LRQ157" s="37"/>
      <c r="LRR157" s="37"/>
      <c r="LRS157" s="37"/>
      <c r="LRT157" s="37"/>
      <c r="LRU157" s="37"/>
      <c r="LRV157" s="37"/>
      <c r="LRW157" s="37"/>
      <c r="LRX157" s="37"/>
      <c r="LRY157" s="37"/>
      <c r="LRZ157" s="37"/>
      <c r="LSA157" s="37"/>
      <c r="LSB157" s="37"/>
      <c r="LSC157" s="37"/>
      <c r="LSD157" s="37"/>
      <c r="LSE157" s="37"/>
      <c r="LSF157" s="37"/>
      <c r="LSG157" s="37"/>
      <c r="LSH157" s="37"/>
      <c r="LSI157" s="37"/>
      <c r="LSJ157" s="37"/>
      <c r="LSK157" s="37"/>
      <c r="LSL157" s="37"/>
      <c r="LSM157" s="37"/>
      <c r="LSN157" s="37"/>
      <c r="LSO157" s="37"/>
      <c r="LSP157" s="37"/>
      <c r="LSQ157" s="37"/>
      <c r="LSR157" s="37"/>
      <c r="LSS157" s="37"/>
      <c r="LST157" s="37"/>
      <c r="LSU157" s="37"/>
      <c r="LSV157" s="37"/>
      <c r="LSW157" s="37"/>
      <c r="LSX157" s="37"/>
      <c r="LSY157" s="37"/>
      <c r="LSZ157" s="37"/>
      <c r="LTA157" s="37"/>
      <c r="LTB157" s="37"/>
      <c r="LTC157" s="37"/>
      <c r="LTD157" s="37"/>
      <c r="LTE157" s="37"/>
      <c r="LTF157" s="37"/>
      <c r="LTG157" s="37"/>
      <c r="LTH157" s="37"/>
      <c r="LTI157" s="37"/>
      <c r="LTJ157" s="37"/>
      <c r="LTK157" s="37"/>
      <c r="LTL157" s="37"/>
      <c r="LTM157" s="37"/>
      <c r="LTN157" s="37"/>
      <c r="LTO157" s="37"/>
      <c r="LTP157" s="37"/>
      <c r="LTQ157" s="37"/>
      <c r="LTR157" s="37"/>
      <c r="LTS157" s="37"/>
      <c r="LTT157" s="37"/>
      <c r="LTU157" s="37"/>
      <c r="LTV157" s="37"/>
      <c r="LTW157" s="37"/>
      <c r="LTX157" s="37"/>
      <c r="LTY157" s="37"/>
      <c r="LTZ157" s="37"/>
      <c r="LUA157" s="37"/>
      <c r="LUB157" s="37"/>
      <c r="LUC157" s="37"/>
      <c r="LUD157" s="37"/>
      <c r="LUE157" s="37"/>
      <c r="LUF157" s="37"/>
      <c r="LUG157" s="37"/>
      <c r="LUH157" s="37"/>
      <c r="LUI157" s="37"/>
      <c r="LUJ157" s="37"/>
      <c r="LUK157" s="37"/>
      <c r="LUL157" s="37"/>
      <c r="LUM157" s="37"/>
      <c r="LUN157" s="37"/>
      <c r="LUO157" s="37"/>
      <c r="LUP157" s="37"/>
      <c r="LUQ157" s="37"/>
      <c r="LUR157" s="37"/>
      <c r="LUS157" s="37"/>
      <c r="LUT157" s="37"/>
      <c r="LUU157" s="37"/>
      <c r="LUV157" s="37"/>
      <c r="LUW157" s="37"/>
      <c r="LUX157" s="37"/>
      <c r="LUY157" s="37"/>
      <c r="LUZ157" s="37"/>
      <c r="LVA157" s="37"/>
      <c r="LVB157" s="37"/>
      <c r="LVC157" s="37"/>
      <c r="LVD157" s="37"/>
      <c r="LVE157" s="37"/>
      <c r="LVF157" s="37"/>
      <c r="LVG157" s="37"/>
      <c r="LVH157" s="37"/>
      <c r="LVI157" s="37"/>
      <c r="LVJ157" s="37"/>
      <c r="LVK157" s="37"/>
      <c r="LVL157" s="37"/>
      <c r="LVM157" s="37"/>
      <c r="LVN157" s="37"/>
      <c r="LVO157" s="37"/>
      <c r="LVP157" s="37"/>
      <c r="LVQ157" s="37"/>
      <c r="LVR157" s="37"/>
      <c r="LVS157" s="37"/>
      <c r="LVT157" s="37"/>
      <c r="LVU157" s="37"/>
      <c r="LVV157" s="37"/>
      <c r="LVW157" s="37"/>
      <c r="LVX157" s="37"/>
      <c r="LVY157" s="37"/>
      <c r="LVZ157" s="37"/>
      <c r="LWA157" s="37"/>
      <c r="LWB157" s="37"/>
      <c r="LWC157" s="37"/>
      <c r="LWD157" s="37"/>
      <c r="LWE157" s="37"/>
      <c r="LWF157" s="37"/>
      <c r="LWG157" s="37"/>
      <c r="LWH157" s="37"/>
      <c r="LWI157" s="37"/>
      <c r="LWJ157" s="37"/>
      <c r="LWK157" s="37"/>
      <c r="LWL157" s="37"/>
      <c r="LWM157" s="37"/>
      <c r="LWN157" s="37"/>
      <c r="LWO157" s="37"/>
      <c r="LWP157" s="37"/>
      <c r="LWQ157" s="37"/>
      <c r="LWR157" s="37"/>
      <c r="LWS157" s="37"/>
      <c r="LWT157" s="37"/>
      <c r="LWU157" s="37"/>
      <c r="LWV157" s="37"/>
      <c r="LWW157" s="37"/>
      <c r="LWX157" s="37"/>
      <c r="LWY157" s="37"/>
      <c r="LWZ157" s="37"/>
      <c r="LXA157" s="37"/>
      <c r="LXB157" s="37"/>
      <c r="LXC157" s="37"/>
      <c r="LXD157" s="37"/>
      <c r="LXE157" s="37"/>
      <c r="LXF157" s="37"/>
      <c r="LXG157" s="37"/>
      <c r="LXH157" s="37"/>
      <c r="LXI157" s="37"/>
      <c r="LXJ157" s="37"/>
      <c r="LXK157" s="37"/>
      <c r="LXL157" s="37"/>
      <c r="LXM157" s="37"/>
      <c r="LXN157" s="37"/>
      <c r="LXO157" s="37"/>
      <c r="LXP157" s="37"/>
      <c r="LXQ157" s="37"/>
      <c r="LXR157" s="37"/>
      <c r="LXS157" s="37"/>
      <c r="LXT157" s="37"/>
      <c r="LXU157" s="37"/>
      <c r="LXV157" s="37"/>
      <c r="LXW157" s="37"/>
      <c r="LXX157" s="37"/>
      <c r="LXY157" s="37"/>
      <c r="LXZ157" s="37"/>
      <c r="LYA157" s="37"/>
      <c r="LYB157" s="37"/>
      <c r="LYC157" s="37"/>
      <c r="LYD157" s="37"/>
      <c r="LYE157" s="37"/>
      <c r="LYF157" s="37"/>
      <c r="LYG157" s="37"/>
      <c r="LYH157" s="37"/>
      <c r="LYI157" s="37"/>
      <c r="LYJ157" s="37"/>
      <c r="LYK157" s="37"/>
      <c r="LYL157" s="37"/>
      <c r="LYM157" s="37"/>
      <c r="LYN157" s="37"/>
      <c r="LYO157" s="37"/>
      <c r="LYP157" s="37"/>
      <c r="LYQ157" s="37"/>
      <c r="LYR157" s="37"/>
      <c r="LYS157" s="37"/>
      <c r="LYT157" s="37"/>
      <c r="LYU157" s="37"/>
      <c r="LYV157" s="37"/>
      <c r="LYW157" s="37"/>
      <c r="LYX157" s="37"/>
      <c r="LYY157" s="37"/>
      <c r="LYZ157" s="37"/>
      <c r="LZA157" s="37"/>
      <c r="LZB157" s="37"/>
      <c r="LZC157" s="37"/>
      <c r="LZD157" s="37"/>
      <c r="LZE157" s="37"/>
      <c r="LZF157" s="37"/>
      <c r="LZG157" s="37"/>
      <c r="LZH157" s="37"/>
      <c r="LZI157" s="37"/>
      <c r="LZJ157" s="37"/>
      <c r="LZK157" s="37"/>
      <c r="LZL157" s="37"/>
      <c r="LZM157" s="37"/>
      <c r="LZN157" s="37"/>
      <c r="LZO157" s="37"/>
      <c r="LZP157" s="37"/>
      <c r="LZQ157" s="37"/>
      <c r="LZR157" s="37"/>
      <c r="LZS157" s="37"/>
      <c r="LZT157" s="37"/>
      <c r="LZU157" s="37"/>
      <c r="LZV157" s="37"/>
      <c r="LZW157" s="37"/>
      <c r="LZX157" s="37"/>
      <c r="LZY157" s="37"/>
      <c r="LZZ157" s="37"/>
      <c r="MAA157" s="37"/>
      <c r="MAB157" s="37"/>
      <c r="MAC157" s="37"/>
      <c r="MAD157" s="37"/>
      <c r="MAE157" s="37"/>
      <c r="MAF157" s="37"/>
      <c r="MAG157" s="37"/>
      <c r="MAH157" s="37"/>
      <c r="MAI157" s="37"/>
      <c r="MAJ157" s="37"/>
      <c r="MAK157" s="37"/>
      <c r="MAL157" s="37"/>
      <c r="MAM157" s="37"/>
      <c r="MAN157" s="37"/>
      <c r="MAO157" s="37"/>
      <c r="MAP157" s="37"/>
      <c r="MAQ157" s="37"/>
      <c r="MAR157" s="37"/>
      <c r="MAS157" s="37"/>
      <c r="MAT157" s="37"/>
      <c r="MAU157" s="37"/>
      <c r="MAV157" s="37"/>
      <c r="MAW157" s="37"/>
      <c r="MAX157" s="37"/>
      <c r="MAY157" s="37"/>
      <c r="MAZ157" s="37"/>
      <c r="MBA157" s="37"/>
      <c r="MBB157" s="37"/>
      <c r="MBC157" s="37"/>
      <c r="MBD157" s="37"/>
      <c r="MBE157" s="37"/>
      <c r="MBF157" s="37"/>
      <c r="MBG157" s="37"/>
      <c r="MBH157" s="37"/>
      <c r="MBI157" s="37"/>
      <c r="MBJ157" s="37"/>
      <c r="MBK157" s="37"/>
      <c r="MBL157" s="37"/>
      <c r="MBM157" s="37"/>
      <c r="MBN157" s="37"/>
      <c r="MBO157" s="37"/>
      <c r="MBP157" s="37"/>
      <c r="MBQ157" s="37"/>
      <c r="MBR157" s="37"/>
      <c r="MBS157" s="37"/>
      <c r="MBT157" s="37"/>
      <c r="MBU157" s="37"/>
      <c r="MBV157" s="37"/>
      <c r="MBW157" s="37"/>
      <c r="MBX157" s="37"/>
      <c r="MBY157" s="37"/>
      <c r="MBZ157" s="37"/>
      <c r="MCA157" s="37"/>
      <c r="MCB157" s="37"/>
      <c r="MCC157" s="37"/>
      <c r="MCD157" s="37"/>
      <c r="MCE157" s="37"/>
      <c r="MCF157" s="37"/>
      <c r="MCG157" s="37"/>
      <c r="MCH157" s="37"/>
      <c r="MCI157" s="37"/>
      <c r="MCJ157" s="37"/>
      <c r="MCK157" s="37"/>
      <c r="MCL157" s="37"/>
      <c r="MCM157" s="37"/>
      <c r="MCN157" s="37"/>
      <c r="MCO157" s="37"/>
      <c r="MCP157" s="37"/>
      <c r="MCQ157" s="37"/>
      <c r="MCR157" s="37"/>
      <c r="MCS157" s="37"/>
      <c r="MCT157" s="37"/>
      <c r="MCU157" s="37"/>
      <c r="MCV157" s="37"/>
      <c r="MCW157" s="37"/>
      <c r="MCX157" s="37"/>
      <c r="MCY157" s="37"/>
      <c r="MCZ157" s="37"/>
      <c r="MDA157" s="37"/>
      <c r="MDB157" s="37"/>
      <c r="MDC157" s="37"/>
      <c r="MDD157" s="37"/>
      <c r="MDE157" s="37"/>
      <c r="MDF157" s="37"/>
      <c r="MDG157" s="37"/>
      <c r="MDH157" s="37"/>
      <c r="MDI157" s="37"/>
      <c r="MDJ157" s="37"/>
      <c r="MDK157" s="37"/>
      <c r="MDL157" s="37"/>
      <c r="MDM157" s="37"/>
      <c r="MDN157" s="37"/>
      <c r="MDO157" s="37"/>
      <c r="MDP157" s="37"/>
      <c r="MDQ157" s="37"/>
      <c r="MDR157" s="37"/>
      <c r="MDS157" s="37"/>
      <c r="MDT157" s="37"/>
      <c r="MDU157" s="37"/>
      <c r="MDV157" s="37"/>
      <c r="MDW157" s="37"/>
      <c r="MDX157" s="37"/>
      <c r="MDY157" s="37"/>
      <c r="MDZ157" s="37"/>
      <c r="MEA157" s="37"/>
      <c r="MEB157" s="37"/>
      <c r="MEC157" s="37"/>
      <c r="MED157" s="37"/>
      <c r="MEE157" s="37"/>
      <c r="MEF157" s="37"/>
      <c r="MEG157" s="37"/>
      <c r="MEH157" s="37"/>
      <c r="MEI157" s="37"/>
      <c r="MEJ157" s="37"/>
      <c r="MEK157" s="37"/>
      <c r="MEL157" s="37"/>
      <c r="MEM157" s="37"/>
      <c r="MEN157" s="37"/>
      <c r="MEO157" s="37"/>
      <c r="MEP157" s="37"/>
      <c r="MEQ157" s="37"/>
      <c r="MER157" s="37"/>
      <c r="MES157" s="37"/>
      <c r="MET157" s="37"/>
      <c r="MEU157" s="37"/>
      <c r="MEV157" s="37"/>
      <c r="MEW157" s="37"/>
      <c r="MEX157" s="37"/>
      <c r="MEY157" s="37"/>
      <c r="MEZ157" s="37"/>
      <c r="MFA157" s="37"/>
      <c r="MFB157" s="37"/>
      <c r="MFC157" s="37"/>
      <c r="MFD157" s="37"/>
      <c r="MFE157" s="37"/>
      <c r="MFF157" s="37"/>
      <c r="MFG157" s="37"/>
      <c r="MFH157" s="37"/>
      <c r="MFI157" s="37"/>
      <c r="MFJ157" s="37"/>
      <c r="MFK157" s="37"/>
      <c r="MFL157" s="37"/>
      <c r="MFM157" s="37"/>
      <c r="MFN157" s="37"/>
      <c r="MFO157" s="37"/>
      <c r="MFP157" s="37"/>
      <c r="MFQ157" s="37"/>
      <c r="MFR157" s="37"/>
      <c r="MFS157" s="37"/>
      <c r="MFT157" s="37"/>
      <c r="MFU157" s="37"/>
      <c r="MFV157" s="37"/>
      <c r="MFW157" s="37"/>
      <c r="MFX157" s="37"/>
      <c r="MFY157" s="37"/>
      <c r="MFZ157" s="37"/>
      <c r="MGA157" s="37"/>
      <c r="MGB157" s="37"/>
      <c r="MGC157" s="37"/>
      <c r="MGD157" s="37"/>
      <c r="MGE157" s="37"/>
      <c r="MGF157" s="37"/>
      <c r="MGG157" s="37"/>
      <c r="MGH157" s="37"/>
      <c r="MGI157" s="37"/>
      <c r="MGJ157" s="37"/>
      <c r="MGK157" s="37"/>
      <c r="MGL157" s="37"/>
      <c r="MGM157" s="37"/>
      <c r="MGN157" s="37"/>
      <c r="MGO157" s="37"/>
      <c r="MGP157" s="37"/>
      <c r="MGQ157" s="37"/>
      <c r="MGR157" s="37"/>
      <c r="MGS157" s="37"/>
      <c r="MGT157" s="37"/>
      <c r="MGU157" s="37"/>
      <c r="MGV157" s="37"/>
      <c r="MGW157" s="37"/>
      <c r="MGX157" s="37"/>
      <c r="MGY157" s="37"/>
      <c r="MGZ157" s="37"/>
      <c r="MHA157" s="37"/>
      <c r="MHB157" s="37"/>
      <c r="MHC157" s="37"/>
      <c r="MHD157" s="37"/>
      <c r="MHE157" s="37"/>
      <c r="MHF157" s="37"/>
      <c r="MHG157" s="37"/>
      <c r="MHH157" s="37"/>
      <c r="MHI157" s="37"/>
      <c r="MHJ157" s="37"/>
      <c r="MHK157" s="37"/>
      <c r="MHL157" s="37"/>
      <c r="MHM157" s="37"/>
      <c r="MHN157" s="37"/>
      <c r="MHO157" s="37"/>
      <c r="MHP157" s="37"/>
      <c r="MHQ157" s="37"/>
      <c r="MHR157" s="37"/>
      <c r="MHS157" s="37"/>
      <c r="MHT157" s="37"/>
      <c r="MHU157" s="37"/>
      <c r="MHV157" s="37"/>
      <c r="MHW157" s="37"/>
      <c r="MHX157" s="37"/>
      <c r="MHY157" s="37"/>
      <c r="MHZ157" s="37"/>
      <c r="MIA157" s="37"/>
      <c r="MIB157" s="37"/>
      <c r="MIC157" s="37"/>
      <c r="MID157" s="37"/>
      <c r="MIE157" s="37"/>
      <c r="MIF157" s="37"/>
      <c r="MIG157" s="37"/>
      <c r="MIH157" s="37"/>
      <c r="MII157" s="37"/>
      <c r="MIJ157" s="37"/>
      <c r="MIK157" s="37"/>
      <c r="MIL157" s="37"/>
      <c r="MIM157" s="37"/>
      <c r="MIN157" s="37"/>
      <c r="MIO157" s="37"/>
      <c r="MIP157" s="37"/>
      <c r="MIQ157" s="37"/>
      <c r="MIR157" s="37"/>
      <c r="MIS157" s="37"/>
      <c r="MIT157" s="37"/>
      <c r="MIU157" s="37"/>
      <c r="MIV157" s="37"/>
      <c r="MIW157" s="37"/>
      <c r="MIX157" s="37"/>
      <c r="MIY157" s="37"/>
      <c r="MIZ157" s="37"/>
      <c r="MJA157" s="37"/>
      <c r="MJB157" s="37"/>
      <c r="MJC157" s="37"/>
      <c r="MJD157" s="37"/>
      <c r="MJE157" s="37"/>
      <c r="MJF157" s="37"/>
      <c r="MJG157" s="37"/>
      <c r="MJH157" s="37"/>
      <c r="MJI157" s="37"/>
      <c r="MJJ157" s="37"/>
      <c r="MJK157" s="37"/>
      <c r="MJL157" s="37"/>
      <c r="MJM157" s="37"/>
      <c r="MJN157" s="37"/>
      <c r="MJO157" s="37"/>
      <c r="MJP157" s="37"/>
      <c r="MJQ157" s="37"/>
      <c r="MJR157" s="37"/>
      <c r="MJS157" s="37"/>
      <c r="MJT157" s="37"/>
      <c r="MJU157" s="37"/>
      <c r="MJV157" s="37"/>
      <c r="MJW157" s="37"/>
      <c r="MJX157" s="37"/>
      <c r="MJY157" s="37"/>
      <c r="MJZ157" s="37"/>
      <c r="MKA157" s="37"/>
      <c r="MKB157" s="37"/>
      <c r="MKC157" s="37"/>
      <c r="MKD157" s="37"/>
      <c r="MKE157" s="37"/>
      <c r="MKF157" s="37"/>
      <c r="MKG157" s="37"/>
      <c r="MKH157" s="37"/>
      <c r="MKI157" s="37"/>
      <c r="MKJ157" s="37"/>
      <c r="MKK157" s="37"/>
      <c r="MKL157" s="37"/>
      <c r="MKM157" s="37"/>
      <c r="MKN157" s="37"/>
      <c r="MKO157" s="37"/>
      <c r="MKP157" s="37"/>
      <c r="MKQ157" s="37"/>
      <c r="MKR157" s="37"/>
      <c r="MKS157" s="37"/>
      <c r="MKT157" s="37"/>
      <c r="MKU157" s="37"/>
      <c r="MKV157" s="37"/>
      <c r="MKW157" s="37"/>
      <c r="MKX157" s="37"/>
      <c r="MKY157" s="37"/>
      <c r="MKZ157" s="37"/>
      <c r="MLA157" s="37"/>
      <c r="MLB157" s="37"/>
      <c r="MLC157" s="37"/>
      <c r="MLD157" s="37"/>
      <c r="MLE157" s="37"/>
      <c r="MLF157" s="37"/>
      <c r="MLG157" s="37"/>
      <c r="MLH157" s="37"/>
      <c r="MLI157" s="37"/>
      <c r="MLJ157" s="37"/>
      <c r="MLK157" s="37"/>
      <c r="MLL157" s="37"/>
      <c r="MLM157" s="37"/>
      <c r="MLN157" s="37"/>
      <c r="MLO157" s="37"/>
      <c r="MLP157" s="37"/>
      <c r="MLQ157" s="37"/>
      <c r="MLR157" s="37"/>
      <c r="MLS157" s="37"/>
      <c r="MLT157" s="37"/>
      <c r="MLU157" s="37"/>
      <c r="MLV157" s="37"/>
      <c r="MLW157" s="37"/>
      <c r="MLX157" s="37"/>
      <c r="MLY157" s="37"/>
      <c r="MLZ157" s="37"/>
      <c r="MMA157" s="37"/>
      <c r="MMB157" s="37"/>
      <c r="MMC157" s="37"/>
      <c r="MMD157" s="37"/>
      <c r="MME157" s="37"/>
      <c r="MMF157" s="37"/>
      <c r="MMG157" s="37"/>
      <c r="MMH157" s="37"/>
      <c r="MMI157" s="37"/>
      <c r="MMJ157" s="37"/>
      <c r="MMK157" s="37"/>
      <c r="MML157" s="37"/>
      <c r="MMM157" s="37"/>
      <c r="MMN157" s="37"/>
      <c r="MMO157" s="37"/>
      <c r="MMP157" s="37"/>
      <c r="MMQ157" s="37"/>
      <c r="MMR157" s="37"/>
      <c r="MMS157" s="37"/>
      <c r="MMT157" s="37"/>
      <c r="MMU157" s="37"/>
      <c r="MMV157" s="37"/>
      <c r="MMW157" s="37"/>
      <c r="MMX157" s="37"/>
      <c r="MMY157" s="37"/>
      <c r="MMZ157" s="37"/>
      <c r="MNA157" s="37"/>
      <c r="MNB157" s="37"/>
      <c r="MNC157" s="37"/>
      <c r="MND157" s="37"/>
      <c r="MNE157" s="37"/>
      <c r="MNF157" s="37"/>
      <c r="MNG157" s="37"/>
      <c r="MNH157" s="37"/>
      <c r="MNI157" s="37"/>
      <c r="MNJ157" s="37"/>
      <c r="MNK157" s="37"/>
      <c r="MNL157" s="37"/>
      <c r="MNM157" s="37"/>
      <c r="MNN157" s="37"/>
      <c r="MNO157" s="37"/>
      <c r="MNP157" s="37"/>
      <c r="MNQ157" s="37"/>
      <c r="MNR157" s="37"/>
      <c r="MNS157" s="37"/>
      <c r="MNT157" s="37"/>
      <c r="MNU157" s="37"/>
      <c r="MNV157" s="37"/>
      <c r="MNW157" s="37"/>
      <c r="MNX157" s="37"/>
      <c r="MNY157" s="37"/>
      <c r="MNZ157" s="37"/>
      <c r="MOA157" s="37"/>
      <c r="MOB157" s="37"/>
      <c r="MOC157" s="37"/>
      <c r="MOD157" s="37"/>
      <c r="MOE157" s="37"/>
      <c r="MOF157" s="37"/>
      <c r="MOG157" s="37"/>
      <c r="MOH157" s="37"/>
      <c r="MOI157" s="37"/>
      <c r="MOJ157" s="37"/>
      <c r="MOK157" s="37"/>
      <c r="MOL157" s="37"/>
      <c r="MOM157" s="37"/>
      <c r="MON157" s="37"/>
      <c r="MOO157" s="37"/>
      <c r="MOP157" s="37"/>
      <c r="MOQ157" s="37"/>
      <c r="MOR157" s="37"/>
      <c r="MOS157" s="37"/>
      <c r="MOT157" s="37"/>
      <c r="MOU157" s="37"/>
      <c r="MOV157" s="37"/>
      <c r="MOW157" s="37"/>
      <c r="MOX157" s="37"/>
      <c r="MOY157" s="37"/>
      <c r="MOZ157" s="37"/>
      <c r="MPA157" s="37"/>
      <c r="MPB157" s="37"/>
      <c r="MPC157" s="37"/>
      <c r="MPD157" s="37"/>
      <c r="MPE157" s="37"/>
      <c r="MPF157" s="37"/>
      <c r="MPG157" s="37"/>
      <c r="MPH157" s="37"/>
      <c r="MPI157" s="37"/>
      <c r="MPJ157" s="37"/>
      <c r="MPK157" s="37"/>
      <c r="MPL157" s="37"/>
      <c r="MPM157" s="37"/>
      <c r="MPN157" s="37"/>
      <c r="MPO157" s="37"/>
      <c r="MPP157" s="37"/>
      <c r="MPQ157" s="37"/>
      <c r="MPR157" s="37"/>
      <c r="MPS157" s="37"/>
      <c r="MPT157" s="37"/>
      <c r="MPU157" s="37"/>
      <c r="MPV157" s="37"/>
      <c r="MPW157" s="37"/>
      <c r="MPX157" s="37"/>
      <c r="MPY157" s="37"/>
      <c r="MPZ157" s="37"/>
      <c r="MQA157" s="37"/>
      <c r="MQB157" s="37"/>
      <c r="MQC157" s="37"/>
      <c r="MQD157" s="37"/>
      <c r="MQE157" s="37"/>
      <c r="MQF157" s="37"/>
      <c r="MQG157" s="37"/>
      <c r="MQH157" s="37"/>
      <c r="MQI157" s="37"/>
      <c r="MQJ157" s="37"/>
      <c r="MQK157" s="37"/>
      <c r="MQL157" s="37"/>
      <c r="MQM157" s="37"/>
      <c r="MQN157" s="37"/>
      <c r="MQO157" s="37"/>
      <c r="MQP157" s="37"/>
      <c r="MQQ157" s="37"/>
      <c r="MQR157" s="37"/>
      <c r="MQS157" s="37"/>
      <c r="MQT157" s="37"/>
      <c r="MQU157" s="37"/>
      <c r="MQV157" s="37"/>
      <c r="MQW157" s="37"/>
      <c r="MQX157" s="37"/>
      <c r="MQY157" s="37"/>
      <c r="MQZ157" s="37"/>
      <c r="MRA157" s="37"/>
      <c r="MRB157" s="37"/>
      <c r="MRC157" s="37"/>
      <c r="MRD157" s="37"/>
      <c r="MRE157" s="37"/>
      <c r="MRF157" s="37"/>
      <c r="MRG157" s="37"/>
      <c r="MRH157" s="37"/>
      <c r="MRI157" s="37"/>
      <c r="MRJ157" s="37"/>
      <c r="MRK157" s="37"/>
      <c r="MRL157" s="37"/>
      <c r="MRM157" s="37"/>
      <c r="MRN157" s="37"/>
      <c r="MRO157" s="37"/>
      <c r="MRP157" s="37"/>
      <c r="MRQ157" s="37"/>
      <c r="MRR157" s="37"/>
      <c r="MRS157" s="37"/>
      <c r="MRT157" s="37"/>
      <c r="MRU157" s="37"/>
      <c r="MRV157" s="37"/>
      <c r="MRW157" s="37"/>
      <c r="MRX157" s="37"/>
      <c r="MRY157" s="37"/>
      <c r="MRZ157" s="37"/>
      <c r="MSA157" s="37"/>
      <c r="MSB157" s="37"/>
      <c r="MSC157" s="37"/>
      <c r="MSD157" s="37"/>
      <c r="MSE157" s="37"/>
      <c r="MSF157" s="37"/>
      <c r="MSG157" s="37"/>
      <c r="MSH157" s="37"/>
      <c r="MSI157" s="37"/>
      <c r="MSJ157" s="37"/>
      <c r="MSK157" s="37"/>
      <c r="MSL157" s="37"/>
      <c r="MSM157" s="37"/>
      <c r="MSN157" s="37"/>
      <c r="MSO157" s="37"/>
      <c r="MSP157" s="37"/>
      <c r="MSQ157" s="37"/>
      <c r="MSR157" s="37"/>
      <c r="MSS157" s="37"/>
      <c r="MST157" s="37"/>
      <c r="MSU157" s="37"/>
      <c r="MSV157" s="37"/>
      <c r="MSW157" s="37"/>
      <c r="MSX157" s="37"/>
      <c r="MSY157" s="37"/>
      <c r="MSZ157" s="37"/>
      <c r="MTA157" s="37"/>
      <c r="MTB157" s="37"/>
      <c r="MTC157" s="37"/>
      <c r="MTD157" s="37"/>
      <c r="MTE157" s="37"/>
      <c r="MTF157" s="37"/>
      <c r="MTG157" s="37"/>
      <c r="MTH157" s="37"/>
      <c r="MTI157" s="37"/>
      <c r="MTJ157" s="37"/>
      <c r="MTK157" s="37"/>
      <c r="MTL157" s="37"/>
      <c r="MTM157" s="37"/>
      <c r="MTN157" s="37"/>
      <c r="MTO157" s="37"/>
      <c r="MTP157" s="37"/>
      <c r="MTQ157" s="37"/>
      <c r="MTR157" s="37"/>
      <c r="MTS157" s="37"/>
      <c r="MTT157" s="37"/>
      <c r="MTU157" s="37"/>
      <c r="MTV157" s="37"/>
      <c r="MTW157" s="37"/>
      <c r="MTX157" s="37"/>
      <c r="MTY157" s="37"/>
      <c r="MTZ157" s="37"/>
      <c r="MUA157" s="37"/>
      <c r="MUB157" s="37"/>
      <c r="MUC157" s="37"/>
      <c r="MUD157" s="37"/>
      <c r="MUE157" s="37"/>
      <c r="MUF157" s="37"/>
      <c r="MUG157" s="37"/>
      <c r="MUH157" s="37"/>
      <c r="MUI157" s="37"/>
      <c r="MUJ157" s="37"/>
      <c r="MUK157" s="37"/>
      <c r="MUL157" s="37"/>
      <c r="MUM157" s="37"/>
      <c r="MUN157" s="37"/>
      <c r="MUO157" s="37"/>
      <c r="MUP157" s="37"/>
      <c r="MUQ157" s="37"/>
      <c r="MUR157" s="37"/>
      <c r="MUS157" s="37"/>
      <c r="MUT157" s="37"/>
      <c r="MUU157" s="37"/>
      <c r="MUV157" s="37"/>
      <c r="MUW157" s="37"/>
      <c r="MUX157" s="37"/>
      <c r="MUY157" s="37"/>
      <c r="MUZ157" s="37"/>
      <c r="MVA157" s="37"/>
      <c r="MVB157" s="37"/>
      <c r="MVC157" s="37"/>
      <c r="MVD157" s="37"/>
      <c r="MVE157" s="37"/>
      <c r="MVF157" s="37"/>
      <c r="MVG157" s="37"/>
      <c r="MVH157" s="37"/>
      <c r="MVI157" s="37"/>
      <c r="MVJ157" s="37"/>
      <c r="MVK157" s="37"/>
      <c r="MVL157" s="37"/>
      <c r="MVM157" s="37"/>
      <c r="MVN157" s="37"/>
      <c r="MVO157" s="37"/>
      <c r="MVP157" s="37"/>
      <c r="MVQ157" s="37"/>
      <c r="MVR157" s="37"/>
      <c r="MVS157" s="37"/>
      <c r="MVT157" s="37"/>
      <c r="MVU157" s="37"/>
      <c r="MVV157" s="37"/>
      <c r="MVW157" s="37"/>
      <c r="MVX157" s="37"/>
      <c r="MVY157" s="37"/>
      <c r="MVZ157" s="37"/>
      <c r="MWA157" s="37"/>
      <c r="MWB157" s="37"/>
      <c r="MWC157" s="37"/>
      <c r="MWD157" s="37"/>
      <c r="MWE157" s="37"/>
      <c r="MWF157" s="37"/>
      <c r="MWG157" s="37"/>
      <c r="MWH157" s="37"/>
      <c r="MWI157" s="37"/>
      <c r="MWJ157" s="37"/>
      <c r="MWK157" s="37"/>
      <c r="MWL157" s="37"/>
      <c r="MWM157" s="37"/>
      <c r="MWN157" s="37"/>
      <c r="MWO157" s="37"/>
      <c r="MWP157" s="37"/>
      <c r="MWQ157" s="37"/>
      <c r="MWR157" s="37"/>
      <c r="MWS157" s="37"/>
      <c r="MWT157" s="37"/>
      <c r="MWU157" s="37"/>
      <c r="MWV157" s="37"/>
      <c r="MWW157" s="37"/>
      <c r="MWX157" s="37"/>
      <c r="MWY157" s="37"/>
      <c r="MWZ157" s="37"/>
      <c r="MXA157" s="37"/>
      <c r="MXB157" s="37"/>
      <c r="MXC157" s="37"/>
      <c r="MXD157" s="37"/>
      <c r="MXE157" s="37"/>
      <c r="MXF157" s="37"/>
      <c r="MXG157" s="37"/>
      <c r="MXH157" s="37"/>
      <c r="MXI157" s="37"/>
      <c r="MXJ157" s="37"/>
      <c r="MXK157" s="37"/>
      <c r="MXL157" s="37"/>
      <c r="MXM157" s="37"/>
      <c r="MXN157" s="37"/>
      <c r="MXO157" s="37"/>
      <c r="MXP157" s="37"/>
      <c r="MXQ157" s="37"/>
      <c r="MXR157" s="37"/>
      <c r="MXS157" s="37"/>
      <c r="MXT157" s="37"/>
      <c r="MXU157" s="37"/>
      <c r="MXV157" s="37"/>
      <c r="MXW157" s="37"/>
      <c r="MXX157" s="37"/>
      <c r="MXY157" s="37"/>
      <c r="MXZ157" s="37"/>
      <c r="MYA157" s="37"/>
      <c r="MYB157" s="37"/>
      <c r="MYC157" s="37"/>
      <c r="MYD157" s="37"/>
      <c r="MYE157" s="37"/>
      <c r="MYF157" s="37"/>
      <c r="MYG157" s="37"/>
      <c r="MYH157" s="37"/>
      <c r="MYI157" s="37"/>
      <c r="MYJ157" s="37"/>
      <c r="MYK157" s="37"/>
      <c r="MYL157" s="37"/>
      <c r="MYM157" s="37"/>
      <c r="MYN157" s="37"/>
      <c r="MYO157" s="37"/>
      <c r="MYP157" s="37"/>
      <c r="MYQ157" s="37"/>
      <c r="MYR157" s="37"/>
      <c r="MYS157" s="37"/>
      <c r="MYT157" s="37"/>
      <c r="MYU157" s="37"/>
      <c r="MYV157" s="37"/>
      <c r="MYW157" s="37"/>
      <c r="MYX157" s="37"/>
      <c r="MYY157" s="37"/>
      <c r="MYZ157" s="37"/>
      <c r="MZA157" s="37"/>
      <c r="MZB157" s="37"/>
      <c r="MZC157" s="37"/>
      <c r="MZD157" s="37"/>
      <c r="MZE157" s="37"/>
      <c r="MZF157" s="37"/>
      <c r="MZG157" s="37"/>
      <c r="MZH157" s="37"/>
      <c r="MZI157" s="37"/>
      <c r="MZJ157" s="37"/>
      <c r="MZK157" s="37"/>
      <c r="MZL157" s="37"/>
      <c r="MZM157" s="37"/>
      <c r="MZN157" s="37"/>
      <c r="MZO157" s="37"/>
      <c r="MZP157" s="37"/>
      <c r="MZQ157" s="37"/>
      <c r="MZR157" s="37"/>
      <c r="MZS157" s="37"/>
      <c r="MZT157" s="37"/>
      <c r="MZU157" s="37"/>
      <c r="MZV157" s="37"/>
      <c r="MZW157" s="37"/>
      <c r="MZX157" s="37"/>
      <c r="MZY157" s="37"/>
      <c r="MZZ157" s="37"/>
      <c r="NAA157" s="37"/>
      <c r="NAB157" s="37"/>
      <c r="NAC157" s="37"/>
      <c r="NAD157" s="37"/>
      <c r="NAE157" s="37"/>
      <c r="NAF157" s="37"/>
      <c r="NAG157" s="37"/>
      <c r="NAH157" s="37"/>
      <c r="NAI157" s="37"/>
      <c r="NAJ157" s="37"/>
      <c r="NAK157" s="37"/>
      <c r="NAL157" s="37"/>
      <c r="NAM157" s="37"/>
      <c r="NAN157" s="37"/>
      <c r="NAO157" s="37"/>
      <c r="NAP157" s="37"/>
      <c r="NAQ157" s="37"/>
      <c r="NAR157" s="37"/>
      <c r="NAS157" s="37"/>
      <c r="NAT157" s="37"/>
      <c r="NAU157" s="37"/>
      <c r="NAV157" s="37"/>
      <c r="NAW157" s="37"/>
      <c r="NAX157" s="37"/>
      <c r="NAY157" s="37"/>
      <c r="NAZ157" s="37"/>
      <c r="NBA157" s="37"/>
      <c r="NBB157" s="37"/>
      <c r="NBC157" s="37"/>
      <c r="NBD157" s="37"/>
      <c r="NBE157" s="37"/>
      <c r="NBF157" s="37"/>
      <c r="NBG157" s="37"/>
      <c r="NBH157" s="37"/>
      <c r="NBI157" s="37"/>
      <c r="NBJ157" s="37"/>
      <c r="NBK157" s="37"/>
      <c r="NBL157" s="37"/>
      <c r="NBM157" s="37"/>
      <c r="NBN157" s="37"/>
      <c r="NBO157" s="37"/>
      <c r="NBP157" s="37"/>
      <c r="NBQ157" s="37"/>
      <c r="NBR157" s="37"/>
      <c r="NBS157" s="37"/>
      <c r="NBT157" s="37"/>
      <c r="NBU157" s="37"/>
      <c r="NBV157" s="37"/>
      <c r="NBW157" s="37"/>
      <c r="NBX157" s="37"/>
      <c r="NBY157" s="37"/>
      <c r="NBZ157" s="37"/>
      <c r="NCA157" s="37"/>
      <c r="NCB157" s="37"/>
      <c r="NCC157" s="37"/>
      <c r="NCD157" s="37"/>
      <c r="NCE157" s="37"/>
      <c r="NCF157" s="37"/>
      <c r="NCG157" s="37"/>
      <c r="NCH157" s="37"/>
      <c r="NCI157" s="37"/>
      <c r="NCJ157" s="37"/>
      <c r="NCK157" s="37"/>
      <c r="NCL157" s="37"/>
      <c r="NCM157" s="37"/>
      <c r="NCN157" s="37"/>
      <c r="NCO157" s="37"/>
      <c r="NCP157" s="37"/>
      <c r="NCQ157" s="37"/>
      <c r="NCR157" s="37"/>
      <c r="NCS157" s="37"/>
      <c r="NCT157" s="37"/>
      <c r="NCU157" s="37"/>
      <c r="NCV157" s="37"/>
      <c r="NCW157" s="37"/>
      <c r="NCX157" s="37"/>
      <c r="NCY157" s="37"/>
      <c r="NCZ157" s="37"/>
      <c r="NDA157" s="37"/>
      <c r="NDB157" s="37"/>
      <c r="NDC157" s="37"/>
      <c r="NDD157" s="37"/>
      <c r="NDE157" s="37"/>
      <c r="NDF157" s="37"/>
      <c r="NDG157" s="37"/>
      <c r="NDH157" s="37"/>
      <c r="NDI157" s="37"/>
      <c r="NDJ157" s="37"/>
      <c r="NDK157" s="37"/>
      <c r="NDL157" s="37"/>
      <c r="NDM157" s="37"/>
      <c r="NDN157" s="37"/>
      <c r="NDO157" s="37"/>
      <c r="NDP157" s="37"/>
      <c r="NDQ157" s="37"/>
      <c r="NDR157" s="37"/>
      <c r="NDS157" s="37"/>
      <c r="NDT157" s="37"/>
      <c r="NDU157" s="37"/>
      <c r="NDV157" s="37"/>
      <c r="NDW157" s="37"/>
      <c r="NDX157" s="37"/>
      <c r="NDY157" s="37"/>
      <c r="NDZ157" s="37"/>
      <c r="NEA157" s="37"/>
      <c r="NEB157" s="37"/>
      <c r="NEC157" s="37"/>
      <c r="NED157" s="37"/>
      <c r="NEE157" s="37"/>
      <c r="NEF157" s="37"/>
      <c r="NEG157" s="37"/>
      <c r="NEH157" s="37"/>
      <c r="NEI157" s="37"/>
      <c r="NEJ157" s="37"/>
      <c r="NEK157" s="37"/>
      <c r="NEL157" s="37"/>
      <c r="NEM157" s="37"/>
      <c r="NEN157" s="37"/>
      <c r="NEO157" s="37"/>
      <c r="NEP157" s="37"/>
      <c r="NEQ157" s="37"/>
      <c r="NER157" s="37"/>
      <c r="NES157" s="37"/>
      <c r="NET157" s="37"/>
      <c r="NEU157" s="37"/>
      <c r="NEV157" s="37"/>
      <c r="NEW157" s="37"/>
      <c r="NEX157" s="37"/>
      <c r="NEY157" s="37"/>
      <c r="NEZ157" s="37"/>
      <c r="NFA157" s="37"/>
      <c r="NFB157" s="37"/>
      <c r="NFC157" s="37"/>
      <c r="NFD157" s="37"/>
      <c r="NFE157" s="37"/>
      <c r="NFF157" s="37"/>
      <c r="NFG157" s="37"/>
      <c r="NFH157" s="37"/>
      <c r="NFI157" s="37"/>
      <c r="NFJ157" s="37"/>
      <c r="NFK157" s="37"/>
      <c r="NFL157" s="37"/>
      <c r="NFM157" s="37"/>
      <c r="NFN157" s="37"/>
      <c r="NFO157" s="37"/>
      <c r="NFP157" s="37"/>
      <c r="NFQ157" s="37"/>
      <c r="NFR157" s="37"/>
      <c r="NFS157" s="37"/>
      <c r="NFT157" s="37"/>
      <c r="NFU157" s="37"/>
      <c r="NFV157" s="37"/>
      <c r="NFW157" s="37"/>
      <c r="NFX157" s="37"/>
      <c r="NFY157" s="37"/>
      <c r="NFZ157" s="37"/>
      <c r="NGA157" s="37"/>
      <c r="NGB157" s="37"/>
      <c r="NGC157" s="37"/>
      <c r="NGD157" s="37"/>
      <c r="NGE157" s="37"/>
      <c r="NGF157" s="37"/>
      <c r="NGG157" s="37"/>
      <c r="NGH157" s="37"/>
      <c r="NGI157" s="37"/>
      <c r="NGJ157" s="37"/>
      <c r="NGK157" s="37"/>
      <c r="NGL157" s="37"/>
      <c r="NGM157" s="37"/>
      <c r="NGN157" s="37"/>
      <c r="NGO157" s="37"/>
      <c r="NGP157" s="37"/>
      <c r="NGQ157" s="37"/>
      <c r="NGR157" s="37"/>
      <c r="NGS157" s="37"/>
      <c r="NGT157" s="37"/>
      <c r="NGU157" s="37"/>
      <c r="NGV157" s="37"/>
      <c r="NGW157" s="37"/>
      <c r="NGX157" s="37"/>
      <c r="NGY157" s="37"/>
      <c r="NGZ157" s="37"/>
      <c r="NHA157" s="37"/>
      <c r="NHB157" s="37"/>
      <c r="NHC157" s="37"/>
      <c r="NHD157" s="37"/>
      <c r="NHE157" s="37"/>
      <c r="NHF157" s="37"/>
      <c r="NHG157" s="37"/>
      <c r="NHH157" s="37"/>
      <c r="NHI157" s="37"/>
      <c r="NHJ157" s="37"/>
      <c r="NHK157" s="37"/>
      <c r="NHL157" s="37"/>
      <c r="NHM157" s="37"/>
      <c r="NHN157" s="37"/>
      <c r="NHO157" s="37"/>
      <c r="NHP157" s="37"/>
      <c r="NHQ157" s="37"/>
      <c r="NHR157" s="37"/>
      <c r="NHS157" s="37"/>
      <c r="NHT157" s="37"/>
      <c r="NHU157" s="37"/>
      <c r="NHV157" s="37"/>
      <c r="NHW157" s="37"/>
      <c r="NHX157" s="37"/>
      <c r="NHY157" s="37"/>
      <c r="NHZ157" s="37"/>
      <c r="NIA157" s="37"/>
      <c r="NIB157" s="37"/>
      <c r="NIC157" s="37"/>
      <c r="NID157" s="37"/>
      <c r="NIE157" s="37"/>
      <c r="NIF157" s="37"/>
      <c r="NIG157" s="37"/>
      <c r="NIH157" s="37"/>
      <c r="NII157" s="37"/>
      <c r="NIJ157" s="37"/>
      <c r="NIK157" s="37"/>
      <c r="NIL157" s="37"/>
      <c r="NIM157" s="37"/>
      <c r="NIN157" s="37"/>
      <c r="NIO157" s="37"/>
      <c r="NIP157" s="37"/>
      <c r="NIQ157" s="37"/>
      <c r="NIR157" s="37"/>
      <c r="NIS157" s="37"/>
      <c r="NIT157" s="37"/>
      <c r="NIU157" s="37"/>
      <c r="NIV157" s="37"/>
      <c r="NIW157" s="37"/>
      <c r="NIX157" s="37"/>
      <c r="NIY157" s="37"/>
      <c r="NIZ157" s="37"/>
      <c r="NJA157" s="37"/>
      <c r="NJB157" s="37"/>
      <c r="NJC157" s="37"/>
      <c r="NJD157" s="37"/>
      <c r="NJE157" s="37"/>
      <c r="NJF157" s="37"/>
      <c r="NJG157" s="37"/>
      <c r="NJH157" s="37"/>
      <c r="NJI157" s="37"/>
      <c r="NJJ157" s="37"/>
      <c r="NJK157" s="37"/>
      <c r="NJL157" s="37"/>
      <c r="NJM157" s="37"/>
      <c r="NJN157" s="37"/>
      <c r="NJO157" s="37"/>
      <c r="NJP157" s="37"/>
      <c r="NJQ157" s="37"/>
      <c r="NJR157" s="37"/>
      <c r="NJS157" s="37"/>
      <c r="NJT157" s="37"/>
      <c r="NJU157" s="37"/>
      <c r="NJV157" s="37"/>
      <c r="NJW157" s="37"/>
      <c r="NJX157" s="37"/>
      <c r="NJY157" s="37"/>
      <c r="NJZ157" s="37"/>
      <c r="NKA157" s="37"/>
      <c r="NKB157" s="37"/>
      <c r="NKC157" s="37"/>
      <c r="NKD157" s="37"/>
      <c r="NKE157" s="37"/>
      <c r="NKF157" s="37"/>
      <c r="NKG157" s="37"/>
      <c r="NKH157" s="37"/>
      <c r="NKI157" s="37"/>
      <c r="NKJ157" s="37"/>
      <c r="NKK157" s="37"/>
      <c r="NKL157" s="37"/>
      <c r="NKM157" s="37"/>
      <c r="NKN157" s="37"/>
      <c r="NKO157" s="37"/>
      <c r="NKP157" s="37"/>
      <c r="NKQ157" s="37"/>
      <c r="NKR157" s="37"/>
      <c r="NKS157" s="37"/>
      <c r="NKT157" s="37"/>
      <c r="NKU157" s="37"/>
      <c r="NKV157" s="37"/>
      <c r="NKW157" s="37"/>
      <c r="NKX157" s="37"/>
      <c r="NKY157" s="37"/>
      <c r="NKZ157" s="37"/>
      <c r="NLA157" s="37"/>
      <c r="NLB157" s="37"/>
      <c r="NLC157" s="37"/>
      <c r="NLD157" s="37"/>
      <c r="NLE157" s="37"/>
      <c r="NLF157" s="37"/>
      <c r="NLG157" s="37"/>
      <c r="NLH157" s="37"/>
      <c r="NLI157" s="37"/>
      <c r="NLJ157" s="37"/>
      <c r="NLK157" s="37"/>
      <c r="NLL157" s="37"/>
      <c r="NLM157" s="37"/>
      <c r="NLN157" s="37"/>
      <c r="NLO157" s="37"/>
      <c r="NLP157" s="37"/>
      <c r="NLQ157" s="37"/>
      <c r="NLR157" s="37"/>
      <c r="NLS157" s="37"/>
      <c r="NLT157" s="37"/>
      <c r="NLU157" s="37"/>
      <c r="NLV157" s="37"/>
      <c r="NLW157" s="37"/>
      <c r="NLX157" s="37"/>
      <c r="NLY157" s="37"/>
      <c r="NLZ157" s="37"/>
      <c r="NMA157" s="37"/>
      <c r="NMB157" s="37"/>
      <c r="NMC157" s="37"/>
      <c r="NMD157" s="37"/>
      <c r="NME157" s="37"/>
      <c r="NMF157" s="37"/>
      <c r="NMG157" s="37"/>
      <c r="NMH157" s="37"/>
      <c r="NMI157" s="37"/>
      <c r="NMJ157" s="37"/>
      <c r="NMK157" s="37"/>
      <c r="NML157" s="37"/>
      <c r="NMM157" s="37"/>
      <c r="NMN157" s="37"/>
      <c r="NMO157" s="37"/>
      <c r="NMP157" s="37"/>
      <c r="NMQ157" s="37"/>
      <c r="NMR157" s="37"/>
      <c r="NMS157" s="37"/>
      <c r="NMT157" s="37"/>
      <c r="NMU157" s="37"/>
      <c r="NMV157" s="37"/>
      <c r="NMW157" s="37"/>
      <c r="NMX157" s="37"/>
      <c r="NMY157" s="37"/>
      <c r="NMZ157" s="37"/>
      <c r="NNA157" s="37"/>
      <c r="NNB157" s="37"/>
      <c r="NNC157" s="37"/>
      <c r="NND157" s="37"/>
      <c r="NNE157" s="37"/>
      <c r="NNF157" s="37"/>
      <c r="NNG157" s="37"/>
      <c r="NNH157" s="37"/>
      <c r="NNI157" s="37"/>
      <c r="NNJ157" s="37"/>
      <c r="NNK157" s="37"/>
      <c r="NNL157" s="37"/>
      <c r="NNM157" s="37"/>
      <c r="NNN157" s="37"/>
      <c r="NNO157" s="37"/>
      <c r="NNP157" s="37"/>
      <c r="NNQ157" s="37"/>
      <c r="NNR157" s="37"/>
      <c r="NNS157" s="37"/>
      <c r="NNT157" s="37"/>
      <c r="NNU157" s="37"/>
      <c r="NNV157" s="37"/>
      <c r="NNW157" s="37"/>
      <c r="NNX157" s="37"/>
      <c r="NNY157" s="37"/>
      <c r="NNZ157" s="37"/>
      <c r="NOA157" s="37"/>
      <c r="NOB157" s="37"/>
      <c r="NOC157" s="37"/>
      <c r="NOD157" s="37"/>
      <c r="NOE157" s="37"/>
      <c r="NOF157" s="37"/>
      <c r="NOG157" s="37"/>
      <c r="NOH157" s="37"/>
      <c r="NOI157" s="37"/>
      <c r="NOJ157" s="37"/>
      <c r="NOK157" s="37"/>
      <c r="NOL157" s="37"/>
      <c r="NOM157" s="37"/>
      <c r="NON157" s="37"/>
      <c r="NOO157" s="37"/>
      <c r="NOP157" s="37"/>
      <c r="NOQ157" s="37"/>
      <c r="NOR157" s="37"/>
      <c r="NOS157" s="37"/>
      <c r="NOT157" s="37"/>
      <c r="NOU157" s="37"/>
      <c r="NOV157" s="37"/>
      <c r="NOW157" s="37"/>
      <c r="NOX157" s="37"/>
      <c r="NOY157" s="37"/>
      <c r="NOZ157" s="37"/>
      <c r="NPA157" s="37"/>
      <c r="NPB157" s="37"/>
      <c r="NPC157" s="37"/>
      <c r="NPD157" s="37"/>
      <c r="NPE157" s="37"/>
      <c r="NPF157" s="37"/>
      <c r="NPG157" s="37"/>
      <c r="NPH157" s="37"/>
      <c r="NPI157" s="37"/>
      <c r="NPJ157" s="37"/>
      <c r="NPK157" s="37"/>
      <c r="NPL157" s="37"/>
      <c r="NPM157" s="37"/>
      <c r="NPN157" s="37"/>
      <c r="NPO157" s="37"/>
      <c r="NPP157" s="37"/>
      <c r="NPQ157" s="37"/>
      <c r="NPR157" s="37"/>
      <c r="NPS157" s="37"/>
      <c r="NPT157" s="37"/>
      <c r="NPU157" s="37"/>
      <c r="NPV157" s="37"/>
      <c r="NPW157" s="37"/>
      <c r="NPX157" s="37"/>
      <c r="NPY157" s="37"/>
      <c r="NPZ157" s="37"/>
      <c r="NQA157" s="37"/>
      <c r="NQB157" s="37"/>
      <c r="NQC157" s="37"/>
      <c r="NQD157" s="37"/>
      <c r="NQE157" s="37"/>
      <c r="NQF157" s="37"/>
      <c r="NQG157" s="37"/>
      <c r="NQH157" s="37"/>
      <c r="NQI157" s="37"/>
      <c r="NQJ157" s="37"/>
      <c r="NQK157" s="37"/>
      <c r="NQL157" s="37"/>
      <c r="NQM157" s="37"/>
      <c r="NQN157" s="37"/>
      <c r="NQO157" s="37"/>
      <c r="NQP157" s="37"/>
      <c r="NQQ157" s="37"/>
      <c r="NQR157" s="37"/>
      <c r="NQS157" s="37"/>
      <c r="NQT157" s="37"/>
      <c r="NQU157" s="37"/>
      <c r="NQV157" s="37"/>
      <c r="NQW157" s="37"/>
      <c r="NQX157" s="37"/>
      <c r="NQY157" s="37"/>
      <c r="NQZ157" s="37"/>
      <c r="NRA157" s="37"/>
      <c r="NRB157" s="37"/>
      <c r="NRC157" s="37"/>
      <c r="NRD157" s="37"/>
      <c r="NRE157" s="37"/>
      <c r="NRF157" s="37"/>
      <c r="NRG157" s="37"/>
      <c r="NRH157" s="37"/>
      <c r="NRI157" s="37"/>
      <c r="NRJ157" s="37"/>
      <c r="NRK157" s="37"/>
      <c r="NRL157" s="37"/>
      <c r="NRM157" s="37"/>
      <c r="NRN157" s="37"/>
      <c r="NRO157" s="37"/>
      <c r="NRP157" s="37"/>
      <c r="NRQ157" s="37"/>
      <c r="NRR157" s="37"/>
      <c r="NRS157" s="37"/>
      <c r="NRT157" s="37"/>
      <c r="NRU157" s="37"/>
      <c r="NRV157" s="37"/>
      <c r="NRW157" s="37"/>
      <c r="NRX157" s="37"/>
      <c r="NRY157" s="37"/>
      <c r="NRZ157" s="37"/>
      <c r="NSA157" s="37"/>
      <c r="NSB157" s="37"/>
      <c r="NSC157" s="37"/>
      <c r="NSD157" s="37"/>
      <c r="NSE157" s="37"/>
      <c r="NSF157" s="37"/>
      <c r="NSG157" s="37"/>
      <c r="NSH157" s="37"/>
      <c r="NSI157" s="37"/>
      <c r="NSJ157" s="37"/>
      <c r="NSK157" s="37"/>
      <c r="NSL157" s="37"/>
      <c r="NSM157" s="37"/>
      <c r="NSN157" s="37"/>
      <c r="NSO157" s="37"/>
      <c r="NSP157" s="37"/>
      <c r="NSQ157" s="37"/>
      <c r="NSR157" s="37"/>
      <c r="NSS157" s="37"/>
      <c r="NST157" s="37"/>
      <c r="NSU157" s="37"/>
      <c r="NSV157" s="37"/>
      <c r="NSW157" s="37"/>
      <c r="NSX157" s="37"/>
      <c r="NSY157" s="37"/>
      <c r="NSZ157" s="37"/>
      <c r="NTA157" s="37"/>
      <c r="NTB157" s="37"/>
      <c r="NTC157" s="37"/>
      <c r="NTD157" s="37"/>
      <c r="NTE157" s="37"/>
      <c r="NTF157" s="37"/>
      <c r="NTG157" s="37"/>
      <c r="NTH157" s="37"/>
      <c r="NTI157" s="37"/>
      <c r="NTJ157" s="37"/>
      <c r="NTK157" s="37"/>
      <c r="NTL157" s="37"/>
      <c r="NTM157" s="37"/>
      <c r="NTN157" s="37"/>
      <c r="NTO157" s="37"/>
      <c r="NTP157" s="37"/>
      <c r="NTQ157" s="37"/>
      <c r="NTR157" s="37"/>
      <c r="NTS157" s="37"/>
      <c r="NTT157" s="37"/>
      <c r="NTU157" s="37"/>
      <c r="NTV157" s="37"/>
      <c r="NTW157" s="37"/>
      <c r="NTX157" s="37"/>
      <c r="NTY157" s="37"/>
      <c r="NTZ157" s="37"/>
      <c r="NUA157" s="37"/>
      <c r="NUB157" s="37"/>
      <c r="NUC157" s="37"/>
      <c r="NUD157" s="37"/>
      <c r="NUE157" s="37"/>
      <c r="NUF157" s="37"/>
      <c r="NUG157" s="37"/>
      <c r="NUH157" s="37"/>
      <c r="NUI157" s="37"/>
      <c r="NUJ157" s="37"/>
      <c r="NUK157" s="37"/>
      <c r="NUL157" s="37"/>
      <c r="NUM157" s="37"/>
      <c r="NUN157" s="37"/>
      <c r="NUO157" s="37"/>
      <c r="NUP157" s="37"/>
      <c r="NUQ157" s="37"/>
      <c r="NUR157" s="37"/>
      <c r="NUS157" s="37"/>
      <c r="NUT157" s="37"/>
      <c r="NUU157" s="37"/>
      <c r="NUV157" s="37"/>
      <c r="NUW157" s="37"/>
      <c r="NUX157" s="37"/>
      <c r="NUY157" s="37"/>
      <c r="NUZ157" s="37"/>
      <c r="NVA157" s="37"/>
      <c r="NVB157" s="37"/>
      <c r="NVC157" s="37"/>
      <c r="NVD157" s="37"/>
      <c r="NVE157" s="37"/>
      <c r="NVF157" s="37"/>
      <c r="NVG157" s="37"/>
      <c r="NVH157" s="37"/>
      <c r="NVI157" s="37"/>
      <c r="NVJ157" s="37"/>
      <c r="NVK157" s="37"/>
      <c r="NVL157" s="37"/>
      <c r="NVM157" s="37"/>
      <c r="NVN157" s="37"/>
      <c r="NVO157" s="37"/>
      <c r="NVP157" s="37"/>
      <c r="NVQ157" s="37"/>
      <c r="NVR157" s="37"/>
      <c r="NVS157" s="37"/>
      <c r="NVT157" s="37"/>
      <c r="NVU157" s="37"/>
      <c r="NVV157" s="37"/>
      <c r="NVW157" s="37"/>
      <c r="NVX157" s="37"/>
      <c r="NVY157" s="37"/>
      <c r="NVZ157" s="37"/>
      <c r="NWA157" s="37"/>
      <c r="NWB157" s="37"/>
      <c r="NWC157" s="37"/>
      <c r="NWD157" s="37"/>
      <c r="NWE157" s="37"/>
      <c r="NWF157" s="37"/>
      <c r="NWG157" s="37"/>
      <c r="NWH157" s="37"/>
      <c r="NWI157" s="37"/>
      <c r="NWJ157" s="37"/>
      <c r="NWK157" s="37"/>
      <c r="NWL157" s="37"/>
      <c r="NWM157" s="37"/>
      <c r="NWN157" s="37"/>
      <c r="NWO157" s="37"/>
      <c r="NWP157" s="37"/>
      <c r="NWQ157" s="37"/>
      <c r="NWR157" s="37"/>
      <c r="NWS157" s="37"/>
      <c r="NWT157" s="37"/>
      <c r="NWU157" s="37"/>
      <c r="NWV157" s="37"/>
      <c r="NWW157" s="37"/>
      <c r="NWX157" s="37"/>
      <c r="NWY157" s="37"/>
      <c r="NWZ157" s="37"/>
      <c r="NXA157" s="37"/>
      <c r="NXB157" s="37"/>
      <c r="NXC157" s="37"/>
      <c r="NXD157" s="37"/>
      <c r="NXE157" s="37"/>
      <c r="NXF157" s="37"/>
      <c r="NXG157" s="37"/>
      <c r="NXH157" s="37"/>
      <c r="NXI157" s="37"/>
      <c r="NXJ157" s="37"/>
      <c r="NXK157" s="37"/>
      <c r="NXL157" s="37"/>
      <c r="NXM157" s="37"/>
      <c r="NXN157" s="37"/>
      <c r="NXO157" s="37"/>
      <c r="NXP157" s="37"/>
      <c r="NXQ157" s="37"/>
      <c r="NXR157" s="37"/>
      <c r="NXS157" s="37"/>
      <c r="NXT157" s="37"/>
      <c r="NXU157" s="37"/>
      <c r="NXV157" s="37"/>
      <c r="NXW157" s="37"/>
      <c r="NXX157" s="37"/>
      <c r="NXY157" s="37"/>
      <c r="NXZ157" s="37"/>
      <c r="NYA157" s="37"/>
      <c r="NYB157" s="37"/>
      <c r="NYC157" s="37"/>
      <c r="NYD157" s="37"/>
      <c r="NYE157" s="37"/>
      <c r="NYF157" s="37"/>
      <c r="NYG157" s="37"/>
      <c r="NYH157" s="37"/>
      <c r="NYI157" s="37"/>
      <c r="NYJ157" s="37"/>
      <c r="NYK157" s="37"/>
      <c r="NYL157" s="37"/>
      <c r="NYM157" s="37"/>
      <c r="NYN157" s="37"/>
      <c r="NYO157" s="37"/>
      <c r="NYP157" s="37"/>
      <c r="NYQ157" s="37"/>
      <c r="NYR157" s="37"/>
      <c r="NYS157" s="37"/>
      <c r="NYT157" s="37"/>
      <c r="NYU157" s="37"/>
      <c r="NYV157" s="37"/>
      <c r="NYW157" s="37"/>
      <c r="NYX157" s="37"/>
      <c r="NYY157" s="37"/>
      <c r="NYZ157" s="37"/>
      <c r="NZA157" s="37"/>
      <c r="NZB157" s="37"/>
      <c r="NZC157" s="37"/>
      <c r="NZD157" s="37"/>
      <c r="NZE157" s="37"/>
      <c r="NZF157" s="37"/>
      <c r="NZG157" s="37"/>
      <c r="NZH157" s="37"/>
      <c r="NZI157" s="37"/>
      <c r="NZJ157" s="37"/>
      <c r="NZK157" s="37"/>
      <c r="NZL157" s="37"/>
      <c r="NZM157" s="37"/>
      <c r="NZN157" s="37"/>
      <c r="NZO157" s="37"/>
      <c r="NZP157" s="37"/>
      <c r="NZQ157" s="37"/>
      <c r="NZR157" s="37"/>
      <c r="NZS157" s="37"/>
      <c r="NZT157" s="37"/>
      <c r="NZU157" s="37"/>
      <c r="NZV157" s="37"/>
      <c r="NZW157" s="37"/>
      <c r="NZX157" s="37"/>
      <c r="NZY157" s="37"/>
      <c r="NZZ157" s="37"/>
      <c r="OAA157" s="37"/>
      <c r="OAB157" s="37"/>
      <c r="OAC157" s="37"/>
      <c r="OAD157" s="37"/>
      <c r="OAE157" s="37"/>
      <c r="OAF157" s="37"/>
      <c r="OAG157" s="37"/>
      <c r="OAH157" s="37"/>
      <c r="OAI157" s="37"/>
      <c r="OAJ157" s="37"/>
      <c r="OAK157" s="37"/>
      <c r="OAL157" s="37"/>
      <c r="OAM157" s="37"/>
      <c r="OAN157" s="37"/>
      <c r="OAO157" s="37"/>
      <c r="OAP157" s="37"/>
      <c r="OAQ157" s="37"/>
      <c r="OAR157" s="37"/>
      <c r="OAS157" s="37"/>
      <c r="OAT157" s="37"/>
      <c r="OAU157" s="37"/>
      <c r="OAV157" s="37"/>
      <c r="OAW157" s="37"/>
      <c r="OAX157" s="37"/>
      <c r="OAY157" s="37"/>
      <c r="OAZ157" s="37"/>
      <c r="OBA157" s="37"/>
      <c r="OBB157" s="37"/>
      <c r="OBC157" s="37"/>
      <c r="OBD157" s="37"/>
      <c r="OBE157" s="37"/>
      <c r="OBF157" s="37"/>
      <c r="OBG157" s="37"/>
      <c r="OBH157" s="37"/>
      <c r="OBI157" s="37"/>
      <c r="OBJ157" s="37"/>
      <c r="OBK157" s="37"/>
      <c r="OBL157" s="37"/>
      <c r="OBM157" s="37"/>
      <c r="OBN157" s="37"/>
      <c r="OBO157" s="37"/>
      <c r="OBP157" s="37"/>
      <c r="OBQ157" s="37"/>
      <c r="OBR157" s="37"/>
      <c r="OBS157" s="37"/>
      <c r="OBT157" s="37"/>
      <c r="OBU157" s="37"/>
      <c r="OBV157" s="37"/>
      <c r="OBW157" s="37"/>
      <c r="OBX157" s="37"/>
      <c r="OBY157" s="37"/>
      <c r="OBZ157" s="37"/>
      <c r="OCA157" s="37"/>
      <c r="OCB157" s="37"/>
      <c r="OCC157" s="37"/>
      <c r="OCD157" s="37"/>
      <c r="OCE157" s="37"/>
      <c r="OCF157" s="37"/>
      <c r="OCG157" s="37"/>
      <c r="OCH157" s="37"/>
      <c r="OCI157" s="37"/>
      <c r="OCJ157" s="37"/>
      <c r="OCK157" s="37"/>
      <c r="OCL157" s="37"/>
      <c r="OCM157" s="37"/>
      <c r="OCN157" s="37"/>
      <c r="OCO157" s="37"/>
      <c r="OCP157" s="37"/>
      <c r="OCQ157" s="37"/>
      <c r="OCR157" s="37"/>
      <c r="OCS157" s="37"/>
      <c r="OCT157" s="37"/>
      <c r="OCU157" s="37"/>
      <c r="OCV157" s="37"/>
      <c r="OCW157" s="37"/>
      <c r="OCX157" s="37"/>
      <c r="OCY157" s="37"/>
      <c r="OCZ157" s="37"/>
      <c r="ODA157" s="37"/>
      <c r="ODB157" s="37"/>
      <c r="ODC157" s="37"/>
      <c r="ODD157" s="37"/>
      <c r="ODE157" s="37"/>
      <c r="ODF157" s="37"/>
      <c r="ODG157" s="37"/>
      <c r="ODH157" s="37"/>
      <c r="ODI157" s="37"/>
      <c r="ODJ157" s="37"/>
      <c r="ODK157" s="37"/>
      <c r="ODL157" s="37"/>
      <c r="ODM157" s="37"/>
      <c r="ODN157" s="37"/>
      <c r="ODO157" s="37"/>
      <c r="ODP157" s="37"/>
      <c r="ODQ157" s="37"/>
      <c r="ODR157" s="37"/>
      <c r="ODS157" s="37"/>
      <c r="ODT157" s="37"/>
      <c r="ODU157" s="37"/>
      <c r="ODV157" s="37"/>
      <c r="ODW157" s="37"/>
      <c r="ODX157" s="37"/>
      <c r="ODY157" s="37"/>
      <c r="ODZ157" s="37"/>
      <c r="OEA157" s="37"/>
      <c r="OEB157" s="37"/>
      <c r="OEC157" s="37"/>
      <c r="OED157" s="37"/>
      <c r="OEE157" s="37"/>
      <c r="OEF157" s="37"/>
      <c r="OEG157" s="37"/>
      <c r="OEH157" s="37"/>
      <c r="OEI157" s="37"/>
      <c r="OEJ157" s="37"/>
      <c r="OEK157" s="37"/>
      <c r="OEL157" s="37"/>
      <c r="OEM157" s="37"/>
      <c r="OEN157" s="37"/>
      <c r="OEO157" s="37"/>
      <c r="OEP157" s="37"/>
      <c r="OEQ157" s="37"/>
      <c r="OER157" s="37"/>
      <c r="OES157" s="37"/>
      <c r="OET157" s="37"/>
      <c r="OEU157" s="37"/>
      <c r="OEV157" s="37"/>
      <c r="OEW157" s="37"/>
      <c r="OEX157" s="37"/>
      <c r="OEY157" s="37"/>
      <c r="OEZ157" s="37"/>
      <c r="OFA157" s="37"/>
      <c r="OFB157" s="37"/>
      <c r="OFC157" s="37"/>
      <c r="OFD157" s="37"/>
      <c r="OFE157" s="37"/>
      <c r="OFF157" s="37"/>
      <c r="OFG157" s="37"/>
      <c r="OFH157" s="37"/>
      <c r="OFI157" s="37"/>
      <c r="OFJ157" s="37"/>
      <c r="OFK157" s="37"/>
      <c r="OFL157" s="37"/>
      <c r="OFM157" s="37"/>
      <c r="OFN157" s="37"/>
      <c r="OFO157" s="37"/>
      <c r="OFP157" s="37"/>
      <c r="OFQ157" s="37"/>
      <c r="OFR157" s="37"/>
      <c r="OFS157" s="37"/>
      <c r="OFT157" s="37"/>
      <c r="OFU157" s="37"/>
      <c r="OFV157" s="37"/>
      <c r="OFW157" s="37"/>
      <c r="OFX157" s="37"/>
      <c r="OFY157" s="37"/>
      <c r="OFZ157" s="37"/>
      <c r="OGA157" s="37"/>
      <c r="OGB157" s="37"/>
      <c r="OGC157" s="37"/>
      <c r="OGD157" s="37"/>
      <c r="OGE157" s="37"/>
      <c r="OGF157" s="37"/>
      <c r="OGG157" s="37"/>
      <c r="OGH157" s="37"/>
      <c r="OGI157" s="37"/>
      <c r="OGJ157" s="37"/>
      <c r="OGK157" s="37"/>
      <c r="OGL157" s="37"/>
      <c r="OGM157" s="37"/>
      <c r="OGN157" s="37"/>
      <c r="OGO157" s="37"/>
      <c r="OGP157" s="37"/>
      <c r="OGQ157" s="37"/>
      <c r="OGR157" s="37"/>
      <c r="OGS157" s="37"/>
      <c r="OGT157" s="37"/>
      <c r="OGU157" s="37"/>
      <c r="OGV157" s="37"/>
      <c r="OGW157" s="37"/>
      <c r="OGX157" s="37"/>
      <c r="OGY157" s="37"/>
      <c r="OGZ157" s="37"/>
      <c r="OHA157" s="37"/>
      <c r="OHB157" s="37"/>
      <c r="OHC157" s="37"/>
      <c r="OHD157" s="37"/>
      <c r="OHE157" s="37"/>
      <c r="OHF157" s="37"/>
      <c r="OHG157" s="37"/>
      <c r="OHH157" s="37"/>
      <c r="OHI157" s="37"/>
      <c r="OHJ157" s="37"/>
      <c r="OHK157" s="37"/>
      <c r="OHL157" s="37"/>
      <c r="OHM157" s="37"/>
      <c r="OHN157" s="37"/>
      <c r="OHO157" s="37"/>
      <c r="OHP157" s="37"/>
      <c r="OHQ157" s="37"/>
      <c r="OHR157" s="37"/>
      <c r="OHS157" s="37"/>
      <c r="OHT157" s="37"/>
      <c r="OHU157" s="37"/>
      <c r="OHV157" s="37"/>
      <c r="OHW157" s="37"/>
      <c r="OHX157" s="37"/>
      <c r="OHY157" s="37"/>
      <c r="OHZ157" s="37"/>
      <c r="OIA157" s="37"/>
      <c r="OIB157" s="37"/>
      <c r="OIC157" s="37"/>
      <c r="OID157" s="37"/>
      <c r="OIE157" s="37"/>
      <c r="OIF157" s="37"/>
      <c r="OIG157" s="37"/>
      <c r="OIH157" s="37"/>
      <c r="OII157" s="37"/>
      <c r="OIJ157" s="37"/>
      <c r="OIK157" s="37"/>
      <c r="OIL157" s="37"/>
      <c r="OIM157" s="37"/>
      <c r="OIN157" s="37"/>
      <c r="OIO157" s="37"/>
      <c r="OIP157" s="37"/>
      <c r="OIQ157" s="37"/>
      <c r="OIR157" s="37"/>
      <c r="OIS157" s="37"/>
      <c r="OIT157" s="37"/>
      <c r="OIU157" s="37"/>
      <c r="OIV157" s="37"/>
      <c r="OIW157" s="37"/>
      <c r="OIX157" s="37"/>
      <c r="OIY157" s="37"/>
      <c r="OIZ157" s="37"/>
      <c r="OJA157" s="37"/>
      <c r="OJB157" s="37"/>
      <c r="OJC157" s="37"/>
      <c r="OJD157" s="37"/>
      <c r="OJE157" s="37"/>
      <c r="OJF157" s="37"/>
      <c r="OJG157" s="37"/>
      <c r="OJH157" s="37"/>
      <c r="OJI157" s="37"/>
      <c r="OJJ157" s="37"/>
      <c r="OJK157" s="37"/>
      <c r="OJL157" s="37"/>
      <c r="OJM157" s="37"/>
      <c r="OJN157" s="37"/>
      <c r="OJO157" s="37"/>
      <c r="OJP157" s="37"/>
      <c r="OJQ157" s="37"/>
      <c r="OJR157" s="37"/>
      <c r="OJS157" s="37"/>
      <c r="OJT157" s="37"/>
      <c r="OJU157" s="37"/>
      <c r="OJV157" s="37"/>
      <c r="OJW157" s="37"/>
      <c r="OJX157" s="37"/>
      <c r="OJY157" s="37"/>
      <c r="OJZ157" s="37"/>
      <c r="OKA157" s="37"/>
      <c r="OKB157" s="37"/>
      <c r="OKC157" s="37"/>
      <c r="OKD157" s="37"/>
      <c r="OKE157" s="37"/>
      <c r="OKF157" s="37"/>
      <c r="OKG157" s="37"/>
      <c r="OKH157" s="37"/>
      <c r="OKI157" s="37"/>
      <c r="OKJ157" s="37"/>
      <c r="OKK157" s="37"/>
      <c r="OKL157" s="37"/>
      <c r="OKM157" s="37"/>
      <c r="OKN157" s="37"/>
      <c r="OKO157" s="37"/>
      <c r="OKP157" s="37"/>
      <c r="OKQ157" s="37"/>
      <c r="OKR157" s="37"/>
      <c r="OKS157" s="37"/>
      <c r="OKT157" s="37"/>
      <c r="OKU157" s="37"/>
      <c r="OKV157" s="37"/>
      <c r="OKW157" s="37"/>
      <c r="OKX157" s="37"/>
      <c r="OKY157" s="37"/>
      <c r="OKZ157" s="37"/>
      <c r="OLA157" s="37"/>
      <c r="OLB157" s="37"/>
      <c r="OLC157" s="37"/>
      <c r="OLD157" s="37"/>
      <c r="OLE157" s="37"/>
      <c r="OLF157" s="37"/>
      <c r="OLG157" s="37"/>
      <c r="OLH157" s="37"/>
      <c r="OLI157" s="37"/>
      <c r="OLJ157" s="37"/>
      <c r="OLK157" s="37"/>
      <c r="OLL157" s="37"/>
      <c r="OLM157" s="37"/>
      <c r="OLN157" s="37"/>
      <c r="OLO157" s="37"/>
      <c r="OLP157" s="37"/>
      <c r="OLQ157" s="37"/>
      <c r="OLR157" s="37"/>
      <c r="OLS157" s="37"/>
      <c r="OLT157" s="37"/>
      <c r="OLU157" s="37"/>
      <c r="OLV157" s="37"/>
      <c r="OLW157" s="37"/>
      <c r="OLX157" s="37"/>
      <c r="OLY157" s="37"/>
      <c r="OLZ157" s="37"/>
      <c r="OMA157" s="37"/>
      <c r="OMB157" s="37"/>
      <c r="OMC157" s="37"/>
      <c r="OMD157" s="37"/>
      <c r="OME157" s="37"/>
      <c r="OMF157" s="37"/>
      <c r="OMG157" s="37"/>
      <c r="OMH157" s="37"/>
      <c r="OMI157" s="37"/>
      <c r="OMJ157" s="37"/>
      <c r="OMK157" s="37"/>
      <c r="OML157" s="37"/>
      <c r="OMM157" s="37"/>
      <c r="OMN157" s="37"/>
      <c r="OMO157" s="37"/>
      <c r="OMP157" s="37"/>
      <c r="OMQ157" s="37"/>
      <c r="OMR157" s="37"/>
      <c r="OMS157" s="37"/>
      <c r="OMT157" s="37"/>
      <c r="OMU157" s="37"/>
      <c r="OMV157" s="37"/>
      <c r="OMW157" s="37"/>
      <c r="OMX157" s="37"/>
      <c r="OMY157" s="37"/>
      <c r="OMZ157" s="37"/>
      <c r="ONA157" s="37"/>
      <c r="ONB157" s="37"/>
      <c r="ONC157" s="37"/>
      <c r="OND157" s="37"/>
      <c r="ONE157" s="37"/>
      <c r="ONF157" s="37"/>
      <c r="ONG157" s="37"/>
      <c r="ONH157" s="37"/>
      <c r="ONI157" s="37"/>
      <c r="ONJ157" s="37"/>
      <c r="ONK157" s="37"/>
      <c r="ONL157" s="37"/>
      <c r="ONM157" s="37"/>
      <c r="ONN157" s="37"/>
      <c r="ONO157" s="37"/>
      <c r="ONP157" s="37"/>
      <c r="ONQ157" s="37"/>
      <c r="ONR157" s="37"/>
      <c r="ONS157" s="37"/>
      <c r="ONT157" s="37"/>
      <c r="ONU157" s="37"/>
      <c r="ONV157" s="37"/>
      <c r="ONW157" s="37"/>
      <c r="ONX157" s="37"/>
      <c r="ONY157" s="37"/>
      <c r="ONZ157" s="37"/>
      <c r="OOA157" s="37"/>
      <c r="OOB157" s="37"/>
      <c r="OOC157" s="37"/>
      <c r="OOD157" s="37"/>
      <c r="OOE157" s="37"/>
      <c r="OOF157" s="37"/>
      <c r="OOG157" s="37"/>
      <c r="OOH157" s="37"/>
      <c r="OOI157" s="37"/>
      <c r="OOJ157" s="37"/>
      <c r="OOK157" s="37"/>
      <c r="OOL157" s="37"/>
      <c r="OOM157" s="37"/>
      <c r="OON157" s="37"/>
      <c r="OOO157" s="37"/>
      <c r="OOP157" s="37"/>
      <c r="OOQ157" s="37"/>
      <c r="OOR157" s="37"/>
      <c r="OOS157" s="37"/>
      <c r="OOT157" s="37"/>
      <c r="OOU157" s="37"/>
      <c r="OOV157" s="37"/>
      <c r="OOW157" s="37"/>
      <c r="OOX157" s="37"/>
      <c r="OOY157" s="37"/>
      <c r="OOZ157" s="37"/>
      <c r="OPA157" s="37"/>
      <c r="OPB157" s="37"/>
      <c r="OPC157" s="37"/>
      <c r="OPD157" s="37"/>
      <c r="OPE157" s="37"/>
      <c r="OPF157" s="37"/>
      <c r="OPG157" s="37"/>
      <c r="OPH157" s="37"/>
      <c r="OPI157" s="37"/>
      <c r="OPJ157" s="37"/>
      <c r="OPK157" s="37"/>
      <c r="OPL157" s="37"/>
      <c r="OPM157" s="37"/>
      <c r="OPN157" s="37"/>
      <c r="OPO157" s="37"/>
      <c r="OPP157" s="37"/>
      <c r="OPQ157" s="37"/>
      <c r="OPR157" s="37"/>
      <c r="OPS157" s="37"/>
      <c r="OPT157" s="37"/>
      <c r="OPU157" s="37"/>
      <c r="OPV157" s="37"/>
      <c r="OPW157" s="37"/>
      <c r="OPX157" s="37"/>
      <c r="OPY157" s="37"/>
      <c r="OPZ157" s="37"/>
      <c r="OQA157" s="37"/>
      <c r="OQB157" s="37"/>
      <c r="OQC157" s="37"/>
      <c r="OQD157" s="37"/>
      <c r="OQE157" s="37"/>
      <c r="OQF157" s="37"/>
      <c r="OQG157" s="37"/>
      <c r="OQH157" s="37"/>
      <c r="OQI157" s="37"/>
      <c r="OQJ157" s="37"/>
      <c r="OQK157" s="37"/>
      <c r="OQL157" s="37"/>
      <c r="OQM157" s="37"/>
      <c r="OQN157" s="37"/>
      <c r="OQO157" s="37"/>
      <c r="OQP157" s="37"/>
      <c r="OQQ157" s="37"/>
      <c r="OQR157" s="37"/>
      <c r="OQS157" s="37"/>
      <c r="OQT157" s="37"/>
      <c r="OQU157" s="37"/>
      <c r="OQV157" s="37"/>
      <c r="OQW157" s="37"/>
      <c r="OQX157" s="37"/>
      <c r="OQY157" s="37"/>
      <c r="OQZ157" s="37"/>
      <c r="ORA157" s="37"/>
      <c r="ORB157" s="37"/>
      <c r="ORC157" s="37"/>
      <c r="ORD157" s="37"/>
      <c r="ORE157" s="37"/>
      <c r="ORF157" s="37"/>
      <c r="ORG157" s="37"/>
      <c r="ORH157" s="37"/>
      <c r="ORI157" s="37"/>
      <c r="ORJ157" s="37"/>
      <c r="ORK157" s="37"/>
      <c r="ORL157" s="37"/>
      <c r="ORM157" s="37"/>
      <c r="ORN157" s="37"/>
      <c r="ORO157" s="37"/>
      <c r="ORP157" s="37"/>
      <c r="ORQ157" s="37"/>
      <c r="ORR157" s="37"/>
      <c r="ORS157" s="37"/>
      <c r="ORT157" s="37"/>
      <c r="ORU157" s="37"/>
      <c r="ORV157" s="37"/>
      <c r="ORW157" s="37"/>
      <c r="ORX157" s="37"/>
      <c r="ORY157" s="37"/>
      <c r="ORZ157" s="37"/>
      <c r="OSA157" s="37"/>
      <c r="OSB157" s="37"/>
      <c r="OSC157" s="37"/>
      <c r="OSD157" s="37"/>
      <c r="OSE157" s="37"/>
      <c r="OSF157" s="37"/>
      <c r="OSG157" s="37"/>
      <c r="OSH157" s="37"/>
      <c r="OSI157" s="37"/>
      <c r="OSJ157" s="37"/>
      <c r="OSK157" s="37"/>
      <c r="OSL157" s="37"/>
      <c r="OSM157" s="37"/>
      <c r="OSN157" s="37"/>
      <c r="OSO157" s="37"/>
      <c r="OSP157" s="37"/>
      <c r="OSQ157" s="37"/>
      <c r="OSR157" s="37"/>
      <c r="OSS157" s="37"/>
      <c r="OST157" s="37"/>
      <c r="OSU157" s="37"/>
      <c r="OSV157" s="37"/>
      <c r="OSW157" s="37"/>
      <c r="OSX157" s="37"/>
      <c r="OSY157" s="37"/>
      <c r="OSZ157" s="37"/>
      <c r="OTA157" s="37"/>
      <c r="OTB157" s="37"/>
      <c r="OTC157" s="37"/>
      <c r="OTD157" s="37"/>
      <c r="OTE157" s="37"/>
      <c r="OTF157" s="37"/>
      <c r="OTG157" s="37"/>
      <c r="OTH157" s="37"/>
      <c r="OTI157" s="37"/>
      <c r="OTJ157" s="37"/>
      <c r="OTK157" s="37"/>
      <c r="OTL157" s="37"/>
      <c r="OTM157" s="37"/>
      <c r="OTN157" s="37"/>
      <c r="OTO157" s="37"/>
      <c r="OTP157" s="37"/>
      <c r="OTQ157" s="37"/>
      <c r="OTR157" s="37"/>
      <c r="OTS157" s="37"/>
      <c r="OTT157" s="37"/>
      <c r="OTU157" s="37"/>
      <c r="OTV157" s="37"/>
      <c r="OTW157" s="37"/>
      <c r="OTX157" s="37"/>
      <c r="OTY157" s="37"/>
      <c r="OTZ157" s="37"/>
      <c r="OUA157" s="37"/>
      <c r="OUB157" s="37"/>
      <c r="OUC157" s="37"/>
      <c r="OUD157" s="37"/>
      <c r="OUE157" s="37"/>
      <c r="OUF157" s="37"/>
      <c r="OUG157" s="37"/>
      <c r="OUH157" s="37"/>
      <c r="OUI157" s="37"/>
      <c r="OUJ157" s="37"/>
      <c r="OUK157" s="37"/>
      <c r="OUL157" s="37"/>
      <c r="OUM157" s="37"/>
      <c r="OUN157" s="37"/>
      <c r="OUO157" s="37"/>
      <c r="OUP157" s="37"/>
      <c r="OUQ157" s="37"/>
      <c r="OUR157" s="37"/>
      <c r="OUS157" s="37"/>
      <c r="OUT157" s="37"/>
      <c r="OUU157" s="37"/>
      <c r="OUV157" s="37"/>
      <c r="OUW157" s="37"/>
      <c r="OUX157" s="37"/>
      <c r="OUY157" s="37"/>
      <c r="OUZ157" s="37"/>
      <c r="OVA157" s="37"/>
      <c r="OVB157" s="37"/>
      <c r="OVC157" s="37"/>
      <c r="OVD157" s="37"/>
      <c r="OVE157" s="37"/>
      <c r="OVF157" s="37"/>
      <c r="OVG157" s="37"/>
      <c r="OVH157" s="37"/>
      <c r="OVI157" s="37"/>
      <c r="OVJ157" s="37"/>
      <c r="OVK157" s="37"/>
      <c r="OVL157" s="37"/>
      <c r="OVM157" s="37"/>
      <c r="OVN157" s="37"/>
      <c r="OVO157" s="37"/>
      <c r="OVP157" s="37"/>
      <c r="OVQ157" s="37"/>
      <c r="OVR157" s="37"/>
      <c r="OVS157" s="37"/>
      <c r="OVT157" s="37"/>
      <c r="OVU157" s="37"/>
      <c r="OVV157" s="37"/>
      <c r="OVW157" s="37"/>
      <c r="OVX157" s="37"/>
      <c r="OVY157" s="37"/>
      <c r="OVZ157" s="37"/>
      <c r="OWA157" s="37"/>
      <c r="OWB157" s="37"/>
      <c r="OWC157" s="37"/>
      <c r="OWD157" s="37"/>
      <c r="OWE157" s="37"/>
      <c r="OWF157" s="37"/>
      <c r="OWG157" s="37"/>
      <c r="OWH157" s="37"/>
      <c r="OWI157" s="37"/>
      <c r="OWJ157" s="37"/>
      <c r="OWK157" s="37"/>
      <c r="OWL157" s="37"/>
      <c r="OWM157" s="37"/>
      <c r="OWN157" s="37"/>
      <c r="OWO157" s="37"/>
      <c r="OWP157" s="37"/>
      <c r="OWQ157" s="37"/>
      <c r="OWR157" s="37"/>
      <c r="OWS157" s="37"/>
      <c r="OWT157" s="37"/>
      <c r="OWU157" s="37"/>
      <c r="OWV157" s="37"/>
      <c r="OWW157" s="37"/>
      <c r="OWX157" s="37"/>
      <c r="OWY157" s="37"/>
      <c r="OWZ157" s="37"/>
      <c r="OXA157" s="37"/>
      <c r="OXB157" s="37"/>
      <c r="OXC157" s="37"/>
      <c r="OXD157" s="37"/>
      <c r="OXE157" s="37"/>
      <c r="OXF157" s="37"/>
      <c r="OXG157" s="37"/>
      <c r="OXH157" s="37"/>
      <c r="OXI157" s="37"/>
      <c r="OXJ157" s="37"/>
      <c r="OXK157" s="37"/>
      <c r="OXL157" s="37"/>
      <c r="OXM157" s="37"/>
      <c r="OXN157" s="37"/>
      <c r="OXO157" s="37"/>
      <c r="OXP157" s="37"/>
      <c r="OXQ157" s="37"/>
      <c r="OXR157" s="37"/>
      <c r="OXS157" s="37"/>
      <c r="OXT157" s="37"/>
      <c r="OXU157" s="37"/>
      <c r="OXV157" s="37"/>
      <c r="OXW157" s="37"/>
      <c r="OXX157" s="37"/>
      <c r="OXY157" s="37"/>
      <c r="OXZ157" s="37"/>
      <c r="OYA157" s="37"/>
      <c r="OYB157" s="37"/>
      <c r="OYC157" s="37"/>
      <c r="OYD157" s="37"/>
      <c r="OYE157" s="37"/>
      <c r="OYF157" s="37"/>
      <c r="OYG157" s="37"/>
      <c r="OYH157" s="37"/>
      <c r="OYI157" s="37"/>
      <c r="OYJ157" s="37"/>
      <c r="OYK157" s="37"/>
      <c r="OYL157" s="37"/>
      <c r="OYM157" s="37"/>
      <c r="OYN157" s="37"/>
      <c r="OYO157" s="37"/>
      <c r="OYP157" s="37"/>
      <c r="OYQ157" s="37"/>
      <c r="OYR157" s="37"/>
      <c r="OYS157" s="37"/>
      <c r="OYT157" s="37"/>
      <c r="OYU157" s="37"/>
      <c r="OYV157" s="37"/>
      <c r="OYW157" s="37"/>
      <c r="OYX157" s="37"/>
      <c r="OYY157" s="37"/>
      <c r="OYZ157" s="37"/>
      <c r="OZA157" s="37"/>
      <c r="OZB157" s="37"/>
      <c r="OZC157" s="37"/>
      <c r="OZD157" s="37"/>
      <c r="OZE157" s="37"/>
      <c r="OZF157" s="37"/>
      <c r="OZG157" s="37"/>
      <c r="OZH157" s="37"/>
      <c r="OZI157" s="37"/>
      <c r="OZJ157" s="37"/>
      <c r="OZK157" s="37"/>
      <c r="OZL157" s="37"/>
      <c r="OZM157" s="37"/>
      <c r="OZN157" s="37"/>
      <c r="OZO157" s="37"/>
      <c r="OZP157" s="37"/>
      <c r="OZQ157" s="37"/>
      <c r="OZR157" s="37"/>
      <c r="OZS157" s="37"/>
      <c r="OZT157" s="37"/>
      <c r="OZU157" s="37"/>
      <c r="OZV157" s="37"/>
      <c r="OZW157" s="37"/>
      <c r="OZX157" s="37"/>
      <c r="OZY157" s="37"/>
      <c r="OZZ157" s="37"/>
      <c r="PAA157" s="37"/>
      <c r="PAB157" s="37"/>
      <c r="PAC157" s="37"/>
      <c r="PAD157" s="37"/>
      <c r="PAE157" s="37"/>
      <c r="PAF157" s="37"/>
      <c r="PAG157" s="37"/>
      <c r="PAH157" s="37"/>
      <c r="PAI157" s="37"/>
      <c r="PAJ157" s="37"/>
      <c r="PAK157" s="37"/>
      <c r="PAL157" s="37"/>
      <c r="PAM157" s="37"/>
      <c r="PAN157" s="37"/>
      <c r="PAO157" s="37"/>
      <c r="PAP157" s="37"/>
      <c r="PAQ157" s="37"/>
      <c r="PAR157" s="37"/>
      <c r="PAS157" s="37"/>
      <c r="PAT157" s="37"/>
      <c r="PAU157" s="37"/>
      <c r="PAV157" s="37"/>
      <c r="PAW157" s="37"/>
      <c r="PAX157" s="37"/>
      <c r="PAY157" s="37"/>
      <c r="PAZ157" s="37"/>
      <c r="PBA157" s="37"/>
      <c r="PBB157" s="37"/>
      <c r="PBC157" s="37"/>
      <c r="PBD157" s="37"/>
      <c r="PBE157" s="37"/>
      <c r="PBF157" s="37"/>
      <c r="PBG157" s="37"/>
      <c r="PBH157" s="37"/>
      <c r="PBI157" s="37"/>
      <c r="PBJ157" s="37"/>
      <c r="PBK157" s="37"/>
      <c r="PBL157" s="37"/>
      <c r="PBM157" s="37"/>
      <c r="PBN157" s="37"/>
      <c r="PBO157" s="37"/>
      <c r="PBP157" s="37"/>
      <c r="PBQ157" s="37"/>
      <c r="PBR157" s="37"/>
      <c r="PBS157" s="37"/>
      <c r="PBT157" s="37"/>
      <c r="PBU157" s="37"/>
      <c r="PBV157" s="37"/>
      <c r="PBW157" s="37"/>
      <c r="PBX157" s="37"/>
      <c r="PBY157" s="37"/>
      <c r="PBZ157" s="37"/>
      <c r="PCA157" s="37"/>
      <c r="PCB157" s="37"/>
      <c r="PCC157" s="37"/>
      <c r="PCD157" s="37"/>
      <c r="PCE157" s="37"/>
      <c r="PCF157" s="37"/>
      <c r="PCG157" s="37"/>
      <c r="PCH157" s="37"/>
      <c r="PCI157" s="37"/>
      <c r="PCJ157" s="37"/>
      <c r="PCK157" s="37"/>
      <c r="PCL157" s="37"/>
      <c r="PCM157" s="37"/>
      <c r="PCN157" s="37"/>
      <c r="PCO157" s="37"/>
      <c r="PCP157" s="37"/>
      <c r="PCQ157" s="37"/>
      <c r="PCR157" s="37"/>
      <c r="PCS157" s="37"/>
      <c r="PCT157" s="37"/>
      <c r="PCU157" s="37"/>
      <c r="PCV157" s="37"/>
      <c r="PCW157" s="37"/>
      <c r="PCX157" s="37"/>
      <c r="PCY157" s="37"/>
      <c r="PCZ157" s="37"/>
      <c r="PDA157" s="37"/>
      <c r="PDB157" s="37"/>
      <c r="PDC157" s="37"/>
      <c r="PDD157" s="37"/>
      <c r="PDE157" s="37"/>
      <c r="PDF157" s="37"/>
      <c r="PDG157" s="37"/>
      <c r="PDH157" s="37"/>
      <c r="PDI157" s="37"/>
      <c r="PDJ157" s="37"/>
      <c r="PDK157" s="37"/>
      <c r="PDL157" s="37"/>
      <c r="PDM157" s="37"/>
      <c r="PDN157" s="37"/>
      <c r="PDO157" s="37"/>
      <c r="PDP157" s="37"/>
      <c r="PDQ157" s="37"/>
      <c r="PDR157" s="37"/>
      <c r="PDS157" s="37"/>
      <c r="PDT157" s="37"/>
      <c r="PDU157" s="37"/>
      <c r="PDV157" s="37"/>
      <c r="PDW157" s="37"/>
      <c r="PDX157" s="37"/>
      <c r="PDY157" s="37"/>
      <c r="PDZ157" s="37"/>
      <c r="PEA157" s="37"/>
      <c r="PEB157" s="37"/>
      <c r="PEC157" s="37"/>
      <c r="PED157" s="37"/>
      <c r="PEE157" s="37"/>
      <c r="PEF157" s="37"/>
      <c r="PEG157" s="37"/>
      <c r="PEH157" s="37"/>
      <c r="PEI157" s="37"/>
      <c r="PEJ157" s="37"/>
      <c r="PEK157" s="37"/>
      <c r="PEL157" s="37"/>
      <c r="PEM157" s="37"/>
      <c r="PEN157" s="37"/>
      <c r="PEO157" s="37"/>
      <c r="PEP157" s="37"/>
      <c r="PEQ157" s="37"/>
      <c r="PER157" s="37"/>
      <c r="PES157" s="37"/>
      <c r="PET157" s="37"/>
      <c r="PEU157" s="37"/>
      <c r="PEV157" s="37"/>
      <c r="PEW157" s="37"/>
      <c r="PEX157" s="37"/>
      <c r="PEY157" s="37"/>
      <c r="PEZ157" s="37"/>
      <c r="PFA157" s="37"/>
      <c r="PFB157" s="37"/>
      <c r="PFC157" s="37"/>
      <c r="PFD157" s="37"/>
      <c r="PFE157" s="37"/>
      <c r="PFF157" s="37"/>
      <c r="PFG157" s="37"/>
      <c r="PFH157" s="37"/>
      <c r="PFI157" s="37"/>
      <c r="PFJ157" s="37"/>
      <c r="PFK157" s="37"/>
      <c r="PFL157" s="37"/>
      <c r="PFM157" s="37"/>
      <c r="PFN157" s="37"/>
      <c r="PFO157" s="37"/>
      <c r="PFP157" s="37"/>
      <c r="PFQ157" s="37"/>
      <c r="PFR157" s="37"/>
      <c r="PFS157" s="37"/>
      <c r="PFT157" s="37"/>
      <c r="PFU157" s="37"/>
      <c r="PFV157" s="37"/>
      <c r="PFW157" s="37"/>
      <c r="PFX157" s="37"/>
      <c r="PFY157" s="37"/>
      <c r="PFZ157" s="37"/>
      <c r="PGA157" s="37"/>
      <c r="PGB157" s="37"/>
      <c r="PGC157" s="37"/>
      <c r="PGD157" s="37"/>
      <c r="PGE157" s="37"/>
      <c r="PGF157" s="37"/>
      <c r="PGG157" s="37"/>
      <c r="PGH157" s="37"/>
      <c r="PGI157" s="37"/>
      <c r="PGJ157" s="37"/>
      <c r="PGK157" s="37"/>
      <c r="PGL157" s="37"/>
      <c r="PGM157" s="37"/>
      <c r="PGN157" s="37"/>
      <c r="PGO157" s="37"/>
      <c r="PGP157" s="37"/>
      <c r="PGQ157" s="37"/>
      <c r="PGR157" s="37"/>
      <c r="PGS157" s="37"/>
      <c r="PGT157" s="37"/>
      <c r="PGU157" s="37"/>
      <c r="PGV157" s="37"/>
      <c r="PGW157" s="37"/>
      <c r="PGX157" s="37"/>
      <c r="PGY157" s="37"/>
      <c r="PGZ157" s="37"/>
      <c r="PHA157" s="37"/>
      <c r="PHB157" s="37"/>
      <c r="PHC157" s="37"/>
      <c r="PHD157" s="37"/>
      <c r="PHE157" s="37"/>
      <c r="PHF157" s="37"/>
      <c r="PHG157" s="37"/>
      <c r="PHH157" s="37"/>
      <c r="PHI157" s="37"/>
      <c r="PHJ157" s="37"/>
      <c r="PHK157" s="37"/>
      <c r="PHL157" s="37"/>
      <c r="PHM157" s="37"/>
      <c r="PHN157" s="37"/>
      <c r="PHO157" s="37"/>
      <c r="PHP157" s="37"/>
      <c r="PHQ157" s="37"/>
      <c r="PHR157" s="37"/>
      <c r="PHS157" s="37"/>
      <c r="PHT157" s="37"/>
      <c r="PHU157" s="37"/>
      <c r="PHV157" s="37"/>
      <c r="PHW157" s="37"/>
      <c r="PHX157" s="37"/>
      <c r="PHY157" s="37"/>
      <c r="PHZ157" s="37"/>
      <c r="PIA157" s="37"/>
      <c r="PIB157" s="37"/>
      <c r="PIC157" s="37"/>
      <c r="PID157" s="37"/>
      <c r="PIE157" s="37"/>
      <c r="PIF157" s="37"/>
      <c r="PIG157" s="37"/>
      <c r="PIH157" s="37"/>
      <c r="PII157" s="37"/>
      <c r="PIJ157" s="37"/>
      <c r="PIK157" s="37"/>
      <c r="PIL157" s="37"/>
      <c r="PIM157" s="37"/>
      <c r="PIN157" s="37"/>
      <c r="PIO157" s="37"/>
      <c r="PIP157" s="37"/>
      <c r="PIQ157" s="37"/>
      <c r="PIR157" s="37"/>
      <c r="PIS157" s="37"/>
      <c r="PIT157" s="37"/>
      <c r="PIU157" s="37"/>
      <c r="PIV157" s="37"/>
      <c r="PIW157" s="37"/>
      <c r="PIX157" s="37"/>
      <c r="PIY157" s="37"/>
      <c r="PIZ157" s="37"/>
      <c r="PJA157" s="37"/>
      <c r="PJB157" s="37"/>
      <c r="PJC157" s="37"/>
      <c r="PJD157" s="37"/>
      <c r="PJE157" s="37"/>
      <c r="PJF157" s="37"/>
      <c r="PJG157" s="37"/>
      <c r="PJH157" s="37"/>
      <c r="PJI157" s="37"/>
      <c r="PJJ157" s="37"/>
      <c r="PJK157" s="37"/>
      <c r="PJL157" s="37"/>
      <c r="PJM157" s="37"/>
      <c r="PJN157" s="37"/>
      <c r="PJO157" s="37"/>
      <c r="PJP157" s="37"/>
      <c r="PJQ157" s="37"/>
      <c r="PJR157" s="37"/>
      <c r="PJS157" s="37"/>
      <c r="PJT157" s="37"/>
      <c r="PJU157" s="37"/>
      <c r="PJV157" s="37"/>
      <c r="PJW157" s="37"/>
      <c r="PJX157" s="37"/>
      <c r="PJY157" s="37"/>
      <c r="PJZ157" s="37"/>
      <c r="PKA157" s="37"/>
      <c r="PKB157" s="37"/>
      <c r="PKC157" s="37"/>
      <c r="PKD157" s="37"/>
      <c r="PKE157" s="37"/>
      <c r="PKF157" s="37"/>
      <c r="PKG157" s="37"/>
      <c r="PKH157" s="37"/>
      <c r="PKI157" s="37"/>
      <c r="PKJ157" s="37"/>
      <c r="PKK157" s="37"/>
      <c r="PKL157" s="37"/>
      <c r="PKM157" s="37"/>
      <c r="PKN157" s="37"/>
      <c r="PKO157" s="37"/>
      <c r="PKP157" s="37"/>
      <c r="PKQ157" s="37"/>
      <c r="PKR157" s="37"/>
      <c r="PKS157" s="37"/>
      <c r="PKT157" s="37"/>
      <c r="PKU157" s="37"/>
      <c r="PKV157" s="37"/>
      <c r="PKW157" s="37"/>
      <c r="PKX157" s="37"/>
      <c r="PKY157" s="37"/>
      <c r="PKZ157" s="37"/>
      <c r="PLA157" s="37"/>
      <c r="PLB157" s="37"/>
      <c r="PLC157" s="37"/>
      <c r="PLD157" s="37"/>
      <c r="PLE157" s="37"/>
      <c r="PLF157" s="37"/>
      <c r="PLG157" s="37"/>
      <c r="PLH157" s="37"/>
      <c r="PLI157" s="37"/>
      <c r="PLJ157" s="37"/>
      <c r="PLK157" s="37"/>
      <c r="PLL157" s="37"/>
      <c r="PLM157" s="37"/>
      <c r="PLN157" s="37"/>
      <c r="PLO157" s="37"/>
      <c r="PLP157" s="37"/>
      <c r="PLQ157" s="37"/>
      <c r="PLR157" s="37"/>
      <c r="PLS157" s="37"/>
      <c r="PLT157" s="37"/>
      <c r="PLU157" s="37"/>
      <c r="PLV157" s="37"/>
      <c r="PLW157" s="37"/>
      <c r="PLX157" s="37"/>
      <c r="PLY157" s="37"/>
      <c r="PLZ157" s="37"/>
      <c r="PMA157" s="37"/>
      <c r="PMB157" s="37"/>
      <c r="PMC157" s="37"/>
      <c r="PMD157" s="37"/>
      <c r="PME157" s="37"/>
      <c r="PMF157" s="37"/>
      <c r="PMG157" s="37"/>
      <c r="PMH157" s="37"/>
      <c r="PMI157" s="37"/>
      <c r="PMJ157" s="37"/>
      <c r="PMK157" s="37"/>
      <c r="PML157" s="37"/>
      <c r="PMM157" s="37"/>
      <c r="PMN157" s="37"/>
      <c r="PMO157" s="37"/>
      <c r="PMP157" s="37"/>
      <c r="PMQ157" s="37"/>
      <c r="PMR157" s="37"/>
      <c r="PMS157" s="37"/>
      <c r="PMT157" s="37"/>
      <c r="PMU157" s="37"/>
      <c r="PMV157" s="37"/>
      <c r="PMW157" s="37"/>
      <c r="PMX157" s="37"/>
      <c r="PMY157" s="37"/>
      <c r="PMZ157" s="37"/>
      <c r="PNA157" s="37"/>
      <c r="PNB157" s="37"/>
      <c r="PNC157" s="37"/>
      <c r="PND157" s="37"/>
      <c r="PNE157" s="37"/>
      <c r="PNF157" s="37"/>
      <c r="PNG157" s="37"/>
      <c r="PNH157" s="37"/>
      <c r="PNI157" s="37"/>
      <c r="PNJ157" s="37"/>
      <c r="PNK157" s="37"/>
      <c r="PNL157" s="37"/>
      <c r="PNM157" s="37"/>
      <c r="PNN157" s="37"/>
      <c r="PNO157" s="37"/>
      <c r="PNP157" s="37"/>
      <c r="PNQ157" s="37"/>
      <c r="PNR157" s="37"/>
      <c r="PNS157" s="37"/>
      <c r="PNT157" s="37"/>
      <c r="PNU157" s="37"/>
      <c r="PNV157" s="37"/>
      <c r="PNW157" s="37"/>
      <c r="PNX157" s="37"/>
      <c r="PNY157" s="37"/>
      <c r="PNZ157" s="37"/>
      <c r="POA157" s="37"/>
      <c r="POB157" s="37"/>
      <c r="POC157" s="37"/>
      <c r="POD157" s="37"/>
      <c r="POE157" s="37"/>
      <c r="POF157" s="37"/>
      <c r="POG157" s="37"/>
      <c r="POH157" s="37"/>
      <c r="POI157" s="37"/>
      <c r="POJ157" s="37"/>
      <c r="POK157" s="37"/>
      <c r="POL157" s="37"/>
      <c r="POM157" s="37"/>
      <c r="PON157" s="37"/>
      <c r="POO157" s="37"/>
      <c r="POP157" s="37"/>
      <c r="POQ157" s="37"/>
      <c r="POR157" s="37"/>
      <c r="POS157" s="37"/>
      <c r="POT157" s="37"/>
      <c r="POU157" s="37"/>
      <c r="POV157" s="37"/>
      <c r="POW157" s="37"/>
      <c r="POX157" s="37"/>
      <c r="POY157" s="37"/>
      <c r="POZ157" s="37"/>
      <c r="PPA157" s="37"/>
      <c r="PPB157" s="37"/>
      <c r="PPC157" s="37"/>
      <c r="PPD157" s="37"/>
      <c r="PPE157" s="37"/>
      <c r="PPF157" s="37"/>
      <c r="PPG157" s="37"/>
      <c r="PPH157" s="37"/>
      <c r="PPI157" s="37"/>
      <c r="PPJ157" s="37"/>
      <c r="PPK157" s="37"/>
      <c r="PPL157" s="37"/>
      <c r="PPM157" s="37"/>
      <c r="PPN157" s="37"/>
      <c r="PPO157" s="37"/>
      <c r="PPP157" s="37"/>
      <c r="PPQ157" s="37"/>
      <c r="PPR157" s="37"/>
      <c r="PPS157" s="37"/>
      <c r="PPT157" s="37"/>
      <c r="PPU157" s="37"/>
      <c r="PPV157" s="37"/>
      <c r="PPW157" s="37"/>
      <c r="PPX157" s="37"/>
      <c r="PPY157" s="37"/>
      <c r="PPZ157" s="37"/>
      <c r="PQA157" s="37"/>
      <c r="PQB157" s="37"/>
      <c r="PQC157" s="37"/>
      <c r="PQD157" s="37"/>
      <c r="PQE157" s="37"/>
      <c r="PQF157" s="37"/>
      <c r="PQG157" s="37"/>
      <c r="PQH157" s="37"/>
      <c r="PQI157" s="37"/>
      <c r="PQJ157" s="37"/>
      <c r="PQK157" s="37"/>
      <c r="PQL157" s="37"/>
      <c r="PQM157" s="37"/>
      <c r="PQN157" s="37"/>
      <c r="PQO157" s="37"/>
      <c r="PQP157" s="37"/>
      <c r="PQQ157" s="37"/>
      <c r="PQR157" s="37"/>
      <c r="PQS157" s="37"/>
      <c r="PQT157" s="37"/>
      <c r="PQU157" s="37"/>
      <c r="PQV157" s="37"/>
      <c r="PQW157" s="37"/>
      <c r="PQX157" s="37"/>
      <c r="PQY157" s="37"/>
      <c r="PQZ157" s="37"/>
      <c r="PRA157" s="37"/>
      <c r="PRB157" s="37"/>
      <c r="PRC157" s="37"/>
      <c r="PRD157" s="37"/>
      <c r="PRE157" s="37"/>
      <c r="PRF157" s="37"/>
      <c r="PRG157" s="37"/>
      <c r="PRH157" s="37"/>
      <c r="PRI157" s="37"/>
      <c r="PRJ157" s="37"/>
      <c r="PRK157" s="37"/>
      <c r="PRL157" s="37"/>
      <c r="PRM157" s="37"/>
      <c r="PRN157" s="37"/>
      <c r="PRO157" s="37"/>
      <c r="PRP157" s="37"/>
      <c r="PRQ157" s="37"/>
      <c r="PRR157" s="37"/>
      <c r="PRS157" s="37"/>
      <c r="PRT157" s="37"/>
      <c r="PRU157" s="37"/>
      <c r="PRV157" s="37"/>
      <c r="PRW157" s="37"/>
      <c r="PRX157" s="37"/>
      <c r="PRY157" s="37"/>
      <c r="PRZ157" s="37"/>
      <c r="PSA157" s="37"/>
      <c r="PSB157" s="37"/>
      <c r="PSC157" s="37"/>
      <c r="PSD157" s="37"/>
      <c r="PSE157" s="37"/>
      <c r="PSF157" s="37"/>
      <c r="PSG157" s="37"/>
      <c r="PSH157" s="37"/>
      <c r="PSI157" s="37"/>
      <c r="PSJ157" s="37"/>
      <c r="PSK157" s="37"/>
      <c r="PSL157" s="37"/>
      <c r="PSM157" s="37"/>
      <c r="PSN157" s="37"/>
      <c r="PSO157" s="37"/>
      <c r="PSP157" s="37"/>
      <c r="PSQ157" s="37"/>
      <c r="PSR157" s="37"/>
      <c r="PSS157" s="37"/>
      <c r="PST157" s="37"/>
      <c r="PSU157" s="37"/>
      <c r="PSV157" s="37"/>
      <c r="PSW157" s="37"/>
      <c r="PSX157" s="37"/>
      <c r="PSY157" s="37"/>
      <c r="PSZ157" s="37"/>
      <c r="PTA157" s="37"/>
      <c r="PTB157" s="37"/>
      <c r="PTC157" s="37"/>
      <c r="PTD157" s="37"/>
      <c r="PTE157" s="37"/>
      <c r="PTF157" s="37"/>
      <c r="PTG157" s="37"/>
      <c r="PTH157" s="37"/>
      <c r="PTI157" s="37"/>
      <c r="PTJ157" s="37"/>
      <c r="PTK157" s="37"/>
      <c r="PTL157" s="37"/>
      <c r="PTM157" s="37"/>
      <c r="PTN157" s="37"/>
      <c r="PTO157" s="37"/>
      <c r="PTP157" s="37"/>
      <c r="PTQ157" s="37"/>
      <c r="PTR157" s="37"/>
      <c r="PTS157" s="37"/>
      <c r="PTT157" s="37"/>
      <c r="PTU157" s="37"/>
      <c r="PTV157" s="37"/>
      <c r="PTW157" s="37"/>
      <c r="PTX157" s="37"/>
      <c r="PTY157" s="37"/>
      <c r="PTZ157" s="37"/>
      <c r="PUA157" s="37"/>
      <c r="PUB157" s="37"/>
      <c r="PUC157" s="37"/>
      <c r="PUD157" s="37"/>
      <c r="PUE157" s="37"/>
      <c r="PUF157" s="37"/>
      <c r="PUG157" s="37"/>
      <c r="PUH157" s="37"/>
      <c r="PUI157" s="37"/>
      <c r="PUJ157" s="37"/>
      <c r="PUK157" s="37"/>
      <c r="PUL157" s="37"/>
      <c r="PUM157" s="37"/>
      <c r="PUN157" s="37"/>
      <c r="PUO157" s="37"/>
      <c r="PUP157" s="37"/>
      <c r="PUQ157" s="37"/>
      <c r="PUR157" s="37"/>
      <c r="PUS157" s="37"/>
      <c r="PUT157" s="37"/>
      <c r="PUU157" s="37"/>
      <c r="PUV157" s="37"/>
      <c r="PUW157" s="37"/>
      <c r="PUX157" s="37"/>
      <c r="PUY157" s="37"/>
      <c r="PUZ157" s="37"/>
      <c r="PVA157" s="37"/>
      <c r="PVB157" s="37"/>
      <c r="PVC157" s="37"/>
      <c r="PVD157" s="37"/>
      <c r="PVE157" s="37"/>
      <c r="PVF157" s="37"/>
      <c r="PVG157" s="37"/>
      <c r="PVH157" s="37"/>
      <c r="PVI157" s="37"/>
      <c r="PVJ157" s="37"/>
      <c r="PVK157" s="37"/>
      <c r="PVL157" s="37"/>
      <c r="PVM157" s="37"/>
      <c r="PVN157" s="37"/>
      <c r="PVO157" s="37"/>
      <c r="PVP157" s="37"/>
      <c r="PVQ157" s="37"/>
      <c r="PVR157" s="37"/>
      <c r="PVS157" s="37"/>
      <c r="PVT157" s="37"/>
      <c r="PVU157" s="37"/>
      <c r="PVV157" s="37"/>
      <c r="PVW157" s="37"/>
      <c r="PVX157" s="37"/>
      <c r="PVY157" s="37"/>
      <c r="PVZ157" s="37"/>
      <c r="PWA157" s="37"/>
      <c r="PWB157" s="37"/>
      <c r="PWC157" s="37"/>
      <c r="PWD157" s="37"/>
      <c r="PWE157" s="37"/>
      <c r="PWF157" s="37"/>
      <c r="PWG157" s="37"/>
      <c r="PWH157" s="37"/>
      <c r="PWI157" s="37"/>
      <c r="PWJ157" s="37"/>
      <c r="PWK157" s="37"/>
      <c r="PWL157" s="37"/>
      <c r="PWM157" s="37"/>
      <c r="PWN157" s="37"/>
      <c r="PWO157" s="37"/>
      <c r="PWP157" s="37"/>
      <c r="PWQ157" s="37"/>
      <c r="PWR157" s="37"/>
      <c r="PWS157" s="37"/>
      <c r="PWT157" s="37"/>
      <c r="PWU157" s="37"/>
      <c r="PWV157" s="37"/>
      <c r="PWW157" s="37"/>
      <c r="PWX157" s="37"/>
      <c r="PWY157" s="37"/>
      <c r="PWZ157" s="37"/>
      <c r="PXA157" s="37"/>
      <c r="PXB157" s="37"/>
      <c r="PXC157" s="37"/>
      <c r="PXD157" s="37"/>
      <c r="PXE157" s="37"/>
      <c r="PXF157" s="37"/>
      <c r="PXG157" s="37"/>
      <c r="PXH157" s="37"/>
      <c r="PXI157" s="37"/>
      <c r="PXJ157" s="37"/>
      <c r="PXK157" s="37"/>
      <c r="PXL157" s="37"/>
      <c r="PXM157" s="37"/>
      <c r="PXN157" s="37"/>
      <c r="PXO157" s="37"/>
      <c r="PXP157" s="37"/>
      <c r="PXQ157" s="37"/>
      <c r="PXR157" s="37"/>
      <c r="PXS157" s="37"/>
      <c r="PXT157" s="37"/>
      <c r="PXU157" s="37"/>
      <c r="PXV157" s="37"/>
      <c r="PXW157" s="37"/>
      <c r="PXX157" s="37"/>
      <c r="PXY157" s="37"/>
      <c r="PXZ157" s="37"/>
      <c r="PYA157" s="37"/>
      <c r="PYB157" s="37"/>
      <c r="PYC157" s="37"/>
      <c r="PYD157" s="37"/>
      <c r="PYE157" s="37"/>
      <c r="PYF157" s="37"/>
      <c r="PYG157" s="37"/>
      <c r="PYH157" s="37"/>
      <c r="PYI157" s="37"/>
      <c r="PYJ157" s="37"/>
      <c r="PYK157" s="37"/>
      <c r="PYL157" s="37"/>
      <c r="PYM157" s="37"/>
      <c r="PYN157" s="37"/>
      <c r="PYO157" s="37"/>
      <c r="PYP157" s="37"/>
      <c r="PYQ157" s="37"/>
      <c r="PYR157" s="37"/>
      <c r="PYS157" s="37"/>
      <c r="PYT157" s="37"/>
      <c r="PYU157" s="37"/>
      <c r="PYV157" s="37"/>
      <c r="PYW157" s="37"/>
      <c r="PYX157" s="37"/>
      <c r="PYY157" s="37"/>
      <c r="PYZ157" s="37"/>
      <c r="PZA157" s="37"/>
      <c r="PZB157" s="37"/>
      <c r="PZC157" s="37"/>
      <c r="PZD157" s="37"/>
      <c r="PZE157" s="37"/>
      <c r="PZF157" s="37"/>
      <c r="PZG157" s="37"/>
      <c r="PZH157" s="37"/>
      <c r="PZI157" s="37"/>
      <c r="PZJ157" s="37"/>
      <c r="PZK157" s="37"/>
      <c r="PZL157" s="37"/>
      <c r="PZM157" s="37"/>
      <c r="PZN157" s="37"/>
      <c r="PZO157" s="37"/>
      <c r="PZP157" s="37"/>
      <c r="PZQ157" s="37"/>
      <c r="PZR157" s="37"/>
      <c r="PZS157" s="37"/>
      <c r="PZT157" s="37"/>
      <c r="PZU157" s="37"/>
      <c r="PZV157" s="37"/>
      <c r="PZW157" s="37"/>
      <c r="PZX157" s="37"/>
      <c r="PZY157" s="37"/>
      <c r="PZZ157" s="37"/>
      <c r="QAA157" s="37"/>
      <c r="QAB157" s="37"/>
      <c r="QAC157" s="37"/>
      <c r="QAD157" s="37"/>
      <c r="QAE157" s="37"/>
      <c r="QAF157" s="37"/>
      <c r="QAG157" s="37"/>
      <c r="QAH157" s="37"/>
      <c r="QAI157" s="37"/>
      <c r="QAJ157" s="37"/>
      <c r="QAK157" s="37"/>
      <c r="QAL157" s="37"/>
      <c r="QAM157" s="37"/>
      <c r="QAN157" s="37"/>
      <c r="QAO157" s="37"/>
      <c r="QAP157" s="37"/>
      <c r="QAQ157" s="37"/>
      <c r="QAR157" s="37"/>
      <c r="QAS157" s="37"/>
      <c r="QAT157" s="37"/>
      <c r="QAU157" s="37"/>
      <c r="QAV157" s="37"/>
      <c r="QAW157" s="37"/>
      <c r="QAX157" s="37"/>
      <c r="QAY157" s="37"/>
      <c r="QAZ157" s="37"/>
      <c r="QBA157" s="37"/>
      <c r="QBB157" s="37"/>
      <c r="QBC157" s="37"/>
      <c r="QBD157" s="37"/>
      <c r="QBE157" s="37"/>
      <c r="QBF157" s="37"/>
      <c r="QBG157" s="37"/>
      <c r="QBH157" s="37"/>
      <c r="QBI157" s="37"/>
      <c r="QBJ157" s="37"/>
      <c r="QBK157" s="37"/>
      <c r="QBL157" s="37"/>
      <c r="QBM157" s="37"/>
      <c r="QBN157" s="37"/>
      <c r="QBO157" s="37"/>
      <c r="QBP157" s="37"/>
      <c r="QBQ157" s="37"/>
      <c r="QBR157" s="37"/>
      <c r="QBS157" s="37"/>
      <c r="QBT157" s="37"/>
      <c r="QBU157" s="37"/>
      <c r="QBV157" s="37"/>
      <c r="QBW157" s="37"/>
      <c r="QBX157" s="37"/>
      <c r="QBY157" s="37"/>
      <c r="QBZ157" s="37"/>
      <c r="QCA157" s="37"/>
      <c r="QCB157" s="37"/>
      <c r="QCC157" s="37"/>
      <c r="QCD157" s="37"/>
      <c r="QCE157" s="37"/>
      <c r="QCF157" s="37"/>
      <c r="QCG157" s="37"/>
      <c r="QCH157" s="37"/>
      <c r="QCI157" s="37"/>
      <c r="QCJ157" s="37"/>
      <c r="QCK157" s="37"/>
      <c r="QCL157" s="37"/>
      <c r="QCM157" s="37"/>
      <c r="QCN157" s="37"/>
      <c r="QCO157" s="37"/>
      <c r="QCP157" s="37"/>
      <c r="QCQ157" s="37"/>
      <c r="QCR157" s="37"/>
      <c r="QCS157" s="37"/>
      <c r="QCT157" s="37"/>
      <c r="QCU157" s="37"/>
      <c r="QCV157" s="37"/>
      <c r="QCW157" s="37"/>
      <c r="QCX157" s="37"/>
      <c r="QCY157" s="37"/>
      <c r="QCZ157" s="37"/>
      <c r="QDA157" s="37"/>
      <c r="QDB157" s="37"/>
      <c r="QDC157" s="37"/>
      <c r="QDD157" s="37"/>
      <c r="QDE157" s="37"/>
      <c r="QDF157" s="37"/>
      <c r="QDG157" s="37"/>
      <c r="QDH157" s="37"/>
      <c r="QDI157" s="37"/>
      <c r="QDJ157" s="37"/>
      <c r="QDK157" s="37"/>
      <c r="QDL157" s="37"/>
      <c r="QDM157" s="37"/>
      <c r="QDN157" s="37"/>
      <c r="QDO157" s="37"/>
      <c r="QDP157" s="37"/>
      <c r="QDQ157" s="37"/>
      <c r="QDR157" s="37"/>
      <c r="QDS157" s="37"/>
      <c r="QDT157" s="37"/>
      <c r="QDU157" s="37"/>
      <c r="QDV157" s="37"/>
      <c r="QDW157" s="37"/>
      <c r="QDX157" s="37"/>
      <c r="QDY157" s="37"/>
      <c r="QDZ157" s="37"/>
      <c r="QEA157" s="37"/>
      <c r="QEB157" s="37"/>
      <c r="QEC157" s="37"/>
      <c r="QED157" s="37"/>
      <c r="QEE157" s="37"/>
      <c r="QEF157" s="37"/>
      <c r="QEG157" s="37"/>
      <c r="QEH157" s="37"/>
      <c r="QEI157" s="37"/>
      <c r="QEJ157" s="37"/>
      <c r="QEK157" s="37"/>
      <c r="QEL157" s="37"/>
      <c r="QEM157" s="37"/>
      <c r="QEN157" s="37"/>
      <c r="QEO157" s="37"/>
      <c r="QEP157" s="37"/>
      <c r="QEQ157" s="37"/>
      <c r="QER157" s="37"/>
      <c r="QES157" s="37"/>
      <c r="QET157" s="37"/>
      <c r="QEU157" s="37"/>
      <c r="QEV157" s="37"/>
      <c r="QEW157" s="37"/>
      <c r="QEX157" s="37"/>
      <c r="QEY157" s="37"/>
      <c r="QEZ157" s="37"/>
      <c r="QFA157" s="37"/>
      <c r="QFB157" s="37"/>
      <c r="QFC157" s="37"/>
      <c r="QFD157" s="37"/>
      <c r="QFE157" s="37"/>
      <c r="QFF157" s="37"/>
      <c r="QFG157" s="37"/>
      <c r="QFH157" s="37"/>
      <c r="QFI157" s="37"/>
      <c r="QFJ157" s="37"/>
      <c r="QFK157" s="37"/>
      <c r="QFL157" s="37"/>
      <c r="QFM157" s="37"/>
      <c r="QFN157" s="37"/>
      <c r="QFO157" s="37"/>
      <c r="QFP157" s="37"/>
      <c r="QFQ157" s="37"/>
      <c r="QFR157" s="37"/>
      <c r="QFS157" s="37"/>
      <c r="QFT157" s="37"/>
      <c r="QFU157" s="37"/>
      <c r="QFV157" s="37"/>
      <c r="QFW157" s="37"/>
      <c r="QFX157" s="37"/>
      <c r="QFY157" s="37"/>
      <c r="QFZ157" s="37"/>
      <c r="QGA157" s="37"/>
      <c r="QGB157" s="37"/>
      <c r="QGC157" s="37"/>
      <c r="QGD157" s="37"/>
      <c r="QGE157" s="37"/>
      <c r="QGF157" s="37"/>
      <c r="QGG157" s="37"/>
      <c r="QGH157" s="37"/>
      <c r="QGI157" s="37"/>
      <c r="QGJ157" s="37"/>
      <c r="QGK157" s="37"/>
      <c r="QGL157" s="37"/>
      <c r="QGM157" s="37"/>
      <c r="QGN157" s="37"/>
      <c r="QGO157" s="37"/>
      <c r="QGP157" s="37"/>
      <c r="QGQ157" s="37"/>
      <c r="QGR157" s="37"/>
      <c r="QGS157" s="37"/>
      <c r="QGT157" s="37"/>
      <c r="QGU157" s="37"/>
      <c r="QGV157" s="37"/>
      <c r="QGW157" s="37"/>
      <c r="QGX157" s="37"/>
      <c r="QGY157" s="37"/>
      <c r="QGZ157" s="37"/>
      <c r="QHA157" s="37"/>
      <c r="QHB157" s="37"/>
      <c r="QHC157" s="37"/>
      <c r="QHD157" s="37"/>
      <c r="QHE157" s="37"/>
      <c r="QHF157" s="37"/>
      <c r="QHG157" s="37"/>
      <c r="QHH157" s="37"/>
      <c r="QHI157" s="37"/>
      <c r="QHJ157" s="37"/>
      <c r="QHK157" s="37"/>
      <c r="QHL157" s="37"/>
      <c r="QHM157" s="37"/>
      <c r="QHN157" s="37"/>
      <c r="QHO157" s="37"/>
      <c r="QHP157" s="37"/>
      <c r="QHQ157" s="37"/>
      <c r="QHR157" s="37"/>
      <c r="QHS157" s="37"/>
      <c r="QHT157" s="37"/>
      <c r="QHU157" s="37"/>
      <c r="QHV157" s="37"/>
      <c r="QHW157" s="37"/>
      <c r="QHX157" s="37"/>
      <c r="QHY157" s="37"/>
      <c r="QHZ157" s="37"/>
      <c r="QIA157" s="37"/>
      <c r="QIB157" s="37"/>
      <c r="QIC157" s="37"/>
      <c r="QID157" s="37"/>
      <c r="QIE157" s="37"/>
      <c r="QIF157" s="37"/>
      <c r="QIG157" s="37"/>
      <c r="QIH157" s="37"/>
      <c r="QII157" s="37"/>
      <c r="QIJ157" s="37"/>
      <c r="QIK157" s="37"/>
      <c r="QIL157" s="37"/>
      <c r="QIM157" s="37"/>
      <c r="QIN157" s="37"/>
      <c r="QIO157" s="37"/>
      <c r="QIP157" s="37"/>
      <c r="QIQ157" s="37"/>
      <c r="QIR157" s="37"/>
      <c r="QIS157" s="37"/>
      <c r="QIT157" s="37"/>
      <c r="QIU157" s="37"/>
      <c r="QIV157" s="37"/>
      <c r="QIW157" s="37"/>
      <c r="QIX157" s="37"/>
      <c r="QIY157" s="37"/>
      <c r="QIZ157" s="37"/>
      <c r="QJA157" s="37"/>
      <c r="QJB157" s="37"/>
      <c r="QJC157" s="37"/>
      <c r="QJD157" s="37"/>
      <c r="QJE157" s="37"/>
      <c r="QJF157" s="37"/>
      <c r="QJG157" s="37"/>
      <c r="QJH157" s="37"/>
      <c r="QJI157" s="37"/>
      <c r="QJJ157" s="37"/>
      <c r="QJK157" s="37"/>
      <c r="QJL157" s="37"/>
      <c r="QJM157" s="37"/>
      <c r="QJN157" s="37"/>
      <c r="QJO157" s="37"/>
      <c r="QJP157" s="37"/>
      <c r="QJQ157" s="37"/>
      <c r="QJR157" s="37"/>
      <c r="QJS157" s="37"/>
      <c r="QJT157" s="37"/>
      <c r="QJU157" s="37"/>
      <c r="QJV157" s="37"/>
      <c r="QJW157" s="37"/>
      <c r="QJX157" s="37"/>
      <c r="QJY157" s="37"/>
      <c r="QJZ157" s="37"/>
      <c r="QKA157" s="37"/>
      <c r="QKB157" s="37"/>
      <c r="QKC157" s="37"/>
      <c r="QKD157" s="37"/>
      <c r="QKE157" s="37"/>
      <c r="QKF157" s="37"/>
      <c r="QKG157" s="37"/>
      <c r="QKH157" s="37"/>
      <c r="QKI157" s="37"/>
      <c r="QKJ157" s="37"/>
      <c r="QKK157" s="37"/>
      <c r="QKL157" s="37"/>
      <c r="QKM157" s="37"/>
      <c r="QKN157" s="37"/>
      <c r="QKO157" s="37"/>
      <c r="QKP157" s="37"/>
      <c r="QKQ157" s="37"/>
      <c r="QKR157" s="37"/>
      <c r="QKS157" s="37"/>
      <c r="QKT157" s="37"/>
      <c r="QKU157" s="37"/>
      <c r="QKV157" s="37"/>
      <c r="QKW157" s="37"/>
      <c r="QKX157" s="37"/>
      <c r="QKY157" s="37"/>
      <c r="QKZ157" s="37"/>
      <c r="QLA157" s="37"/>
      <c r="QLB157" s="37"/>
      <c r="QLC157" s="37"/>
      <c r="QLD157" s="37"/>
      <c r="QLE157" s="37"/>
      <c r="QLF157" s="37"/>
      <c r="QLG157" s="37"/>
      <c r="QLH157" s="37"/>
      <c r="QLI157" s="37"/>
      <c r="QLJ157" s="37"/>
      <c r="QLK157" s="37"/>
      <c r="QLL157" s="37"/>
      <c r="QLM157" s="37"/>
      <c r="QLN157" s="37"/>
      <c r="QLO157" s="37"/>
      <c r="QLP157" s="37"/>
      <c r="QLQ157" s="37"/>
      <c r="QLR157" s="37"/>
      <c r="QLS157" s="37"/>
      <c r="QLT157" s="37"/>
      <c r="QLU157" s="37"/>
      <c r="QLV157" s="37"/>
      <c r="QLW157" s="37"/>
      <c r="QLX157" s="37"/>
      <c r="QLY157" s="37"/>
      <c r="QLZ157" s="37"/>
      <c r="QMA157" s="37"/>
      <c r="QMB157" s="37"/>
      <c r="QMC157" s="37"/>
      <c r="QMD157" s="37"/>
      <c r="QME157" s="37"/>
      <c r="QMF157" s="37"/>
      <c r="QMG157" s="37"/>
      <c r="QMH157" s="37"/>
      <c r="QMI157" s="37"/>
      <c r="QMJ157" s="37"/>
      <c r="QMK157" s="37"/>
      <c r="QML157" s="37"/>
      <c r="QMM157" s="37"/>
      <c r="QMN157" s="37"/>
      <c r="QMO157" s="37"/>
      <c r="QMP157" s="37"/>
      <c r="QMQ157" s="37"/>
      <c r="QMR157" s="37"/>
      <c r="QMS157" s="37"/>
      <c r="QMT157" s="37"/>
      <c r="QMU157" s="37"/>
      <c r="QMV157" s="37"/>
      <c r="QMW157" s="37"/>
      <c r="QMX157" s="37"/>
      <c r="QMY157" s="37"/>
      <c r="QMZ157" s="37"/>
      <c r="QNA157" s="37"/>
      <c r="QNB157" s="37"/>
      <c r="QNC157" s="37"/>
      <c r="QND157" s="37"/>
      <c r="QNE157" s="37"/>
      <c r="QNF157" s="37"/>
      <c r="QNG157" s="37"/>
      <c r="QNH157" s="37"/>
      <c r="QNI157" s="37"/>
      <c r="QNJ157" s="37"/>
      <c r="QNK157" s="37"/>
      <c r="QNL157" s="37"/>
      <c r="QNM157" s="37"/>
      <c r="QNN157" s="37"/>
      <c r="QNO157" s="37"/>
      <c r="QNP157" s="37"/>
      <c r="QNQ157" s="37"/>
      <c r="QNR157" s="37"/>
      <c r="QNS157" s="37"/>
      <c r="QNT157" s="37"/>
      <c r="QNU157" s="37"/>
      <c r="QNV157" s="37"/>
      <c r="QNW157" s="37"/>
      <c r="QNX157" s="37"/>
      <c r="QNY157" s="37"/>
      <c r="QNZ157" s="37"/>
      <c r="QOA157" s="37"/>
      <c r="QOB157" s="37"/>
      <c r="QOC157" s="37"/>
      <c r="QOD157" s="37"/>
      <c r="QOE157" s="37"/>
      <c r="QOF157" s="37"/>
      <c r="QOG157" s="37"/>
      <c r="QOH157" s="37"/>
      <c r="QOI157" s="37"/>
      <c r="QOJ157" s="37"/>
      <c r="QOK157" s="37"/>
      <c r="QOL157" s="37"/>
      <c r="QOM157" s="37"/>
      <c r="QON157" s="37"/>
      <c r="QOO157" s="37"/>
      <c r="QOP157" s="37"/>
      <c r="QOQ157" s="37"/>
      <c r="QOR157" s="37"/>
      <c r="QOS157" s="37"/>
      <c r="QOT157" s="37"/>
      <c r="QOU157" s="37"/>
      <c r="QOV157" s="37"/>
      <c r="QOW157" s="37"/>
      <c r="QOX157" s="37"/>
      <c r="QOY157" s="37"/>
      <c r="QOZ157" s="37"/>
      <c r="QPA157" s="37"/>
      <c r="QPB157" s="37"/>
      <c r="QPC157" s="37"/>
      <c r="QPD157" s="37"/>
      <c r="QPE157" s="37"/>
      <c r="QPF157" s="37"/>
      <c r="QPG157" s="37"/>
      <c r="QPH157" s="37"/>
      <c r="QPI157" s="37"/>
      <c r="QPJ157" s="37"/>
      <c r="QPK157" s="37"/>
      <c r="QPL157" s="37"/>
      <c r="QPM157" s="37"/>
      <c r="QPN157" s="37"/>
      <c r="QPO157" s="37"/>
      <c r="QPP157" s="37"/>
      <c r="QPQ157" s="37"/>
      <c r="QPR157" s="37"/>
      <c r="QPS157" s="37"/>
      <c r="QPT157" s="37"/>
      <c r="QPU157" s="37"/>
      <c r="QPV157" s="37"/>
      <c r="QPW157" s="37"/>
      <c r="QPX157" s="37"/>
      <c r="QPY157" s="37"/>
      <c r="QPZ157" s="37"/>
      <c r="QQA157" s="37"/>
      <c r="QQB157" s="37"/>
      <c r="QQC157" s="37"/>
      <c r="QQD157" s="37"/>
      <c r="QQE157" s="37"/>
      <c r="QQF157" s="37"/>
      <c r="QQG157" s="37"/>
      <c r="QQH157" s="37"/>
      <c r="QQI157" s="37"/>
      <c r="QQJ157" s="37"/>
      <c r="QQK157" s="37"/>
      <c r="QQL157" s="37"/>
      <c r="QQM157" s="37"/>
      <c r="QQN157" s="37"/>
      <c r="QQO157" s="37"/>
      <c r="QQP157" s="37"/>
      <c r="QQQ157" s="37"/>
      <c r="QQR157" s="37"/>
      <c r="QQS157" s="37"/>
      <c r="QQT157" s="37"/>
      <c r="QQU157" s="37"/>
      <c r="QQV157" s="37"/>
      <c r="QQW157" s="37"/>
      <c r="QQX157" s="37"/>
      <c r="QQY157" s="37"/>
      <c r="QQZ157" s="37"/>
      <c r="QRA157" s="37"/>
      <c r="QRB157" s="37"/>
      <c r="QRC157" s="37"/>
      <c r="QRD157" s="37"/>
      <c r="QRE157" s="37"/>
      <c r="QRF157" s="37"/>
      <c r="QRG157" s="37"/>
      <c r="QRH157" s="37"/>
      <c r="QRI157" s="37"/>
      <c r="QRJ157" s="37"/>
      <c r="QRK157" s="37"/>
      <c r="QRL157" s="37"/>
      <c r="QRM157" s="37"/>
      <c r="QRN157" s="37"/>
      <c r="QRO157" s="37"/>
      <c r="QRP157" s="37"/>
      <c r="QRQ157" s="37"/>
      <c r="QRR157" s="37"/>
      <c r="QRS157" s="37"/>
      <c r="QRT157" s="37"/>
      <c r="QRU157" s="37"/>
      <c r="QRV157" s="37"/>
      <c r="QRW157" s="37"/>
      <c r="QRX157" s="37"/>
      <c r="QRY157" s="37"/>
      <c r="QRZ157" s="37"/>
      <c r="QSA157" s="37"/>
      <c r="QSB157" s="37"/>
      <c r="QSC157" s="37"/>
      <c r="QSD157" s="37"/>
      <c r="QSE157" s="37"/>
      <c r="QSF157" s="37"/>
      <c r="QSG157" s="37"/>
      <c r="QSH157" s="37"/>
      <c r="QSI157" s="37"/>
      <c r="QSJ157" s="37"/>
      <c r="QSK157" s="37"/>
      <c r="QSL157" s="37"/>
      <c r="QSM157" s="37"/>
      <c r="QSN157" s="37"/>
      <c r="QSO157" s="37"/>
      <c r="QSP157" s="37"/>
      <c r="QSQ157" s="37"/>
      <c r="QSR157" s="37"/>
      <c r="QSS157" s="37"/>
      <c r="QST157" s="37"/>
      <c r="QSU157" s="37"/>
      <c r="QSV157" s="37"/>
      <c r="QSW157" s="37"/>
      <c r="QSX157" s="37"/>
      <c r="QSY157" s="37"/>
      <c r="QSZ157" s="37"/>
      <c r="QTA157" s="37"/>
      <c r="QTB157" s="37"/>
      <c r="QTC157" s="37"/>
      <c r="QTD157" s="37"/>
      <c r="QTE157" s="37"/>
      <c r="QTF157" s="37"/>
      <c r="QTG157" s="37"/>
      <c r="QTH157" s="37"/>
      <c r="QTI157" s="37"/>
      <c r="QTJ157" s="37"/>
      <c r="QTK157" s="37"/>
      <c r="QTL157" s="37"/>
      <c r="QTM157" s="37"/>
      <c r="QTN157" s="37"/>
      <c r="QTO157" s="37"/>
      <c r="QTP157" s="37"/>
      <c r="QTQ157" s="37"/>
      <c r="QTR157" s="37"/>
      <c r="QTS157" s="37"/>
      <c r="QTT157" s="37"/>
      <c r="QTU157" s="37"/>
      <c r="QTV157" s="37"/>
      <c r="QTW157" s="37"/>
      <c r="QTX157" s="37"/>
      <c r="QTY157" s="37"/>
      <c r="QTZ157" s="37"/>
      <c r="QUA157" s="37"/>
      <c r="QUB157" s="37"/>
      <c r="QUC157" s="37"/>
      <c r="QUD157" s="37"/>
      <c r="QUE157" s="37"/>
      <c r="QUF157" s="37"/>
      <c r="QUG157" s="37"/>
      <c r="QUH157" s="37"/>
      <c r="QUI157" s="37"/>
      <c r="QUJ157" s="37"/>
      <c r="QUK157" s="37"/>
      <c r="QUL157" s="37"/>
      <c r="QUM157" s="37"/>
      <c r="QUN157" s="37"/>
      <c r="QUO157" s="37"/>
      <c r="QUP157" s="37"/>
      <c r="QUQ157" s="37"/>
      <c r="QUR157" s="37"/>
      <c r="QUS157" s="37"/>
      <c r="QUT157" s="37"/>
      <c r="QUU157" s="37"/>
      <c r="QUV157" s="37"/>
      <c r="QUW157" s="37"/>
      <c r="QUX157" s="37"/>
      <c r="QUY157" s="37"/>
      <c r="QUZ157" s="37"/>
      <c r="QVA157" s="37"/>
      <c r="QVB157" s="37"/>
      <c r="QVC157" s="37"/>
      <c r="QVD157" s="37"/>
      <c r="QVE157" s="37"/>
      <c r="QVF157" s="37"/>
      <c r="QVG157" s="37"/>
      <c r="QVH157" s="37"/>
      <c r="QVI157" s="37"/>
      <c r="QVJ157" s="37"/>
      <c r="QVK157" s="37"/>
      <c r="QVL157" s="37"/>
      <c r="QVM157" s="37"/>
      <c r="QVN157" s="37"/>
      <c r="QVO157" s="37"/>
      <c r="QVP157" s="37"/>
      <c r="QVQ157" s="37"/>
      <c r="QVR157" s="37"/>
      <c r="QVS157" s="37"/>
      <c r="QVT157" s="37"/>
      <c r="QVU157" s="37"/>
      <c r="QVV157" s="37"/>
      <c r="QVW157" s="37"/>
      <c r="QVX157" s="37"/>
      <c r="QVY157" s="37"/>
      <c r="QVZ157" s="37"/>
      <c r="QWA157" s="37"/>
      <c r="QWB157" s="37"/>
      <c r="QWC157" s="37"/>
      <c r="QWD157" s="37"/>
      <c r="QWE157" s="37"/>
      <c r="QWF157" s="37"/>
      <c r="QWG157" s="37"/>
      <c r="QWH157" s="37"/>
      <c r="QWI157" s="37"/>
      <c r="QWJ157" s="37"/>
      <c r="QWK157" s="37"/>
      <c r="QWL157" s="37"/>
      <c r="QWM157" s="37"/>
      <c r="QWN157" s="37"/>
      <c r="QWO157" s="37"/>
      <c r="QWP157" s="37"/>
      <c r="QWQ157" s="37"/>
      <c r="QWR157" s="37"/>
      <c r="QWS157" s="37"/>
      <c r="QWT157" s="37"/>
      <c r="QWU157" s="37"/>
      <c r="QWV157" s="37"/>
      <c r="QWW157" s="37"/>
      <c r="QWX157" s="37"/>
      <c r="QWY157" s="37"/>
      <c r="QWZ157" s="37"/>
      <c r="QXA157" s="37"/>
      <c r="QXB157" s="37"/>
      <c r="QXC157" s="37"/>
      <c r="QXD157" s="37"/>
      <c r="QXE157" s="37"/>
      <c r="QXF157" s="37"/>
      <c r="QXG157" s="37"/>
      <c r="QXH157" s="37"/>
      <c r="QXI157" s="37"/>
      <c r="QXJ157" s="37"/>
      <c r="QXK157" s="37"/>
      <c r="QXL157" s="37"/>
      <c r="QXM157" s="37"/>
      <c r="QXN157" s="37"/>
      <c r="QXO157" s="37"/>
      <c r="QXP157" s="37"/>
      <c r="QXQ157" s="37"/>
      <c r="QXR157" s="37"/>
      <c r="QXS157" s="37"/>
      <c r="QXT157" s="37"/>
      <c r="QXU157" s="37"/>
      <c r="QXV157" s="37"/>
      <c r="QXW157" s="37"/>
      <c r="QXX157" s="37"/>
      <c r="QXY157" s="37"/>
      <c r="QXZ157" s="37"/>
      <c r="QYA157" s="37"/>
      <c r="QYB157" s="37"/>
      <c r="QYC157" s="37"/>
      <c r="QYD157" s="37"/>
      <c r="QYE157" s="37"/>
      <c r="QYF157" s="37"/>
      <c r="QYG157" s="37"/>
      <c r="QYH157" s="37"/>
      <c r="QYI157" s="37"/>
      <c r="QYJ157" s="37"/>
      <c r="QYK157" s="37"/>
      <c r="QYL157" s="37"/>
      <c r="QYM157" s="37"/>
      <c r="QYN157" s="37"/>
      <c r="QYO157" s="37"/>
      <c r="QYP157" s="37"/>
      <c r="QYQ157" s="37"/>
      <c r="QYR157" s="37"/>
      <c r="QYS157" s="37"/>
      <c r="QYT157" s="37"/>
      <c r="QYU157" s="37"/>
      <c r="QYV157" s="37"/>
      <c r="QYW157" s="37"/>
      <c r="QYX157" s="37"/>
      <c r="QYY157" s="37"/>
      <c r="QYZ157" s="37"/>
      <c r="QZA157" s="37"/>
      <c r="QZB157" s="37"/>
      <c r="QZC157" s="37"/>
      <c r="QZD157" s="37"/>
      <c r="QZE157" s="37"/>
      <c r="QZF157" s="37"/>
      <c r="QZG157" s="37"/>
      <c r="QZH157" s="37"/>
      <c r="QZI157" s="37"/>
      <c r="QZJ157" s="37"/>
      <c r="QZK157" s="37"/>
      <c r="QZL157" s="37"/>
      <c r="QZM157" s="37"/>
      <c r="QZN157" s="37"/>
      <c r="QZO157" s="37"/>
      <c r="QZP157" s="37"/>
      <c r="QZQ157" s="37"/>
      <c r="QZR157" s="37"/>
      <c r="QZS157" s="37"/>
      <c r="QZT157" s="37"/>
      <c r="QZU157" s="37"/>
      <c r="QZV157" s="37"/>
      <c r="QZW157" s="37"/>
      <c r="QZX157" s="37"/>
      <c r="QZY157" s="37"/>
      <c r="QZZ157" s="37"/>
      <c r="RAA157" s="37"/>
      <c r="RAB157" s="37"/>
      <c r="RAC157" s="37"/>
      <c r="RAD157" s="37"/>
      <c r="RAE157" s="37"/>
      <c r="RAF157" s="37"/>
      <c r="RAG157" s="37"/>
      <c r="RAH157" s="37"/>
      <c r="RAI157" s="37"/>
      <c r="RAJ157" s="37"/>
      <c r="RAK157" s="37"/>
      <c r="RAL157" s="37"/>
      <c r="RAM157" s="37"/>
      <c r="RAN157" s="37"/>
      <c r="RAO157" s="37"/>
      <c r="RAP157" s="37"/>
      <c r="RAQ157" s="37"/>
      <c r="RAR157" s="37"/>
      <c r="RAS157" s="37"/>
      <c r="RAT157" s="37"/>
      <c r="RAU157" s="37"/>
      <c r="RAV157" s="37"/>
      <c r="RAW157" s="37"/>
      <c r="RAX157" s="37"/>
      <c r="RAY157" s="37"/>
      <c r="RAZ157" s="37"/>
      <c r="RBA157" s="37"/>
      <c r="RBB157" s="37"/>
      <c r="RBC157" s="37"/>
      <c r="RBD157" s="37"/>
      <c r="RBE157" s="37"/>
      <c r="RBF157" s="37"/>
      <c r="RBG157" s="37"/>
      <c r="RBH157" s="37"/>
      <c r="RBI157" s="37"/>
      <c r="RBJ157" s="37"/>
      <c r="RBK157" s="37"/>
      <c r="RBL157" s="37"/>
      <c r="RBM157" s="37"/>
      <c r="RBN157" s="37"/>
      <c r="RBO157" s="37"/>
      <c r="RBP157" s="37"/>
      <c r="RBQ157" s="37"/>
      <c r="RBR157" s="37"/>
      <c r="RBS157" s="37"/>
      <c r="RBT157" s="37"/>
      <c r="RBU157" s="37"/>
      <c r="RBV157" s="37"/>
      <c r="RBW157" s="37"/>
      <c r="RBX157" s="37"/>
      <c r="RBY157" s="37"/>
      <c r="RBZ157" s="37"/>
      <c r="RCA157" s="37"/>
      <c r="RCB157" s="37"/>
      <c r="RCC157" s="37"/>
      <c r="RCD157" s="37"/>
      <c r="RCE157" s="37"/>
      <c r="RCF157" s="37"/>
      <c r="RCG157" s="37"/>
      <c r="RCH157" s="37"/>
      <c r="RCI157" s="37"/>
      <c r="RCJ157" s="37"/>
      <c r="RCK157" s="37"/>
      <c r="RCL157" s="37"/>
      <c r="RCM157" s="37"/>
      <c r="RCN157" s="37"/>
      <c r="RCO157" s="37"/>
      <c r="RCP157" s="37"/>
      <c r="RCQ157" s="37"/>
      <c r="RCR157" s="37"/>
      <c r="RCS157" s="37"/>
      <c r="RCT157" s="37"/>
      <c r="RCU157" s="37"/>
      <c r="RCV157" s="37"/>
      <c r="RCW157" s="37"/>
      <c r="RCX157" s="37"/>
      <c r="RCY157" s="37"/>
      <c r="RCZ157" s="37"/>
      <c r="RDA157" s="37"/>
      <c r="RDB157" s="37"/>
      <c r="RDC157" s="37"/>
      <c r="RDD157" s="37"/>
      <c r="RDE157" s="37"/>
      <c r="RDF157" s="37"/>
      <c r="RDG157" s="37"/>
      <c r="RDH157" s="37"/>
      <c r="RDI157" s="37"/>
      <c r="RDJ157" s="37"/>
      <c r="RDK157" s="37"/>
      <c r="RDL157" s="37"/>
      <c r="RDM157" s="37"/>
      <c r="RDN157" s="37"/>
      <c r="RDO157" s="37"/>
      <c r="RDP157" s="37"/>
      <c r="RDQ157" s="37"/>
      <c r="RDR157" s="37"/>
      <c r="RDS157" s="37"/>
      <c r="RDT157" s="37"/>
      <c r="RDU157" s="37"/>
      <c r="RDV157" s="37"/>
      <c r="RDW157" s="37"/>
      <c r="RDX157" s="37"/>
      <c r="RDY157" s="37"/>
      <c r="RDZ157" s="37"/>
      <c r="REA157" s="37"/>
      <c r="REB157" s="37"/>
      <c r="REC157" s="37"/>
      <c r="RED157" s="37"/>
      <c r="REE157" s="37"/>
      <c r="REF157" s="37"/>
      <c r="REG157" s="37"/>
      <c r="REH157" s="37"/>
      <c r="REI157" s="37"/>
      <c r="REJ157" s="37"/>
      <c r="REK157" s="37"/>
      <c r="REL157" s="37"/>
      <c r="REM157" s="37"/>
      <c r="REN157" s="37"/>
      <c r="REO157" s="37"/>
      <c r="REP157" s="37"/>
      <c r="REQ157" s="37"/>
      <c r="RER157" s="37"/>
      <c r="RES157" s="37"/>
      <c r="RET157" s="37"/>
      <c r="REU157" s="37"/>
      <c r="REV157" s="37"/>
      <c r="REW157" s="37"/>
      <c r="REX157" s="37"/>
      <c r="REY157" s="37"/>
      <c r="REZ157" s="37"/>
      <c r="RFA157" s="37"/>
      <c r="RFB157" s="37"/>
      <c r="RFC157" s="37"/>
      <c r="RFD157" s="37"/>
      <c r="RFE157" s="37"/>
      <c r="RFF157" s="37"/>
      <c r="RFG157" s="37"/>
      <c r="RFH157" s="37"/>
      <c r="RFI157" s="37"/>
      <c r="RFJ157" s="37"/>
      <c r="RFK157" s="37"/>
      <c r="RFL157" s="37"/>
      <c r="RFM157" s="37"/>
      <c r="RFN157" s="37"/>
      <c r="RFO157" s="37"/>
      <c r="RFP157" s="37"/>
      <c r="RFQ157" s="37"/>
      <c r="RFR157" s="37"/>
      <c r="RFS157" s="37"/>
      <c r="RFT157" s="37"/>
      <c r="RFU157" s="37"/>
      <c r="RFV157" s="37"/>
      <c r="RFW157" s="37"/>
      <c r="RFX157" s="37"/>
      <c r="RFY157" s="37"/>
      <c r="RFZ157" s="37"/>
      <c r="RGA157" s="37"/>
      <c r="RGB157" s="37"/>
      <c r="RGC157" s="37"/>
      <c r="RGD157" s="37"/>
      <c r="RGE157" s="37"/>
      <c r="RGF157" s="37"/>
      <c r="RGG157" s="37"/>
      <c r="RGH157" s="37"/>
      <c r="RGI157" s="37"/>
      <c r="RGJ157" s="37"/>
      <c r="RGK157" s="37"/>
      <c r="RGL157" s="37"/>
      <c r="RGM157" s="37"/>
      <c r="RGN157" s="37"/>
      <c r="RGO157" s="37"/>
      <c r="RGP157" s="37"/>
      <c r="RGQ157" s="37"/>
      <c r="RGR157" s="37"/>
      <c r="RGS157" s="37"/>
      <c r="RGT157" s="37"/>
      <c r="RGU157" s="37"/>
      <c r="RGV157" s="37"/>
      <c r="RGW157" s="37"/>
      <c r="RGX157" s="37"/>
      <c r="RGY157" s="37"/>
      <c r="RGZ157" s="37"/>
      <c r="RHA157" s="37"/>
      <c r="RHB157" s="37"/>
      <c r="RHC157" s="37"/>
      <c r="RHD157" s="37"/>
      <c r="RHE157" s="37"/>
      <c r="RHF157" s="37"/>
      <c r="RHG157" s="37"/>
      <c r="RHH157" s="37"/>
      <c r="RHI157" s="37"/>
      <c r="RHJ157" s="37"/>
      <c r="RHK157" s="37"/>
      <c r="RHL157" s="37"/>
      <c r="RHM157" s="37"/>
      <c r="RHN157" s="37"/>
      <c r="RHO157" s="37"/>
      <c r="RHP157" s="37"/>
      <c r="RHQ157" s="37"/>
      <c r="RHR157" s="37"/>
      <c r="RHS157" s="37"/>
      <c r="RHT157" s="37"/>
      <c r="RHU157" s="37"/>
      <c r="RHV157" s="37"/>
      <c r="RHW157" s="37"/>
      <c r="RHX157" s="37"/>
      <c r="RHY157" s="37"/>
      <c r="RHZ157" s="37"/>
      <c r="RIA157" s="37"/>
      <c r="RIB157" s="37"/>
      <c r="RIC157" s="37"/>
      <c r="RID157" s="37"/>
      <c r="RIE157" s="37"/>
      <c r="RIF157" s="37"/>
      <c r="RIG157" s="37"/>
      <c r="RIH157" s="37"/>
      <c r="RII157" s="37"/>
      <c r="RIJ157" s="37"/>
      <c r="RIK157" s="37"/>
      <c r="RIL157" s="37"/>
      <c r="RIM157" s="37"/>
      <c r="RIN157" s="37"/>
      <c r="RIO157" s="37"/>
      <c r="RIP157" s="37"/>
      <c r="RIQ157" s="37"/>
      <c r="RIR157" s="37"/>
      <c r="RIS157" s="37"/>
      <c r="RIT157" s="37"/>
      <c r="RIU157" s="37"/>
      <c r="RIV157" s="37"/>
      <c r="RIW157" s="37"/>
      <c r="RIX157" s="37"/>
      <c r="RIY157" s="37"/>
      <c r="RIZ157" s="37"/>
      <c r="RJA157" s="37"/>
      <c r="RJB157" s="37"/>
      <c r="RJC157" s="37"/>
      <c r="RJD157" s="37"/>
      <c r="RJE157" s="37"/>
      <c r="RJF157" s="37"/>
      <c r="RJG157" s="37"/>
      <c r="RJH157" s="37"/>
      <c r="RJI157" s="37"/>
      <c r="RJJ157" s="37"/>
      <c r="RJK157" s="37"/>
      <c r="RJL157" s="37"/>
      <c r="RJM157" s="37"/>
      <c r="RJN157" s="37"/>
      <c r="RJO157" s="37"/>
      <c r="RJP157" s="37"/>
      <c r="RJQ157" s="37"/>
      <c r="RJR157" s="37"/>
      <c r="RJS157" s="37"/>
      <c r="RJT157" s="37"/>
      <c r="RJU157" s="37"/>
      <c r="RJV157" s="37"/>
      <c r="RJW157" s="37"/>
      <c r="RJX157" s="37"/>
      <c r="RJY157" s="37"/>
      <c r="RJZ157" s="37"/>
      <c r="RKA157" s="37"/>
      <c r="RKB157" s="37"/>
      <c r="RKC157" s="37"/>
      <c r="RKD157" s="37"/>
      <c r="RKE157" s="37"/>
      <c r="RKF157" s="37"/>
      <c r="RKG157" s="37"/>
      <c r="RKH157" s="37"/>
      <c r="RKI157" s="37"/>
      <c r="RKJ157" s="37"/>
      <c r="RKK157" s="37"/>
      <c r="RKL157" s="37"/>
      <c r="RKM157" s="37"/>
      <c r="RKN157" s="37"/>
      <c r="RKO157" s="37"/>
      <c r="RKP157" s="37"/>
      <c r="RKQ157" s="37"/>
      <c r="RKR157" s="37"/>
      <c r="RKS157" s="37"/>
      <c r="RKT157" s="37"/>
      <c r="RKU157" s="37"/>
      <c r="RKV157" s="37"/>
      <c r="RKW157" s="37"/>
      <c r="RKX157" s="37"/>
      <c r="RKY157" s="37"/>
      <c r="RKZ157" s="37"/>
      <c r="RLA157" s="37"/>
      <c r="RLB157" s="37"/>
      <c r="RLC157" s="37"/>
      <c r="RLD157" s="37"/>
      <c r="RLE157" s="37"/>
      <c r="RLF157" s="37"/>
      <c r="RLG157" s="37"/>
      <c r="RLH157" s="37"/>
      <c r="RLI157" s="37"/>
      <c r="RLJ157" s="37"/>
      <c r="RLK157" s="37"/>
      <c r="RLL157" s="37"/>
      <c r="RLM157" s="37"/>
      <c r="RLN157" s="37"/>
      <c r="RLO157" s="37"/>
      <c r="RLP157" s="37"/>
      <c r="RLQ157" s="37"/>
      <c r="RLR157" s="37"/>
      <c r="RLS157" s="37"/>
      <c r="RLT157" s="37"/>
      <c r="RLU157" s="37"/>
      <c r="RLV157" s="37"/>
      <c r="RLW157" s="37"/>
      <c r="RLX157" s="37"/>
      <c r="RLY157" s="37"/>
      <c r="RLZ157" s="37"/>
      <c r="RMA157" s="37"/>
      <c r="RMB157" s="37"/>
      <c r="RMC157" s="37"/>
      <c r="RMD157" s="37"/>
      <c r="RME157" s="37"/>
      <c r="RMF157" s="37"/>
      <c r="RMG157" s="37"/>
      <c r="RMH157" s="37"/>
      <c r="RMI157" s="37"/>
      <c r="RMJ157" s="37"/>
      <c r="RMK157" s="37"/>
      <c r="RML157" s="37"/>
      <c r="RMM157" s="37"/>
      <c r="RMN157" s="37"/>
      <c r="RMO157" s="37"/>
      <c r="RMP157" s="37"/>
      <c r="RMQ157" s="37"/>
      <c r="RMR157" s="37"/>
      <c r="RMS157" s="37"/>
      <c r="RMT157" s="37"/>
      <c r="RMU157" s="37"/>
      <c r="RMV157" s="37"/>
      <c r="RMW157" s="37"/>
      <c r="RMX157" s="37"/>
      <c r="RMY157" s="37"/>
      <c r="RMZ157" s="37"/>
      <c r="RNA157" s="37"/>
      <c r="RNB157" s="37"/>
      <c r="RNC157" s="37"/>
      <c r="RND157" s="37"/>
      <c r="RNE157" s="37"/>
      <c r="RNF157" s="37"/>
      <c r="RNG157" s="37"/>
      <c r="RNH157" s="37"/>
      <c r="RNI157" s="37"/>
      <c r="RNJ157" s="37"/>
      <c r="RNK157" s="37"/>
      <c r="RNL157" s="37"/>
      <c r="RNM157" s="37"/>
      <c r="RNN157" s="37"/>
      <c r="RNO157" s="37"/>
      <c r="RNP157" s="37"/>
      <c r="RNQ157" s="37"/>
      <c r="RNR157" s="37"/>
      <c r="RNS157" s="37"/>
      <c r="RNT157" s="37"/>
      <c r="RNU157" s="37"/>
      <c r="RNV157" s="37"/>
      <c r="RNW157" s="37"/>
      <c r="RNX157" s="37"/>
      <c r="RNY157" s="37"/>
      <c r="RNZ157" s="37"/>
      <c r="ROA157" s="37"/>
      <c r="ROB157" s="37"/>
      <c r="ROC157" s="37"/>
      <c r="ROD157" s="37"/>
      <c r="ROE157" s="37"/>
      <c r="ROF157" s="37"/>
      <c r="ROG157" s="37"/>
      <c r="ROH157" s="37"/>
      <c r="ROI157" s="37"/>
      <c r="ROJ157" s="37"/>
      <c r="ROK157" s="37"/>
      <c r="ROL157" s="37"/>
      <c r="ROM157" s="37"/>
      <c r="RON157" s="37"/>
      <c r="ROO157" s="37"/>
      <c r="ROP157" s="37"/>
      <c r="ROQ157" s="37"/>
      <c r="ROR157" s="37"/>
      <c r="ROS157" s="37"/>
      <c r="ROT157" s="37"/>
      <c r="ROU157" s="37"/>
      <c r="ROV157" s="37"/>
      <c r="ROW157" s="37"/>
      <c r="ROX157" s="37"/>
      <c r="ROY157" s="37"/>
      <c r="ROZ157" s="37"/>
      <c r="RPA157" s="37"/>
      <c r="RPB157" s="37"/>
      <c r="RPC157" s="37"/>
      <c r="RPD157" s="37"/>
      <c r="RPE157" s="37"/>
      <c r="RPF157" s="37"/>
      <c r="RPG157" s="37"/>
      <c r="RPH157" s="37"/>
      <c r="RPI157" s="37"/>
      <c r="RPJ157" s="37"/>
      <c r="RPK157" s="37"/>
      <c r="RPL157" s="37"/>
      <c r="RPM157" s="37"/>
      <c r="RPN157" s="37"/>
      <c r="RPO157" s="37"/>
      <c r="RPP157" s="37"/>
      <c r="RPQ157" s="37"/>
      <c r="RPR157" s="37"/>
      <c r="RPS157" s="37"/>
      <c r="RPT157" s="37"/>
      <c r="RPU157" s="37"/>
      <c r="RPV157" s="37"/>
      <c r="RPW157" s="37"/>
      <c r="RPX157" s="37"/>
      <c r="RPY157" s="37"/>
      <c r="RPZ157" s="37"/>
      <c r="RQA157" s="37"/>
      <c r="RQB157" s="37"/>
      <c r="RQC157" s="37"/>
      <c r="RQD157" s="37"/>
      <c r="RQE157" s="37"/>
      <c r="RQF157" s="37"/>
      <c r="RQG157" s="37"/>
      <c r="RQH157" s="37"/>
      <c r="RQI157" s="37"/>
      <c r="RQJ157" s="37"/>
      <c r="RQK157" s="37"/>
      <c r="RQL157" s="37"/>
      <c r="RQM157" s="37"/>
      <c r="RQN157" s="37"/>
      <c r="RQO157" s="37"/>
      <c r="RQP157" s="37"/>
      <c r="RQQ157" s="37"/>
      <c r="RQR157" s="37"/>
      <c r="RQS157" s="37"/>
      <c r="RQT157" s="37"/>
      <c r="RQU157" s="37"/>
      <c r="RQV157" s="37"/>
      <c r="RQW157" s="37"/>
      <c r="RQX157" s="37"/>
      <c r="RQY157" s="37"/>
      <c r="RQZ157" s="37"/>
      <c r="RRA157" s="37"/>
      <c r="RRB157" s="37"/>
      <c r="RRC157" s="37"/>
      <c r="RRD157" s="37"/>
      <c r="RRE157" s="37"/>
      <c r="RRF157" s="37"/>
      <c r="RRG157" s="37"/>
      <c r="RRH157" s="37"/>
      <c r="RRI157" s="37"/>
      <c r="RRJ157" s="37"/>
      <c r="RRK157" s="37"/>
      <c r="RRL157" s="37"/>
      <c r="RRM157" s="37"/>
      <c r="RRN157" s="37"/>
      <c r="RRO157" s="37"/>
      <c r="RRP157" s="37"/>
      <c r="RRQ157" s="37"/>
      <c r="RRR157" s="37"/>
      <c r="RRS157" s="37"/>
      <c r="RRT157" s="37"/>
      <c r="RRU157" s="37"/>
      <c r="RRV157" s="37"/>
      <c r="RRW157" s="37"/>
      <c r="RRX157" s="37"/>
      <c r="RRY157" s="37"/>
      <c r="RRZ157" s="37"/>
      <c r="RSA157" s="37"/>
      <c r="RSB157" s="37"/>
      <c r="RSC157" s="37"/>
      <c r="RSD157" s="37"/>
      <c r="RSE157" s="37"/>
      <c r="RSF157" s="37"/>
      <c r="RSG157" s="37"/>
      <c r="RSH157" s="37"/>
      <c r="RSI157" s="37"/>
      <c r="RSJ157" s="37"/>
      <c r="RSK157" s="37"/>
      <c r="RSL157" s="37"/>
      <c r="RSM157" s="37"/>
      <c r="RSN157" s="37"/>
      <c r="RSO157" s="37"/>
      <c r="RSP157" s="37"/>
      <c r="RSQ157" s="37"/>
      <c r="RSR157" s="37"/>
      <c r="RSS157" s="37"/>
      <c r="RST157" s="37"/>
      <c r="RSU157" s="37"/>
      <c r="RSV157" s="37"/>
      <c r="RSW157" s="37"/>
      <c r="RSX157" s="37"/>
      <c r="RSY157" s="37"/>
      <c r="RSZ157" s="37"/>
      <c r="RTA157" s="37"/>
      <c r="RTB157" s="37"/>
      <c r="RTC157" s="37"/>
      <c r="RTD157" s="37"/>
      <c r="RTE157" s="37"/>
      <c r="RTF157" s="37"/>
      <c r="RTG157" s="37"/>
      <c r="RTH157" s="37"/>
      <c r="RTI157" s="37"/>
      <c r="RTJ157" s="37"/>
      <c r="RTK157" s="37"/>
      <c r="RTL157" s="37"/>
      <c r="RTM157" s="37"/>
      <c r="RTN157" s="37"/>
      <c r="RTO157" s="37"/>
      <c r="RTP157" s="37"/>
      <c r="RTQ157" s="37"/>
      <c r="RTR157" s="37"/>
      <c r="RTS157" s="37"/>
      <c r="RTT157" s="37"/>
      <c r="RTU157" s="37"/>
      <c r="RTV157" s="37"/>
      <c r="RTW157" s="37"/>
      <c r="RTX157" s="37"/>
      <c r="RTY157" s="37"/>
      <c r="RTZ157" s="37"/>
      <c r="RUA157" s="37"/>
      <c r="RUB157" s="37"/>
      <c r="RUC157" s="37"/>
      <c r="RUD157" s="37"/>
      <c r="RUE157" s="37"/>
      <c r="RUF157" s="37"/>
      <c r="RUG157" s="37"/>
      <c r="RUH157" s="37"/>
      <c r="RUI157" s="37"/>
      <c r="RUJ157" s="37"/>
      <c r="RUK157" s="37"/>
      <c r="RUL157" s="37"/>
      <c r="RUM157" s="37"/>
      <c r="RUN157" s="37"/>
      <c r="RUO157" s="37"/>
      <c r="RUP157" s="37"/>
      <c r="RUQ157" s="37"/>
      <c r="RUR157" s="37"/>
      <c r="RUS157" s="37"/>
      <c r="RUT157" s="37"/>
      <c r="RUU157" s="37"/>
      <c r="RUV157" s="37"/>
      <c r="RUW157" s="37"/>
      <c r="RUX157" s="37"/>
      <c r="RUY157" s="37"/>
      <c r="RUZ157" s="37"/>
      <c r="RVA157" s="37"/>
      <c r="RVB157" s="37"/>
      <c r="RVC157" s="37"/>
      <c r="RVD157" s="37"/>
      <c r="RVE157" s="37"/>
      <c r="RVF157" s="37"/>
      <c r="RVG157" s="37"/>
      <c r="RVH157" s="37"/>
      <c r="RVI157" s="37"/>
      <c r="RVJ157" s="37"/>
      <c r="RVK157" s="37"/>
      <c r="RVL157" s="37"/>
      <c r="RVM157" s="37"/>
      <c r="RVN157" s="37"/>
      <c r="RVO157" s="37"/>
      <c r="RVP157" s="37"/>
      <c r="RVQ157" s="37"/>
      <c r="RVR157" s="37"/>
      <c r="RVS157" s="37"/>
      <c r="RVT157" s="37"/>
      <c r="RVU157" s="37"/>
      <c r="RVV157" s="37"/>
      <c r="RVW157" s="37"/>
      <c r="RVX157" s="37"/>
      <c r="RVY157" s="37"/>
      <c r="RVZ157" s="37"/>
      <c r="RWA157" s="37"/>
      <c r="RWB157" s="37"/>
      <c r="RWC157" s="37"/>
      <c r="RWD157" s="37"/>
      <c r="RWE157" s="37"/>
      <c r="RWF157" s="37"/>
      <c r="RWG157" s="37"/>
      <c r="RWH157" s="37"/>
      <c r="RWI157" s="37"/>
      <c r="RWJ157" s="37"/>
      <c r="RWK157" s="37"/>
      <c r="RWL157" s="37"/>
      <c r="RWM157" s="37"/>
      <c r="RWN157" s="37"/>
      <c r="RWO157" s="37"/>
      <c r="RWP157" s="37"/>
      <c r="RWQ157" s="37"/>
      <c r="RWR157" s="37"/>
      <c r="RWS157" s="37"/>
      <c r="RWT157" s="37"/>
      <c r="RWU157" s="37"/>
      <c r="RWV157" s="37"/>
      <c r="RWW157" s="37"/>
      <c r="RWX157" s="37"/>
      <c r="RWY157" s="37"/>
      <c r="RWZ157" s="37"/>
      <c r="RXA157" s="37"/>
      <c r="RXB157" s="37"/>
      <c r="RXC157" s="37"/>
      <c r="RXD157" s="37"/>
      <c r="RXE157" s="37"/>
      <c r="RXF157" s="37"/>
      <c r="RXG157" s="37"/>
      <c r="RXH157" s="37"/>
      <c r="RXI157" s="37"/>
      <c r="RXJ157" s="37"/>
      <c r="RXK157" s="37"/>
      <c r="RXL157" s="37"/>
      <c r="RXM157" s="37"/>
      <c r="RXN157" s="37"/>
      <c r="RXO157" s="37"/>
      <c r="RXP157" s="37"/>
      <c r="RXQ157" s="37"/>
      <c r="RXR157" s="37"/>
      <c r="RXS157" s="37"/>
      <c r="RXT157" s="37"/>
      <c r="RXU157" s="37"/>
      <c r="RXV157" s="37"/>
      <c r="RXW157" s="37"/>
      <c r="RXX157" s="37"/>
      <c r="RXY157" s="37"/>
      <c r="RXZ157" s="37"/>
      <c r="RYA157" s="37"/>
      <c r="RYB157" s="37"/>
      <c r="RYC157" s="37"/>
      <c r="RYD157" s="37"/>
      <c r="RYE157" s="37"/>
      <c r="RYF157" s="37"/>
      <c r="RYG157" s="37"/>
      <c r="RYH157" s="37"/>
      <c r="RYI157" s="37"/>
      <c r="RYJ157" s="37"/>
      <c r="RYK157" s="37"/>
      <c r="RYL157" s="37"/>
      <c r="RYM157" s="37"/>
      <c r="RYN157" s="37"/>
      <c r="RYO157" s="37"/>
      <c r="RYP157" s="37"/>
      <c r="RYQ157" s="37"/>
      <c r="RYR157" s="37"/>
      <c r="RYS157" s="37"/>
      <c r="RYT157" s="37"/>
      <c r="RYU157" s="37"/>
      <c r="RYV157" s="37"/>
      <c r="RYW157" s="37"/>
      <c r="RYX157" s="37"/>
      <c r="RYY157" s="37"/>
      <c r="RYZ157" s="37"/>
      <c r="RZA157" s="37"/>
      <c r="RZB157" s="37"/>
      <c r="RZC157" s="37"/>
      <c r="RZD157" s="37"/>
      <c r="RZE157" s="37"/>
      <c r="RZF157" s="37"/>
      <c r="RZG157" s="37"/>
      <c r="RZH157" s="37"/>
      <c r="RZI157" s="37"/>
      <c r="RZJ157" s="37"/>
      <c r="RZK157" s="37"/>
      <c r="RZL157" s="37"/>
      <c r="RZM157" s="37"/>
      <c r="RZN157" s="37"/>
      <c r="RZO157" s="37"/>
      <c r="RZP157" s="37"/>
      <c r="RZQ157" s="37"/>
      <c r="RZR157" s="37"/>
      <c r="RZS157" s="37"/>
      <c r="RZT157" s="37"/>
      <c r="RZU157" s="37"/>
      <c r="RZV157" s="37"/>
      <c r="RZW157" s="37"/>
      <c r="RZX157" s="37"/>
      <c r="RZY157" s="37"/>
      <c r="RZZ157" s="37"/>
      <c r="SAA157" s="37"/>
      <c r="SAB157" s="37"/>
      <c r="SAC157" s="37"/>
      <c r="SAD157" s="37"/>
      <c r="SAE157" s="37"/>
      <c r="SAF157" s="37"/>
      <c r="SAG157" s="37"/>
      <c r="SAH157" s="37"/>
      <c r="SAI157" s="37"/>
      <c r="SAJ157" s="37"/>
      <c r="SAK157" s="37"/>
      <c r="SAL157" s="37"/>
      <c r="SAM157" s="37"/>
      <c r="SAN157" s="37"/>
      <c r="SAO157" s="37"/>
      <c r="SAP157" s="37"/>
      <c r="SAQ157" s="37"/>
      <c r="SAR157" s="37"/>
      <c r="SAS157" s="37"/>
      <c r="SAT157" s="37"/>
      <c r="SAU157" s="37"/>
      <c r="SAV157" s="37"/>
      <c r="SAW157" s="37"/>
      <c r="SAX157" s="37"/>
      <c r="SAY157" s="37"/>
      <c r="SAZ157" s="37"/>
      <c r="SBA157" s="37"/>
      <c r="SBB157" s="37"/>
      <c r="SBC157" s="37"/>
      <c r="SBD157" s="37"/>
      <c r="SBE157" s="37"/>
      <c r="SBF157" s="37"/>
      <c r="SBG157" s="37"/>
      <c r="SBH157" s="37"/>
      <c r="SBI157" s="37"/>
      <c r="SBJ157" s="37"/>
      <c r="SBK157" s="37"/>
      <c r="SBL157" s="37"/>
      <c r="SBM157" s="37"/>
      <c r="SBN157" s="37"/>
      <c r="SBO157" s="37"/>
      <c r="SBP157" s="37"/>
      <c r="SBQ157" s="37"/>
      <c r="SBR157" s="37"/>
      <c r="SBS157" s="37"/>
      <c r="SBT157" s="37"/>
      <c r="SBU157" s="37"/>
      <c r="SBV157" s="37"/>
      <c r="SBW157" s="37"/>
      <c r="SBX157" s="37"/>
      <c r="SBY157" s="37"/>
      <c r="SBZ157" s="37"/>
      <c r="SCA157" s="37"/>
      <c r="SCB157" s="37"/>
      <c r="SCC157" s="37"/>
      <c r="SCD157" s="37"/>
      <c r="SCE157" s="37"/>
      <c r="SCF157" s="37"/>
      <c r="SCG157" s="37"/>
      <c r="SCH157" s="37"/>
      <c r="SCI157" s="37"/>
      <c r="SCJ157" s="37"/>
      <c r="SCK157" s="37"/>
      <c r="SCL157" s="37"/>
      <c r="SCM157" s="37"/>
      <c r="SCN157" s="37"/>
      <c r="SCO157" s="37"/>
      <c r="SCP157" s="37"/>
      <c r="SCQ157" s="37"/>
      <c r="SCR157" s="37"/>
      <c r="SCS157" s="37"/>
      <c r="SCT157" s="37"/>
      <c r="SCU157" s="37"/>
      <c r="SCV157" s="37"/>
      <c r="SCW157" s="37"/>
      <c r="SCX157" s="37"/>
      <c r="SCY157" s="37"/>
      <c r="SCZ157" s="37"/>
      <c r="SDA157" s="37"/>
      <c r="SDB157" s="37"/>
      <c r="SDC157" s="37"/>
      <c r="SDD157" s="37"/>
      <c r="SDE157" s="37"/>
      <c r="SDF157" s="37"/>
      <c r="SDG157" s="37"/>
      <c r="SDH157" s="37"/>
      <c r="SDI157" s="37"/>
      <c r="SDJ157" s="37"/>
      <c r="SDK157" s="37"/>
      <c r="SDL157" s="37"/>
      <c r="SDM157" s="37"/>
      <c r="SDN157" s="37"/>
      <c r="SDO157" s="37"/>
      <c r="SDP157" s="37"/>
      <c r="SDQ157" s="37"/>
      <c r="SDR157" s="37"/>
      <c r="SDS157" s="37"/>
      <c r="SDT157" s="37"/>
      <c r="SDU157" s="37"/>
      <c r="SDV157" s="37"/>
      <c r="SDW157" s="37"/>
      <c r="SDX157" s="37"/>
      <c r="SDY157" s="37"/>
      <c r="SDZ157" s="37"/>
      <c r="SEA157" s="37"/>
      <c r="SEB157" s="37"/>
      <c r="SEC157" s="37"/>
      <c r="SED157" s="37"/>
      <c r="SEE157" s="37"/>
      <c r="SEF157" s="37"/>
      <c r="SEG157" s="37"/>
      <c r="SEH157" s="37"/>
      <c r="SEI157" s="37"/>
      <c r="SEJ157" s="37"/>
      <c r="SEK157" s="37"/>
      <c r="SEL157" s="37"/>
      <c r="SEM157" s="37"/>
      <c r="SEN157" s="37"/>
      <c r="SEO157" s="37"/>
      <c r="SEP157" s="37"/>
      <c r="SEQ157" s="37"/>
      <c r="SER157" s="37"/>
      <c r="SES157" s="37"/>
      <c r="SET157" s="37"/>
      <c r="SEU157" s="37"/>
      <c r="SEV157" s="37"/>
      <c r="SEW157" s="37"/>
      <c r="SEX157" s="37"/>
      <c r="SEY157" s="37"/>
      <c r="SEZ157" s="37"/>
      <c r="SFA157" s="37"/>
      <c r="SFB157" s="37"/>
      <c r="SFC157" s="37"/>
      <c r="SFD157" s="37"/>
      <c r="SFE157" s="37"/>
      <c r="SFF157" s="37"/>
      <c r="SFG157" s="37"/>
      <c r="SFH157" s="37"/>
      <c r="SFI157" s="37"/>
      <c r="SFJ157" s="37"/>
      <c r="SFK157" s="37"/>
      <c r="SFL157" s="37"/>
      <c r="SFM157" s="37"/>
      <c r="SFN157" s="37"/>
      <c r="SFO157" s="37"/>
      <c r="SFP157" s="37"/>
      <c r="SFQ157" s="37"/>
      <c r="SFR157" s="37"/>
      <c r="SFS157" s="37"/>
      <c r="SFT157" s="37"/>
      <c r="SFU157" s="37"/>
      <c r="SFV157" s="37"/>
      <c r="SFW157" s="37"/>
      <c r="SFX157" s="37"/>
      <c r="SFY157" s="37"/>
      <c r="SFZ157" s="37"/>
      <c r="SGA157" s="37"/>
      <c r="SGB157" s="37"/>
      <c r="SGC157" s="37"/>
      <c r="SGD157" s="37"/>
      <c r="SGE157" s="37"/>
      <c r="SGF157" s="37"/>
      <c r="SGG157" s="37"/>
      <c r="SGH157" s="37"/>
      <c r="SGI157" s="37"/>
      <c r="SGJ157" s="37"/>
      <c r="SGK157" s="37"/>
      <c r="SGL157" s="37"/>
      <c r="SGM157" s="37"/>
      <c r="SGN157" s="37"/>
      <c r="SGO157" s="37"/>
      <c r="SGP157" s="37"/>
      <c r="SGQ157" s="37"/>
      <c r="SGR157" s="37"/>
      <c r="SGS157" s="37"/>
      <c r="SGT157" s="37"/>
      <c r="SGU157" s="37"/>
      <c r="SGV157" s="37"/>
      <c r="SGW157" s="37"/>
      <c r="SGX157" s="37"/>
      <c r="SGY157" s="37"/>
      <c r="SGZ157" s="37"/>
      <c r="SHA157" s="37"/>
      <c r="SHB157" s="37"/>
      <c r="SHC157" s="37"/>
      <c r="SHD157" s="37"/>
      <c r="SHE157" s="37"/>
      <c r="SHF157" s="37"/>
      <c r="SHG157" s="37"/>
      <c r="SHH157" s="37"/>
      <c r="SHI157" s="37"/>
      <c r="SHJ157" s="37"/>
      <c r="SHK157" s="37"/>
      <c r="SHL157" s="37"/>
      <c r="SHM157" s="37"/>
      <c r="SHN157" s="37"/>
      <c r="SHO157" s="37"/>
      <c r="SHP157" s="37"/>
      <c r="SHQ157" s="37"/>
      <c r="SHR157" s="37"/>
      <c r="SHS157" s="37"/>
      <c r="SHT157" s="37"/>
      <c r="SHU157" s="37"/>
      <c r="SHV157" s="37"/>
      <c r="SHW157" s="37"/>
      <c r="SHX157" s="37"/>
      <c r="SHY157" s="37"/>
      <c r="SHZ157" s="37"/>
      <c r="SIA157" s="37"/>
      <c r="SIB157" s="37"/>
      <c r="SIC157" s="37"/>
      <c r="SID157" s="37"/>
      <c r="SIE157" s="37"/>
      <c r="SIF157" s="37"/>
      <c r="SIG157" s="37"/>
      <c r="SIH157" s="37"/>
      <c r="SII157" s="37"/>
      <c r="SIJ157" s="37"/>
      <c r="SIK157" s="37"/>
      <c r="SIL157" s="37"/>
      <c r="SIM157" s="37"/>
      <c r="SIN157" s="37"/>
      <c r="SIO157" s="37"/>
      <c r="SIP157" s="37"/>
      <c r="SIQ157" s="37"/>
      <c r="SIR157" s="37"/>
      <c r="SIS157" s="37"/>
      <c r="SIT157" s="37"/>
      <c r="SIU157" s="37"/>
      <c r="SIV157" s="37"/>
      <c r="SIW157" s="37"/>
      <c r="SIX157" s="37"/>
      <c r="SIY157" s="37"/>
      <c r="SIZ157" s="37"/>
      <c r="SJA157" s="37"/>
      <c r="SJB157" s="37"/>
      <c r="SJC157" s="37"/>
      <c r="SJD157" s="37"/>
      <c r="SJE157" s="37"/>
      <c r="SJF157" s="37"/>
      <c r="SJG157" s="37"/>
      <c r="SJH157" s="37"/>
      <c r="SJI157" s="37"/>
      <c r="SJJ157" s="37"/>
      <c r="SJK157" s="37"/>
      <c r="SJL157" s="37"/>
      <c r="SJM157" s="37"/>
      <c r="SJN157" s="37"/>
      <c r="SJO157" s="37"/>
      <c r="SJP157" s="37"/>
      <c r="SJQ157" s="37"/>
      <c r="SJR157" s="37"/>
      <c r="SJS157" s="37"/>
      <c r="SJT157" s="37"/>
      <c r="SJU157" s="37"/>
      <c r="SJV157" s="37"/>
      <c r="SJW157" s="37"/>
      <c r="SJX157" s="37"/>
      <c r="SJY157" s="37"/>
      <c r="SJZ157" s="37"/>
      <c r="SKA157" s="37"/>
      <c r="SKB157" s="37"/>
      <c r="SKC157" s="37"/>
      <c r="SKD157" s="37"/>
      <c r="SKE157" s="37"/>
      <c r="SKF157" s="37"/>
      <c r="SKG157" s="37"/>
      <c r="SKH157" s="37"/>
      <c r="SKI157" s="37"/>
      <c r="SKJ157" s="37"/>
      <c r="SKK157" s="37"/>
      <c r="SKL157" s="37"/>
      <c r="SKM157" s="37"/>
      <c r="SKN157" s="37"/>
      <c r="SKO157" s="37"/>
      <c r="SKP157" s="37"/>
      <c r="SKQ157" s="37"/>
      <c r="SKR157" s="37"/>
      <c r="SKS157" s="37"/>
      <c r="SKT157" s="37"/>
      <c r="SKU157" s="37"/>
      <c r="SKV157" s="37"/>
      <c r="SKW157" s="37"/>
      <c r="SKX157" s="37"/>
      <c r="SKY157" s="37"/>
      <c r="SKZ157" s="37"/>
      <c r="SLA157" s="37"/>
      <c r="SLB157" s="37"/>
      <c r="SLC157" s="37"/>
      <c r="SLD157" s="37"/>
      <c r="SLE157" s="37"/>
      <c r="SLF157" s="37"/>
      <c r="SLG157" s="37"/>
      <c r="SLH157" s="37"/>
      <c r="SLI157" s="37"/>
      <c r="SLJ157" s="37"/>
      <c r="SLK157" s="37"/>
      <c r="SLL157" s="37"/>
      <c r="SLM157" s="37"/>
      <c r="SLN157" s="37"/>
      <c r="SLO157" s="37"/>
      <c r="SLP157" s="37"/>
      <c r="SLQ157" s="37"/>
      <c r="SLR157" s="37"/>
      <c r="SLS157" s="37"/>
      <c r="SLT157" s="37"/>
      <c r="SLU157" s="37"/>
      <c r="SLV157" s="37"/>
      <c r="SLW157" s="37"/>
      <c r="SLX157" s="37"/>
      <c r="SLY157" s="37"/>
      <c r="SLZ157" s="37"/>
      <c r="SMA157" s="37"/>
      <c r="SMB157" s="37"/>
      <c r="SMC157" s="37"/>
      <c r="SMD157" s="37"/>
      <c r="SME157" s="37"/>
      <c r="SMF157" s="37"/>
      <c r="SMG157" s="37"/>
      <c r="SMH157" s="37"/>
      <c r="SMI157" s="37"/>
      <c r="SMJ157" s="37"/>
      <c r="SMK157" s="37"/>
      <c r="SML157" s="37"/>
      <c r="SMM157" s="37"/>
      <c r="SMN157" s="37"/>
      <c r="SMO157" s="37"/>
      <c r="SMP157" s="37"/>
      <c r="SMQ157" s="37"/>
      <c r="SMR157" s="37"/>
      <c r="SMS157" s="37"/>
      <c r="SMT157" s="37"/>
      <c r="SMU157" s="37"/>
      <c r="SMV157" s="37"/>
      <c r="SMW157" s="37"/>
      <c r="SMX157" s="37"/>
      <c r="SMY157" s="37"/>
      <c r="SMZ157" s="37"/>
      <c r="SNA157" s="37"/>
      <c r="SNB157" s="37"/>
      <c r="SNC157" s="37"/>
      <c r="SND157" s="37"/>
      <c r="SNE157" s="37"/>
      <c r="SNF157" s="37"/>
      <c r="SNG157" s="37"/>
      <c r="SNH157" s="37"/>
      <c r="SNI157" s="37"/>
      <c r="SNJ157" s="37"/>
      <c r="SNK157" s="37"/>
      <c r="SNL157" s="37"/>
      <c r="SNM157" s="37"/>
      <c r="SNN157" s="37"/>
      <c r="SNO157" s="37"/>
      <c r="SNP157" s="37"/>
      <c r="SNQ157" s="37"/>
      <c r="SNR157" s="37"/>
      <c r="SNS157" s="37"/>
      <c r="SNT157" s="37"/>
      <c r="SNU157" s="37"/>
      <c r="SNV157" s="37"/>
      <c r="SNW157" s="37"/>
      <c r="SNX157" s="37"/>
      <c r="SNY157" s="37"/>
      <c r="SNZ157" s="37"/>
      <c r="SOA157" s="37"/>
      <c r="SOB157" s="37"/>
      <c r="SOC157" s="37"/>
      <c r="SOD157" s="37"/>
      <c r="SOE157" s="37"/>
      <c r="SOF157" s="37"/>
      <c r="SOG157" s="37"/>
      <c r="SOH157" s="37"/>
      <c r="SOI157" s="37"/>
      <c r="SOJ157" s="37"/>
      <c r="SOK157" s="37"/>
      <c r="SOL157" s="37"/>
      <c r="SOM157" s="37"/>
      <c r="SON157" s="37"/>
      <c r="SOO157" s="37"/>
      <c r="SOP157" s="37"/>
      <c r="SOQ157" s="37"/>
      <c r="SOR157" s="37"/>
      <c r="SOS157" s="37"/>
      <c r="SOT157" s="37"/>
      <c r="SOU157" s="37"/>
      <c r="SOV157" s="37"/>
      <c r="SOW157" s="37"/>
      <c r="SOX157" s="37"/>
      <c r="SOY157" s="37"/>
      <c r="SOZ157" s="37"/>
      <c r="SPA157" s="37"/>
      <c r="SPB157" s="37"/>
      <c r="SPC157" s="37"/>
      <c r="SPD157" s="37"/>
      <c r="SPE157" s="37"/>
      <c r="SPF157" s="37"/>
      <c r="SPG157" s="37"/>
      <c r="SPH157" s="37"/>
      <c r="SPI157" s="37"/>
      <c r="SPJ157" s="37"/>
      <c r="SPK157" s="37"/>
      <c r="SPL157" s="37"/>
      <c r="SPM157" s="37"/>
      <c r="SPN157" s="37"/>
      <c r="SPO157" s="37"/>
      <c r="SPP157" s="37"/>
      <c r="SPQ157" s="37"/>
      <c r="SPR157" s="37"/>
      <c r="SPS157" s="37"/>
      <c r="SPT157" s="37"/>
      <c r="SPU157" s="37"/>
      <c r="SPV157" s="37"/>
      <c r="SPW157" s="37"/>
      <c r="SPX157" s="37"/>
      <c r="SPY157" s="37"/>
      <c r="SPZ157" s="37"/>
      <c r="SQA157" s="37"/>
      <c r="SQB157" s="37"/>
      <c r="SQC157" s="37"/>
      <c r="SQD157" s="37"/>
      <c r="SQE157" s="37"/>
      <c r="SQF157" s="37"/>
      <c r="SQG157" s="37"/>
      <c r="SQH157" s="37"/>
      <c r="SQI157" s="37"/>
      <c r="SQJ157" s="37"/>
      <c r="SQK157" s="37"/>
      <c r="SQL157" s="37"/>
      <c r="SQM157" s="37"/>
      <c r="SQN157" s="37"/>
      <c r="SQO157" s="37"/>
      <c r="SQP157" s="37"/>
      <c r="SQQ157" s="37"/>
      <c r="SQR157" s="37"/>
      <c r="SQS157" s="37"/>
      <c r="SQT157" s="37"/>
      <c r="SQU157" s="37"/>
      <c r="SQV157" s="37"/>
      <c r="SQW157" s="37"/>
      <c r="SQX157" s="37"/>
      <c r="SQY157" s="37"/>
      <c r="SQZ157" s="37"/>
      <c r="SRA157" s="37"/>
      <c r="SRB157" s="37"/>
      <c r="SRC157" s="37"/>
      <c r="SRD157" s="37"/>
      <c r="SRE157" s="37"/>
      <c r="SRF157" s="37"/>
      <c r="SRG157" s="37"/>
      <c r="SRH157" s="37"/>
      <c r="SRI157" s="37"/>
      <c r="SRJ157" s="37"/>
      <c r="SRK157" s="37"/>
      <c r="SRL157" s="37"/>
      <c r="SRM157" s="37"/>
      <c r="SRN157" s="37"/>
      <c r="SRO157" s="37"/>
      <c r="SRP157" s="37"/>
      <c r="SRQ157" s="37"/>
      <c r="SRR157" s="37"/>
      <c r="SRS157" s="37"/>
      <c r="SRT157" s="37"/>
      <c r="SRU157" s="37"/>
      <c r="SRV157" s="37"/>
      <c r="SRW157" s="37"/>
      <c r="SRX157" s="37"/>
      <c r="SRY157" s="37"/>
      <c r="SRZ157" s="37"/>
      <c r="SSA157" s="37"/>
      <c r="SSB157" s="37"/>
      <c r="SSC157" s="37"/>
      <c r="SSD157" s="37"/>
      <c r="SSE157" s="37"/>
      <c r="SSF157" s="37"/>
      <c r="SSG157" s="37"/>
      <c r="SSH157" s="37"/>
      <c r="SSI157" s="37"/>
      <c r="SSJ157" s="37"/>
      <c r="SSK157" s="37"/>
      <c r="SSL157" s="37"/>
      <c r="SSM157" s="37"/>
      <c r="SSN157" s="37"/>
      <c r="SSO157" s="37"/>
      <c r="SSP157" s="37"/>
      <c r="SSQ157" s="37"/>
      <c r="SSR157" s="37"/>
      <c r="SSS157" s="37"/>
      <c r="SST157" s="37"/>
      <c r="SSU157" s="37"/>
      <c r="SSV157" s="37"/>
      <c r="SSW157" s="37"/>
      <c r="SSX157" s="37"/>
      <c r="SSY157" s="37"/>
      <c r="SSZ157" s="37"/>
      <c r="STA157" s="37"/>
      <c r="STB157" s="37"/>
      <c r="STC157" s="37"/>
      <c r="STD157" s="37"/>
      <c r="STE157" s="37"/>
      <c r="STF157" s="37"/>
      <c r="STG157" s="37"/>
      <c r="STH157" s="37"/>
      <c r="STI157" s="37"/>
      <c r="STJ157" s="37"/>
      <c r="STK157" s="37"/>
      <c r="STL157" s="37"/>
      <c r="STM157" s="37"/>
      <c r="STN157" s="37"/>
      <c r="STO157" s="37"/>
      <c r="STP157" s="37"/>
      <c r="STQ157" s="37"/>
      <c r="STR157" s="37"/>
      <c r="STS157" s="37"/>
      <c r="STT157" s="37"/>
      <c r="STU157" s="37"/>
      <c r="STV157" s="37"/>
      <c r="STW157" s="37"/>
      <c r="STX157" s="37"/>
      <c r="STY157" s="37"/>
      <c r="STZ157" s="37"/>
      <c r="SUA157" s="37"/>
      <c r="SUB157" s="37"/>
      <c r="SUC157" s="37"/>
      <c r="SUD157" s="37"/>
      <c r="SUE157" s="37"/>
      <c r="SUF157" s="37"/>
      <c r="SUG157" s="37"/>
      <c r="SUH157" s="37"/>
      <c r="SUI157" s="37"/>
      <c r="SUJ157" s="37"/>
      <c r="SUK157" s="37"/>
      <c r="SUL157" s="37"/>
      <c r="SUM157" s="37"/>
      <c r="SUN157" s="37"/>
      <c r="SUO157" s="37"/>
      <c r="SUP157" s="37"/>
      <c r="SUQ157" s="37"/>
      <c r="SUR157" s="37"/>
      <c r="SUS157" s="37"/>
      <c r="SUT157" s="37"/>
      <c r="SUU157" s="37"/>
      <c r="SUV157" s="37"/>
      <c r="SUW157" s="37"/>
      <c r="SUX157" s="37"/>
      <c r="SUY157" s="37"/>
      <c r="SUZ157" s="37"/>
      <c r="SVA157" s="37"/>
      <c r="SVB157" s="37"/>
      <c r="SVC157" s="37"/>
      <c r="SVD157" s="37"/>
      <c r="SVE157" s="37"/>
      <c r="SVF157" s="37"/>
      <c r="SVG157" s="37"/>
      <c r="SVH157" s="37"/>
      <c r="SVI157" s="37"/>
      <c r="SVJ157" s="37"/>
      <c r="SVK157" s="37"/>
      <c r="SVL157" s="37"/>
      <c r="SVM157" s="37"/>
      <c r="SVN157" s="37"/>
      <c r="SVO157" s="37"/>
      <c r="SVP157" s="37"/>
      <c r="SVQ157" s="37"/>
      <c r="SVR157" s="37"/>
      <c r="SVS157" s="37"/>
      <c r="SVT157" s="37"/>
      <c r="SVU157" s="37"/>
      <c r="SVV157" s="37"/>
      <c r="SVW157" s="37"/>
      <c r="SVX157" s="37"/>
      <c r="SVY157" s="37"/>
      <c r="SVZ157" s="37"/>
      <c r="SWA157" s="37"/>
      <c r="SWB157" s="37"/>
      <c r="SWC157" s="37"/>
      <c r="SWD157" s="37"/>
      <c r="SWE157" s="37"/>
      <c r="SWF157" s="37"/>
      <c r="SWG157" s="37"/>
      <c r="SWH157" s="37"/>
      <c r="SWI157" s="37"/>
      <c r="SWJ157" s="37"/>
      <c r="SWK157" s="37"/>
      <c r="SWL157" s="37"/>
      <c r="SWM157" s="37"/>
      <c r="SWN157" s="37"/>
      <c r="SWO157" s="37"/>
      <c r="SWP157" s="37"/>
      <c r="SWQ157" s="37"/>
      <c r="SWR157" s="37"/>
      <c r="SWS157" s="37"/>
      <c r="SWT157" s="37"/>
      <c r="SWU157" s="37"/>
      <c r="SWV157" s="37"/>
      <c r="SWW157" s="37"/>
      <c r="SWX157" s="37"/>
      <c r="SWY157" s="37"/>
      <c r="SWZ157" s="37"/>
      <c r="SXA157" s="37"/>
      <c r="SXB157" s="37"/>
      <c r="SXC157" s="37"/>
      <c r="SXD157" s="37"/>
      <c r="SXE157" s="37"/>
      <c r="SXF157" s="37"/>
      <c r="SXG157" s="37"/>
      <c r="SXH157" s="37"/>
      <c r="SXI157" s="37"/>
      <c r="SXJ157" s="37"/>
      <c r="SXK157" s="37"/>
      <c r="SXL157" s="37"/>
      <c r="SXM157" s="37"/>
      <c r="SXN157" s="37"/>
      <c r="SXO157" s="37"/>
      <c r="SXP157" s="37"/>
      <c r="SXQ157" s="37"/>
      <c r="SXR157" s="37"/>
      <c r="SXS157" s="37"/>
      <c r="SXT157" s="37"/>
      <c r="SXU157" s="37"/>
      <c r="SXV157" s="37"/>
      <c r="SXW157" s="37"/>
      <c r="SXX157" s="37"/>
      <c r="SXY157" s="37"/>
      <c r="SXZ157" s="37"/>
      <c r="SYA157" s="37"/>
      <c r="SYB157" s="37"/>
      <c r="SYC157" s="37"/>
      <c r="SYD157" s="37"/>
      <c r="SYE157" s="37"/>
      <c r="SYF157" s="37"/>
      <c r="SYG157" s="37"/>
      <c r="SYH157" s="37"/>
      <c r="SYI157" s="37"/>
      <c r="SYJ157" s="37"/>
      <c r="SYK157" s="37"/>
      <c r="SYL157" s="37"/>
      <c r="SYM157" s="37"/>
      <c r="SYN157" s="37"/>
      <c r="SYO157" s="37"/>
      <c r="SYP157" s="37"/>
      <c r="SYQ157" s="37"/>
      <c r="SYR157" s="37"/>
      <c r="SYS157" s="37"/>
      <c r="SYT157" s="37"/>
      <c r="SYU157" s="37"/>
      <c r="SYV157" s="37"/>
      <c r="SYW157" s="37"/>
      <c r="SYX157" s="37"/>
      <c r="SYY157" s="37"/>
      <c r="SYZ157" s="37"/>
      <c r="SZA157" s="37"/>
      <c r="SZB157" s="37"/>
      <c r="SZC157" s="37"/>
      <c r="SZD157" s="37"/>
      <c r="SZE157" s="37"/>
      <c r="SZF157" s="37"/>
      <c r="SZG157" s="37"/>
      <c r="SZH157" s="37"/>
      <c r="SZI157" s="37"/>
      <c r="SZJ157" s="37"/>
      <c r="SZK157" s="37"/>
      <c r="SZL157" s="37"/>
      <c r="SZM157" s="37"/>
      <c r="SZN157" s="37"/>
      <c r="SZO157" s="37"/>
      <c r="SZP157" s="37"/>
      <c r="SZQ157" s="37"/>
      <c r="SZR157" s="37"/>
      <c r="SZS157" s="37"/>
      <c r="SZT157" s="37"/>
      <c r="SZU157" s="37"/>
      <c r="SZV157" s="37"/>
      <c r="SZW157" s="37"/>
      <c r="SZX157" s="37"/>
      <c r="SZY157" s="37"/>
      <c r="SZZ157" s="37"/>
      <c r="TAA157" s="37"/>
      <c r="TAB157" s="37"/>
      <c r="TAC157" s="37"/>
      <c r="TAD157" s="37"/>
      <c r="TAE157" s="37"/>
      <c r="TAF157" s="37"/>
      <c r="TAG157" s="37"/>
      <c r="TAH157" s="37"/>
      <c r="TAI157" s="37"/>
      <c r="TAJ157" s="37"/>
      <c r="TAK157" s="37"/>
      <c r="TAL157" s="37"/>
      <c r="TAM157" s="37"/>
      <c r="TAN157" s="37"/>
      <c r="TAO157" s="37"/>
      <c r="TAP157" s="37"/>
      <c r="TAQ157" s="37"/>
      <c r="TAR157" s="37"/>
      <c r="TAS157" s="37"/>
      <c r="TAT157" s="37"/>
      <c r="TAU157" s="37"/>
      <c r="TAV157" s="37"/>
      <c r="TAW157" s="37"/>
      <c r="TAX157" s="37"/>
      <c r="TAY157" s="37"/>
      <c r="TAZ157" s="37"/>
      <c r="TBA157" s="37"/>
      <c r="TBB157" s="37"/>
      <c r="TBC157" s="37"/>
      <c r="TBD157" s="37"/>
      <c r="TBE157" s="37"/>
      <c r="TBF157" s="37"/>
      <c r="TBG157" s="37"/>
      <c r="TBH157" s="37"/>
      <c r="TBI157" s="37"/>
      <c r="TBJ157" s="37"/>
      <c r="TBK157" s="37"/>
      <c r="TBL157" s="37"/>
      <c r="TBM157" s="37"/>
      <c r="TBN157" s="37"/>
      <c r="TBO157" s="37"/>
      <c r="TBP157" s="37"/>
      <c r="TBQ157" s="37"/>
      <c r="TBR157" s="37"/>
      <c r="TBS157" s="37"/>
      <c r="TBT157" s="37"/>
      <c r="TBU157" s="37"/>
      <c r="TBV157" s="37"/>
      <c r="TBW157" s="37"/>
      <c r="TBX157" s="37"/>
      <c r="TBY157" s="37"/>
      <c r="TBZ157" s="37"/>
      <c r="TCA157" s="37"/>
      <c r="TCB157" s="37"/>
      <c r="TCC157" s="37"/>
      <c r="TCD157" s="37"/>
      <c r="TCE157" s="37"/>
      <c r="TCF157" s="37"/>
      <c r="TCG157" s="37"/>
      <c r="TCH157" s="37"/>
      <c r="TCI157" s="37"/>
      <c r="TCJ157" s="37"/>
      <c r="TCK157" s="37"/>
      <c r="TCL157" s="37"/>
      <c r="TCM157" s="37"/>
      <c r="TCN157" s="37"/>
      <c r="TCO157" s="37"/>
      <c r="TCP157" s="37"/>
      <c r="TCQ157" s="37"/>
      <c r="TCR157" s="37"/>
      <c r="TCS157" s="37"/>
      <c r="TCT157" s="37"/>
      <c r="TCU157" s="37"/>
      <c r="TCV157" s="37"/>
      <c r="TCW157" s="37"/>
      <c r="TCX157" s="37"/>
      <c r="TCY157" s="37"/>
      <c r="TCZ157" s="37"/>
      <c r="TDA157" s="37"/>
      <c r="TDB157" s="37"/>
      <c r="TDC157" s="37"/>
      <c r="TDD157" s="37"/>
      <c r="TDE157" s="37"/>
      <c r="TDF157" s="37"/>
      <c r="TDG157" s="37"/>
      <c r="TDH157" s="37"/>
      <c r="TDI157" s="37"/>
      <c r="TDJ157" s="37"/>
      <c r="TDK157" s="37"/>
      <c r="TDL157" s="37"/>
      <c r="TDM157" s="37"/>
      <c r="TDN157" s="37"/>
      <c r="TDO157" s="37"/>
      <c r="TDP157" s="37"/>
      <c r="TDQ157" s="37"/>
      <c r="TDR157" s="37"/>
      <c r="TDS157" s="37"/>
      <c r="TDT157" s="37"/>
      <c r="TDU157" s="37"/>
      <c r="TDV157" s="37"/>
      <c r="TDW157" s="37"/>
      <c r="TDX157" s="37"/>
      <c r="TDY157" s="37"/>
      <c r="TDZ157" s="37"/>
      <c r="TEA157" s="37"/>
      <c r="TEB157" s="37"/>
      <c r="TEC157" s="37"/>
      <c r="TED157" s="37"/>
      <c r="TEE157" s="37"/>
      <c r="TEF157" s="37"/>
      <c r="TEG157" s="37"/>
      <c r="TEH157" s="37"/>
      <c r="TEI157" s="37"/>
      <c r="TEJ157" s="37"/>
      <c r="TEK157" s="37"/>
      <c r="TEL157" s="37"/>
      <c r="TEM157" s="37"/>
      <c r="TEN157" s="37"/>
      <c r="TEO157" s="37"/>
      <c r="TEP157" s="37"/>
      <c r="TEQ157" s="37"/>
      <c r="TER157" s="37"/>
      <c r="TES157" s="37"/>
      <c r="TET157" s="37"/>
      <c r="TEU157" s="37"/>
      <c r="TEV157" s="37"/>
      <c r="TEW157" s="37"/>
      <c r="TEX157" s="37"/>
      <c r="TEY157" s="37"/>
      <c r="TEZ157" s="37"/>
      <c r="TFA157" s="37"/>
      <c r="TFB157" s="37"/>
      <c r="TFC157" s="37"/>
      <c r="TFD157" s="37"/>
      <c r="TFE157" s="37"/>
      <c r="TFF157" s="37"/>
      <c r="TFG157" s="37"/>
      <c r="TFH157" s="37"/>
      <c r="TFI157" s="37"/>
      <c r="TFJ157" s="37"/>
      <c r="TFK157" s="37"/>
      <c r="TFL157" s="37"/>
      <c r="TFM157" s="37"/>
      <c r="TFN157" s="37"/>
      <c r="TFO157" s="37"/>
      <c r="TFP157" s="37"/>
      <c r="TFQ157" s="37"/>
      <c r="TFR157" s="37"/>
      <c r="TFS157" s="37"/>
      <c r="TFT157" s="37"/>
      <c r="TFU157" s="37"/>
      <c r="TFV157" s="37"/>
      <c r="TFW157" s="37"/>
      <c r="TFX157" s="37"/>
      <c r="TFY157" s="37"/>
      <c r="TFZ157" s="37"/>
      <c r="TGA157" s="37"/>
      <c r="TGB157" s="37"/>
      <c r="TGC157" s="37"/>
      <c r="TGD157" s="37"/>
      <c r="TGE157" s="37"/>
      <c r="TGF157" s="37"/>
      <c r="TGG157" s="37"/>
      <c r="TGH157" s="37"/>
      <c r="TGI157" s="37"/>
      <c r="TGJ157" s="37"/>
      <c r="TGK157" s="37"/>
      <c r="TGL157" s="37"/>
      <c r="TGM157" s="37"/>
      <c r="TGN157" s="37"/>
      <c r="TGO157" s="37"/>
      <c r="TGP157" s="37"/>
      <c r="TGQ157" s="37"/>
      <c r="TGR157" s="37"/>
      <c r="TGS157" s="37"/>
      <c r="TGT157" s="37"/>
      <c r="TGU157" s="37"/>
      <c r="TGV157" s="37"/>
      <c r="TGW157" s="37"/>
      <c r="TGX157" s="37"/>
      <c r="TGY157" s="37"/>
      <c r="TGZ157" s="37"/>
      <c r="THA157" s="37"/>
      <c r="THB157" s="37"/>
      <c r="THC157" s="37"/>
      <c r="THD157" s="37"/>
      <c r="THE157" s="37"/>
      <c r="THF157" s="37"/>
      <c r="THG157" s="37"/>
      <c r="THH157" s="37"/>
      <c r="THI157" s="37"/>
      <c r="THJ157" s="37"/>
      <c r="THK157" s="37"/>
      <c r="THL157" s="37"/>
      <c r="THM157" s="37"/>
      <c r="THN157" s="37"/>
      <c r="THO157" s="37"/>
      <c r="THP157" s="37"/>
      <c r="THQ157" s="37"/>
      <c r="THR157" s="37"/>
      <c r="THS157" s="37"/>
      <c r="THT157" s="37"/>
      <c r="THU157" s="37"/>
      <c r="THV157" s="37"/>
      <c r="THW157" s="37"/>
      <c r="THX157" s="37"/>
      <c r="THY157" s="37"/>
      <c r="THZ157" s="37"/>
      <c r="TIA157" s="37"/>
      <c r="TIB157" s="37"/>
      <c r="TIC157" s="37"/>
      <c r="TID157" s="37"/>
      <c r="TIE157" s="37"/>
      <c r="TIF157" s="37"/>
      <c r="TIG157" s="37"/>
      <c r="TIH157" s="37"/>
      <c r="TII157" s="37"/>
      <c r="TIJ157" s="37"/>
      <c r="TIK157" s="37"/>
      <c r="TIL157" s="37"/>
      <c r="TIM157" s="37"/>
      <c r="TIN157" s="37"/>
      <c r="TIO157" s="37"/>
      <c r="TIP157" s="37"/>
      <c r="TIQ157" s="37"/>
      <c r="TIR157" s="37"/>
      <c r="TIS157" s="37"/>
      <c r="TIT157" s="37"/>
      <c r="TIU157" s="37"/>
      <c r="TIV157" s="37"/>
      <c r="TIW157" s="37"/>
      <c r="TIX157" s="37"/>
      <c r="TIY157" s="37"/>
      <c r="TIZ157" s="37"/>
      <c r="TJA157" s="37"/>
      <c r="TJB157" s="37"/>
      <c r="TJC157" s="37"/>
      <c r="TJD157" s="37"/>
      <c r="TJE157" s="37"/>
      <c r="TJF157" s="37"/>
      <c r="TJG157" s="37"/>
      <c r="TJH157" s="37"/>
      <c r="TJI157" s="37"/>
      <c r="TJJ157" s="37"/>
      <c r="TJK157" s="37"/>
      <c r="TJL157" s="37"/>
      <c r="TJM157" s="37"/>
      <c r="TJN157" s="37"/>
      <c r="TJO157" s="37"/>
      <c r="TJP157" s="37"/>
      <c r="TJQ157" s="37"/>
      <c r="TJR157" s="37"/>
      <c r="TJS157" s="37"/>
      <c r="TJT157" s="37"/>
      <c r="TJU157" s="37"/>
      <c r="TJV157" s="37"/>
      <c r="TJW157" s="37"/>
      <c r="TJX157" s="37"/>
      <c r="TJY157" s="37"/>
      <c r="TJZ157" s="37"/>
      <c r="TKA157" s="37"/>
      <c r="TKB157" s="37"/>
      <c r="TKC157" s="37"/>
      <c r="TKD157" s="37"/>
      <c r="TKE157" s="37"/>
      <c r="TKF157" s="37"/>
      <c r="TKG157" s="37"/>
      <c r="TKH157" s="37"/>
      <c r="TKI157" s="37"/>
      <c r="TKJ157" s="37"/>
      <c r="TKK157" s="37"/>
      <c r="TKL157" s="37"/>
      <c r="TKM157" s="37"/>
      <c r="TKN157" s="37"/>
      <c r="TKO157" s="37"/>
      <c r="TKP157" s="37"/>
      <c r="TKQ157" s="37"/>
      <c r="TKR157" s="37"/>
      <c r="TKS157" s="37"/>
      <c r="TKT157" s="37"/>
      <c r="TKU157" s="37"/>
      <c r="TKV157" s="37"/>
      <c r="TKW157" s="37"/>
      <c r="TKX157" s="37"/>
      <c r="TKY157" s="37"/>
      <c r="TKZ157" s="37"/>
      <c r="TLA157" s="37"/>
      <c r="TLB157" s="37"/>
      <c r="TLC157" s="37"/>
      <c r="TLD157" s="37"/>
      <c r="TLE157" s="37"/>
      <c r="TLF157" s="37"/>
      <c r="TLG157" s="37"/>
      <c r="TLH157" s="37"/>
      <c r="TLI157" s="37"/>
      <c r="TLJ157" s="37"/>
      <c r="TLK157" s="37"/>
      <c r="TLL157" s="37"/>
      <c r="TLM157" s="37"/>
      <c r="TLN157" s="37"/>
      <c r="TLO157" s="37"/>
      <c r="TLP157" s="37"/>
      <c r="TLQ157" s="37"/>
      <c r="TLR157" s="37"/>
      <c r="TLS157" s="37"/>
      <c r="TLT157" s="37"/>
      <c r="TLU157" s="37"/>
      <c r="TLV157" s="37"/>
      <c r="TLW157" s="37"/>
      <c r="TLX157" s="37"/>
      <c r="TLY157" s="37"/>
      <c r="TLZ157" s="37"/>
      <c r="TMA157" s="37"/>
      <c r="TMB157" s="37"/>
      <c r="TMC157" s="37"/>
      <c r="TMD157" s="37"/>
      <c r="TME157" s="37"/>
      <c r="TMF157" s="37"/>
      <c r="TMG157" s="37"/>
      <c r="TMH157" s="37"/>
      <c r="TMI157" s="37"/>
      <c r="TMJ157" s="37"/>
      <c r="TMK157" s="37"/>
      <c r="TML157" s="37"/>
      <c r="TMM157" s="37"/>
      <c r="TMN157" s="37"/>
      <c r="TMO157" s="37"/>
      <c r="TMP157" s="37"/>
      <c r="TMQ157" s="37"/>
      <c r="TMR157" s="37"/>
      <c r="TMS157" s="37"/>
      <c r="TMT157" s="37"/>
      <c r="TMU157" s="37"/>
      <c r="TMV157" s="37"/>
      <c r="TMW157" s="37"/>
      <c r="TMX157" s="37"/>
      <c r="TMY157" s="37"/>
      <c r="TMZ157" s="37"/>
      <c r="TNA157" s="37"/>
      <c r="TNB157" s="37"/>
      <c r="TNC157" s="37"/>
      <c r="TND157" s="37"/>
      <c r="TNE157" s="37"/>
      <c r="TNF157" s="37"/>
      <c r="TNG157" s="37"/>
      <c r="TNH157" s="37"/>
      <c r="TNI157" s="37"/>
      <c r="TNJ157" s="37"/>
      <c r="TNK157" s="37"/>
      <c r="TNL157" s="37"/>
      <c r="TNM157" s="37"/>
      <c r="TNN157" s="37"/>
      <c r="TNO157" s="37"/>
      <c r="TNP157" s="37"/>
      <c r="TNQ157" s="37"/>
      <c r="TNR157" s="37"/>
      <c r="TNS157" s="37"/>
      <c r="TNT157" s="37"/>
      <c r="TNU157" s="37"/>
      <c r="TNV157" s="37"/>
      <c r="TNW157" s="37"/>
      <c r="TNX157" s="37"/>
      <c r="TNY157" s="37"/>
      <c r="TNZ157" s="37"/>
      <c r="TOA157" s="37"/>
      <c r="TOB157" s="37"/>
      <c r="TOC157" s="37"/>
      <c r="TOD157" s="37"/>
      <c r="TOE157" s="37"/>
      <c r="TOF157" s="37"/>
      <c r="TOG157" s="37"/>
      <c r="TOH157" s="37"/>
      <c r="TOI157" s="37"/>
      <c r="TOJ157" s="37"/>
      <c r="TOK157" s="37"/>
      <c r="TOL157" s="37"/>
      <c r="TOM157" s="37"/>
      <c r="TON157" s="37"/>
      <c r="TOO157" s="37"/>
      <c r="TOP157" s="37"/>
      <c r="TOQ157" s="37"/>
      <c r="TOR157" s="37"/>
      <c r="TOS157" s="37"/>
      <c r="TOT157" s="37"/>
      <c r="TOU157" s="37"/>
      <c r="TOV157" s="37"/>
      <c r="TOW157" s="37"/>
      <c r="TOX157" s="37"/>
      <c r="TOY157" s="37"/>
      <c r="TOZ157" s="37"/>
      <c r="TPA157" s="37"/>
      <c r="TPB157" s="37"/>
      <c r="TPC157" s="37"/>
      <c r="TPD157" s="37"/>
      <c r="TPE157" s="37"/>
      <c r="TPF157" s="37"/>
      <c r="TPG157" s="37"/>
      <c r="TPH157" s="37"/>
      <c r="TPI157" s="37"/>
      <c r="TPJ157" s="37"/>
      <c r="TPK157" s="37"/>
      <c r="TPL157" s="37"/>
      <c r="TPM157" s="37"/>
      <c r="TPN157" s="37"/>
      <c r="TPO157" s="37"/>
      <c r="TPP157" s="37"/>
      <c r="TPQ157" s="37"/>
      <c r="TPR157" s="37"/>
      <c r="TPS157" s="37"/>
      <c r="TPT157" s="37"/>
      <c r="TPU157" s="37"/>
      <c r="TPV157" s="37"/>
      <c r="TPW157" s="37"/>
      <c r="TPX157" s="37"/>
      <c r="TPY157" s="37"/>
      <c r="TPZ157" s="37"/>
      <c r="TQA157" s="37"/>
      <c r="TQB157" s="37"/>
      <c r="TQC157" s="37"/>
      <c r="TQD157" s="37"/>
      <c r="TQE157" s="37"/>
      <c r="TQF157" s="37"/>
      <c r="TQG157" s="37"/>
      <c r="TQH157" s="37"/>
      <c r="TQI157" s="37"/>
      <c r="TQJ157" s="37"/>
      <c r="TQK157" s="37"/>
      <c r="TQL157" s="37"/>
      <c r="TQM157" s="37"/>
      <c r="TQN157" s="37"/>
      <c r="TQO157" s="37"/>
      <c r="TQP157" s="37"/>
      <c r="TQQ157" s="37"/>
      <c r="TQR157" s="37"/>
      <c r="TQS157" s="37"/>
      <c r="TQT157" s="37"/>
      <c r="TQU157" s="37"/>
      <c r="TQV157" s="37"/>
      <c r="TQW157" s="37"/>
      <c r="TQX157" s="37"/>
      <c r="TQY157" s="37"/>
      <c r="TQZ157" s="37"/>
      <c r="TRA157" s="37"/>
      <c r="TRB157" s="37"/>
      <c r="TRC157" s="37"/>
      <c r="TRD157" s="37"/>
      <c r="TRE157" s="37"/>
      <c r="TRF157" s="37"/>
      <c r="TRG157" s="37"/>
      <c r="TRH157" s="37"/>
      <c r="TRI157" s="37"/>
      <c r="TRJ157" s="37"/>
      <c r="TRK157" s="37"/>
      <c r="TRL157" s="37"/>
      <c r="TRM157" s="37"/>
      <c r="TRN157" s="37"/>
      <c r="TRO157" s="37"/>
      <c r="TRP157" s="37"/>
      <c r="TRQ157" s="37"/>
      <c r="TRR157" s="37"/>
      <c r="TRS157" s="37"/>
      <c r="TRT157" s="37"/>
      <c r="TRU157" s="37"/>
      <c r="TRV157" s="37"/>
      <c r="TRW157" s="37"/>
      <c r="TRX157" s="37"/>
      <c r="TRY157" s="37"/>
      <c r="TRZ157" s="37"/>
      <c r="TSA157" s="37"/>
      <c r="TSB157" s="37"/>
      <c r="TSC157" s="37"/>
      <c r="TSD157" s="37"/>
      <c r="TSE157" s="37"/>
      <c r="TSF157" s="37"/>
      <c r="TSG157" s="37"/>
      <c r="TSH157" s="37"/>
      <c r="TSI157" s="37"/>
      <c r="TSJ157" s="37"/>
      <c r="TSK157" s="37"/>
      <c r="TSL157" s="37"/>
      <c r="TSM157" s="37"/>
      <c r="TSN157" s="37"/>
      <c r="TSO157" s="37"/>
      <c r="TSP157" s="37"/>
      <c r="TSQ157" s="37"/>
      <c r="TSR157" s="37"/>
      <c r="TSS157" s="37"/>
      <c r="TST157" s="37"/>
      <c r="TSU157" s="37"/>
      <c r="TSV157" s="37"/>
      <c r="TSW157" s="37"/>
      <c r="TSX157" s="37"/>
      <c r="TSY157" s="37"/>
      <c r="TSZ157" s="37"/>
      <c r="TTA157" s="37"/>
      <c r="TTB157" s="37"/>
      <c r="TTC157" s="37"/>
      <c r="TTD157" s="37"/>
      <c r="TTE157" s="37"/>
      <c r="TTF157" s="37"/>
      <c r="TTG157" s="37"/>
      <c r="TTH157" s="37"/>
      <c r="TTI157" s="37"/>
      <c r="TTJ157" s="37"/>
      <c r="TTK157" s="37"/>
      <c r="TTL157" s="37"/>
      <c r="TTM157" s="37"/>
      <c r="TTN157" s="37"/>
      <c r="TTO157" s="37"/>
      <c r="TTP157" s="37"/>
      <c r="TTQ157" s="37"/>
      <c r="TTR157" s="37"/>
      <c r="TTS157" s="37"/>
      <c r="TTT157" s="37"/>
      <c r="TTU157" s="37"/>
      <c r="TTV157" s="37"/>
      <c r="TTW157" s="37"/>
      <c r="TTX157" s="37"/>
      <c r="TTY157" s="37"/>
      <c r="TTZ157" s="37"/>
      <c r="TUA157" s="37"/>
      <c r="TUB157" s="37"/>
      <c r="TUC157" s="37"/>
      <c r="TUD157" s="37"/>
      <c r="TUE157" s="37"/>
      <c r="TUF157" s="37"/>
      <c r="TUG157" s="37"/>
      <c r="TUH157" s="37"/>
      <c r="TUI157" s="37"/>
      <c r="TUJ157" s="37"/>
      <c r="TUK157" s="37"/>
      <c r="TUL157" s="37"/>
      <c r="TUM157" s="37"/>
      <c r="TUN157" s="37"/>
      <c r="TUO157" s="37"/>
      <c r="TUP157" s="37"/>
      <c r="TUQ157" s="37"/>
      <c r="TUR157" s="37"/>
      <c r="TUS157" s="37"/>
      <c r="TUT157" s="37"/>
      <c r="TUU157" s="37"/>
      <c r="TUV157" s="37"/>
      <c r="TUW157" s="37"/>
      <c r="TUX157" s="37"/>
      <c r="TUY157" s="37"/>
      <c r="TUZ157" s="37"/>
      <c r="TVA157" s="37"/>
      <c r="TVB157" s="37"/>
      <c r="TVC157" s="37"/>
      <c r="TVD157" s="37"/>
      <c r="TVE157" s="37"/>
      <c r="TVF157" s="37"/>
      <c r="TVG157" s="37"/>
      <c r="TVH157" s="37"/>
      <c r="TVI157" s="37"/>
      <c r="TVJ157" s="37"/>
      <c r="TVK157" s="37"/>
      <c r="TVL157" s="37"/>
      <c r="TVM157" s="37"/>
      <c r="TVN157" s="37"/>
      <c r="TVO157" s="37"/>
      <c r="TVP157" s="37"/>
      <c r="TVQ157" s="37"/>
      <c r="TVR157" s="37"/>
      <c r="TVS157" s="37"/>
      <c r="TVT157" s="37"/>
      <c r="TVU157" s="37"/>
      <c r="TVV157" s="37"/>
      <c r="TVW157" s="37"/>
      <c r="TVX157" s="37"/>
      <c r="TVY157" s="37"/>
      <c r="TVZ157" s="37"/>
      <c r="TWA157" s="37"/>
      <c r="TWB157" s="37"/>
      <c r="TWC157" s="37"/>
      <c r="TWD157" s="37"/>
      <c r="TWE157" s="37"/>
      <c r="TWF157" s="37"/>
      <c r="TWG157" s="37"/>
      <c r="TWH157" s="37"/>
      <c r="TWI157" s="37"/>
      <c r="TWJ157" s="37"/>
      <c r="TWK157" s="37"/>
      <c r="TWL157" s="37"/>
      <c r="TWM157" s="37"/>
      <c r="TWN157" s="37"/>
      <c r="TWO157" s="37"/>
      <c r="TWP157" s="37"/>
      <c r="TWQ157" s="37"/>
      <c r="TWR157" s="37"/>
      <c r="TWS157" s="37"/>
      <c r="TWT157" s="37"/>
      <c r="TWU157" s="37"/>
      <c r="TWV157" s="37"/>
      <c r="TWW157" s="37"/>
      <c r="TWX157" s="37"/>
      <c r="TWY157" s="37"/>
      <c r="TWZ157" s="37"/>
      <c r="TXA157" s="37"/>
      <c r="TXB157" s="37"/>
      <c r="TXC157" s="37"/>
      <c r="TXD157" s="37"/>
      <c r="TXE157" s="37"/>
      <c r="TXF157" s="37"/>
      <c r="TXG157" s="37"/>
      <c r="TXH157" s="37"/>
      <c r="TXI157" s="37"/>
      <c r="TXJ157" s="37"/>
      <c r="TXK157" s="37"/>
      <c r="TXL157" s="37"/>
      <c r="TXM157" s="37"/>
      <c r="TXN157" s="37"/>
      <c r="TXO157" s="37"/>
      <c r="TXP157" s="37"/>
      <c r="TXQ157" s="37"/>
      <c r="TXR157" s="37"/>
      <c r="TXS157" s="37"/>
      <c r="TXT157" s="37"/>
      <c r="TXU157" s="37"/>
      <c r="TXV157" s="37"/>
      <c r="TXW157" s="37"/>
      <c r="TXX157" s="37"/>
      <c r="TXY157" s="37"/>
      <c r="TXZ157" s="37"/>
      <c r="TYA157" s="37"/>
      <c r="TYB157" s="37"/>
      <c r="TYC157" s="37"/>
      <c r="TYD157" s="37"/>
      <c r="TYE157" s="37"/>
      <c r="TYF157" s="37"/>
      <c r="TYG157" s="37"/>
      <c r="TYH157" s="37"/>
      <c r="TYI157" s="37"/>
      <c r="TYJ157" s="37"/>
      <c r="TYK157" s="37"/>
      <c r="TYL157" s="37"/>
      <c r="TYM157" s="37"/>
      <c r="TYN157" s="37"/>
      <c r="TYO157" s="37"/>
      <c r="TYP157" s="37"/>
      <c r="TYQ157" s="37"/>
      <c r="TYR157" s="37"/>
      <c r="TYS157" s="37"/>
      <c r="TYT157" s="37"/>
      <c r="TYU157" s="37"/>
      <c r="TYV157" s="37"/>
      <c r="TYW157" s="37"/>
      <c r="TYX157" s="37"/>
      <c r="TYY157" s="37"/>
      <c r="TYZ157" s="37"/>
      <c r="TZA157" s="37"/>
      <c r="TZB157" s="37"/>
      <c r="TZC157" s="37"/>
      <c r="TZD157" s="37"/>
      <c r="TZE157" s="37"/>
      <c r="TZF157" s="37"/>
      <c r="TZG157" s="37"/>
      <c r="TZH157" s="37"/>
      <c r="TZI157" s="37"/>
      <c r="TZJ157" s="37"/>
      <c r="TZK157" s="37"/>
      <c r="TZL157" s="37"/>
      <c r="TZM157" s="37"/>
      <c r="TZN157" s="37"/>
      <c r="TZO157" s="37"/>
      <c r="TZP157" s="37"/>
      <c r="TZQ157" s="37"/>
      <c r="TZR157" s="37"/>
      <c r="TZS157" s="37"/>
      <c r="TZT157" s="37"/>
      <c r="TZU157" s="37"/>
      <c r="TZV157" s="37"/>
      <c r="TZW157" s="37"/>
      <c r="TZX157" s="37"/>
      <c r="TZY157" s="37"/>
      <c r="TZZ157" s="37"/>
      <c r="UAA157" s="37"/>
      <c r="UAB157" s="37"/>
      <c r="UAC157" s="37"/>
      <c r="UAD157" s="37"/>
      <c r="UAE157" s="37"/>
      <c r="UAF157" s="37"/>
      <c r="UAG157" s="37"/>
      <c r="UAH157" s="37"/>
      <c r="UAI157" s="37"/>
      <c r="UAJ157" s="37"/>
      <c r="UAK157" s="37"/>
      <c r="UAL157" s="37"/>
      <c r="UAM157" s="37"/>
      <c r="UAN157" s="37"/>
      <c r="UAO157" s="37"/>
      <c r="UAP157" s="37"/>
      <c r="UAQ157" s="37"/>
      <c r="UAR157" s="37"/>
      <c r="UAS157" s="37"/>
      <c r="UAT157" s="37"/>
      <c r="UAU157" s="37"/>
      <c r="UAV157" s="37"/>
      <c r="UAW157" s="37"/>
      <c r="UAX157" s="37"/>
      <c r="UAY157" s="37"/>
      <c r="UAZ157" s="37"/>
      <c r="UBA157" s="37"/>
      <c r="UBB157" s="37"/>
      <c r="UBC157" s="37"/>
      <c r="UBD157" s="37"/>
      <c r="UBE157" s="37"/>
      <c r="UBF157" s="37"/>
      <c r="UBG157" s="37"/>
      <c r="UBH157" s="37"/>
      <c r="UBI157" s="37"/>
      <c r="UBJ157" s="37"/>
      <c r="UBK157" s="37"/>
      <c r="UBL157" s="37"/>
      <c r="UBM157" s="37"/>
      <c r="UBN157" s="37"/>
      <c r="UBO157" s="37"/>
      <c r="UBP157" s="37"/>
      <c r="UBQ157" s="37"/>
      <c r="UBR157" s="37"/>
      <c r="UBS157" s="37"/>
      <c r="UBT157" s="37"/>
      <c r="UBU157" s="37"/>
      <c r="UBV157" s="37"/>
      <c r="UBW157" s="37"/>
      <c r="UBX157" s="37"/>
      <c r="UBY157" s="37"/>
      <c r="UBZ157" s="37"/>
      <c r="UCA157" s="37"/>
      <c r="UCB157" s="37"/>
      <c r="UCC157" s="37"/>
      <c r="UCD157" s="37"/>
      <c r="UCE157" s="37"/>
      <c r="UCF157" s="37"/>
      <c r="UCG157" s="37"/>
      <c r="UCH157" s="37"/>
      <c r="UCI157" s="37"/>
      <c r="UCJ157" s="37"/>
      <c r="UCK157" s="37"/>
      <c r="UCL157" s="37"/>
      <c r="UCM157" s="37"/>
      <c r="UCN157" s="37"/>
      <c r="UCO157" s="37"/>
      <c r="UCP157" s="37"/>
      <c r="UCQ157" s="37"/>
      <c r="UCR157" s="37"/>
      <c r="UCS157" s="37"/>
      <c r="UCT157" s="37"/>
      <c r="UCU157" s="37"/>
      <c r="UCV157" s="37"/>
      <c r="UCW157" s="37"/>
      <c r="UCX157" s="37"/>
      <c r="UCY157" s="37"/>
      <c r="UCZ157" s="37"/>
      <c r="UDA157" s="37"/>
      <c r="UDB157" s="37"/>
      <c r="UDC157" s="37"/>
      <c r="UDD157" s="37"/>
      <c r="UDE157" s="37"/>
      <c r="UDF157" s="37"/>
      <c r="UDG157" s="37"/>
      <c r="UDH157" s="37"/>
      <c r="UDI157" s="37"/>
      <c r="UDJ157" s="37"/>
      <c r="UDK157" s="37"/>
      <c r="UDL157" s="37"/>
      <c r="UDM157" s="37"/>
      <c r="UDN157" s="37"/>
      <c r="UDO157" s="37"/>
      <c r="UDP157" s="37"/>
      <c r="UDQ157" s="37"/>
      <c r="UDR157" s="37"/>
      <c r="UDS157" s="37"/>
      <c r="UDT157" s="37"/>
      <c r="UDU157" s="37"/>
      <c r="UDV157" s="37"/>
      <c r="UDW157" s="37"/>
      <c r="UDX157" s="37"/>
      <c r="UDY157" s="37"/>
      <c r="UDZ157" s="37"/>
      <c r="UEA157" s="37"/>
      <c r="UEB157" s="37"/>
      <c r="UEC157" s="37"/>
      <c r="UED157" s="37"/>
      <c r="UEE157" s="37"/>
      <c r="UEF157" s="37"/>
      <c r="UEG157" s="37"/>
      <c r="UEH157" s="37"/>
      <c r="UEI157" s="37"/>
      <c r="UEJ157" s="37"/>
      <c r="UEK157" s="37"/>
      <c r="UEL157" s="37"/>
      <c r="UEM157" s="37"/>
      <c r="UEN157" s="37"/>
      <c r="UEO157" s="37"/>
      <c r="UEP157" s="37"/>
      <c r="UEQ157" s="37"/>
      <c r="UER157" s="37"/>
      <c r="UES157" s="37"/>
      <c r="UET157" s="37"/>
      <c r="UEU157" s="37"/>
      <c r="UEV157" s="37"/>
      <c r="UEW157" s="37"/>
      <c r="UEX157" s="37"/>
      <c r="UEY157" s="37"/>
      <c r="UEZ157" s="37"/>
      <c r="UFA157" s="37"/>
      <c r="UFB157" s="37"/>
      <c r="UFC157" s="37"/>
      <c r="UFD157" s="37"/>
      <c r="UFE157" s="37"/>
      <c r="UFF157" s="37"/>
      <c r="UFG157" s="37"/>
      <c r="UFH157" s="37"/>
      <c r="UFI157" s="37"/>
      <c r="UFJ157" s="37"/>
      <c r="UFK157" s="37"/>
      <c r="UFL157" s="37"/>
      <c r="UFM157" s="37"/>
      <c r="UFN157" s="37"/>
      <c r="UFO157" s="37"/>
      <c r="UFP157" s="37"/>
      <c r="UFQ157" s="37"/>
      <c r="UFR157" s="37"/>
      <c r="UFS157" s="37"/>
      <c r="UFT157" s="37"/>
      <c r="UFU157" s="37"/>
      <c r="UFV157" s="37"/>
      <c r="UFW157" s="37"/>
      <c r="UFX157" s="37"/>
      <c r="UFY157" s="37"/>
      <c r="UFZ157" s="37"/>
      <c r="UGA157" s="37"/>
      <c r="UGB157" s="37"/>
      <c r="UGC157" s="37"/>
      <c r="UGD157" s="37"/>
      <c r="UGE157" s="37"/>
      <c r="UGF157" s="37"/>
      <c r="UGG157" s="37"/>
      <c r="UGH157" s="37"/>
      <c r="UGI157" s="37"/>
      <c r="UGJ157" s="37"/>
      <c r="UGK157" s="37"/>
      <c r="UGL157" s="37"/>
      <c r="UGM157" s="37"/>
      <c r="UGN157" s="37"/>
      <c r="UGO157" s="37"/>
      <c r="UGP157" s="37"/>
      <c r="UGQ157" s="37"/>
      <c r="UGR157" s="37"/>
      <c r="UGS157" s="37"/>
      <c r="UGT157" s="37"/>
      <c r="UGU157" s="37"/>
      <c r="UGV157" s="37"/>
      <c r="UGW157" s="37"/>
      <c r="UGX157" s="37"/>
      <c r="UGY157" s="37"/>
      <c r="UGZ157" s="37"/>
      <c r="UHA157" s="37"/>
      <c r="UHB157" s="37"/>
      <c r="UHC157" s="37"/>
      <c r="UHD157" s="37"/>
      <c r="UHE157" s="37"/>
      <c r="UHF157" s="37"/>
      <c r="UHG157" s="37"/>
      <c r="UHH157" s="37"/>
      <c r="UHI157" s="37"/>
      <c r="UHJ157" s="37"/>
      <c r="UHK157" s="37"/>
      <c r="UHL157" s="37"/>
      <c r="UHM157" s="37"/>
      <c r="UHN157" s="37"/>
      <c r="UHO157" s="37"/>
      <c r="UHP157" s="37"/>
      <c r="UHQ157" s="37"/>
      <c r="UHR157" s="37"/>
      <c r="UHS157" s="37"/>
      <c r="UHT157" s="37"/>
      <c r="UHU157" s="37"/>
      <c r="UHV157" s="37"/>
      <c r="UHW157" s="37"/>
      <c r="UHX157" s="37"/>
      <c r="UHY157" s="37"/>
      <c r="UHZ157" s="37"/>
      <c r="UIA157" s="37"/>
      <c r="UIB157" s="37"/>
      <c r="UIC157" s="37"/>
      <c r="UID157" s="37"/>
      <c r="UIE157" s="37"/>
      <c r="UIF157" s="37"/>
      <c r="UIG157" s="37"/>
      <c r="UIH157" s="37"/>
      <c r="UII157" s="37"/>
      <c r="UIJ157" s="37"/>
      <c r="UIK157" s="37"/>
      <c r="UIL157" s="37"/>
      <c r="UIM157" s="37"/>
      <c r="UIN157" s="37"/>
      <c r="UIO157" s="37"/>
      <c r="UIP157" s="37"/>
      <c r="UIQ157" s="37"/>
      <c r="UIR157" s="37"/>
      <c r="UIS157" s="37"/>
      <c r="UIT157" s="37"/>
      <c r="UIU157" s="37"/>
      <c r="UIV157" s="37"/>
      <c r="UIW157" s="37"/>
      <c r="UIX157" s="37"/>
      <c r="UIY157" s="37"/>
      <c r="UIZ157" s="37"/>
      <c r="UJA157" s="37"/>
      <c r="UJB157" s="37"/>
      <c r="UJC157" s="37"/>
      <c r="UJD157" s="37"/>
      <c r="UJE157" s="37"/>
      <c r="UJF157" s="37"/>
      <c r="UJG157" s="37"/>
      <c r="UJH157" s="37"/>
      <c r="UJI157" s="37"/>
      <c r="UJJ157" s="37"/>
      <c r="UJK157" s="37"/>
      <c r="UJL157" s="37"/>
      <c r="UJM157" s="37"/>
      <c r="UJN157" s="37"/>
      <c r="UJO157" s="37"/>
      <c r="UJP157" s="37"/>
      <c r="UJQ157" s="37"/>
      <c r="UJR157" s="37"/>
      <c r="UJS157" s="37"/>
      <c r="UJT157" s="37"/>
      <c r="UJU157" s="37"/>
      <c r="UJV157" s="37"/>
      <c r="UJW157" s="37"/>
      <c r="UJX157" s="37"/>
      <c r="UJY157" s="37"/>
      <c r="UJZ157" s="37"/>
      <c r="UKA157" s="37"/>
      <c r="UKB157" s="37"/>
      <c r="UKC157" s="37"/>
      <c r="UKD157" s="37"/>
      <c r="UKE157" s="37"/>
      <c r="UKF157" s="37"/>
      <c r="UKG157" s="37"/>
      <c r="UKH157" s="37"/>
      <c r="UKI157" s="37"/>
      <c r="UKJ157" s="37"/>
      <c r="UKK157" s="37"/>
      <c r="UKL157" s="37"/>
      <c r="UKM157" s="37"/>
      <c r="UKN157" s="37"/>
      <c r="UKO157" s="37"/>
      <c r="UKP157" s="37"/>
      <c r="UKQ157" s="37"/>
      <c r="UKR157" s="37"/>
      <c r="UKS157" s="37"/>
      <c r="UKT157" s="37"/>
      <c r="UKU157" s="37"/>
      <c r="UKV157" s="37"/>
      <c r="UKW157" s="37"/>
      <c r="UKX157" s="37"/>
      <c r="UKY157" s="37"/>
      <c r="UKZ157" s="37"/>
      <c r="ULA157" s="37"/>
      <c r="ULB157" s="37"/>
      <c r="ULC157" s="37"/>
      <c r="ULD157" s="37"/>
      <c r="ULE157" s="37"/>
      <c r="ULF157" s="37"/>
      <c r="ULG157" s="37"/>
      <c r="ULH157" s="37"/>
      <c r="ULI157" s="37"/>
      <c r="ULJ157" s="37"/>
      <c r="ULK157" s="37"/>
      <c r="ULL157" s="37"/>
      <c r="ULM157" s="37"/>
      <c r="ULN157" s="37"/>
      <c r="ULO157" s="37"/>
      <c r="ULP157" s="37"/>
      <c r="ULQ157" s="37"/>
      <c r="ULR157" s="37"/>
      <c r="ULS157" s="37"/>
      <c r="ULT157" s="37"/>
      <c r="ULU157" s="37"/>
      <c r="ULV157" s="37"/>
      <c r="ULW157" s="37"/>
      <c r="ULX157" s="37"/>
      <c r="ULY157" s="37"/>
      <c r="ULZ157" s="37"/>
      <c r="UMA157" s="37"/>
      <c r="UMB157" s="37"/>
      <c r="UMC157" s="37"/>
      <c r="UMD157" s="37"/>
      <c r="UME157" s="37"/>
      <c r="UMF157" s="37"/>
      <c r="UMG157" s="37"/>
      <c r="UMH157" s="37"/>
      <c r="UMI157" s="37"/>
      <c r="UMJ157" s="37"/>
      <c r="UMK157" s="37"/>
      <c r="UML157" s="37"/>
      <c r="UMM157" s="37"/>
      <c r="UMN157" s="37"/>
      <c r="UMO157" s="37"/>
      <c r="UMP157" s="37"/>
      <c r="UMQ157" s="37"/>
      <c r="UMR157" s="37"/>
      <c r="UMS157" s="37"/>
      <c r="UMT157" s="37"/>
      <c r="UMU157" s="37"/>
      <c r="UMV157" s="37"/>
      <c r="UMW157" s="37"/>
      <c r="UMX157" s="37"/>
      <c r="UMY157" s="37"/>
      <c r="UMZ157" s="37"/>
      <c r="UNA157" s="37"/>
      <c r="UNB157" s="37"/>
      <c r="UNC157" s="37"/>
      <c r="UND157" s="37"/>
      <c r="UNE157" s="37"/>
      <c r="UNF157" s="37"/>
      <c r="UNG157" s="37"/>
      <c r="UNH157" s="37"/>
      <c r="UNI157" s="37"/>
      <c r="UNJ157" s="37"/>
      <c r="UNK157" s="37"/>
      <c r="UNL157" s="37"/>
      <c r="UNM157" s="37"/>
      <c r="UNN157" s="37"/>
      <c r="UNO157" s="37"/>
      <c r="UNP157" s="37"/>
      <c r="UNQ157" s="37"/>
      <c r="UNR157" s="37"/>
      <c r="UNS157" s="37"/>
      <c r="UNT157" s="37"/>
      <c r="UNU157" s="37"/>
      <c r="UNV157" s="37"/>
      <c r="UNW157" s="37"/>
      <c r="UNX157" s="37"/>
      <c r="UNY157" s="37"/>
      <c r="UNZ157" s="37"/>
      <c r="UOA157" s="37"/>
      <c r="UOB157" s="37"/>
      <c r="UOC157" s="37"/>
      <c r="UOD157" s="37"/>
      <c r="UOE157" s="37"/>
      <c r="UOF157" s="37"/>
      <c r="UOG157" s="37"/>
      <c r="UOH157" s="37"/>
      <c r="UOI157" s="37"/>
      <c r="UOJ157" s="37"/>
      <c r="UOK157" s="37"/>
      <c r="UOL157" s="37"/>
      <c r="UOM157" s="37"/>
      <c r="UON157" s="37"/>
      <c r="UOO157" s="37"/>
      <c r="UOP157" s="37"/>
      <c r="UOQ157" s="37"/>
      <c r="UOR157" s="37"/>
      <c r="UOS157" s="37"/>
      <c r="UOT157" s="37"/>
      <c r="UOU157" s="37"/>
      <c r="UOV157" s="37"/>
      <c r="UOW157" s="37"/>
      <c r="UOX157" s="37"/>
      <c r="UOY157" s="37"/>
      <c r="UOZ157" s="37"/>
      <c r="UPA157" s="37"/>
      <c r="UPB157" s="37"/>
      <c r="UPC157" s="37"/>
      <c r="UPD157" s="37"/>
      <c r="UPE157" s="37"/>
      <c r="UPF157" s="37"/>
      <c r="UPG157" s="37"/>
      <c r="UPH157" s="37"/>
      <c r="UPI157" s="37"/>
      <c r="UPJ157" s="37"/>
      <c r="UPK157" s="37"/>
      <c r="UPL157" s="37"/>
      <c r="UPM157" s="37"/>
      <c r="UPN157" s="37"/>
      <c r="UPO157" s="37"/>
      <c r="UPP157" s="37"/>
      <c r="UPQ157" s="37"/>
      <c r="UPR157" s="37"/>
      <c r="UPS157" s="37"/>
      <c r="UPT157" s="37"/>
      <c r="UPU157" s="37"/>
      <c r="UPV157" s="37"/>
      <c r="UPW157" s="37"/>
      <c r="UPX157" s="37"/>
      <c r="UPY157" s="37"/>
      <c r="UPZ157" s="37"/>
      <c r="UQA157" s="37"/>
      <c r="UQB157" s="37"/>
      <c r="UQC157" s="37"/>
      <c r="UQD157" s="37"/>
      <c r="UQE157" s="37"/>
      <c r="UQF157" s="37"/>
      <c r="UQG157" s="37"/>
      <c r="UQH157" s="37"/>
      <c r="UQI157" s="37"/>
      <c r="UQJ157" s="37"/>
      <c r="UQK157" s="37"/>
      <c r="UQL157" s="37"/>
      <c r="UQM157" s="37"/>
      <c r="UQN157" s="37"/>
      <c r="UQO157" s="37"/>
      <c r="UQP157" s="37"/>
      <c r="UQQ157" s="37"/>
      <c r="UQR157" s="37"/>
      <c r="UQS157" s="37"/>
      <c r="UQT157" s="37"/>
      <c r="UQU157" s="37"/>
      <c r="UQV157" s="37"/>
      <c r="UQW157" s="37"/>
      <c r="UQX157" s="37"/>
      <c r="UQY157" s="37"/>
      <c r="UQZ157" s="37"/>
      <c r="URA157" s="37"/>
      <c r="URB157" s="37"/>
      <c r="URC157" s="37"/>
      <c r="URD157" s="37"/>
      <c r="URE157" s="37"/>
      <c r="URF157" s="37"/>
      <c r="URG157" s="37"/>
      <c r="URH157" s="37"/>
      <c r="URI157" s="37"/>
      <c r="URJ157" s="37"/>
      <c r="URK157" s="37"/>
      <c r="URL157" s="37"/>
      <c r="URM157" s="37"/>
      <c r="URN157" s="37"/>
      <c r="URO157" s="37"/>
      <c r="URP157" s="37"/>
      <c r="URQ157" s="37"/>
      <c r="URR157" s="37"/>
      <c r="URS157" s="37"/>
      <c r="URT157" s="37"/>
      <c r="URU157" s="37"/>
      <c r="URV157" s="37"/>
      <c r="URW157" s="37"/>
      <c r="URX157" s="37"/>
      <c r="URY157" s="37"/>
      <c r="URZ157" s="37"/>
      <c r="USA157" s="37"/>
      <c r="USB157" s="37"/>
      <c r="USC157" s="37"/>
      <c r="USD157" s="37"/>
      <c r="USE157" s="37"/>
      <c r="USF157" s="37"/>
      <c r="USG157" s="37"/>
      <c r="USH157" s="37"/>
      <c r="USI157" s="37"/>
      <c r="USJ157" s="37"/>
      <c r="USK157" s="37"/>
      <c r="USL157" s="37"/>
      <c r="USM157" s="37"/>
      <c r="USN157" s="37"/>
      <c r="USO157" s="37"/>
      <c r="USP157" s="37"/>
      <c r="USQ157" s="37"/>
      <c r="USR157" s="37"/>
      <c r="USS157" s="37"/>
      <c r="UST157" s="37"/>
      <c r="USU157" s="37"/>
      <c r="USV157" s="37"/>
      <c r="USW157" s="37"/>
      <c r="USX157" s="37"/>
      <c r="USY157" s="37"/>
      <c r="USZ157" s="37"/>
      <c r="UTA157" s="37"/>
      <c r="UTB157" s="37"/>
      <c r="UTC157" s="37"/>
      <c r="UTD157" s="37"/>
      <c r="UTE157" s="37"/>
      <c r="UTF157" s="37"/>
      <c r="UTG157" s="37"/>
      <c r="UTH157" s="37"/>
      <c r="UTI157" s="37"/>
      <c r="UTJ157" s="37"/>
      <c r="UTK157" s="37"/>
      <c r="UTL157" s="37"/>
      <c r="UTM157" s="37"/>
      <c r="UTN157" s="37"/>
      <c r="UTO157" s="37"/>
      <c r="UTP157" s="37"/>
      <c r="UTQ157" s="37"/>
      <c r="UTR157" s="37"/>
      <c r="UTS157" s="37"/>
      <c r="UTT157" s="37"/>
      <c r="UTU157" s="37"/>
      <c r="UTV157" s="37"/>
      <c r="UTW157" s="37"/>
      <c r="UTX157" s="37"/>
      <c r="UTY157" s="37"/>
      <c r="UTZ157" s="37"/>
      <c r="UUA157" s="37"/>
      <c r="UUB157" s="37"/>
      <c r="UUC157" s="37"/>
      <c r="UUD157" s="37"/>
      <c r="UUE157" s="37"/>
      <c r="UUF157" s="37"/>
      <c r="UUG157" s="37"/>
      <c r="UUH157" s="37"/>
      <c r="UUI157" s="37"/>
      <c r="UUJ157" s="37"/>
      <c r="UUK157" s="37"/>
      <c r="UUL157" s="37"/>
      <c r="UUM157" s="37"/>
      <c r="UUN157" s="37"/>
      <c r="UUO157" s="37"/>
      <c r="UUP157" s="37"/>
      <c r="UUQ157" s="37"/>
      <c r="UUR157" s="37"/>
      <c r="UUS157" s="37"/>
      <c r="UUT157" s="37"/>
      <c r="UUU157" s="37"/>
      <c r="UUV157" s="37"/>
      <c r="UUW157" s="37"/>
      <c r="UUX157" s="37"/>
      <c r="UUY157" s="37"/>
      <c r="UUZ157" s="37"/>
      <c r="UVA157" s="37"/>
      <c r="UVB157" s="37"/>
      <c r="UVC157" s="37"/>
      <c r="UVD157" s="37"/>
      <c r="UVE157" s="37"/>
      <c r="UVF157" s="37"/>
      <c r="UVG157" s="37"/>
      <c r="UVH157" s="37"/>
      <c r="UVI157" s="37"/>
      <c r="UVJ157" s="37"/>
      <c r="UVK157" s="37"/>
      <c r="UVL157" s="37"/>
      <c r="UVM157" s="37"/>
      <c r="UVN157" s="37"/>
      <c r="UVO157" s="37"/>
      <c r="UVP157" s="37"/>
      <c r="UVQ157" s="37"/>
      <c r="UVR157" s="37"/>
      <c r="UVS157" s="37"/>
      <c r="UVT157" s="37"/>
      <c r="UVU157" s="37"/>
      <c r="UVV157" s="37"/>
      <c r="UVW157" s="37"/>
      <c r="UVX157" s="37"/>
      <c r="UVY157" s="37"/>
      <c r="UVZ157" s="37"/>
      <c r="UWA157" s="37"/>
      <c r="UWB157" s="37"/>
      <c r="UWC157" s="37"/>
      <c r="UWD157" s="37"/>
      <c r="UWE157" s="37"/>
      <c r="UWF157" s="37"/>
      <c r="UWG157" s="37"/>
      <c r="UWH157" s="37"/>
      <c r="UWI157" s="37"/>
      <c r="UWJ157" s="37"/>
      <c r="UWK157" s="37"/>
      <c r="UWL157" s="37"/>
      <c r="UWM157" s="37"/>
      <c r="UWN157" s="37"/>
      <c r="UWO157" s="37"/>
      <c r="UWP157" s="37"/>
      <c r="UWQ157" s="37"/>
      <c r="UWR157" s="37"/>
      <c r="UWS157" s="37"/>
      <c r="UWT157" s="37"/>
      <c r="UWU157" s="37"/>
      <c r="UWV157" s="37"/>
      <c r="UWW157" s="37"/>
      <c r="UWX157" s="37"/>
      <c r="UWY157" s="37"/>
      <c r="UWZ157" s="37"/>
      <c r="UXA157" s="37"/>
      <c r="UXB157" s="37"/>
      <c r="UXC157" s="37"/>
      <c r="UXD157" s="37"/>
      <c r="UXE157" s="37"/>
      <c r="UXF157" s="37"/>
      <c r="UXG157" s="37"/>
      <c r="UXH157" s="37"/>
      <c r="UXI157" s="37"/>
      <c r="UXJ157" s="37"/>
      <c r="UXK157" s="37"/>
      <c r="UXL157" s="37"/>
      <c r="UXM157" s="37"/>
      <c r="UXN157" s="37"/>
      <c r="UXO157" s="37"/>
      <c r="UXP157" s="37"/>
      <c r="UXQ157" s="37"/>
      <c r="UXR157" s="37"/>
      <c r="UXS157" s="37"/>
      <c r="UXT157" s="37"/>
      <c r="UXU157" s="37"/>
      <c r="UXV157" s="37"/>
      <c r="UXW157" s="37"/>
      <c r="UXX157" s="37"/>
      <c r="UXY157" s="37"/>
      <c r="UXZ157" s="37"/>
      <c r="UYA157" s="37"/>
      <c r="UYB157" s="37"/>
      <c r="UYC157" s="37"/>
      <c r="UYD157" s="37"/>
      <c r="UYE157" s="37"/>
      <c r="UYF157" s="37"/>
      <c r="UYG157" s="37"/>
      <c r="UYH157" s="37"/>
      <c r="UYI157" s="37"/>
      <c r="UYJ157" s="37"/>
      <c r="UYK157" s="37"/>
      <c r="UYL157" s="37"/>
      <c r="UYM157" s="37"/>
      <c r="UYN157" s="37"/>
      <c r="UYO157" s="37"/>
      <c r="UYP157" s="37"/>
      <c r="UYQ157" s="37"/>
      <c r="UYR157" s="37"/>
      <c r="UYS157" s="37"/>
      <c r="UYT157" s="37"/>
      <c r="UYU157" s="37"/>
      <c r="UYV157" s="37"/>
      <c r="UYW157" s="37"/>
      <c r="UYX157" s="37"/>
      <c r="UYY157" s="37"/>
      <c r="UYZ157" s="37"/>
      <c r="UZA157" s="37"/>
      <c r="UZB157" s="37"/>
      <c r="UZC157" s="37"/>
      <c r="UZD157" s="37"/>
      <c r="UZE157" s="37"/>
      <c r="UZF157" s="37"/>
      <c r="UZG157" s="37"/>
      <c r="UZH157" s="37"/>
      <c r="UZI157" s="37"/>
      <c r="UZJ157" s="37"/>
      <c r="UZK157" s="37"/>
      <c r="UZL157" s="37"/>
      <c r="UZM157" s="37"/>
      <c r="UZN157" s="37"/>
      <c r="UZO157" s="37"/>
      <c r="UZP157" s="37"/>
      <c r="UZQ157" s="37"/>
      <c r="UZR157" s="37"/>
      <c r="UZS157" s="37"/>
      <c r="UZT157" s="37"/>
      <c r="UZU157" s="37"/>
      <c r="UZV157" s="37"/>
      <c r="UZW157" s="37"/>
      <c r="UZX157" s="37"/>
      <c r="UZY157" s="37"/>
      <c r="UZZ157" s="37"/>
      <c r="VAA157" s="37"/>
      <c r="VAB157" s="37"/>
      <c r="VAC157" s="37"/>
      <c r="VAD157" s="37"/>
      <c r="VAE157" s="37"/>
      <c r="VAF157" s="37"/>
      <c r="VAG157" s="37"/>
      <c r="VAH157" s="37"/>
      <c r="VAI157" s="37"/>
      <c r="VAJ157" s="37"/>
      <c r="VAK157" s="37"/>
      <c r="VAL157" s="37"/>
      <c r="VAM157" s="37"/>
      <c r="VAN157" s="37"/>
      <c r="VAO157" s="37"/>
      <c r="VAP157" s="37"/>
      <c r="VAQ157" s="37"/>
      <c r="VAR157" s="37"/>
      <c r="VAS157" s="37"/>
      <c r="VAT157" s="37"/>
      <c r="VAU157" s="37"/>
      <c r="VAV157" s="37"/>
      <c r="VAW157" s="37"/>
      <c r="VAX157" s="37"/>
      <c r="VAY157" s="37"/>
      <c r="VAZ157" s="37"/>
      <c r="VBA157" s="37"/>
      <c r="VBB157" s="37"/>
      <c r="VBC157" s="37"/>
      <c r="VBD157" s="37"/>
      <c r="VBE157" s="37"/>
      <c r="VBF157" s="37"/>
      <c r="VBG157" s="37"/>
      <c r="VBH157" s="37"/>
      <c r="VBI157" s="37"/>
      <c r="VBJ157" s="37"/>
      <c r="VBK157" s="37"/>
      <c r="VBL157" s="37"/>
      <c r="VBM157" s="37"/>
      <c r="VBN157" s="37"/>
      <c r="VBO157" s="37"/>
      <c r="VBP157" s="37"/>
      <c r="VBQ157" s="37"/>
      <c r="VBR157" s="37"/>
      <c r="VBS157" s="37"/>
      <c r="VBT157" s="37"/>
      <c r="VBU157" s="37"/>
      <c r="VBV157" s="37"/>
      <c r="VBW157" s="37"/>
      <c r="VBX157" s="37"/>
      <c r="VBY157" s="37"/>
      <c r="VBZ157" s="37"/>
      <c r="VCA157" s="37"/>
      <c r="VCB157" s="37"/>
      <c r="VCC157" s="37"/>
      <c r="VCD157" s="37"/>
      <c r="VCE157" s="37"/>
      <c r="VCF157" s="37"/>
      <c r="VCG157" s="37"/>
      <c r="VCH157" s="37"/>
      <c r="VCI157" s="37"/>
      <c r="VCJ157" s="37"/>
      <c r="VCK157" s="37"/>
      <c r="VCL157" s="37"/>
      <c r="VCM157" s="37"/>
      <c r="VCN157" s="37"/>
      <c r="VCO157" s="37"/>
      <c r="VCP157" s="37"/>
      <c r="VCQ157" s="37"/>
      <c r="VCR157" s="37"/>
      <c r="VCS157" s="37"/>
      <c r="VCT157" s="37"/>
      <c r="VCU157" s="37"/>
      <c r="VCV157" s="37"/>
      <c r="VCW157" s="37"/>
      <c r="VCX157" s="37"/>
      <c r="VCY157" s="37"/>
      <c r="VCZ157" s="37"/>
      <c r="VDA157" s="37"/>
      <c r="VDB157" s="37"/>
      <c r="VDC157" s="37"/>
      <c r="VDD157" s="37"/>
      <c r="VDE157" s="37"/>
      <c r="VDF157" s="37"/>
      <c r="VDG157" s="37"/>
      <c r="VDH157" s="37"/>
      <c r="VDI157" s="37"/>
      <c r="VDJ157" s="37"/>
      <c r="VDK157" s="37"/>
      <c r="VDL157" s="37"/>
      <c r="VDM157" s="37"/>
      <c r="VDN157" s="37"/>
      <c r="VDO157" s="37"/>
      <c r="VDP157" s="37"/>
      <c r="VDQ157" s="37"/>
      <c r="VDR157" s="37"/>
      <c r="VDS157" s="37"/>
      <c r="VDT157" s="37"/>
      <c r="VDU157" s="37"/>
      <c r="VDV157" s="37"/>
      <c r="VDW157" s="37"/>
      <c r="VDX157" s="37"/>
      <c r="VDY157" s="37"/>
      <c r="VDZ157" s="37"/>
      <c r="VEA157" s="37"/>
      <c r="VEB157" s="37"/>
      <c r="VEC157" s="37"/>
      <c r="VED157" s="37"/>
      <c r="VEE157" s="37"/>
      <c r="VEF157" s="37"/>
      <c r="VEG157" s="37"/>
      <c r="VEH157" s="37"/>
      <c r="VEI157" s="37"/>
      <c r="VEJ157" s="37"/>
      <c r="VEK157" s="37"/>
      <c r="VEL157" s="37"/>
      <c r="VEM157" s="37"/>
      <c r="VEN157" s="37"/>
      <c r="VEO157" s="37"/>
      <c r="VEP157" s="37"/>
      <c r="VEQ157" s="37"/>
      <c r="VER157" s="37"/>
      <c r="VES157" s="37"/>
      <c r="VET157" s="37"/>
      <c r="VEU157" s="37"/>
      <c r="VEV157" s="37"/>
      <c r="VEW157" s="37"/>
      <c r="VEX157" s="37"/>
      <c r="VEY157" s="37"/>
      <c r="VEZ157" s="37"/>
      <c r="VFA157" s="37"/>
      <c r="VFB157" s="37"/>
      <c r="VFC157" s="37"/>
      <c r="VFD157" s="37"/>
      <c r="VFE157" s="37"/>
      <c r="VFF157" s="37"/>
      <c r="VFG157" s="37"/>
      <c r="VFH157" s="37"/>
      <c r="VFI157" s="37"/>
      <c r="VFJ157" s="37"/>
      <c r="VFK157" s="37"/>
      <c r="VFL157" s="37"/>
      <c r="VFM157" s="37"/>
      <c r="VFN157" s="37"/>
      <c r="VFO157" s="37"/>
      <c r="VFP157" s="37"/>
      <c r="VFQ157" s="37"/>
      <c r="VFR157" s="37"/>
      <c r="VFS157" s="37"/>
      <c r="VFT157" s="37"/>
      <c r="VFU157" s="37"/>
      <c r="VFV157" s="37"/>
      <c r="VFW157" s="37"/>
      <c r="VFX157" s="37"/>
      <c r="VFY157" s="37"/>
      <c r="VFZ157" s="37"/>
      <c r="VGA157" s="37"/>
      <c r="VGB157" s="37"/>
      <c r="VGC157" s="37"/>
      <c r="VGD157" s="37"/>
      <c r="VGE157" s="37"/>
      <c r="VGF157" s="37"/>
      <c r="VGG157" s="37"/>
      <c r="VGH157" s="37"/>
      <c r="VGI157" s="37"/>
      <c r="VGJ157" s="37"/>
      <c r="VGK157" s="37"/>
      <c r="VGL157" s="37"/>
      <c r="VGM157" s="37"/>
      <c r="VGN157" s="37"/>
      <c r="VGO157" s="37"/>
      <c r="VGP157" s="37"/>
      <c r="VGQ157" s="37"/>
      <c r="VGR157" s="37"/>
      <c r="VGS157" s="37"/>
      <c r="VGT157" s="37"/>
      <c r="VGU157" s="37"/>
      <c r="VGV157" s="37"/>
      <c r="VGW157" s="37"/>
      <c r="VGX157" s="37"/>
      <c r="VGY157" s="37"/>
      <c r="VGZ157" s="37"/>
      <c r="VHA157" s="37"/>
      <c r="VHB157" s="37"/>
      <c r="VHC157" s="37"/>
      <c r="VHD157" s="37"/>
      <c r="VHE157" s="37"/>
      <c r="VHF157" s="37"/>
      <c r="VHG157" s="37"/>
      <c r="VHH157" s="37"/>
      <c r="VHI157" s="37"/>
      <c r="VHJ157" s="37"/>
      <c r="VHK157" s="37"/>
      <c r="VHL157" s="37"/>
      <c r="VHM157" s="37"/>
      <c r="VHN157" s="37"/>
      <c r="VHO157" s="37"/>
      <c r="VHP157" s="37"/>
      <c r="VHQ157" s="37"/>
      <c r="VHR157" s="37"/>
      <c r="VHS157" s="37"/>
      <c r="VHT157" s="37"/>
      <c r="VHU157" s="37"/>
      <c r="VHV157" s="37"/>
      <c r="VHW157" s="37"/>
      <c r="VHX157" s="37"/>
      <c r="VHY157" s="37"/>
      <c r="VHZ157" s="37"/>
      <c r="VIA157" s="37"/>
      <c r="VIB157" s="37"/>
      <c r="VIC157" s="37"/>
      <c r="VID157" s="37"/>
      <c r="VIE157" s="37"/>
      <c r="VIF157" s="37"/>
      <c r="VIG157" s="37"/>
      <c r="VIH157" s="37"/>
      <c r="VII157" s="37"/>
      <c r="VIJ157" s="37"/>
      <c r="VIK157" s="37"/>
      <c r="VIL157" s="37"/>
      <c r="VIM157" s="37"/>
      <c r="VIN157" s="37"/>
      <c r="VIO157" s="37"/>
      <c r="VIP157" s="37"/>
      <c r="VIQ157" s="37"/>
      <c r="VIR157" s="37"/>
      <c r="VIS157" s="37"/>
      <c r="VIT157" s="37"/>
      <c r="VIU157" s="37"/>
      <c r="VIV157" s="37"/>
      <c r="VIW157" s="37"/>
      <c r="VIX157" s="37"/>
      <c r="VIY157" s="37"/>
      <c r="VIZ157" s="37"/>
      <c r="VJA157" s="37"/>
      <c r="VJB157" s="37"/>
      <c r="VJC157" s="37"/>
      <c r="VJD157" s="37"/>
      <c r="VJE157" s="37"/>
      <c r="VJF157" s="37"/>
      <c r="VJG157" s="37"/>
      <c r="VJH157" s="37"/>
      <c r="VJI157" s="37"/>
      <c r="VJJ157" s="37"/>
      <c r="VJK157" s="37"/>
      <c r="VJL157" s="37"/>
      <c r="VJM157" s="37"/>
      <c r="VJN157" s="37"/>
      <c r="VJO157" s="37"/>
      <c r="VJP157" s="37"/>
      <c r="VJQ157" s="37"/>
      <c r="VJR157" s="37"/>
      <c r="VJS157" s="37"/>
      <c r="VJT157" s="37"/>
      <c r="VJU157" s="37"/>
      <c r="VJV157" s="37"/>
      <c r="VJW157" s="37"/>
      <c r="VJX157" s="37"/>
      <c r="VJY157" s="37"/>
      <c r="VJZ157" s="37"/>
      <c r="VKA157" s="37"/>
      <c r="VKB157" s="37"/>
      <c r="VKC157" s="37"/>
      <c r="VKD157" s="37"/>
      <c r="VKE157" s="37"/>
      <c r="VKF157" s="37"/>
      <c r="VKG157" s="37"/>
      <c r="VKH157" s="37"/>
      <c r="VKI157" s="37"/>
      <c r="VKJ157" s="37"/>
      <c r="VKK157" s="37"/>
      <c r="VKL157" s="37"/>
      <c r="VKM157" s="37"/>
      <c r="VKN157" s="37"/>
      <c r="VKO157" s="37"/>
      <c r="VKP157" s="37"/>
      <c r="VKQ157" s="37"/>
      <c r="VKR157" s="37"/>
      <c r="VKS157" s="37"/>
      <c r="VKT157" s="37"/>
      <c r="VKU157" s="37"/>
      <c r="VKV157" s="37"/>
      <c r="VKW157" s="37"/>
      <c r="VKX157" s="37"/>
      <c r="VKY157" s="37"/>
      <c r="VKZ157" s="37"/>
      <c r="VLA157" s="37"/>
      <c r="VLB157" s="37"/>
      <c r="VLC157" s="37"/>
      <c r="VLD157" s="37"/>
      <c r="VLE157" s="37"/>
      <c r="VLF157" s="37"/>
      <c r="VLG157" s="37"/>
      <c r="VLH157" s="37"/>
      <c r="VLI157" s="37"/>
      <c r="VLJ157" s="37"/>
      <c r="VLK157" s="37"/>
      <c r="VLL157" s="37"/>
      <c r="VLM157" s="37"/>
      <c r="VLN157" s="37"/>
      <c r="VLO157" s="37"/>
      <c r="VLP157" s="37"/>
      <c r="VLQ157" s="37"/>
      <c r="VLR157" s="37"/>
      <c r="VLS157" s="37"/>
      <c r="VLT157" s="37"/>
      <c r="VLU157" s="37"/>
      <c r="VLV157" s="37"/>
      <c r="VLW157" s="37"/>
      <c r="VLX157" s="37"/>
      <c r="VLY157" s="37"/>
      <c r="VLZ157" s="37"/>
      <c r="VMA157" s="37"/>
      <c r="VMB157" s="37"/>
      <c r="VMC157" s="37"/>
      <c r="VMD157" s="37"/>
      <c r="VME157" s="37"/>
      <c r="VMF157" s="37"/>
      <c r="VMG157" s="37"/>
      <c r="VMH157" s="37"/>
      <c r="VMI157" s="37"/>
      <c r="VMJ157" s="37"/>
      <c r="VMK157" s="37"/>
      <c r="VML157" s="37"/>
      <c r="VMM157" s="37"/>
      <c r="VMN157" s="37"/>
      <c r="VMO157" s="37"/>
      <c r="VMP157" s="37"/>
      <c r="VMQ157" s="37"/>
      <c r="VMR157" s="37"/>
      <c r="VMS157" s="37"/>
      <c r="VMT157" s="37"/>
      <c r="VMU157" s="37"/>
      <c r="VMV157" s="37"/>
      <c r="VMW157" s="37"/>
      <c r="VMX157" s="37"/>
      <c r="VMY157" s="37"/>
      <c r="VMZ157" s="37"/>
      <c r="VNA157" s="37"/>
      <c r="VNB157" s="37"/>
      <c r="VNC157" s="37"/>
      <c r="VND157" s="37"/>
      <c r="VNE157" s="37"/>
      <c r="VNF157" s="37"/>
      <c r="VNG157" s="37"/>
      <c r="VNH157" s="37"/>
      <c r="VNI157" s="37"/>
      <c r="VNJ157" s="37"/>
      <c r="VNK157" s="37"/>
      <c r="VNL157" s="37"/>
      <c r="VNM157" s="37"/>
      <c r="VNN157" s="37"/>
      <c r="VNO157" s="37"/>
      <c r="VNP157" s="37"/>
      <c r="VNQ157" s="37"/>
      <c r="VNR157" s="37"/>
      <c r="VNS157" s="37"/>
      <c r="VNT157" s="37"/>
      <c r="VNU157" s="37"/>
      <c r="VNV157" s="37"/>
      <c r="VNW157" s="37"/>
      <c r="VNX157" s="37"/>
      <c r="VNY157" s="37"/>
      <c r="VNZ157" s="37"/>
      <c r="VOA157" s="37"/>
      <c r="VOB157" s="37"/>
      <c r="VOC157" s="37"/>
      <c r="VOD157" s="37"/>
      <c r="VOE157" s="37"/>
      <c r="VOF157" s="37"/>
      <c r="VOG157" s="37"/>
      <c r="VOH157" s="37"/>
      <c r="VOI157" s="37"/>
      <c r="VOJ157" s="37"/>
      <c r="VOK157" s="37"/>
      <c r="VOL157" s="37"/>
      <c r="VOM157" s="37"/>
      <c r="VON157" s="37"/>
      <c r="VOO157" s="37"/>
      <c r="VOP157" s="37"/>
      <c r="VOQ157" s="37"/>
      <c r="VOR157" s="37"/>
      <c r="VOS157" s="37"/>
      <c r="VOT157" s="37"/>
      <c r="VOU157" s="37"/>
      <c r="VOV157" s="37"/>
      <c r="VOW157" s="37"/>
      <c r="VOX157" s="37"/>
      <c r="VOY157" s="37"/>
      <c r="VOZ157" s="37"/>
      <c r="VPA157" s="37"/>
      <c r="VPB157" s="37"/>
      <c r="VPC157" s="37"/>
      <c r="VPD157" s="37"/>
      <c r="VPE157" s="37"/>
      <c r="VPF157" s="37"/>
      <c r="VPG157" s="37"/>
      <c r="VPH157" s="37"/>
      <c r="VPI157" s="37"/>
      <c r="VPJ157" s="37"/>
      <c r="VPK157" s="37"/>
      <c r="VPL157" s="37"/>
      <c r="VPM157" s="37"/>
      <c r="VPN157" s="37"/>
      <c r="VPO157" s="37"/>
      <c r="VPP157" s="37"/>
      <c r="VPQ157" s="37"/>
      <c r="VPR157" s="37"/>
      <c r="VPS157" s="37"/>
      <c r="VPT157" s="37"/>
      <c r="VPU157" s="37"/>
      <c r="VPV157" s="37"/>
      <c r="VPW157" s="37"/>
      <c r="VPX157" s="37"/>
      <c r="VPY157" s="37"/>
      <c r="VPZ157" s="37"/>
      <c r="VQA157" s="37"/>
      <c r="VQB157" s="37"/>
      <c r="VQC157" s="37"/>
      <c r="VQD157" s="37"/>
      <c r="VQE157" s="37"/>
      <c r="VQF157" s="37"/>
      <c r="VQG157" s="37"/>
      <c r="VQH157" s="37"/>
      <c r="VQI157" s="37"/>
      <c r="VQJ157" s="37"/>
      <c r="VQK157" s="37"/>
      <c r="VQL157" s="37"/>
      <c r="VQM157" s="37"/>
      <c r="VQN157" s="37"/>
      <c r="VQO157" s="37"/>
      <c r="VQP157" s="37"/>
      <c r="VQQ157" s="37"/>
      <c r="VQR157" s="37"/>
      <c r="VQS157" s="37"/>
      <c r="VQT157" s="37"/>
      <c r="VQU157" s="37"/>
      <c r="VQV157" s="37"/>
      <c r="VQW157" s="37"/>
      <c r="VQX157" s="37"/>
      <c r="VQY157" s="37"/>
      <c r="VQZ157" s="37"/>
      <c r="VRA157" s="37"/>
      <c r="VRB157" s="37"/>
      <c r="VRC157" s="37"/>
      <c r="VRD157" s="37"/>
      <c r="VRE157" s="37"/>
      <c r="VRF157" s="37"/>
      <c r="VRG157" s="37"/>
      <c r="VRH157" s="37"/>
      <c r="VRI157" s="37"/>
      <c r="VRJ157" s="37"/>
      <c r="VRK157" s="37"/>
      <c r="VRL157" s="37"/>
      <c r="VRM157" s="37"/>
      <c r="VRN157" s="37"/>
      <c r="VRO157" s="37"/>
      <c r="VRP157" s="37"/>
      <c r="VRQ157" s="37"/>
      <c r="VRR157" s="37"/>
      <c r="VRS157" s="37"/>
      <c r="VRT157" s="37"/>
      <c r="VRU157" s="37"/>
      <c r="VRV157" s="37"/>
      <c r="VRW157" s="37"/>
      <c r="VRX157" s="37"/>
      <c r="VRY157" s="37"/>
      <c r="VRZ157" s="37"/>
      <c r="VSA157" s="37"/>
      <c r="VSB157" s="37"/>
      <c r="VSC157" s="37"/>
      <c r="VSD157" s="37"/>
      <c r="VSE157" s="37"/>
      <c r="VSF157" s="37"/>
      <c r="VSG157" s="37"/>
      <c r="VSH157" s="37"/>
      <c r="VSI157" s="37"/>
      <c r="VSJ157" s="37"/>
      <c r="VSK157" s="37"/>
      <c r="VSL157" s="37"/>
      <c r="VSM157" s="37"/>
      <c r="VSN157" s="37"/>
      <c r="VSO157" s="37"/>
      <c r="VSP157" s="37"/>
      <c r="VSQ157" s="37"/>
      <c r="VSR157" s="37"/>
      <c r="VSS157" s="37"/>
      <c r="VST157" s="37"/>
      <c r="VSU157" s="37"/>
      <c r="VSV157" s="37"/>
      <c r="VSW157" s="37"/>
      <c r="VSX157" s="37"/>
      <c r="VSY157" s="37"/>
      <c r="VSZ157" s="37"/>
      <c r="VTA157" s="37"/>
      <c r="VTB157" s="37"/>
      <c r="VTC157" s="37"/>
      <c r="VTD157" s="37"/>
      <c r="VTE157" s="37"/>
      <c r="VTF157" s="37"/>
      <c r="VTG157" s="37"/>
      <c r="VTH157" s="37"/>
      <c r="VTI157" s="37"/>
      <c r="VTJ157" s="37"/>
      <c r="VTK157" s="37"/>
      <c r="VTL157" s="37"/>
      <c r="VTM157" s="37"/>
      <c r="VTN157" s="37"/>
      <c r="VTO157" s="37"/>
      <c r="VTP157" s="37"/>
      <c r="VTQ157" s="37"/>
      <c r="VTR157" s="37"/>
      <c r="VTS157" s="37"/>
      <c r="VTT157" s="37"/>
      <c r="VTU157" s="37"/>
      <c r="VTV157" s="37"/>
      <c r="VTW157" s="37"/>
      <c r="VTX157" s="37"/>
      <c r="VTY157" s="37"/>
      <c r="VTZ157" s="37"/>
      <c r="VUA157" s="37"/>
      <c r="VUB157" s="37"/>
      <c r="VUC157" s="37"/>
      <c r="VUD157" s="37"/>
      <c r="VUE157" s="37"/>
      <c r="VUF157" s="37"/>
      <c r="VUG157" s="37"/>
      <c r="VUH157" s="37"/>
      <c r="VUI157" s="37"/>
      <c r="VUJ157" s="37"/>
      <c r="VUK157" s="37"/>
      <c r="VUL157" s="37"/>
      <c r="VUM157" s="37"/>
      <c r="VUN157" s="37"/>
      <c r="VUO157" s="37"/>
      <c r="VUP157" s="37"/>
      <c r="VUQ157" s="37"/>
      <c r="VUR157" s="37"/>
      <c r="VUS157" s="37"/>
      <c r="VUT157" s="37"/>
      <c r="VUU157" s="37"/>
      <c r="VUV157" s="37"/>
      <c r="VUW157" s="37"/>
      <c r="VUX157" s="37"/>
      <c r="VUY157" s="37"/>
      <c r="VUZ157" s="37"/>
      <c r="VVA157" s="37"/>
      <c r="VVB157" s="37"/>
      <c r="VVC157" s="37"/>
      <c r="VVD157" s="37"/>
      <c r="VVE157" s="37"/>
      <c r="VVF157" s="37"/>
      <c r="VVG157" s="37"/>
      <c r="VVH157" s="37"/>
      <c r="VVI157" s="37"/>
      <c r="VVJ157" s="37"/>
      <c r="VVK157" s="37"/>
      <c r="VVL157" s="37"/>
      <c r="VVM157" s="37"/>
      <c r="VVN157" s="37"/>
      <c r="VVO157" s="37"/>
      <c r="VVP157" s="37"/>
      <c r="VVQ157" s="37"/>
      <c r="VVR157" s="37"/>
      <c r="VVS157" s="37"/>
      <c r="VVT157" s="37"/>
      <c r="VVU157" s="37"/>
      <c r="VVV157" s="37"/>
      <c r="VVW157" s="37"/>
      <c r="VVX157" s="37"/>
      <c r="VVY157" s="37"/>
      <c r="VVZ157" s="37"/>
      <c r="VWA157" s="37"/>
      <c r="VWB157" s="37"/>
      <c r="VWC157" s="37"/>
      <c r="VWD157" s="37"/>
      <c r="VWE157" s="37"/>
      <c r="VWF157" s="37"/>
      <c r="VWG157" s="37"/>
      <c r="VWH157" s="37"/>
      <c r="VWI157" s="37"/>
      <c r="VWJ157" s="37"/>
      <c r="VWK157" s="37"/>
      <c r="VWL157" s="37"/>
      <c r="VWM157" s="37"/>
      <c r="VWN157" s="37"/>
      <c r="VWO157" s="37"/>
      <c r="VWP157" s="37"/>
      <c r="VWQ157" s="37"/>
      <c r="VWR157" s="37"/>
      <c r="VWS157" s="37"/>
      <c r="VWT157" s="37"/>
      <c r="VWU157" s="37"/>
      <c r="VWV157" s="37"/>
      <c r="VWW157" s="37"/>
      <c r="VWX157" s="37"/>
      <c r="VWY157" s="37"/>
      <c r="VWZ157" s="37"/>
      <c r="VXA157" s="37"/>
      <c r="VXB157" s="37"/>
      <c r="VXC157" s="37"/>
      <c r="VXD157" s="37"/>
      <c r="VXE157" s="37"/>
      <c r="VXF157" s="37"/>
      <c r="VXG157" s="37"/>
      <c r="VXH157" s="37"/>
      <c r="VXI157" s="37"/>
      <c r="VXJ157" s="37"/>
      <c r="VXK157" s="37"/>
      <c r="VXL157" s="37"/>
      <c r="VXM157" s="37"/>
      <c r="VXN157" s="37"/>
      <c r="VXO157" s="37"/>
      <c r="VXP157" s="37"/>
      <c r="VXQ157" s="37"/>
      <c r="VXR157" s="37"/>
      <c r="VXS157" s="37"/>
      <c r="VXT157" s="37"/>
      <c r="VXU157" s="37"/>
      <c r="VXV157" s="37"/>
      <c r="VXW157" s="37"/>
      <c r="VXX157" s="37"/>
      <c r="VXY157" s="37"/>
      <c r="VXZ157" s="37"/>
      <c r="VYA157" s="37"/>
      <c r="VYB157" s="37"/>
      <c r="VYC157" s="37"/>
      <c r="VYD157" s="37"/>
      <c r="VYE157" s="37"/>
      <c r="VYF157" s="37"/>
      <c r="VYG157" s="37"/>
      <c r="VYH157" s="37"/>
      <c r="VYI157" s="37"/>
      <c r="VYJ157" s="37"/>
      <c r="VYK157" s="37"/>
      <c r="VYL157" s="37"/>
      <c r="VYM157" s="37"/>
      <c r="VYN157" s="37"/>
      <c r="VYO157" s="37"/>
      <c r="VYP157" s="37"/>
      <c r="VYQ157" s="37"/>
      <c r="VYR157" s="37"/>
      <c r="VYS157" s="37"/>
      <c r="VYT157" s="37"/>
      <c r="VYU157" s="37"/>
      <c r="VYV157" s="37"/>
      <c r="VYW157" s="37"/>
      <c r="VYX157" s="37"/>
      <c r="VYY157" s="37"/>
      <c r="VYZ157" s="37"/>
      <c r="VZA157" s="37"/>
      <c r="VZB157" s="37"/>
      <c r="VZC157" s="37"/>
      <c r="VZD157" s="37"/>
      <c r="VZE157" s="37"/>
      <c r="VZF157" s="37"/>
      <c r="VZG157" s="37"/>
      <c r="VZH157" s="37"/>
      <c r="VZI157" s="37"/>
      <c r="VZJ157" s="37"/>
      <c r="VZK157" s="37"/>
      <c r="VZL157" s="37"/>
      <c r="VZM157" s="37"/>
      <c r="VZN157" s="37"/>
      <c r="VZO157" s="37"/>
      <c r="VZP157" s="37"/>
      <c r="VZQ157" s="37"/>
      <c r="VZR157" s="37"/>
      <c r="VZS157" s="37"/>
      <c r="VZT157" s="37"/>
      <c r="VZU157" s="37"/>
      <c r="VZV157" s="37"/>
      <c r="VZW157" s="37"/>
      <c r="VZX157" s="37"/>
      <c r="VZY157" s="37"/>
      <c r="VZZ157" s="37"/>
      <c r="WAA157" s="37"/>
      <c r="WAB157" s="37"/>
      <c r="WAC157" s="37"/>
      <c r="WAD157" s="37"/>
      <c r="WAE157" s="37"/>
      <c r="WAF157" s="37"/>
      <c r="WAG157" s="37"/>
      <c r="WAH157" s="37"/>
      <c r="WAI157" s="37"/>
      <c r="WAJ157" s="37"/>
      <c r="WAK157" s="37"/>
      <c r="WAL157" s="37"/>
      <c r="WAM157" s="37"/>
      <c r="WAN157" s="37"/>
      <c r="WAO157" s="37"/>
      <c r="WAP157" s="37"/>
      <c r="WAQ157" s="37"/>
      <c r="WAR157" s="37"/>
      <c r="WAS157" s="37"/>
      <c r="WAT157" s="37"/>
      <c r="WAU157" s="37"/>
      <c r="WAV157" s="37"/>
      <c r="WAW157" s="37"/>
      <c r="WAX157" s="37"/>
      <c r="WAY157" s="37"/>
      <c r="WAZ157" s="37"/>
      <c r="WBA157" s="37"/>
      <c r="WBB157" s="37"/>
      <c r="WBC157" s="37"/>
      <c r="WBD157" s="37"/>
      <c r="WBE157" s="37"/>
      <c r="WBF157" s="37"/>
      <c r="WBG157" s="37"/>
      <c r="WBH157" s="37"/>
      <c r="WBI157" s="37"/>
      <c r="WBJ157" s="37"/>
      <c r="WBK157" s="37"/>
      <c r="WBL157" s="37"/>
      <c r="WBM157" s="37"/>
      <c r="WBN157" s="37"/>
      <c r="WBO157" s="37"/>
      <c r="WBP157" s="37"/>
      <c r="WBQ157" s="37"/>
      <c r="WBR157" s="37"/>
      <c r="WBS157" s="37"/>
      <c r="WBT157" s="37"/>
      <c r="WBU157" s="37"/>
      <c r="WBV157" s="37"/>
      <c r="WBW157" s="37"/>
      <c r="WBX157" s="37"/>
      <c r="WBY157" s="37"/>
      <c r="WBZ157" s="37"/>
      <c r="WCA157" s="37"/>
      <c r="WCB157" s="37"/>
      <c r="WCC157" s="37"/>
      <c r="WCD157" s="37"/>
      <c r="WCE157" s="37"/>
      <c r="WCF157" s="37"/>
      <c r="WCG157" s="37"/>
      <c r="WCH157" s="37"/>
      <c r="WCI157" s="37"/>
      <c r="WCJ157" s="37"/>
      <c r="WCK157" s="37"/>
      <c r="WCL157" s="37"/>
      <c r="WCM157" s="37"/>
      <c r="WCN157" s="37"/>
      <c r="WCO157" s="37"/>
      <c r="WCP157" s="37"/>
      <c r="WCQ157" s="37"/>
      <c r="WCR157" s="37"/>
      <c r="WCS157" s="37"/>
      <c r="WCT157" s="37"/>
      <c r="WCU157" s="37"/>
      <c r="WCV157" s="37"/>
      <c r="WCW157" s="37"/>
      <c r="WCX157" s="37"/>
      <c r="WCY157" s="37"/>
      <c r="WCZ157" s="37"/>
      <c r="WDA157" s="37"/>
      <c r="WDB157" s="37"/>
      <c r="WDC157" s="37"/>
      <c r="WDD157" s="37"/>
      <c r="WDE157" s="37"/>
      <c r="WDF157" s="37"/>
      <c r="WDG157" s="37"/>
      <c r="WDH157" s="37"/>
      <c r="WDI157" s="37"/>
      <c r="WDJ157" s="37"/>
      <c r="WDK157" s="37"/>
      <c r="WDL157" s="37"/>
      <c r="WDM157" s="37"/>
      <c r="WDN157" s="37"/>
      <c r="WDO157" s="37"/>
      <c r="WDP157" s="37"/>
      <c r="WDQ157" s="37"/>
      <c r="WDR157" s="37"/>
      <c r="WDS157" s="37"/>
      <c r="WDT157" s="37"/>
      <c r="WDU157" s="37"/>
      <c r="WDV157" s="37"/>
      <c r="WDW157" s="37"/>
      <c r="WDX157" s="37"/>
      <c r="WDY157" s="37"/>
      <c r="WDZ157" s="37"/>
      <c r="WEA157" s="37"/>
      <c r="WEB157" s="37"/>
      <c r="WEC157" s="37"/>
      <c r="WED157" s="37"/>
      <c r="WEE157" s="37"/>
      <c r="WEF157" s="37"/>
      <c r="WEG157" s="37"/>
      <c r="WEH157" s="37"/>
      <c r="WEI157" s="37"/>
      <c r="WEJ157" s="37"/>
      <c r="WEK157" s="37"/>
      <c r="WEL157" s="37"/>
      <c r="WEM157" s="37"/>
      <c r="WEN157" s="37"/>
      <c r="WEO157" s="37"/>
      <c r="WEP157" s="37"/>
      <c r="WEQ157" s="37"/>
      <c r="WER157" s="37"/>
      <c r="WES157" s="37"/>
      <c r="WET157" s="37"/>
      <c r="WEU157" s="37"/>
      <c r="WEV157" s="37"/>
      <c r="WEW157" s="37"/>
      <c r="WEX157" s="37"/>
      <c r="WEY157" s="37"/>
      <c r="WEZ157" s="37"/>
      <c r="WFA157" s="37"/>
      <c r="WFB157" s="37"/>
      <c r="WFC157" s="37"/>
      <c r="WFD157" s="37"/>
      <c r="WFE157" s="37"/>
      <c r="WFF157" s="37"/>
      <c r="WFG157" s="37"/>
      <c r="WFH157" s="37"/>
      <c r="WFI157" s="37"/>
      <c r="WFJ157" s="37"/>
      <c r="WFK157" s="37"/>
      <c r="WFL157" s="37"/>
      <c r="WFM157" s="37"/>
      <c r="WFN157" s="37"/>
      <c r="WFO157" s="37"/>
      <c r="WFP157" s="37"/>
      <c r="WFQ157" s="37"/>
      <c r="WFR157" s="37"/>
      <c r="WFS157" s="37"/>
      <c r="WFT157" s="37"/>
      <c r="WFU157" s="37"/>
      <c r="WFV157" s="37"/>
      <c r="WFW157" s="37"/>
      <c r="WFX157" s="37"/>
      <c r="WFY157" s="37"/>
      <c r="WFZ157" s="37"/>
      <c r="WGA157" s="37"/>
      <c r="WGB157" s="37"/>
      <c r="WGC157" s="37"/>
      <c r="WGD157" s="37"/>
      <c r="WGE157" s="37"/>
      <c r="WGF157" s="37"/>
      <c r="WGG157" s="37"/>
      <c r="WGH157" s="37"/>
      <c r="WGI157" s="37"/>
      <c r="WGJ157" s="37"/>
      <c r="WGK157" s="37"/>
      <c r="WGL157" s="37"/>
      <c r="WGM157" s="37"/>
      <c r="WGN157" s="37"/>
      <c r="WGO157" s="37"/>
      <c r="WGP157" s="37"/>
      <c r="WGQ157" s="37"/>
      <c r="WGR157" s="37"/>
      <c r="WGS157" s="37"/>
      <c r="WGT157" s="37"/>
      <c r="WGU157" s="37"/>
      <c r="WGV157" s="37"/>
      <c r="WGW157" s="37"/>
      <c r="WGX157" s="37"/>
      <c r="WGY157" s="37"/>
      <c r="WGZ157" s="37"/>
      <c r="WHA157" s="37"/>
      <c r="WHB157" s="37"/>
      <c r="WHC157" s="37"/>
      <c r="WHD157" s="37"/>
      <c r="WHE157" s="37"/>
      <c r="WHF157" s="37"/>
      <c r="WHG157" s="37"/>
      <c r="WHH157" s="37"/>
      <c r="WHI157" s="37"/>
      <c r="WHJ157" s="37"/>
      <c r="WHK157" s="37"/>
      <c r="WHL157" s="37"/>
      <c r="WHM157" s="37"/>
      <c r="WHN157" s="37"/>
      <c r="WHO157" s="37"/>
      <c r="WHP157" s="37"/>
      <c r="WHQ157" s="37"/>
      <c r="WHR157" s="37"/>
      <c r="WHS157" s="37"/>
      <c r="WHT157" s="37"/>
      <c r="WHU157" s="37"/>
      <c r="WHV157" s="37"/>
      <c r="WHW157" s="37"/>
      <c r="WHX157" s="37"/>
      <c r="WHY157" s="37"/>
      <c r="WHZ157" s="37"/>
      <c r="WIA157" s="37"/>
      <c r="WIB157" s="37"/>
      <c r="WIC157" s="37"/>
      <c r="WID157" s="37"/>
      <c r="WIE157" s="37"/>
      <c r="WIF157" s="37"/>
      <c r="WIG157" s="37"/>
      <c r="WIH157" s="37"/>
      <c r="WII157" s="37"/>
      <c r="WIJ157" s="37"/>
      <c r="WIK157" s="37"/>
      <c r="WIL157" s="37"/>
      <c r="WIM157" s="37"/>
      <c r="WIN157" s="37"/>
      <c r="WIO157" s="37"/>
      <c r="WIP157" s="37"/>
      <c r="WIQ157" s="37"/>
      <c r="WIR157" s="37"/>
      <c r="WIS157" s="37"/>
      <c r="WIT157" s="37"/>
      <c r="WIU157" s="37"/>
      <c r="WIV157" s="37"/>
      <c r="WIW157" s="37"/>
      <c r="WIX157" s="37"/>
      <c r="WIY157" s="37"/>
      <c r="WIZ157" s="37"/>
      <c r="WJA157" s="37"/>
      <c r="WJB157" s="37"/>
      <c r="WJC157" s="37"/>
      <c r="WJD157" s="37"/>
      <c r="WJE157" s="37"/>
      <c r="WJF157" s="37"/>
      <c r="WJG157" s="37"/>
      <c r="WJH157" s="37"/>
      <c r="WJI157" s="37"/>
      <c r="WJJ157" s="37"/>
      <c r="WJK157" s="37"/>
      <c r="WJL157" s="37"/>
      <c r="WJM157" s="37"/>
      <c r="WJN157" s="37"/>
      <c r="WJO157" s="37"/>
      <c r="WJP157" s="37"/>
      <c r="WJQ157" s="37"/>
      <c r="WJR157" s="37"/>
      <c r="WJS157" s="37"/>
      <c r="WJT157" s="37"/>
      <c r="WJU157" s="37"/>
      <c r="WJV157" s="37"/>
      <c r="WJW157" s="37"/>
      <c r="WJX157" s="37"/>
      <c r="WJY157" s="37"/>
      <c r="WJZ157" s="37"/>
      <c r="WKA157" s="37"/>
      <c r="WKB157" s="37"/>
      <c r="WKC157" s="37"/>
      <c r="WKD157" s="37"/>
      <c r="WKE157" s="37"/>
      <c r="WKF157" s="37"/>
      <c r="WKG157" s="37"/>
      <c r="WKH157" s="37"/>
      <c r="WKI157" s="37"/>
      <c r="WKJ157" s="37"/>
      <c r="WKK157" s="37"/>
      <c r="WKL157" s="37"/>
      <c r="WKM157" s="37"/>
      <c r="WKN157" s="37"/>
      <c r="WKO157" s="37"/>
      <c r="WKP157" s="37"/>
      <c r="WKQ157" s="37"/>
      <c r="WKR157" s="37"/>
      <c r="WKS157" s="37"/>
      <c r="WKT157" s="37"/>
      <c r="WKU157" s="37"/>
      <c r="WKV157" s="37"/>
      <c r="WKW157" s="37"/>
      <c r="WKX157" s="37"/>
      <c r="WKY157" s="37"/>
      <c r="WKZ157" s="37"/>
      <c r="WLA157" s="37"/>
      <c r="WLB157" s="37"/>
      <c r="WLC157" s="37"/>
      <c r="WLD157" s="37"/>
      <c r="WLE157" s="37"/>
      <c r="WLF157" s="37"/>
      <c r="WLG157" s="37"/>
      <c r="WLH157" s="37"/>
      <c r="WLI157" s="37"/>
      <c r="WLJ157" s="37"/>
      <c r="WLK157" s="37"/>
      <c r="WLL157" s="37"/>
      <c r="WLM157" s="37"/>
      <c r="WLN157" s="37"/>
      <c r="WLO157" s="37"/>
      <c r="WLP157" s="37"/>
      <c r="WLQ157" s="37"/>
      <c r="WLR157" s="37"/>
      <c r="WLS157" s="37"/>
      <c r="WLT157" s="37"/>
      <c r="WLU157" s="37"/>
      <c r="WLV157" s="37"/>
      <c r="WLW157" s="37"/>
      <c r="WLX157" s="37"/>
      <c r="WLY157" s="37"/>
      <c r="WLZ157" s="37"/>
      <c r="WMA157" s="37"/>
      <c r="WMB157" s="37"/>
      <c r="WMC157" s="37"/>
      <c r="WMD157" s="37"/>
      <c r="WME157" s="37"/>
      <c r="WMF157" s="37"/>
      <c r="WMG157" s="37"/>
      <c r="WMH157" s="37"/>
      <c r="WMI157" s="37"/>
      <c r="WMJ157" s="37"/>
      <c r="WMK157" s="37"/>
      <c r="WML157" s="37"/>
      <c r="WMM157" s="37"/>
      <c r="WMN157" s="37"/>
      <c r="WMO157" s="37"/>
      <c r="WMP157" s="37"/>
      <c r="WMQ157" s="37"/>
      <c r="WMR157" s="37"/>
      <c r="WMS157" s="37"/>
      <c r="WMT157" s="37"/>
      <c r="WMU157" s="37"/>
      <c r="WMV157" s="37"/>
      <c r="WMW157" s="37"/>
      <c r="WMX157" s="37"/>
      <c r="WMY157" s="37"/>
      <c r="WMZ157" s="37"/>
      <c r="WNA157" s="37"/>
      <c r="WNB157" s="37"/>
      <c r="WNC157" s="37"/>
      <c r="WND157" s="37"/>
      <c r="WNE157" s="37"/>
      <c r="WNF157" s="37"/>
      <c r="WNG157" s="37"/>
      <c r="WNH157" s="37"/>
      <c r="WNI157" s="37"/>
      <c r="WNJ157" s="37"/>
      <c r="WNK157" s="37"/>
      <c r="WNL157" s="37"/>
      <c r="WNM157" s="37"/>
      <c r="WNN157" s="37"/>
      <c r="WNO157" s="37"/>
      <c r="WNP157" s="37"/>
      <c r="WNQ157" s="37"/>
      <c r="WNR157" s="37"/>
      <c r="WNS157" s="37"/>
      <c r="WNT157" s="37"/>
      <c r="WNU157" s="37"/>
      <c r="WNV157" s="37"/>
      <c r="WNW157" s="37"/>
      <c r="WNX157" s="37"/>
      <c r="WNY157" s="37"/>
      <c r="WNZ157" s="37"/>
      <c r="WOA157" s="37"/>
      <c r="WOB157" s="37"/>
      <c r="WOC157" s="37"/>
      <c r="WOD157" s="37"/>
      <c r="WOE157" s="37"/>
      <c r="WOF157" s="37"/>
      <c r="WOG157" s="37"/>
      <c r="WOH157" s="37"/>
      <c r="WOI157" s="37"/>
      <c r="WOJ157" s="37"/>
      <c r="WOK157" s="37"/>
      <c r="WOL157" s="37"/>
      <c r="WOM157" s="37"/>
      <c r="WON157" s="37"/>
      <c r="WOO157" s="37"/>
      <c r="WOP157" s="37"/>
      <c r="WOQ157" s="37"/>
      <c r="WOR157" s="37"/>
      <c r="WOS157" s="37"/>
      <c r="WOT157" s="37"/>
      <c r="WOU157" s="37"/>
      <c r="WOV157" s="37"/>
      <c r="WOW157" s="37"/>
      <c r="WOX157" s="37"/>
      <c r="WOY157" s="37"/>
      <c r="WOZ157" s="37"/>
      <c r="WPA157" s="37"/>
      <c r="WPB157" s="37"/>
      <c r="WPC157" s="37"/>
      <c r="WPD157" s="37"/>
      <c r="WPE157" s="37"/>
      <c r="WPF157" s="37"/>
      <c r="WPG157" s="37"/>
      <c r="WPH157" s="37"/>
      <c r="WPI157" s="37"/>
      <c r="WPJ157" s="37"/>
      <c r="WPK157" s="37"/>
      <c r="WPL157" s="37"/>
      <c r="WPM157" s="37"/>
      <c r="WPN157" s="37"/>
      <c r="WPO157" s="37"/>
      <c r="WPP157" s="37"/>
      <c r="WPQ157" s="37"/>
      <c r="WPR157" s="37"/>
      <c r="WPS157" s="37"/>
      <c r="WPT157" s="37"/>
      <c r="WPU157" s="37"/>
      <c r="WPV157" s="37"/>
      <c r="WPW157" s="37"/>
      <c r="WPX157" s="37"/>
      <c r="WPY157" s="37"/>
      <c r="WPZ157" s="37"/>
      <c r="WQA157" s="37"/>
      <c r="WQB157" s="37"/>
      <c r="WQC157" s="37"/>
      <c r="WQD157" s="37"/>
      <c r="WQE157" s="37"/>
      <c r="WQF157" s="37"/>
      <c r="WQG157" s="37"/>
      <c r="WQH157" s="37"/>
      <c r="WQI157" s="37"/>
      <c r="WQJ157" s="37"/>
      <c r="WQK157" s="37"/>
      <c r="WQL157" s="37"/>
      <c r="WQM157" s="37"/>
      <c r="WQN157" s="37"/>
      <c r="WQO157" s="37"/>
      <c r="WQP157" s="37"/>
      <c r="WQQ157" s="37"/>
      <c r="WQR157" s="37"/>
      <c r="WQS157" s="37"/>
      <c r="WQT157" s="37"/>
      <c r="WQU157" s="37"/>
      <c r="WQV157" s="37"/>
      <c r="WQW157" s="37"/>
      <c r="WQX157" s="37"/>
      <c r="WQY157" s="37"/>
      <c r="WQZ157" s="37"/>
      <c r="WRA157" s="37"/>
      <c r="WRB157" s="37"/>
      <c r="WRC157" s="37"/>
      <c r="WRD157" s="37"/>
      <c r="WRE157" s="37"/>
      <c r="WRF157" s="37"/>
      <c r="WRG157" s="37"/>
      <c r="WRH157" s="37"/>
      <c r="WRI157" s="37"/>
      <c r="WRJ157" s="37"/>
      <c r="WRK157" s="37"/>
      <c r="WRL157" s="37"/>
      <c r="WRM157" s="37"/>
      <c r="WRN157" s="37"/>
      <c r="WRO157" s="37"/>
      <c r="WRP157" s="37"/>
      <c r="WRQ157" s="37"/>
      <c r="WRR157" s="37"/>
      <c r="WRS157" s="37"/>
      <c r="WRT157" s="37"/>
      <c r="WRU157" s="37"/>
      <c r="WRV157" s="37"/>
      <c r="WRW157" s="37"/>
      <c r="WRX157" s="37"/>
      <c r="WRY157" s="37"/>
      <c r="WRZ157" s="37"/>
      <c r="WSA157" s="37"/>
      <c r="WSB157" s="37"/>
      <c r="WSC157" s="37"/>
      <c r="WSD157" s="37"/>
      <c r="WSE157" s="37"/>
      <c r="WSF157" s="37"/>
      <c r="WSG157" s="37"/>
      <c r="WSH157" s="37"/>
      <c r="WSI157" s="37"/>
      <c r="WSJ157" s="37"/>
      <c r="WSK157" s="37"/>
      <c r="WSL157" s="37"/>
      <c r="WSM157" s="37"/>
      <c r="WSN157" s="37"/>
      <c r="WSO157" s="37"/>
      <c r="WSP157" s="37"/>
      <c r="WSQ157" s="37"/>
      <c r="WSR157" s="37"/>
      <c r="WSS157" s="37"/>
      <c r="WST157" s="37"/>
      <c r="WSU157" s="37"/>
      <c r="WSV157" s="37"/>
      <c r="WSW157" s="37"/>
      <c r="WSX157" s="37"/>
      <c r="WSY157" s="37"/>
      <c r="WSZ157" s="37"/>
      <c r="WTA157" s="37"/>
      <c r="WTB157" s="37"/>
      <c r="WTC157" s="37"/>
      <c r="WTD157" s="37"/>
      <c r="WTE157" s="37"/>
      <c r="WTF157" s="37"/>
      <c r="WTG157" s="37"/>
      <c r="WTH157" s="37"/>
      <c r="WTI157" s="37"/>
      <c r="WTJ157" s="37"/>
      <c r="WTK157" s="37"/>
      <c r="WTL157" s="37"/>
      <c r="WTM157" s="37"/>
      <c r="WTN157" s="37"/>
      <c r="WTO157" s="37"/>
      <c r="WTP157" s="37"/>
      <c r="WTQ157" s="37"/>
      <c r="WTR157" s="37"/>
      <c r="WTS157" s="37"/>
      <c r="WTT157" s="37"/>
      <c r="WTU157" s="37"/>
      <c r="WTV157" s="37"/>
      <c r="WTW157" s="37"/>
      <c r="WTX157" s="37"/>
      <c r="WTY157" s="37"/>
      <c r="WTZ157" s="37"/>
      <c r="WUA157" s="37"/>
      <c r="WUB157" s="37"/>
      <c r="WUC157" s="37"/>
      <c r="WUD157" s="37"/>
      <c r="WUE157" s="37"/>
      <c r="WUF157" s="37"/>
      <c r="WUG157" s="37"/>
      <c r="WUH157" s="37"/>
      <c r="WUI157" s="37"/>
      <c r="WUJ157" s="37"/>
      <c r="WUK157" s="37"/>
      <c r="WUL157" s="37"/>
      <c r="WUM157" s="37"/>
      <c r="WUN157" s="37"/>
      <c r="WUO157" s="37"/>
      <c r="WUP157" s="37"/>
      <c r="WUQ157" s="37"/>
      <c r="WUR157" s="37"/>
      <c r="WUS157" s="37"/>
      <c r="WUT157" s="37"/>
      <c r="WUU157" s="37"/>
      <c r="WUV157" s="37"/>
      <c r="WUW157" s="37"/>
      <c r="WUX157" s="37"/>
      <c r="WUY157" s="37"/>
      <c r="WUZ157" s="37"/>
      <c r="WVA157" s="37"/>
      <c r="WVB157" s="37"/>
      <c r="WVC157" s="37"/>
      <c r="WVD157" s="37"/>
      <c r="WVE157" s="37"/>
      <c r="WVF157" s="37"/>
      <c r="WVG157" s="37"/>
      <c r="WVH157" s="37"/>
      <c r="WVI157" s="37"/>
      <c r="WVJ157" s="37"/>
      <c r="WVK157" s="37"/>
      <c r="WVL157" s="37"/>
      <c r="WVM157" s="37"/>
      <c r="WVN157" s="37"/>
      <c r="WVO157" s="37"/>
      <c r="WVP157" s="37"/>
      <c r="WVQ157" s="37"/>
      <c r="WVR157" s="37"/>
      <c r="WVS157" s="37"/>
      <c r="WVT157" s="37"/>
      <c r="WVU157" s="37"/>
      <c r="WVV157" s="37"/>
      <c r="WVW157" s="37"/>
      <c r="WVX157" s="37"/>
      <c r="WVY157" s="37"/>
      <c r="WVZ157" s="37"/>
      <c r="WWA157" s="37"/>
      <c r="WWB157" s="37"/>
      <c r="WWC157" s="37"/>
      <c r="WWD157" s="37"/>
      <c r="WWE157" s="37"/>
      <c r="WWF157" s="37"/>
      <c r="WWG157" s="37"/>
      <c r="WWH157" s="37"/>
      <c r="WWI157" s="37"/>
      <c r="WWJ157" s="37"/>
      <c r="WWK157" s="37"/>
      <c r="WWL157" s="37"/>
      <c r="WWM157" s="37"/>
      <c r="WWN157" s="37"/>
      <c r="WWO157" s="37"/>
      <c r="WWP157" s="37"/>
      <c r="WWQ157" s="37"/>
      <c r="WWR157" s="37"/>
      <c r="WWS157" s="37"/>
      <c r="WWT157" s="37"/>
      <c r="WWU157" s="37"/>
      <c r="WWV157" s="37"/>
      <c r="WWW157" s="37"/>
      <c r="WWX157" s="37"/>
      <c r="WWY157" s="37"/>
      <c r="WWZ157" s="37"/>
      <c r="WXA157" s="37"/>
      <c r="WXB157" s="37"/>
      <c r="WXC157" s="37"/>
      <c r="WXD157" s="37"/>
      <c r="WXE157" s="37"/>
      <c r="WXF157" s="37"/>
      <c r="WXG157" s="37"/>
      <c r="WXH157" s="37"/>
      <c r="WXI157" s="37"/>
      <c r="WXJ157" s="37"/>
      <c r="WXK157" s="37"/>
      <c r="WXL157" s="37"/>
      <c r="WXM157" s="37"/>
      <c r="WXN157" s="37"/>
      <c r="WXO157" s="37"/>
      <c r="WXP157" s="37"/>
      <c r="WXQ157" s="37"/>
      <c r="WXR157" s="37"/>
      <c r="WXS157" s="37"/>
      <c r="WXT157" s="37"/>
      <c r="WXU157" s="37"/>
      <c r="WXV157" s="37"/>
      <c r="WXW157" s="37"/>
      <c r="WXX157" s="37"/>
      <c r="WXY157" s="37"/>
      <c r="WXZ157" s="37"/>
      <c r="WYA157" s="37"/>
      <c r="WYB157" s="37"/>
      <c r="WYC157" s="37"/>
      <c r="WYD157" s="37"/>
      <c r="WYE157" s="37"/>
      <c r="WYF157" s="37"/>
      <c r="WYG157" s="37"/>
      <c r="WYH157" s="37"/>
      <c r="WYI157" s="37"/>
      <c r="WYJ157" s="37"/>
      <c r="WYK157" s="37"/>
      <c r="WYL157" s="37"/>
      <c r="WYM157" s="37"/>
      <c r="WYN157" s="37"/>
      <c r="WYO157" s="37"/>
      <c r="WYP157" s="37"/>
      <c r="WYQ157" s="37"/>
      <c r="WYR157" s="37"/>
      <c r="WYS157" s="37"/>
      <c r="WYT157" s="37"/>
      <c r="WYU157" s="37"/>
      <c r="WYV157" s="37"/>
      <c r="WYW157" s="37"/>
      <c r="WYX157" s="37"/>
      <c r="WYY157" s="37"/>
      <c r="WYZ157" s="37"/>
      <c r="WZA157" s="37"/>
      <c r="WZB157" s="37"/>
      <c r="WZC157" s="37"/>
      <c r="WZD157" s="37"/>
      <c r="WZE157" s="37"/>
      <c r="WZF157" s="37"/>
      <c r="WZG157" s="37"/>
      <c r="WZH157" s="37"/>
      <c r="WZI157" s="37"/>
      <c r="WZJ157" s="37"/>
      <c r="WZK157" s="37"/>
      <c r="WZL157" s="37"/>
      <c r="WZM157" s="37"/>
      <c r="WZN157" s="37"/>
      <c r="WZO157" s="37"/>
      <c r="WZP157" s="37"/>
      <c r="WZQ157" s="37"/>
      <c r="WZR157" s="37"/>
      <c r="WZS157" s="37"/>
      <c r="WZT157" s="37"/>
      <c r="WZU157" s="37"/>
      <c r="WZV157" s="37"/>
      <c r="WZW157" s="37"/>
      <c r="WZX157" s="37"/>
      <c r="WZY157" s="37"/>
      <c r="WZZ157" s="37"/>
      <c r="XAA157" s="37"/>
      <c r="XAB157" s="37"/>
      <c r="XAC157" s="37"/>
      <c r="XAD157" s="37"/>
      <c r="XAE157" s="37"/>
      <c r="XAF157" s="37"/>
      <c r="XAG157" s="37"/>
      <c r="XAH157" s="37"/>
      <c r="XAI157" s="37"/>
      <c r="XAJ157" s="37"/>
      <c r="XAK157" s="37"/>
      <c r="XAL157" s="37"/>
      <c r="XAM157" s="37"/>
      <c r="XAN157" s="37"/>
      <c r="XAO157" s="37"/>
      <c r="XAP157" s="37"/>
      <c r="XAQ157" s="37"/>
      <c r="XAR157" s="37"/>
      <c r="XAS157" s="37"/>
      <c r="XAT157" s="37"/>
      <c r="XAU157" s="37"/>
      <c r="XAV157" s="37"/>
      <c r="XAW157" s="37"/>
      <c r="XAX157" s="37"/>
      <c r="XAY157" s="37"/>
      <c r="XAZ157" s="37"/>
      <c r="XBA157" s="37"/>
      <c r="XBB157" s="37"/>
      <c r="XBC157" s="37"/>
      <c r="XBD157" s="37"/>
      <c r="XBE157" s="37"/>
      <c r="XBF157" s="37"/>
      <c r="XBG157" s="37"/>
      <c r="XBH157" s="37"/>
      <c r="XBI157" s="37"/>
      <c r="XBJ157" s="37"/>
      <c r="XBK157" s="37"/>
      <c r="XBL157" s="37"/>
      <c r="XBM157" s="37"/>
      <c r="XBN157" s="37"/>
      <c r="XBO157" s="37"/>
      <c r="XBP157" s="37"/>
      <c r="XBQ157" s="37"/>
      <c r="XBR157" s="37"/>
      <c r="XBS157" s="37"/>
      <c r="XBT157" s="37"/>
      <c r="XBU157" s="37"/>
      <c r="XBV157" s="37"/>
      <c r="XBW157" s="37"/>
      <c r="XBX157" s="37"/>
      <c r="XBY157" s="37"/>
      <c r="XBZ157" s="37"/>
      <c r="XCA157" s="37"/>
      <c r="XCB157" s="37"/>
      <c r="XCC157" s="37"/>
      <c r="XCD157" s="37"/>
      <c r="XCE157" s="37"/>
      <c r="XCF157" s="37"/>
      <c r="XCG157" s="37"/>
      <c r="XCH157" s="37"/>
      <c r="XCI157" s="37"/>
      <c r="XCJ157" s="37"/>
      <c r="XCK157" s="37"/>
      <c r="XCL157" s="37"/>
      <c r="XCM157" s="37"/>
      <c r="XCN157" s="37"/>
      <c r="XCO157" s="37"/>
      <c r="XCP157" s="37"/>
      <c r="XCQ157" s="37"/>
      <c r="XCR157" s="37"/>
      <c r="XCS157" s="37"/>
      <c r="XCT157" s="37"/>
      <c r="XCU157" s="37"/>
      <c r="XCV157" s="37"/>
      <c r="XCW157" s="37"/>
      <c r="XCX157" s="37"/>
      <c r="XCY157" s="37"/>
      <c r="XCZ157" s="37"/>
      <c r="XDA157" s="37"/>
      <c r="XDB157" s="37"/>
      <c r="XDC157" s="37"/>
      <c r="XDD157" s="37"/>
      <c r="XDE157" s="37"/>
      <c r="XDF157" s="37"/>
      <c r="XDG157" s="37"/>
      <c r="XDH157" s="37"/>
      <c r="XDI157" s="37"/>
      <c r="XDJ157" s="37"/>
      <c r="XDK157" s="37"/>
      <c r="XDL157" s="37"/>
      <c r="XDM157" s="37"/>
      <c r="XDN157" s="37"/>
      <c r="XDO157" s="37"/>
      <c r="XDP157" s="37"/>
      <c r="XDQ157" s="37"/>
      <c r="XDR157" s="37"/>
      <c r="XDS157" s="37"/>
      <c r="XDT157" s="37"/>
      <c r="XDU157" s="37"/>
      <c r="XDV157" s="37"/>
      <c r="XDW157" s="37"/>
      <c r="XDX157" s="37"/>
      <c r="XDY157" s="37"/>
      <c r="XDZ157" s="37"/>
      <c r="XEA157" s="37"/>
      <c r="XEB157" s="37"/>
      <c r="XEC157" s="37"/>
      <c r="XED157" s="37"/>
      <c r="XEE157" s="37"/>
      <c r="XEF157" s="37"/>
      <c r="XEG157" s="37"/>
      <c r="XEH157" s="37"/>
      <c r="XEI157" s="37"/>
      <c r="XEJ157" s="37"/>
      <c r="XEK157" s="37"/>
      <c r="XEL157" s="37"/>
      <c r="XEM157" s="37"/>
      <c r="XEN157" s="37"/>
      <c r="XEO157" s="37"/>
      <c r="XEP157" s="37"/>
      <c r="XEQ157" s="37"/>
      <c r="XER157" s="37"/>
      <c r="XES157" s="37"/>
      <c r="XET157" s="37"/>
      <c r="XEU157" s="37"/>
      <c r="XEV157" s="37"/>
      <c r="XEW157" s="37"/>
      <c r="XEX157" s="37"/>
      <c r="XEY157" s="37"/>
      <c r="XEZ157" s="37"/>
      <c r="XFA157" s="37"/>
      <c r="XFB157" s="37"/>
      <c r="XFC157" s="37"/>
      <c r="XFD157" s="37"/>
    </row>
    <row r="158" spans="1:16384" ht="15" customHeight="1" x14ac:dyDescent="0.2">
      <c r="A158" s="286" t="s">
        <v>905</v>
      </c>
      <c r="B158" s="13"/>
      <c r="C158" s="13"/>
      <c r="D158" s="13"/>
      <c r="E158" s="13"/>
      <c r="F158" s="13"/>
      <c r="G158" s="13"/>
      <c r="H158" s="13"/>
      <c r="I158" s="13"/>
      <c r="J158" s="13"/>
      <c r="K158" s="13"/>
      <c r="L158" s="13"/>
      <c r="M158" s="13"/>
      <c r="N158" s="13"/>
      <c r="O158" s="13"/>
      <c r="P158" s="39"/>
    </row>
    <row r="159" spans="1:16384" x14ac:dyDescent="0.2">
      <c r="A159" s="255" t="s">
        <v>974</v>
      </c>
      <c r="B159" s="13"/>
      <c r="C159" s="13"/>
      <c r="D159" s="13"/>
      <c r="E159" s="13"/>
      <c r="F159" s="13"/>
      <c r="G159" s="13"/>
      <c r="H159" s="13"/>
      <c r="I159" s="13"/>
      <c r="J159" s="13"/>
      <c r="K159" s="13"/>
      <c r="L159" s="13"/>
      <c r="M159" s="13"/>
      <c r="N159" s="13"/>
      <c r="O159" s="13"/>
      <c r="P159" s="39"/>
    </row>
    <row r="160" spans="1:16384" x14ac:dyDescent="0.2">
      <c r="A160" s="286" t="s">
        <v>902</v>
      </c>
      <c r="B160" s="3"/>
      <c r="C160" s="3"/>
      <c r="D160" s="3"/>
      <c r="G160" s="185"/>
      <c r="J160" s="185"/>
    </row>
    <row r="162" spans="1:16" ht="12.75" customHeight="1" x14ac:dyDescent="0.2">
      <c r="A162" s="1015" t="s">
        <v>679</v>
      </c>
      <c r="B162" s="1015"/>
      <c r="C162" s="1015"/>
      <c r="D162" s="1015"/>
      <c r="E162" s="1015"/>
      <c r="F162" s="1015"/>
      <c r="G162" s="1015"/>
      <c r="H162" s="1015"/>
      <c r="I162" s="1015"/>
      <c r="J162" s="1015"/>
      <c r="K162" s="1015"/>
      <c r="L162" s="1015"/>
      <c r="M162" s="1015"/>
      <c r="N162" s="1015"/>
      <c r="O162" s="1015"/>
      <c r="P162" s="1015"/>
    </row>
    <row r="163" spans="1:16" ht="13.5" customHeight="1" x14ac:dyDescent="0.2">
      <c r="A163" s="1015"/>
      <c r="B163" s="1015"/>
      <c r="C163" s="1015"/>
      <c r="D163" s="1015"/>
      <c r="E163" s="1015"/>
      <c r="F163" s="1015"/>
      <c r="G163" s="1015"/>
      <c r="H163" s="1015"/>
      <c r="I163" s="1015"/>
      <c r="J163" s="1015"/>
      <c r="K163" s="1015"/>
      <c r="L163" s="1015"/>
      <c r="M163" s="1015"/>
      <c r="N163" s="1015"/>
      <c r="O163" s="1015"/>
      <c r="P163" s="1015"/>
    </row>
    <row r="164" spans="1:16" x14ac:dyDescent="0.2">
      <c r="A164" s="1015"/>
      <c r="B164" s="1015"/>
      <c r="C164" s="1015"/>
      <c r="D164" s="1015"/>
      <c r="E164" s="1015"/>
      <c r="F164" s="1015"/>
      <c r="G164" s="1015"/>
      <c r="H164" s="1015"/>
      <c r="I164" s="1015"/>
      <c r="J164" s="1015"/>
      <c r="K164" s="1015"/>
      <c r="L164" s="1015"/>
      <c r="M164" s="1015"/>
      <c r="N164" s="1015"/>
      <c r="O164" s="1015"/>
      <c r="P164" s="1015"/>
    </row>
    <row r="165" spans="1:16" x14ac:dyDescent="0.2">
      <c r="A165" s="303"/>
      <c r="B165" s="303"/>
      <c r="C165" s="303"/>
      <c r="D165" s="303"/>
      <c r="E165" s="303"/>
      <c r="F165" s="303"/>
      <c r="G165" s="306"/>
      <c r="H165" s="306"/>
      <c r="I165" s="306"/>
      <c r="J165" s="306"/>
      <c r="K165" s="306"/>
      <c r="L165" s="306"/>
      <c r="M165" s="306"/>
      <c r="N165" s="306"/>
      <c r="O165" s="306"/>
      <c r="P165" s="306"/>
    </row>
    <row r="166" spans="1:16" x14ac:dyDescent="0.2">
      <c r="A166" s="1024" t="s">
        <v>324</v>
      </c>
      <c r="B166" s="1024"/>
      <c r="C166" s="1024"/>
      <c r="D166" s="1024"/>
      <c r="E166" s="1024"/>
      <c r="F166" s="1024"/>
      <c r="G166" s="306"/>
      <c r="H166" s="306"/>
      <c r="I166" s="306"/>
      <c r="J166" s="306"/>
      <c r="K166" s="306"/>
      <c r="L166" s="306"/>
      <c r="M166" s="306"/>
      <c r="N166" s="306"/>
      <c r="O166" s="306"/>
      <c r="P166" s="306"/>
    </row>
    <row r="167" spans="1:16" x14ac:dyDescent="0.2">
      <c r="A167" s="303"/>
      <c r="B167" s="303"/>
      <c r="C167" s="303"/>
      <c r="D167" s="303"/>
      <c r="E167" s="303"/>
      <c r="F167" s="303"/>
      <c r="G167" s="306"/>
      <c r="H167" s="306"/>
      <c r="I167" s="306"/>
      <c r="J167" s="306"/>
      <c r="K167" s="306"/>
      <c r="L167" s="306"/>
      <c r="M167" s="306"/>
      <c r="N167" s="306"/>
      <c r="O167" s="306"/>
      <c r="P167" s="306"/>
    </row>
    <row r="168" spans="1:16" ht="12.75" customHeight="1" x14ac:dyDescent="0.2">
      <c r="A168" s="1015" t="s">
        <v>325</v>
      </c>
      <c r="B168" s="1015"/>
      <c r="C168" s="1015"/>
      <c r="D168" s="1015"/>
      <c r="E168" s="1015"/>
      <c r="F168" s="1015"/>
      <c r="G168" s="1015"/>
      <c r="H168" s="1015"/>
      <c r="I168" s="1015"/>
      <c r="J168" s="1015"/>
      <c r="K168" s="1015"/>
      <c r="L168" s="1015"/>
      <c r="M168" s="1015"/>
      <c r="N168" s="1015"/>
      <c r="O168" s="1015"/>
      <c r="P168" s="1015"/>
    </row>
    <row r="169" spans="1:16" x14ac:dyDescent="0.2">
      <c r="A169" s="1015"/>
      <c r="B169" s="1015"/>
      <c r="C169" s="1015"/>
      <c r="D169" s="1015"/>
      <c r="E169" s="1015"/>
      <c r="F169" s="1015"/>
      <c r="G169" s="1015"/>
      <c r="H169" s="1015"/>
      <c r="I169" s="1015"/>
      <c r="J169" s="1015"/>
      <c r="K169" s="1015"/>
      <c r="L169" s="1015"/>
      <c r="M169" s="1015"/>
      <c r="N169" s="1015"/>
      <c r="O169" s="1015"/>
      <c r="P169" s="1015"/>
    </row>
    <row r="170" spans="1:16" x14ac:dyDescent="0.2">
      <c r="A170" s="303"/>
      <c r="B170" s="303"/>
      <c r="C170" s="303"/>
      <c r="D170" s="303"/>
      <c r="E170" s="303"/>
      <c r="F170" s="303"/>
      <c r="G170" s="306"/>
      <c r="H170" s="306"/>
      <c r="I170" s="306"/>
      <c r="J170" s="306"/>
      <c r="K170" s="306"/>
      <c r="L170" s="306"/>
      <c r="M170" s="306"/>
      <c r="N170" s="306"/>
      <c r="O170" s="306"/>
      <c r="P170" s="306"/>
    </row>
    <row r="171" spans="1:16" ht="12.75" customHeight="1" x14ac:dyDescent="0.2">
      <c r="A171" s="1015" t="s">
        <v>326</v>
      </c>
      <c r="B171" s="1015"/>
      <c r="C171" s="1015"/>
      <c r="D171" s="1015"/>
      <c r="E171" s="1015"/>
      <c r="F171" s="1015"/>
      <c r="G171" s="1015"/>
      <c r="H171" s="1015"/>
      <c r="I171" s="1015"/>
      <c r="J171" s="1015"/>
      <c r="K171" s="1015"/>
      <c r="L171" s="1015"/>
      <c r="M171" s="1015"/>
      <c r="N171" s="1015"/>
      <c r="O171" s="1015"/>
      <c r="P171" s="1015"/>
    </row>
    <row r="172" spans="1:16" x14ac:dyDescent="0.2">
      <c r="A172" s="1015"/>
      <c r="B172" s="1015"/>
      <c r="C172" s="1015"/>
      <c r="D172" s="1015"/>
      <c r="E172" s="1015"/>
      <c r="F172" s="1015"/>
      <c r="G172" s="1015"/>
      <c r="H172" s="1015"/>
      <c r="I172" s="1015"/>
      <c r="J172" s="1015"/>
      <c r="K172" s="1015"/>
      <c r="L172" s="1015"/>
      <c r="M172" s="1015"/>
      <c r="N172" s="1015"/>
      <c r="O172" s="1015"/>
      <c r="P172" s="1015"/>
    </row>
    <row r="173" spans="1:16" x14ac:dyDescent="0.2">
      <c r="A173" s="1015"/>
      <c r="B173" s="1015"/>
      <c r="C173" s="1015"/>
      <c r="D173" s="1015"/>
      <c r="E173" s="1015"/>
      <c r="F173" s="1015"/>
      <c r="G173" s="1015"/>
      <c r="H173" s="1015"/>
      <c r="I173" s="1015"/>
      <c r="J173" s="1015"/>
      <c r="K173" s="1015"/>
      <c r="L173" s="1015"/>
      <c r="M173" s="1015"/>
      <c r="N173" s="1015"/>
      <c r="O173" s="1015"/>
      <c r="P173" s="1015"/>
    </row>
    <row r="174" spans="1:16" x14ac:dyDescent="0.2">
      <c r="A174" s="303"/>
      <c r="B174" s="303"/>
      <c r="C174" s="303"/>
      <c r="D174" s="303"/>
      <c r="E174" s="303"/>
      <c r="F174" s="303"/>
      <c r="G174" s="306"/>
      <c r="H174" s="306"/>
      <c r="I174" s="306"/>
      <c r="J174" s="306"/>
      <c r="K174" s="306"/>
      <c r="L174" s="306"/>
      <c r="M174" s="306"/>
      <c r="N174" s="306"/>
      <c r="O174" s="306"/>
      <c r="P174" s="306"/>
    </row>
    <row r="175" spans="1:16" ht="12.75" customHeight="1" x14ac:dyDescent="0.2">
      <c r="A175" s="1015" t="s">
        <v>327</v>
      </c>
      <c r="B175" s="1015"/>
      <c r="C175" s="1015"/>
      <c r="D175" s="1015"/>
      <c r="E175" s="1015"/>
      <c r="F175" s="1015"/>
      <c r="G175" s="1015"/>
      <c r="H175" s="1015"/>
      <c r="I175" s="1015"/>
      <c r="J175" s="1015"/>
      <c r="K175" s="1015"/>
      <c r="L175" s="1015"/>
      <c r="M175" s="1015"/>
      <c r="N175" s="1015"/>
      <c r="O175" s="1015"/>
      <c r="P175" s="1015"/>
    </row>
    <row r="176" spans="1:16" x14ac:dyDescent="0.2">
      <c r="A176" s="1015"/>
      <c r="B176" s="1015"/>
      <c r="C176" s="1015"/>
      <c r="D176" s="1015"/>
      <c r="E176" s="1015"/>
      <c r="F176" s="1015"/>
      <c r="G176" s="1015"/>
      <c r="H176" s="1015"/>
      <c r="I176" s="1015"/>
      <c r="J176" s="1015"/>
      <c r="K176" s="1015"/>
      <c r="L176" s="1015"/>
      <c r="M176" s="1015"/>
      <c r="N176" s="1015"/>
      <c r="O176" s="1015"/>
      <c r="P176" s="1015"/>
    </row>
    <row r="177" spans="1:16" ht="10.5" customHeight="1" x14ac:dyDescent="0.2">
      <c r="A177" s="1015"/>
      <c r="B177" s="1015"/>
      <c r="C177" s="1015"/>
      <c r="D177" s="1015"/>
      <c r="E177" s="1015"/>
      <c r="F177" s="1015"/>
      <c r="G177" s="1015"/>
      <c r="H177" s="1015"/>
      <c r="I177" s="1015"/>
      <c r="J177" s="1015"/>
      <c r="K177" s="1015"/>
      <c r="L177" s="1015"/>
      <c r="M177" s="1015"/>
      <c r="N177" s="1015"/>
      <c r="O177" s="1015"/>
      <c r="P177" s="1015"/>
    </row>
    <row r="178" spans="1:16" x14ac:dyDescent="0.2">
      <c r="A178" s="1015"/>
      <c r="B178" s="1015"/>
      <c r="C178" s="1015"/>
      <c r="D178" s="1015"/>
      <c r="E178" s="1015"/>
      <c r="F178" s="1015"/>
      <c r="G178" s="1015"/>
      <c r="H178" s="1015"/>
      <c r="I178" s="1015"/>
      <c r="J178" s="1015"/>
      <c r="K178" s="1015"/>
      <c r="L178" s="1015"/>
      <c r="M178" s="1015"/>
      <c r="N178" s="1015"/>
      <c r="O178" s="1015"/>
      <c r="P178" s="1015"/>
    </row>
    <row r="179" spans="1:16" ht="12.75" customHeight="1" x14ac:dyDescent="0.2">
      <c r="A179" s="303"/>
      <c r="B179" s="303"/>
      <c r="C179" s="303"/>
      <c r="D179" s="303"/>
      <c r="E179" s="303"/>
      <c r="F179" s="303"/>
      <c r="G179" s="306"/>
      <c r="H179" s="306"/>
      <c r="I179" s="306"/>
      <c r="J179" s="306"/>
      <c r="K179" s="306"/>
      <c r="L179" s="306"/>
      <c r="M179" s="306"/>
      <c r="N179" s="306"/>
      <c r="O179" s="306"/>
      <c r="P179" s="306"/>
    </row>
    <row r="180" spans="1:16" ht="60.75" customHeight="1" x14ac:dyDescent="0.2">
      <c r="A180" s="1015" t="s">
        <v>680</v>
      </c>
      <c r="B180" s="1015"/>
      <c r="C180" s="1015"/>
      <c r="D180" s="1015"/>
      <c r="E180" s="1015"/>
      <c r="F180" s="1015"/>
      <c r="G180" s="1015"/>
      <c r="H180" s="1015"/>
      <c r="I180" s="1015"/>
      <c r="J180" s="1015"/>
      <c r="K180" s="1015"/>
      <c r="L180" s="1015"/>
      <c r="M180" s="1015"/>
      <c r="N180" s="1015"/>
      <c r="O180" s="1015"/>
      <c r="P180" s="1015"/>
    </row>
    <row r="181" spans="1:16" ht="12.75" customHeight="1" x14ac:dyDescent="0.2">
      <c r="A181" s="303"/>
      <c r="B181" s="303"/>
      <c r="C181" s="303"/>
      <c r="D181" s="303"/>
      <c r="E181" s="303"/>
      <c r="F181" s="303"/>
      <c r="G181" s="306"/>
      <c r="H181" s="306"/>
      <c r="I181" s="306"/>
      <c r="J181" s="306"/>
      <c r="K181" s="306"/>
      <c r="L181" s="306"/>
      <c r="M181" s="306"/>
      <c r="N181" s="306"/>
      <c r="O181" s="306"/>
      <c r="P181" s="306"/>
    </row>
    <row r="182" spans="1:16" ht="157.5" customHeight="1" x14ac:dyDescent="0.2">
      <c r="A182" s="1015" t="s">
        <v>681</v>
      </c>
      <c r="B182" s="1015"/>
      <c r="C182" s="1015"/>
      <c r="D182" s="1015"/>
      <c r="E182" s="1015"/>
      <c r="F182" s="1015"/>
      <c r="G182" s="1015"/>
      <c r="H182" s="1015"/>
      <c r="I182" s="1015"/>
      <c r="J182" s="1015"/>
      <c r="K182" s="1015"/>
      <c r="L182" s="1015"/>
      <c r="M182" s="1015"/>
      <c r="N182" s="1015"/>
      <c r="O182" s="1015"/>
      <c r="P182" s="1015"/>
    </row>
  </sheetData>
  <mergeCells count="7">
    <mergeCell ref="A180:P180"/>
    <mergeCell ref="A182:P182"/>
    <mergeCell ref="A166:F166"/>
    <mergeCell ref="A162:P164"/>
    <mergeCell ref="A168:P169"/>
    <mergeCell ref="A171:P173"/>
    <mergeCell ref="A175:P178"/>
  </mergeCells>
  <phoneticPr fontId="2" type="noConversion"/>
  <pageMargins left="0.59055118110236227" right="0.59055118110236227" top="0.78740157480314965" bottom="0.78740157480314965" header="0.39370078740157483" footer="0.39370078740157483"/>
  <pageSetup paperSize="9" scale="48" firstPageNumber="26" fitToHeight="0" orientation="landscape" useFirstPageNumber="1" r:id="rId1"/>
  <headerFooter alignWithMargins="0">
    <oddHeader>&amp;R&amp;12Les finances des communes en 2024</oddHeader>
    <oddFooter>&amp;L&amp;12Direction Générale des Collectivités Locales / DESL&amp;C&amp;12&amp;P&amp;R&amp;12Mise en ligne : janvier 2026</oddFooter>
  </headerFooter>
  <rowBreaks count="3" manualBreakCount="3">
    <brk id="60" max="15" man="1"/>
    <brk id="105" max="15" man="1"/>
    <brk id="160" max="15" man="1"/>
  </rowBreaks>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82"/>
  <sheetViews>
    <sheetView view="pageBreakPreview" topLeftCell="A3" zoomScale="60" zoomScaleNormal="85" zoomScalePageLayoutView="85" workbookViewId="0">
      <selection activeCell="D61" sqref="D61"/>
    </sheetView>
  </sheetViews>
  <sheetFormatPr baseColWidth="10" defaultRowHeight="12.75" x14ac:dyDescent="0.2"/>
  <cols>
    <col min="1" max="1" width="89" customWidth="1"/>
    <col min="2" max="2" width="12.140625" bestFit="1" customWidth="1"/>
    <col min="5" max="5" width="12" customWidth="1"/>
    <col min="13" max="14" width="15.5703125" customWidth="1"/>
    <col min="15" max="15" width="14.28515625" customWidth="1"/>
    <col min="16" max="16" width="19.5703125" customWidth="1"/>
  </cols>
  <sheetData>
    <row r="1" spans="1:16" ht="21" x14ac:dyDescent="0.2">
      <c r="A1" s="46" t="s">
        <v>914</v>
      </c>
    </row>
    <row r="2" spans="1:16" ht="18" x14ac:dyDescent="0.2">
      <c r="A2" s="46"/>
    </row>
    <row r="3" spans="1:16" ht="15" customHeight="1" thickBot="1" x14ac:dyDescent="0.25">
      <c r="P3" s="423" t="s">
        <v>213</v>
      </c>
    </row>
    <row r="4" spans="1:16" ht="15.9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231</v>
      </c>
      <c r="O4" s="257" t="s">
        <v>77</v>
      </c>
      <c r="P4" s="281" t="s">
        <v>220</v>
      </c>
    </row>
    <row r="5" spans="1:16" ht="15.95" customHeight="1"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5.9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ht="12.75" customHeight="1" x14ac:dyDescent="0.2">
      <c r="A7" s="227"/>
    </row>
    <row r="8" spans="1:16" ht="15.75" customHeight="1" x14ac:dyDescent="0.25">
      <c r="A8" s="474" t="s">
        <v>160</v>
      </c>
      <c r="B8" s="466">
        <v>1159.26717824</v>
      </c>
      <c r="C8" s="466">
        <v>1131.1867212279999</v>
      </c>
      <c r="D8" s="466">
        <v>1219.87386182</v>
      </c>
      <c r="E8" s="466">
        <v>1300.6124151859999</v>
      </c>
      <c r="F8" s="466">
        <v>1786.9322004989999</v>
      </c>
      <c r="G8" s="466">
        <v>1288.5497367610001</v>
      </c>
      <c r="H8" s="466">
        <v>1465.719467116</v>
      </c>
      <c r="I8" s="466">
        <v>1354.7988035420001</v>
      </c>
      <c r="J8" s="466" t="s">
        <v>102</v>
      </c>
      <c r="K8" s="570" t="s">
        <v>102</v>
      </c>
      <c r="L8" s="570" t="s">
        <v>102</v>
      </c>
      <c r="M8" s="479">
        <v>1393.998728843</v>
      </c>
      <c r="N8" s="479">
        <v>1354.7988035420001</v>
      </c>
      <c r="O8" s="479">
        <v>1391.1853879499999</v>
      </c>
      <c r="P8" s="466">
        <v>1132.2923975839999</v>
      </c>
    </row>
    <row r="9" spans="1:16" ht="15.75" customHeight="1" x14ac:dyDescent="0.2">
      <c r="A9" s="465" t="s">
        <v>161</v>
      </c>
      <c r="B9" s="467">
        <v>472.834104379</v>
      </c>
      <c r="C9" s="467">
        <v>466.47685268399999</v>
      </c>
      <c r="D9" s="467">
        <v>491.13187620600002</v>
      </c>
      <c r="E9" s="467">
        <v>455.48116846300002</v>
      </c>
      <c r="F9" s="467">
        <v>621.19128555299994</v>
      </c>
      <c r="G9" s="467">
        <v>482.81418359000003</v>
      </c>
      <c r="H9" s="467">
        <v>438.11377345099999</v>
      </c>
      <c r="I9" s="467">
        <v>428.308745875</v>
      </c>
      <c r="J9" s="467" t="s">
        <v>102</v>
      </c>
      <c r="K9" s="467" t="s">
        <v>102</v>
      </c>
      <c r="L9" s="467" t="s">
        <v>102</v>
      </c>
      <c r="M9" s="480">
        <v>490.72135266200002</v>
      </c>
      <c r="N9" s="480">
        <v>428.308745875</v>
      </c>
      <c r="O9" s="480">
        <v>486.24205996900002</v>
      </c>
      <c r="P9" s="467">
        <v>298.70578327599998</v>
      </c>
    </row>
    <row r="10" spans="1:16" ht="15.75" customHeight="1" x14ac:dyDescent="0.2">
      <c r="A10" s="465" t="s">
        <v>162</v>
      </c>
      <c r="B10" s="467">
        <v>192.314949138</v>
      </c>
      <c r="C10" s="467">
        <v>393.02964379600002</v>
      </c>
      <c r="D10" s="467">
        <v>366.33653599199999</v>
      </c>
      <c r="E10" s="467">
        <v>443.95284765000002</v>
      </c>
      <c r="F10" s="467">
        <v>638.94110953799998</v>
      </c>
      <c r="G10" s="467">
        <v>463.260480067</v>
      </c>
      <c r="H10" s="467">
        <v>673.92337647700003</v>
      </c>
      <c r="I10" s="467">
        <v>699.26774637100004</v>
      </c>
      <c r="J10" s="467" t="s">
        <v>102</v>
      </c>
      <c r="K10" s="467" t="s">
        <v>102</v>
      </c>
      <c r="L10" s="467" t="s">
        <v>102</v>
      </c>
      <c r="M10" s="480">
        <v>498.07773447</v>
      </c>
      <c r="N10" s="480">
        <v>699.26774637100004</v>
      </c>
      <c r="O10" s="480">
        <v>512.516947899</v>
      </c>
      <c r="P10" s="467">
        <v>606.408680506</v>
      </c>
    </row>
    <row r="11" spans="1:16" ht="15.75" customHeight="1" x14ac:dyDescent="0.2">
      <c r="A11" s="465" t="s">
        <v>163</v>
      </c>
      <c r="B11" s="467">
        <v>9.5150464400000008</v>
      </c>
      <c r="C11" s="467">
        <v>50.935548300000001</v>
      </c>
      <c r="D11" s="467">
        <v>29.140408422</v>
      </c>
      <c r="E11" s="467">
        <v>39.797985920000002</v>
      </c>
      <c r="F11" s="467">
        <v>31.590615446000001</v>
      </c>
      <c r="G11" s="467">
        <v>26.951090907000001</v>
      </c>
      <c r="H11" s="467">
        <v>43.692200833999998</v>
      </c>
      <c r="I11" s="467">
        <v>26.568824834000001</v>
      </c>
      <c r="J11" s="467" t="s">
        <v>102</v>
      </c>
      <c r="K11" s="467" t="s">
        <v>102</v>
      </c>
      <c r="L11" s="467" t="s">
        <v>102</v>
      </c>
      <c r="M11" s="480">
        <v>36.114102914999997</v>
      </c>
      <c r="N11" s="480">
        <v>26.568824834000001</v>
      </c>
      <c r="O11" s="480">
        <v>35.429047498000003</v>
      </c>
      <c r="P11" s="467">
        <v>23.645549684999999</v>
      </c>
    </row>
    <row r="12" spans="1:16" ht="15.75" customHeight="1" x14ac:dyDescent="0.2">
      <c r="A12" s="465" t="s">
        <v>164</v>
      </c>
      <c r="B12" s="467">
        <v>369.07768686399999</v>
      </c>
      <c r="C12" s="467">
        <v>141.95737172400001</v>
      </c>
      <c r="D12" s="467">
        <v>244.89499214599999</v>
      </c>
      <c r="E12" s="467">
        <v>287.68527009899998</v>
      </c>
      <c r="F12" s="467">
        <v>420.40043874499997</v>
      </c>
      <c r="G12" s="467">
        <v>244.23509720800001</v>
      </c>
      <c r="H12" s="467">
        <v>182.32844815999999</v>
      </c>
      <c r="I12" s="467">
        <v>122.47212658399999</v>
      </c>
      <c r="J12" s="467" t="s">
        <v>102</v>
      </c>
      <c r="K12" s="467" t="s">
        <v>102</v>
      </c>
      <c r="L12" s="467" t="s">
        <v>102</v>
      </c>
      <c r="M12" s="480">
        <v>287.77114103100001</v>
      </c>
      <c r="N12" s="480">
        <v>122.47212658399999</v>
      </c>
      <c r="O12" s="480">
        <v>275.90778992899999</v>
      </c>
      <c r="P12" s="467">
        <v>158.370302571</v>
      </c>
    </row>
    <row r="13" spans="1:16" ht="15.75" customHeight="1" x14ac:dyDescent="0.2">
      <c r="A13" s="465" t="s">
        <v>165</v>
      </c>
      <c r="B13" s="467">
        <v>115.52539142000001</v>
      </c>
      <c r="C13" s="467">
        <v>78.787304723999995</v>
      </c>
      <c r="D13" s="467">
        <v>88.370049054999996</v>
      </c>
      <c r="E13" s="467">
        <v>73.695143053999999</v>
      </c>
      <c r="F13" s="467">
        <v>74.808751217999998</v>
      </c>
      <c r="G13" s="467">
        <v>71.288884988999996</v>
      </c>
      <c r="H13" s="467">
        <v>127.661668194</v>
      </c>
      <c r="I13" s="467">
        <v>78.181359877999995</v>
      </c>
      <c r="J13" s="467" t="s">
        <v>102</v>
      </c>
      <c r="K13" s="467" t="s">
        <v>102</v>
      </c>
      <c r="L13" s="467" t="s">
        <v>102</v>
      </c>
      <c r="M13" s="480">
        <v>81.314397765999999</v>
      </c>
      <c r="N13" s="480">
        <v>78.181359877999995</v>
      </c>
      <c r="O13" s="480">
        <v>81.089542653999999</v>
      </c>
      <c r="P13" s="467">
        <v>45.162081544999999</v>
      </c>
    </row>
    <row r="14" spans="1:16" ht="15.75" customHeight="1" x14ac:dyDescent="0.25">
      <c r="A14" s="474" t="s">
        <v>166</v>
      </c>
      <c r="B14" s="466">
        <v>1564.4956877489999</v>
      </c>
      <c r="C14" s="466">
        <v>1463.229832923</v>
      </c>
      <c r="D14" s="466">
        <v>1584.402769112</v>
      </c>
      <c r="E14" s="466">
        <v>1663.751158</v>
      </c>
      <c r="F14" s="466">
        <v>2284.7365804860001</v>
      </c>
      <c r="G14" s="466">
        <v>1733.081015319</v>
      </c>
      <c r="H14" s="466">
        <v>1928.948502059</v>
      </c>
      <c r="I14" s="466">
        <v>1673.823253132</v>
      </c>
      <c r="J14" s="466" t="s">
        <v>102</v>
      </c>
      <c r="K14" s="466" t="s">
        <v>102</v>
      </c>
      <c r="L14" s="466" t="s">
        <v>102</v>
      </c>
      <c r="M14" s="479">
        <v>1802.96788597</v>
      </c>
      <c r="N14" s="479">
        <v>1673.823253132</v>
      </c>
      <c r="O14" s="479">
        <v>1793.699300023</v>
      </c>
      <c r="P14" s="466">
        <v>1329.451253362</v>
      </c>
    </row>
    <row r="15" spans="1:16" ht="15.75" customHeight="1" x14ac:dyDescent="0.2">
      <c r="A15" s="465" t="s">
        <v>79</v>
      </c>
      <c r="B15" s="467">
        <v>719.84001326800001</v>
      </c>
      <c r="C15" s="467">
        <v>783.79348062099996</v>
      </c>
      <c r="D15" s="467">
        <v>877.15964931400003</v>
      </c>
      <c r="E15" s="467">
        <v>1040.3388396079999</v>
      </c>
      <c r="F15" s="467">
        <v>1497.3160687310001</v>
      </c>
      <c r="G15" s="467">
        <v>1054.2188388960001</v>
      </c>
      <c r="H15" s="467">
        <v>1319.6865594789999</v>
      </c>
      <c r="I15" s="467">
        <v>1062.0993324819999</v>
      </c>
      <c r="J15" s="467" t="s">
        <v>102</v>
      </c>
      <c r="K15" s="467" t="s">
        <v>102</v>
      </c>
      <c r="L15" s="467" t="s">
        <v>102</v>
      </c>
      <c r="M15" s="480">
        <v>1134.4544898490001</v>
      </c>
      <c r="N15" s="480">
        <v>1062.0993324819999</v>
      </c>
      <c r="O15" s="480">
        <v>1129.2616298749999</v>
      </c>
      <c r="P15" s="467">
        <v>882.91849873499996</v>
      </c>
    </row>
    <row r="16" spans="1:16" ht="15.75" customHeight="1" x14ac:dyDescent="0.2">
      <c r="A16" s="465" t="s">
        <v>167</v>
      </c>
      <c r="B16" s="467">
        <v>514.98304732400004</v>
      </c>
      <c r="C16" s="467">
        <v>680.36435077600004</v>
      </c>
      <c r="D16" s="467">
        <v>739.75701827199998</v>
      </c>
      <c r="E16" s="467">
        <v>856.33801518600001</v>
      </c>
      <c r="F16" s="467">
        <v>1217.2756083649999</v>
      </c>
      <c r="G16" s="467">
        <v>798.32163979699999</v>
      </c>
      <c r="H16" s="467">
        <v>986.42494261700006</v>
      </c>
      <c r="I16" s="467">
        <v>787.10991181400004</v>
      </c>
      <c r="J16" s="467" t="s">
        <v>102</v>
      </c>
      <c r="K16" s="467" t="s">
        <v>102</v>
      </c>
      <c r="L16" s="467" t="s">
        <v>102</v>
      </c>
      <c r="M16" s="480">
        <v>912.940817068</v>
      </c>
      <c r="N16" s="480">
        <v>787.10991181400004</v>
      </c>
      <c r="O16" s="480">
        <v>903.91005415999996</v>
      </c>
      <c r="P16" s="467">
        <v>762.76738347100002</v>
      </c>
    </row>
    <row r="17" spans="1:16" ht="15.75" customHeight="1" x14ac:dyDescent="0.2">
      <c r="A17" s="465" t="s">
        <v>199</v>
      </c>
      <c r="B17" s="467">
        <v>132.73138876600001</v>
      </c>
      <c r="C17" s="467">
        <v>47.848533627000002</v>
      </c>
      <c r="D17" s="467">
        <v>115.39691782</v>
      </c>
      <c r="E17" s="467">
        <v>81.001257514000002</v>
      </c>
      <c r="F17" s="467">
        <v>104.97341273799999</v>
      </c>
      <c r="G17" s="467">
        <v>43.988741001000001</v>
      </c>
      <c r="H17" s="467">
        <v>1.4024783970000001</v>
      </c>
      <c r="I17" s="467">
        <v>20.119333724000001</v>
      </c>
      <c r="J17" s="467" t="s">
        <v>102</v>
      </c>
      <c r="K17" s="467" t="s">
        <v>102</v>
      </c>
      <c r="L17" s="467" t="s">
        <v>102</v>
      </c>
      <c r="M17" s="480">
        <v>74.631847523000005</v>
      </c>
      <c r="N17" s="480">
        <v>20.119333724000001</v>
      </c>
      <c r="O17" s="480">
        <v>70.719536898000001</v>
      </c>
      <c r="P17" s="467">
        <v>153.50214644100001</v>
      </c>
    </row>
    <row r="18" spans="1:16" ht="15.75" customHeight="1" x14ac:dyDescent="0.2">
      <c r="A18" s="465" t="s">
        <v>168</v>
      </c>
      <c r="B18" s="467">
        <v>204.856965944</v>
      </c>
      <c r="C18" s="467">
        <v>103.42912984500001</v>
      </c>
      <c r="D18" s="467">
        <v>137.402631042</v>
      </c>
      <c r="E18" s="467">
        <v>184.00082442300001</v>
      </c>
      <c r="F18" s="467">
        <v>280.04046036599999</v>
      </c>
      <c r="G18" s="467">
        <v>255.89719909900001</v>
      </c>
      <c r="H18" s="467">
        <v>333.26161686199998</v>
      </c>
      <c r="I18" s="467">
        <v>274.98942066799998</v>
      </c>
      <c r="J18" s="467" t="s">
        <v>102</v>
      </c>
      <c r="K18" s="467" t="s">
        <v>102</v>
      </c>
      <c r="L18" s="467" t="s">
        <v>102</v>
      </c>
      <c r="M18" s="480">
        <v>221.51367278000001</v>
      </c>
      <c r="N18" s="480">
        <v>274.98942066799998</v>
      </c>
      <c r="O18" s="480">
        <v>225.351575715</v>
      </c>
      <c r="P18" s="467">
        <v>120.151115265</v>
      </c>
    </row>
    <row r="19" spans="1:16" ht="15.75" customHeight="1" x14ac:dyDescent="0.2">
      <c r="A19" s="465" t="s">
        <v>169</v>
      </c>
      <c r="B19" s="467">
        <v>370.03586023899999</v>
      </c>
      <c r="C19" s="467">
        <v>325.64001611399999</v>
      </c>
      <c r="D19" s="467">
        <v>293.80827247399998</v>
      </c>
      <c r="E19" s="467">
        <v>244.873049847</v>
      </c>
      <c r="F19" s="467">
        <v>245.972670077</v>
      </c>
      <c r="G19" s="467">
        <v>277.246259581</v>
      </c>
      <c r="H19" s="467">
        <v>219.363445654</v>
      </c>
      <c r="I19" s="467">
        <v>173.012591646</v>
      </c>
      <c r="J19" s="467" t="s">
        <v>102</v>
      </c>
      <c r="K19" s="467" t="s">
        <v>102</v>
      </c>
      <c r="L19" s="467" t="s">
        <v>102</v>
      </c>
      <c r="M19" s="480">
        <v>252.975719011</v>
      </c>
      <c r="N19" s="480">
        <v>173.012591646</v>
      </c>
      <c r="O19" s="480">
        <v>247.23684235600001</v>
      </c>
      <c r="P19" s="467">
        <v>220.77711797399999</v>
      </c>
    </row>
    <row r="20" spans="1:16" ht="15.75" customHeight="1" x14ac:dyDescent="0.2">
      <c r="A20" s="465" t="s">
        <v>170</v>
      </c>
      <c r="B20" s="467">
        <v>202.86289252500001</v>
      </c>
      <c r="C20" s="467">
        <v>210.415217539</v>
      </c>
      <c r="D20" s="467">
        <v>167.575412556</v>
      </c>
      <c r="E20" s="467">
        <v>179.365463358</v>
      </c>
      <c r="F20" s="467">
        <v>145.67628205099999</v>
      </c>
      <c r="G20" s="467">
        <v>175.00747428400001</v>
      </c>
      <c r="H20" s="467">
        <v>130.11136777499999</v>
      </c>
      <c r="I20" s="467">
        <v>85.160935448000004</v>
      </c>
      <c r="J20" s="467" t="s">
        <v>102</v>
      </c>
      <c r="K20" s="467" t="s">
        <v>102</v>
      </c>
      <c r="L20" s="467" t="s">
        <v>102</v>
      </c>
      <c r="M20" s="480">
        <v>166.60165411099999</v>
      </c>
      <c r="N20" s="480">
        <v>85.160935448000004</v>
      </c>
      <c r="O20" s="480">
        <v>160.75673215200001</v>
      </c>
      <c r="P20" s="467">
        <v>168.82118193599999</v>
      </c>
    </row>
    <row r="21" spans="1:16" ht="15.75" customHeight="1" x14ac:dyDescent="0.2">
      <c r="A21" s="465" t="s">
        <v>171</v>
      </c>
      <c r="B21" s="467">
        <v>29.456603272999999</v>
      </c>
      <c r="C21" s="467">
        <v>15.768051055999999</v>
      </c>
      <c r="D21" s="467">
        <v>9.4647122859999993</v>
      </c>
      <c r="E21" s="467">
        <v>4.2561273149999996</v>
      </c>
      <c r="F21" s="467">
        <v>5.2378798949999998</v>
      </c>
      <c r="G21" s="467">
        <v>3.5109346559999999</v>
      </c>
      <c r="H21" s="467">
        <v>4.0049060729999999</v>
      </c>
      <c r="I21" s="467">
        <v>2.6184506189999999</v>
      </c>
      <c r="J21" s="467" t="s">
        <v>102</v>
      </c>
      <c r="K21" s="467" t="s">
        <v>102</v>
      </c>
      <c r="L21" s="467" t="s">
        <v>102</v>
      </c>
      <c r="M21" s="480">
        <v>5.0911054849999999</v>
      </c>
      <c r="N21" s="480">
        <v>2.6184506189999999</v>
      </c>
      <c r="O21" s="480">
        <v>4.9136454260000004</v>
      </c>
      <c r="P21" s="467">
        <v>5.985235318</v>
      </c>
    </row>
    <row r="22" spans="1:16" ht="15.75" customHeight="1" x14ac:dyDescent="0.2">
      <c r="A22" s="687" t="s">
        <v>607</v>
      </c>
      <c r="B22" s="467">
        <v>137.716364441</v>
      </c>
      <c r="C22" s="467">
        <v>99.456747519000004</v>
      </c>
      <c r="D22" s="467">
        <v>116.768147633</v>
      </c>
      <c r="E22" s="467">
        <v>61.251459173000001</v>
      </c>
      <c r="F22" s="467">
        <v>95.058508130999996</v>
      </c>
      <c r="G22" s="467">
        <v>98.727850641000003</v>
      </c>
      <c r="H22" s="467">
        <v>85.247171805999997</v>
      </c>
      <c r="I22" s="467">
        <v>85.233205579</v>
      </c>
      <c r="J22" s="467" t="s">
        <v>102</v>
      </c>
      <c r="K22" s="467" t="s">
        <v>102</v>
      </c>
      <c r="L22" s="467" t="s">
        <v>102</v>
      </c>
      <c r="M22" s="480">
        <v>81.282959414999993</v>
      </c>
      <c r="N22" s="480">
        <v>85.233205579</v>
      </c>
      <c r="O22" s="480">
        <v>81.566464777999997</v>
      </c>
      <c r="P22" s="467">
        <v>45.970700719</v>
      </c>
    </row>
    <row r="23" spans="1:16" ht="15.75" customHeight="1" x14ac:dyDescent="0.2">
      <c r="A23" s="465" t="s">
        <v>172</v>
      </c>
      <c r="B23" s="467">
        <v>9.6362627159999992</v>
      </c>
      <c r="C23" s="467">
        <v>17.760932915000001</v>
      </c>
      <c r="D23" s="467">
        <v>29.437375021000001</v>
      </c>
      <c r="E23" s="467">
        <v>36.042239414000001</v>
      </c>
      <c r="F23" s="467">
        <v>66.312529767000001</v>
      </c>
      <c r="G23" s="467">
        <v>60.027163788999999</v>
      </c>
      <c r="H23" s="467">
        <v>63.944380889999998</v>
      </c>
      <c r="I23" s="467">
        <v>218.58881205899999</v>
      </c>
      <c r="J23" s="467" t="s">
        <v>102</v>
      </c>
      <c r="K23" s="467" t="s">
        <v>102</v>
      </c>
      <c r="L23" s="467" t="s">
        <v>102</v>
      </c>
      <c r="M23" s="480">
        <v>46.706311511000003</v>
      </c>
      <c r="N23" s="480">
        <v>218.58881205899999</v>
      </c>
      <c r="O23" s="480">
        <v>59.042153071000001</v>
      </c>
      <c r="P23" s="467">
        <v>56.726830266999997</v>
      </c>
    </row>
    <row r="24" spans="1:16" ht="15.75" customHeight="1" x14ac:dyDescent="0.2">
      <c r="A24" s="465" t="s">
        <v>173</v>
      </c>
      <c r="B24" s="467">
        <v>258.432980982</v>
      </c>
      <c r="C24" s="467">
        <v>198.13824103100001</v>
      </c>
      <c r="D24" s="467">
        <v>209.417657499</v>
      </c>
      <c r="E24" s="467">
        <v>170.387923414</v>
      </c>
      <c r="F24" s="467">
        <v>170.99768903399999</v>
      </c>
      <c r="G24" s="467">
        <v>199.87357782500001</v>
      </c>
      <c r="H24" s="467">
        <v>172.42071462600001</v>
      </c>
      <c r="I24" s="467">
        <v>143.63002342199999</v>
      </c>
      <c r="J24" s="467" t="s">
        <v>102</v>
      </c>
      <c r="K24" s="467" t="s">
        <v>102</v>
      </c>
      <c r="L24" s="467" t="s">
        <v>102</v>
      </c>
      <c r="M24" s="480">
        <v>179.16023189399999</v>
      </c>
      <c r="N24" s="480">
        <v>143.63002342199999</v>
      </c>
      <c r="O24" s="480">
        <v>176.61026304399999</v>
      </c>
      <c r="P24" s="467">
        <v>108.30397019900001</v>
      </c>
    </row>
    <row r="25" spans="1:16" ht="15.75" customHeight="1" x14ac:dyDescent="0.2">
      <c r="A25" s="475" t="s">
        <v>174</v>
      </c>
      <c r="B25" s="468">
        <v>206.55057054400001</v>
      </c>
      <c r="C25" s="468">
        <v>137.89716224200001</v>
      </c>
      <c r="D25" s="468">
        <v>174.57981480500001</v>
      </c>
      <c r="E25" s="468">
        <v>172.10910571700001</v>
      </c>
      <c r="F25" s="468">
        <v>304.13762287600002</v>
      </c>
      <c r="G25" s="468">
        <v>141.71517522799999</v>
      </c>
      <c r="H25" s="468">
        <v>153.53340141000001</v>
      </c>
      <c r="I25" s="468">
        <v>76.492493523999997</v>
      </c>
      <c r="J25" s="468" t="s">
        <v>102</v>
      </c>
      <c r="K25" s="468" t="s">
        <v>102</v>
      </c>
      <c r="L25" s="468" t="s">
        <v>102</v>
      </c>
      <c r="M25" s="481">
        <v>189.67113370499999</v>
      </c>
      <c r="N25" s="481">
        <v>76.492493523999997</v>
      </c>
      <c r="O25" s="481">
        <v>181.54841167800001</v>
      </c>
      <c r="P25" s="468">
        <v>60.724836185999997</v>
      </c>
    </row>
    <row r="26" spans="1:16" ht="15.75" customHeight="1" x14ac:dyDescent="0.25">
      <c r="A26" s="474" t="s">
        <v>175</v>
      </c>
      <c r="B26" s="466">
        <v>405.22850950899999</v>
      </c>
      <c r="C26" s="466">
        <v>332.04311169499999</v>
      </c>
      <c r="D26" s="466">
        <v>364.52890729199999</v>
      </c>
      <c r="E26" s="466">
        <v>363.13874281400001</v>
      </c>
      <c r="F26" s="466">
        <v>497.804379987</v>
      </c>
      <c r="G26" s="466">
        <v>444.53127855700001</v>
      </c>
      <c r="H26" s="466">
        <v>463.22903494299999</v>
      </c>
      <c r="I26" s="466">
        <v>319.02444959000002</v>
      </c>
      <c r="J26" s="466" t="s">
        <v>102</v>
      </c>
      <c r="K26" s="466" t="s">
        <v>102</v>
      </c>
      <c r="L26" s="466" t="s">
        <v>102</v>
      </c>
      <c r="M26" s="479">
        <v>408.96915712600003</v>
      </c>
      <c r="N26" s="479">
        <v>319.02444959000002</v>
      </c>
      <c r="O26" s="479">
        <v>402.51391207299997</v>
      </c>
      <c r="P26" s="466">
        <v>197.158855778</v>
      </c>
    </row>
    <row r="27" spans="1:16" ht="15.75" customHeight="1" x14ac:dyDescent="0.25">
      <c r="A27" s="476" t="s">
        <v>176</v>
      </c>
      <c r="B27" s="469">
        <v>271.17610349400002</v>
      </c>
      <c r="C27" s="469">
        <v>74.432791960000003</v>
      </c>
      <c r="D27" s="469">
        <v>226.381865871</v>
      </c>
      <c r="E27" s="469">
        <v>210.68106718499999</v>
      </c>
      <c r="F27" s="469">
        <v>348.81905094699999</v>
      </c>
      <c r="G27" s="469">
        <v>339.80753242899999</v>
      </c>
      <c r="H27" s="469">
        <v>279.09947603900002</v>
      </c>
      <c r="I27" s="469">
        <v>210.28523918499999</v>
      </c>
      <c r="J27" s="469" t="s">
        <v>102</v>
      </c>
      <c r="K27" s="469" t="s">
        <v>102</v>
      </c>
      <c r="L27" s="469" t="s">
        <v>102</v>
      </c>
      <c r="M27" s="482">
        <v>259.55746215900001</v>
      </c>
      <c r="N27" s="482">
        <v>210.28523918499999</v>
      </c>
      <c r="O27" s="482">
        <v>256.02124215999999</v>
      </c>
      <c r="P27" s="469">
        <v>108.187236056</v>
      </c>
    </row>
    <row r="28" spans="1:16" ht="15.75" customHeight="1" x14ac:dyDescent="0.25">
      <c r="A28" s="474" t="s">
        <v>177</v>
      </c>
      <c r="B28" s="466">
        <v>415.93267580700001</v>
      </c>
      <c r="C28" s="466">
        <v>457.72955474499997</v>
      </c>
      <c r="D28" s="466">
        <v>639.71860841600005</v>
      </c>
      <c r="E28" s="466">
        <v>634.054660818</v>
      </c>
      <c r="F28" s="466">
        <v>824.46074030099999</v>
      </c>
      <c r="G28" s="466">
        <v>761.39253248199998</v>
      </c>
      <c r="H28" s="466">
        <v>674.69898715500005</v>
      </c>
      <c r="I28" s="466">
        <v>620.94127328900004</v>
      </c>
      <c r="J28" s="466" t="s">
        <v>102</v>
      </c>
      <c r="K28" s="466" t="s">
        <v>102</v>
      </c>
      <c r="L28" s="466" t="s">
        <v>102</v>
      </c>
      <c r="M28" s="479">
        <v>686.48840784399999</v>
      </c>
      <c r="N28" s="479">
        <v>620.94127328900004</v>
      </c>
      <c r="O28" s="479">
        <v>681.78415311200001</v>
      </c>
      <c r="P28" s="466">
        <v>411.49686769099998</v>
      </c>
    </row>
    <row r="29" spans="1:16" ht="15.75" customHeight="1" x14ac:dyDescent="0.2">
      <c r="A29" s="465" t="s">
        <v>178</v>
      </c>
      <c r="B29" s="467">
        <v>347.98711631999998</v>
      </c>
      <c r="C29" s="467">
        <v>435.452640997</v>
      </c>
      <c r="D29" s="467">
        <v>587.75958275899995</v>
      </c>
      <c r="E29" s="467">
        <v>584.24832048400003</v>
      </c>
      <c r="F29" s="467">
        <v>744.730619252</v>
      </c>
      <c r="G29" s="467">
        <v>689.93134029700002</v>
      </c>
      <c r="H29" s="467">
        <v>472.80001735500002</v>
      </c>
      <c r="I29" s="467">
        <v>592.82132350300003</v>
      </c>
      <c r="J29" s="467" t="s">
        <v>102</v>
      </c>
      <c r="K29" s="467" t="s">
        <v>102</v>
      </c>
      <c r="L29" s="467" t="s">
        <v>102</v>
      </c>
      <c r="M29" s="480">
        <v>611.58214808100001</v>
      </c>
      <c r="N29" s="480">
        <v>592.82132350300003</v>
      </c>
      <c r="O29" s="480">
        <v>610.23570176600003</v>
      </c>
      <c r="P29" s="467">
        <v>374.27712931899998</v>
      </c>
    </row>
    <row r="30" spans="1:16" ht="15.75" customHeight="1" x14ac:dyDescent="0.2">
      <c r="A30" s="465" t="s">
        <v>179</v>
      </c>
      <c r="B30" s="467">
        <v>21.432954445</v>
      </c>
      <c r="C30" s="467">
        <v>9.3799380879999994</v>
      </c>
      <c r="D30" s="467">
        <v>25.907801631000002</v>
      </c>
      <c r="E30" s="467">
        <v>21.516363590000001</v>
      </c>
      <c r="F30" s="467">
        <v>40.833054693000001</v>
      </c>
      <c r="G30" s="467">
        <v>14.59794325</v>
      </c>
      <c r="H30" s="467">
        <v>172.64495630600001</v>
      </c>
      <c r="I30" s="467">
        <v>19.344672805999998</v>
      </c>
      <c r="J30" s="467" t="s">
        <v>102</v>
      </c>
      <c r="K30" s="467" t="s">
        <v>102</v>
      </c>
      <c r="L30" s="467" t="s">
        <v>102</v>
      </c>
      <c r="M30" s="480">
        <v>41.304050013999998</v>
      </c>
      <c r="N30" s="480">
        <v>19.344672805999998</v>
      </c>
      <c r="O30" s="480">
        <v>39.728046657</v>
      </c>
      <c r="P30" s="467">
        <v>23.810771989999999</v>
      </c>
    </row>
    <row r="31" spans="1:16" ht="15.75" customHeight="1" x14ac:dyDescent="0.2">
      <c r="A31" s="465" t="s">
        <v>180</v>
      </c>
      <c r="B31" s="467">
        <v>46.512605041999997</v>
      </c>
      <c r="C31" s="467">
        <v>12.896975659000001</v>
      </c>
      <c r="D31" s="467">
        <v>26.051224026</v>
      </c>
      <c r="E31" s="467">
        <v>28.289976743</v>
      </c>
      <c r="F31" s="467">
        <v>38.897066356000003</v>
      </c>
      <c r="G31" s="467">
        <v>56.863248935000001</v>
      </c>
      <c r="H31" s="467">
        <v>29.254013492999999</v>
      </c>
      <c r="I31" s="467">
        <v>8.7752769789999991</v>
      </c>
      <c r="J31" s="467" t="s">
        <v>102</v>
      </c>
      <c r="K31" s="467" t="s">
        <v>102</v>
      </c>
      <c r="L31" s="467" t="s">
        <v>102</v>
      </c>
      <c r="M31" s="480">
        <v>33.602209748999996</v>
      </c>
      <c r="N31" s="480">
        <v>8.7752769789999991</v>
      </c>
      <c r="O31" s="480">
        <v>31.820404689</v>
      </c>
      <c r="P31" s="467">
        <v>13.408966381999999</v>
      </c>
    </row>
    <row r="32" spans="1:16" ht="15.75" customHeight="1" x14ac:dyDescent="0.25">
      <c r="A32" s="474" t="s">
        <v>181</v>
      </c>
      <c r="B32" s="466">
        <v>308.16218487399999</v>
      </c>
      <c r="C32" s="466">
        <v>378.39351030400002</v>
      </c>
      <c r="D32" s="466">
        <v>269.49413520399997</v>
      </c>
      <c r="E32" s="466">
        <v>292.40508024799999</v>
      </c>
      <c r="F32" s="466">
        <v>967.04260962900003</v>
      </c>
      <c r="G32" s="466">
        <v>330.90631783200001</v>
      </c>
      <c r="H32" s="466">
        <v>418.50590168500003</v>
      </c>
      <c r="I32" s="466">
        <v>194.25359576299999</v>
      </c>
      <c r="J32" s="466" t="s">
        <v>102</v>
      </c>
      <c r="K32" s="466" t="s">
        <v>102</v>
      </c>
      <c r="L32" s="466" t="s">
        <v>102</v>
      </c>
      <c r="M32" s="479">
        <v>432.28652766900001</v>
      </c>
      <c r="N32" s="479">
        <v>194.25359576299999</v>
      </c>
      <c r="O32" s="479">
        <v>415.203133347</v>
      </c>
      <c r="P32" s="466">
        <v>177.39971704600001</v>
      </c>
    </row>
    <row r="33" spans="1:16" ht="15.75" customHeight="1" x14ac:dyDescent="0.2">
      <c r="A33" s="465" t="s">
        <v>182</v>
      </c>
      <c r="B33" s="467">
        <v>108.28501105700001</v>
      </c>
      <c r="C33" s="467">
        <v>79.416979900000001</v>
      </c>
      <c r="D33" s="467">
        <v>56.276466956999997</v>
      </c>
      <c r="E33" s="467">
        <v>59.275352574999999</v>
      </c>
      <c r="F33" s="467">
        <v>68.555656709000004</v>
      </c>
      <c r="G33" s="467">
        <v>87.904449048999993</v>
      </c>
      <c r="H33" s="467">
        <v>56.297552647000003</v>
      </c>
      <c r="I33" s="467">
        <v>59.860724120999997</v>
      </c>
      <c r="J33" s="467" t="s">
        <v>102</v>
      </c>
      <c r="K33" s="467" t="s">
        <v>102</v>
      </c>
      <c r="L33" s="467" t="s">
        <v>102</v>
      </c>
      <c r="M33" s="480">
        <v>64.507906891000005</v>
      </c>
      <c r="N33" s="480">
        <v>59.860724120999997</v>
      </c>
      <c r="O33" s="480">
        <v>64.174383058999993</v>
      </c>
      <c r="P33" s="467">
        <v>43.657640358999998</v>
      </c>
    </row>
    <row r="34" spans="1:16" ht="15.75" customHeight="1" x14ac:dyDescent="0.2">
      <c r="A34" s="465" t="s">
        <v>183</v>
      </c>
      <c r="B34" s="467">
        <v>142.250349403</v>
      </c>
      <c r="C34" s="467">
        <v>203.621250954</v>
      </c>
      <c r="D34" s="467">
        <v>165.860920327</v>
      </c>
      <c r="E34" s="467">
        <v>156.65668054700001</v>
      </c>
      <c r="F34" s="467">
        <v>149.599604726</v>
      </c>
      <c r="G34" s="467">
        <v>130.27562220499999</v>
      </c>
      <c r="H34" s="467">
        <v>333.03338943300002</v>
      </c>
      <c r="I34" s="467">
        <v>113.97468433900001</v>
      </c>
      <c r="J34" s="467" t="s">
        <v>102</v>
      </c>
      <c r="K34" s="467" t="s">
        <v>102</v>
      </c>
      <c r="L34" s="467" t="s">
        <v>102</v>
      </c>
      <c r="M34" s="480">
        <v>173.39089207000001</v>
      </c>
      <c r="N34" s="480">
        <v>113.97468433900001</v>
      </c>
      <c r="O34" s="480">
        <v>169.126648053</v>
      </c>
      <c r="P34" s="467">
        <v>99.615302452999998</v>
      </c>
    </row>
    <row r="35" spans="1:16" ht="15.75" customHeight="1" x14ac:dyDescent="0.2">
      <c r="A35" s="475" t="s">
        <v>184</v>
      </c>
      <c r="B35" s="468">
        <v>57.626824413999998</v>
      </c>
      <c r="C35" s="468">
        <v>95.355279449999998</v>
      </c>
      <c r="D35" s="468">
        <v>47.356747919</v>
      </c>
      <c r="E35" s="468">
        <v>76.473047127000001</v>
      </c>
      <c r="F35" s="468">
        <v>748.88734819399997</v>
      </c>
      <c r="G35" s="468">
        <v>112.726246577</v>
      </c>
      <c r="H35" s="468">
        <v>29.174959606000002</v>
      </c>
      <c r="I35" s="468">
        <v>20.418187303</v>
      </c>
      <c r="J35" s="468" t="s">
        <v>102</v>
      </c>
      <c r="K35" s="468" t="s">
        <v>102</v>
      </c>
      <c r="L35" s="468" t="s">
        <v>102</v>
      </c>
      <c r="M35" s="481">
        <v>194.387728708</v>
      </c>
      <c r="N35" s="481">
        <v>20.418187303</v>
      </c>
      <c r="O35" s="481">
        <v>181.902102235</v>
      </c>
      <c r="P35" s="468">
        <v>34.126774234000003</v>
      </c>
    </row>
    <row r="36" spans="1:16" ht="15.75" customHeight="1" x14ac:dyDescent="0.25">
      <c r="A36" s="477" t="s">
        <v>185</v>
      </c>
      <c r="B36" s="466">
        <v>1575.1998540469999</v>
      </c>
      <c r="C36" s="466">
        <v>1588.916275973</v>
      </c>
      <c r="D36" s="466">
        <v>1859.5924702360001</v>
      </c>
      <c r="E36" s="466">
        <v>1934.6670760029999</v>
      </c>
      <c r="F36" s="466">
        <v>2611.3929407999999</v>
      </c>
      <c r="G36" s="466">
        <v>2049.9422692429998</v>
      </c>
      <c r="H36" s="466">
        <v>2140.418454271</v>
      </c>
      <c r="I36" s="466">
        <v>1975.7400768299999</v>
      </c>
      <c r="J36" s="466" t="s">
        <v>102</v>
      </c>
      <c r="K36" s="466" t="s">
        <v>102</v>
      </c>
      <c r="L36" s="466" t="s">
        <v>102</v>
      </c>
      <c r="M36" s="479">
        <v>2080.4871366870002</v>
      </c>
      <c r="N36" s="479">
        <v>1975.7400768299999</v>
      </c>
      <c r="O36" s="479">
        <v>2072.9695410620002</v>
      </c>
      <c r="P36" s="466">
        <v>1543.7892652749999</v>
      </c>
    </row>
    <row r="37" spans="1:16" ht="15.75" customHeight="1" x14ac:dyDescent="0.25">
      <c r="A37" s="477" t="s">
        <v>186</v>
      </c>
      <c r="B37" s="466">
        <v>1872.657872623</v>
      </c>
      <c r="C37" s="466">
        <v>1841.6233432280001</v>
      </c>
      <c r="D37" s="466">
        <v>1853.896904316</v>
      </c>
      <c r="E37" s="466">
        <v>1956.1562382479999</v>
      </c>
      <c r="F37" s="466">
        <v>3251.7791901149999</v>
      </c>
      <c r="G37" s="466">
        <v>2063.9873331499998</v>
      </c>
      <c r="H37" s="466">
        <v>2347.454403745</v>
      </c>
      <c r="I37" s="466">
        <v>1868.076848895</v>
      </c>
      <c r="J37" s="466" t="s">
        <v>102</v>
      </c>
      <c r="K37" s="466" t="s">
        <v>102</v>
      </c>
      <c r="L37" s="466" t="s">
        <v>102</v>
      </c>
      <c r="M37" s="479">
        <v>2235.2544136390002</v>
      </c>
      <c r="N37" s="479">
        <v>1868.076848895</v>
      </c>
      <c r="O37" s="479">
        <v>2208.9024333699999</v>
      </c>
      <c r="P37" s="466">
        <v>1506.850970408</v>
      </c>
    </row>
    <row r="38" spans="1:16" ht="15.75" customHeight="1" x14ac:dyDescent="0.25">
      <c r="A38" s="476" t="s">
        <v>187</v>
      </c>
      <c r="B38" s="469">
        <v>297.45801857599997</v>
      </c>
      <c r="C38" s="469">
        <v>252.707067255</v>
      </c>
      <c r="D38" s="469">
        <v>-5.695565921</v>
      </c>
      <c r="E38" s="469">
        <v>21.489162244999999</v>
      </c>
      <c r="F38" s="469">
        <v>640.38624931499999</v>
      </c>
      <c r="G38" s="469">
        <v>14.045063906999999</v>
      </c>
      <c r="H38" s="469">
        <v>207.03594947400001</v>
      </c>
      <c r="I38" s="469">
        <v>-107.663227936</v>
      </c>
      <c r="J38" s="469" t="s">
        <v>102</v>
      </c>
      <c r="K38" s="469" t="s">
        <v>102</v>
      </c>
      <c r="L38" s="469" t="s">
        <v>102</v>
      </c>
      <c r="M38" s="482">
        <v>154.767276952</v>
      </c>
      <c r="N38" s="482">
        <v>-107.663227936</v>
      </c>
      <c r="O38" s="482">
        <v>135.93289230799999</v>
      </c>
      <c r="P38" s="469">
        <v>-36.938294867000003</v>
      </c>
    </row>
    <row r="39" spans="1:16" ht="15.75" customHeight="1" x14ac:dyDescent="0.2">
      <c r="A39" s="465" t="s">
        <v>188</v>
      </c>
      <c r="B39" s="467">
        <v>134.052406015</v>
      </c>
      <c r="C39" s="467">
        <v>257.61031973500002</v>
      </c>
      <c r="D39" s="467">
        <v>138.14704142100001</v>
      </c>
      <c r="E39" s="467">
        <v>152.45767563000001</v>
      </c>
      <c r="F39" s="467">
        <v>148.98532904000001</v>
      </c>
      <c r="G39" s="467">
        <v>104.723746128</v>
      </c>
      <c r="H39" s="467">
        <v>184.12955890399999</v>
      </c>
      <c r="I39" s="467">
        <v>108.73921040499999</v>
      </c>
      <c r="J39" s="467" t="s">
        <v>102</v>
      </c>
      <c r="K39" s="467" t="s">
        <v>102</v>
      </c>
      <c r="L39" s="467" t="s">
        <v>102</v>
      </c>
      <c r="M39" s="480">
        <v>149.41169496699999</v>
      </c>
      <c r="N39" s="480">
        <v>108.73921040499999</v>
      </c>
      <c r="O39" s="480">
        <v>146.49266991299999</v>
      </c>
      <c r="P39" s="467">
        <v>88.971619723000003</v>
      </c>
    </row>
    <row r="40" spans="1:16" ht="15.75" customHeight="1" x14ac:dyDescent="0.2">
      <c r="A40" s="465" t="s">
        <v>189</v>
      </c>
      <c r="B40" s="467">
        <v>0.76957098599999996</v>
      </c>
      <c r="C40" s="467">
        <v>106.85991519</v>
      </c>
      <c r="D40" s="467">
        <v>62.251559968000002</v>
      </c>
      <c r="E40" s="467">
        <v>154.395478365</v>
      </c>
      <c r="F40" s="467">
        <v>134.19552895999999</v>
      </c>
      <c r="G40" s="467">
        <v>116.49307492299999</v>
      </c>
      <c r="H40" s="467">
        <v>72.139322895999996</v>
      </c>
      <c r="I40" s="467">
        <v>109.28281574899999</v>
      </c>
      <c r="J40" s="467" t="s">
        <v>102</v>
      </c>
      <c r="K40" s="467" t="s">
        <v>102</v>
      </c>
      <c r="L40" s="467" t="s">
        <v>102</v>
      </c>
      <c r="M40" s="480">
        <v>126.184140039</v>
      </c>
      <c r="N40" s="480">
        <v>109.28281574899999</v>
      </c>
      <c r="O40" s="480">
        <v>124.971148269</v>
      </c>
      <c r="P40" s="467">
        <v>101.995484976</v>
      </c>
    </row>
    <row r="41" spans="1:16" ht="15.75" customHeight="1" x14ac:dyDescent="0.2">
      <c r="A41" s="475" t="s">
        <v>190</v>
      </c>
      <c r="B41" s="468">
        <v>-133.28283502900001</v>
      </c>
      <c r="C41" s="468">
        <v>-150.750404546</v>
      </c>
      <c r="D41" s="468">
        <v>-75.895481453000002</v>
      </c>
      <c r="E41" s="468">
        <v>1.937802735</v>
      </c>
      <c r="F41" s="468">
        <v>-14.789800079000001</v>
      </c>
      <c r="G41" s="468">
        <v>11.769328794</v>
      </c>
      <c r="H41" s="468">
        <v>-111.990236009</v>
      </c>
      <c r="I41" s="468">
        <v>0.54360534400000005</v>
      </c>
      <c r="J41" s="468" t="s">
        <v>102</v>
      </c>
      <c r="K41" s="468" t="s">
        <v>102</v>
      </c>
      <c r="L41" s="468" t="s">
        <v>102</v>
      </c>
      <c r="M41" s="481">
        <v>-23.227554928</v>
      </c>
      <c r="N41" s="481">
        <v>0.54360534400000005</v>
      </c>
      <c r="O41" s="481">
        <v>-21.521521644</v>
      </c>
      <c r="P41" s="468">
        <v>13.023865253</v>
      </c>
    </row>
    <row r="42" spans="1:16" ht="15.75" customHeight="1" x14ac:dyDescent="0.25">
      <c r="A42" s="477" t="s">
        <v>191</v>
      </c>
      <c r="B42" s="466">
        <v>1709.252260062</v>
      </c>
      <c r="C42" s="466">
        <v>1846.526595709</v>
      </c>
      <c r="D42" s="466">
        <v>1997.7395116570001</v>
      </c>
      <c r="E42" s="466">
        <v>2087.124751633</v>
      </c>
      <c r="F42" s="466">
        <v>2760.37826984</v>
      </c>
      <c r="G42" s="466">
        <v>2154.666015371</v>
      </c>
      <c r="H42" s="466">
        <v>2324.5480131750001</v>
      </c>
      <c r="I42" s="466">
        <v>2084.4792872349999</v>
      </c>
      <c r="J42" s="466" t="s">
        <v>102</v>
      </c>
      <c r="K42" s="466" t="s">
        <v>102</v>
      </c>
      <c r="L42" s="466" t="s">
        <v>102</v>
      </c>
      <c r="M42" s="479">
        <v>2229.8988316539999</v>
      </c>
      <c r="N42" s="479">
        <v>2084.4792872349999</v>
      </c>
      <c r="O42" s="479">
        <v>2219.4622109749998</v>
      </c>
      <c r="P42" s="466">
        <v>1632.7608849979999</v>
      </c>
    </row>
    <row r="43" spans="1:16" ht="15.75" customHeight="1" x14ac:dyDescent="0.25">
      <c r="A43" s="477" t="s">
        <v>192</v>
      </c>
      <c r="B43" s="466">
        <v>1873.427443609</v>
      </c>
      <c r="C43" s="466">
        <v>1948.4832584169999</v>
      </c>
      <c r="D43" s="466">
        <v>1916.1484642840001</v>
      </c>
      <c r="E43" s="466">
        <v>2110.5517166129998</v>
      </c>
      <c r="F43" s="466">
        <v>3385.9747190749999</v>
      </c>
      <c r="G43" s="466">
        <v>2180.480408073</v>
      </c>
      <c r="H43" s="466">
        <v>2419.5937266410001</v>
      </c>
      <c r="I43" s="466">
        <v>1977.3596646440001</v>
      </c>
      <c r="J43" s="466" t="s">
        <v>102</v>
      </c>
      <c r="K43" s="466" t="s">
        <v>102</v>
      </c>
      <c r="L43" s="466" t="s">
        <v>102</v>
      </c>
      <c r="M43" s="479">
        <v>2361.4385536780001</v>
      </c>
      <c r="N43" s="479">
        <v>1977.3596646440001</v>
      </c>
      <c r="O43" s="479">
        <v>2333.8735816389999</v>
      </c>
      <c r="P43" s="466">
        <v>1608.8464553839999</v>
      </c>
    </row>
    <row r="44" spans="1:16" ht="15.75" customHeight="1" x14ac:dyDescent="0.2">
      <c r="A44" s="475" t="s">
        <v>193</v>
      </c>
      <c r="B44" s="468">
        <v>164.17518354699999</v>
      </c>
      <c r="C44" s="468">
        <v>101.956662709</v>
      </c>
      <c r="D44" s="468">
        <v>-81.591047373999999</v>
      </c>
      <c r="E44" s="468">
        <v>23.426964980000001</v>
      </c>
      <c r="F44" s="468">
        <v>625.59644923600001</v>
      </c>
      <c r="G44" s="468">
        <v>25.814392700999999</v>
      </c>
      <c r="H44" s="468">
        <v>95.045713465000006</v>
      </c>
      <c r="I44" s="468">
        <v>-107.119622591</v>
      </c>
      <c r="J44" s="468" t="s">
        <v>102</v>
      </c>
      <c r="K44" s="468" t="s">
        <v>102</v>
      </c>
      <c r="L44" s="468" t="s">
        <v>102</v>
      </c>
      <c r="M44" s="481">
        <v>131.53972202400001</v>
      </c>
      <c r="N44" s="481">
        <v>-107.119622591</v>
      </c>
      <c r="O44" s="481">
        <v>114.411370664</v>
      </c>
      <c r="P44" s="468">
        <v>-23.914429613999999</v>
      </c>
    </row>
    <row r="45" spans="1:16" s="8" customFormat="1" ht="15.75" customHeight="1" x14ac:dyDescent="0.25">
      <c r="A45" s="478" t="s">
        <v>283</v>
      </c>
      <c r="B45" s="469">
        <v>315.58653693100001</v>
      </c>
      <c r="C45" s="469">
        <v>1482.6908302940001</v>
      </c>
      <c r="D45" s="469">
        <v>1105.397307639</v>
      </c>
      <c r="E45" s="469">
        <v>1349.962021284</v>
      </c>
      <c r="F45" s="469">
        <v>1305.2284945030001</v>
      </c>
      <c r="G45" s="469">
        <v>1217.4141944789999</v>
      </c>
      <c r="H45" s="469">
        <v>1484.930310686</v>
      </c>
      <c r="I45" s="469">
        <v>1176.6939987220001</v>
      </c>
      <c r="J45" s="469" t="s">
        <v>102</v>
      </c>
      <c r="K45" s="469" t="s">
        <v>102</v>
      </c>
      <c r="L45" s="469" t="s">
        <v>102</v>
      </c>
      <c r="M45" s="482">
        <v>1314.439210946</v>
      </c>
      <c r="N45" s="482">
        <v>1176.6939987220001</v>
      </c>
      <c r="O45" s="482">
        <v>1304.5533696990001</v>
      </c>
      <c r="P45" s="469">
        <v>922.65384219600003</v>
      </c>
    </row>
    <row r="46" spans="1:16" ht="15.75" customHeight="1" x14ac:dyDescent="0.25">
      <c r="A46" s="474" t="s">
        <v>442</v>
      </c>
      <c r="B46" s="467"/>
      <c r="C46" s="467"/>
      <c r="D46" s="467"/>
      <c r="E46" s="467"/>
      <c r="F46" s="467"/>
      <c r="G46" s="467"/>
      <c r="H46" s="467"/>
      <c r="I46" s="467"/>
      <c r="J46" s="467"/>
      <c r="K46" s="467"/>
      <c r="L46" s="467"/>
      <c r="M46" s="483"/>
      <c r="N46" s="483"/>
      <c r="O46" s="483"/>
      <c r="P46" s="470"/>
    </row>
    <row r="47" spans="1:16" ht="15.75" customHeight="1" x14ac:dyDescent="0.25">
      <c r="A47" s="465" t="s">
        <v>456</v>
      </c>
      <c r="B47" s="467">
        <v>1159.26717824</v>
      </c>
      <c r="C47" s="467">
        <v>1131.1867212279999</v>
      </c>
      <c r="D47" s="467">
        <v>1218.5962021170001</v>
      </c>
      <c r="E47" s="467">
        <v>1299.0177661759999</v>
      </c>
      <c r="F47" s="467">
        <v>1784.4143234969999</v>
      </c>
      <c r="G47" s="467">
        <v>1284.2189667089999</v>
      </c>
      <c r="H47" s="467">
        <v>1462.8354949340001</v>
      </c>
      <c r="I47" s="467">
        <v>1345.9380561769999</v>
      </c>
      <c r="J47" s="467" t="s">
        <v>102</v>
      </c>
      <c r="K47" s="467" t="s">
        <v>102</v>
      </c>
      <c r="L47" s="467" t="s">
        <v>102</v>
      </c>
      <c r="M47" s="480">
        <v>1391.800221687</v>
      </c>
      <c r="N47" s="480">
        <v>1345.9380561769999</v>
      </c>
      <c r="O47" s="480">
        <v>1388.5087382290001</v>
      </c>
      <c r="P47" s="467">
        <v>1129.889010739</v>
      </c>
    </row>
    <row r="48" spans="1:16" ht="15.75" customHeight="1" x14ac:dyDescent="0.25">
      <c r="A48" s="465" t="s">
        <v>410</v>
      </c>
      <c r="B48" s="467">
        <v>415.83679787699998</v>
      </c>
      <c r="C48" s="467">
        <v>670.11928589599995</v>
      </c>
      <c r="D48" s="467">
        <v>639.22862949900002</v>
      </c>
      <c r="E48" s="467">
        <v>803.82823878600004</v>
      </c>
      <c r="F48" s="467">
        <v>1139.4205751720001</v>
      </c>
      <c r="G48" s="467">
        <v>771.52583871599995</v>
      </c>
      <c r="H48" s="467">
        <v>1016.5165489680001</v>
      </c>
      <c r="I48" s="467">
        <v>802.45801341399999</v>
      </c>
      <c r="J48" s="467" t="s">
        <v>102</v>
      </c>
      <c r="K48" s="467" t="s">
        <v>102</v>
      </c>
      <c r="L48" s="467" t="s">
        <v>102</v>
      </c>
      <c r="M48" s="480">
        <v>864.23070127899996</v>
      </c>
      <c r="N48" s="480">
        <v>802.45801341399999</v>
      </c>
      <c r="O48" s="480">
        <v>859.79733495100004</v>
      </c>
      <c r="P48" s="467">
        <v>625.13532775199997</v>
      </c>
    </row>
    <row r="49" spans="1:25" ht="15.75" customHeight="1" x14ac:dyDescent="0.25">
      <c r="A49" s="465" t="s">
        <v>411</v>
      </c>
      <c r="B49" s="467">
        <v>514.98304732400004</v>
      </c>
      <c r="C49" s="467">
        <v>680.36435077600004</v>
      </c>
      <c r="D49" s="467">
        <v>739.75701827199998</v>
      </c>
      <c r="E49" s="467">
        <v>856.33801518600001</v>
      </c>
      <c r="F49" s="467">
        <v>1217.2756083649999</v>
      </c>
      <c r="G49" s="467">
        <v>798.32163979699999</v>
      </c>
      <c r="H49" s="467">
        <v>986.42494261700006</v>
      </c>
      <c r="I49" s="467">
        <v>787.10991181400004</v>
      </c>
      <c r="J49" s="467" t="s">
        <v>102</v>
      </c>
      <c r="K49" s="467" t="s">
        <v>102</v>
      </c>
      <c r="L49" s="467" t="s">
        <v>102</v>
      </c>
      <c r="M49" s="480">
        <v>912.940817068</v>
      </c>
      <c r="N49" s="480">
        <v>787.10991181400004</v>
      </c>
      <c r="O49" s="480">
        <v>903.91005415999996</v>
      </c>
      <c r="P49" s="467">
        <v>762.76738347100002</v>
      </c>
    </row>
    <row r="50" spans="1:25" ht="15.75" customHeight="1" x14ac:dyDescent="0.25">
      <c r="A50" s="465" t="s">
        <v>412</v>
      </c>
      <c r="B50" s="467">
        <v>1564.4956877489999</v>
      </c>
      <c r="C50" s="467">
        <v>1463.229832923</v>
      </c>
      <c r="D50" s="467">
        <v>1584.402769112</v>
      </c>
      <c r="E50" s="467">
        <v>1663.751158</v>
      </c>
      <c r="F50" s="467">
        <v>2284.7365804860001</v>
      </c>
      <c r="G50" s="467">
        <v>1733.081015319</v>
      </c>
      <c r="H50" s="467">
        <v>1928.948502059</v>
      </c>
      <c r="I50" s="467">
        <v>1673.823253132</v>
      </c>
      <c r="J50" s="467" t="s">
        <v>102</v>
      </c>
      <c r="K50" s="467" t="s">
        <v>102</v>
      </c>
      <c r="L50" s="467" t="s">
        <v>102</v>
      </c>
      <c r="M50" s="480">
        <v>1802.96788597</v>
      </c>
      <c r="N50" s="480">
        <v>1673.823253132</v>
      </c>
      <c r="O50" s="480">
        <v>1793.699300023</v>
      </c>
      <c r="P50" s="467">
        <v>1329.451253362</v>
      </c>
    </row>
    <row r="51" spans="1:25" ht="15.75" customHeight="1" x14ac:dyDescent="0.25">
      <c r="A51" s="465" t="s">
        <v>464</v>
      </c>
      <c r="B51" s="467">
        <v>347.98711631999998</v>
      </c>
      <c r="C51" s="467">
        <v>435.452640997</v>
      </c>
      <c r="D51" s="467">
        <v>590.74850989399999</v>
      </c>
      <c r="E51" s="467">
        <v>586.316120888</v>
      </c>
      <c r="F51" s="467">
        <v>757.59958675899998</v>
      </c>
      <c r="G51" s="467">
        <v>739.207729911</v>
      </c>
      <c r="H51" s="467">
        <v>478.01077573700002</v>
      </c>
      <c r="I51" s="467">
        <v>603.37931864200004</v>
      </c>
      <c r="J51" s="467" t="s">
        <v>102</v>
      </c>
      <c r="K51" s="467" t="s">
        <v>102</v>
      </c>
      <c r="L51" s="467" t="s">
        <v>102</v>
      </c>
      <c r="M51" s="480">
        <v>622.12726261499995</v>
      </c>
      <c r="N51" s="480">
        <v>603.37931864200004</v>
      </c>
      <c r="O51" s="480">
        <v>620.78174072800005</v>
      </c>
      <c r="P51" s="467">
        <v>381.33041176900002</v>
      </c>
    </row>
    <row r="52" spans="1:25" ht="15.75" customHeight="1" x14ac:dyDescent="0.25">
      <c r="A52" s="465" t="s">
        <v>413</v>
      </c>
      <c r="B52" s="467">
        <v>315.58653693100001</v>
      </c>
      <c r="C52" s="467">
        <v>1482.6908302940001</v>
      </c>
      <c r="D52" s="467">
        <v>1105.397307639</v>
      </c>
      <c r="E52" s="467">
        <v>1349.962021284</v>
      </c>
      <c r="F52" s="467">
        <v>1305.2284945030001</v>
      </c>
      <c r="G52" s="467">
        <v>1217.4141944789999</v>
      </c>
      <c r="H52" s="467">
        <v>1484.930310686</v>
      </c>
      <c r="I52" s="467">
        <v>1176.6939987220001</v>
      </c>
      <c r="J52" s="467" t="s">
        <v>102</v>
      </c>
      <c r="K52" s="467" t="s">
        <v>102</v>
      </c>
      <c r="L52" s="467" t="s">
        <v>102</v>
      </c>
      <c r="M52" s="480">
        <v>1314.439210946</v>
      </c>
      <c r="N52" s="480">
        <v>1176.6939987220001</v>
      </c>
      <c r="O52" s="480">
        <v>1304.5533696990001</v>
      </c>
      <c r="P52" s="467">
        <v>922.65384219600003</v>
      </c>
    </row>
    <row r="53" spans="1:25" ht="15.75" customHeight="1" x14ac:dyDescent="0.25">
      <c r="A53" s="465" t="s">
        <v>414</v>
      </c>
      <c r="B53" s="467">
        <v>202.86289252500001</v>
      </c>
      <c r="C53" s="467">
        <v>210.415217539</v>
      </c>
      <c r="D53" s="467">
        <v>167.575412556</v>
      </c>
      <c r="E53" s="467">
        <v>179.365463358</v>
      </c>
      <c r="F53" s="467">
        <v>145.67628205099999</v>
      </c>
      <c r="G53" s="467">
        <v>175.00747428400001</v>
      </c>
      <c r="H53" s="467">
        <v>130.11136777499999</v>
      </c>
      <c r="I53" s="467">
        <v>85.160935448000004</v>
      </c>
      <c r="J53" s="467" t="s">
        <v>102</v>
      </c>
      <c r="K53" s="467" t="s">
        <v>102</v>
      </c>
      <c r="L53" s="467" t="s">
        <v>102</v>
      </c>
      <c r="M53" s="480">
        <v>166.60165411099999</v>
      </c>
      <c r="N53" s="480">
        <v>85.160935448000004</v>
      </c>
      <c r="O53" s="480">
        <v>160.75673215200001</v>
      </c>
      <c r="P53" s="467">
        <v>168.82118193599999</v>
      </c>
    </row>
    <row r="54" spans="1:25" ht="12.75" customHeight="1" x14ac:dyDescent="0.2">
      <c r="A54" s="235" t="s">
        <v>899</v>
      </c>
      <c r="B54" s="473"/>
      <c r="C54" s="473"/>
      <c r="D54" s="473"/>
      <c r="E54" s="473"/>
      <c r="F54" s="473"/>
      <c r="G54" s="473"/>
      <c r="H54" s="473"/>
      <c r="I54" s="473"/>
      <c r="J54" s="473"/>
      <c r="K54" s="473"/>
      <c r="L54" s="473"/>
      <c r="M54" s="569"/>
      <c r="N54" s="486"/>
      <c r="O54" s="714"/>
      <c r="P54" s="715"/>
      <c r="Q54" s="13"/>
      <c r="R54" s="13"/>
      <c r="S54" s="13"/>
      <c r="T54" s="13"/>
      <c r="U54" s="13"/>
      <c r="V54" s="215"/>
      <c r="W54" s="215"/>
      <c r="X54" s="215"/>
      <c r="Y54" s="39"/>
    </row>
    <row r="55" spans="1:25" ht="15" customHeight="1" x14ac:dyDescent="0.2">
      <c r="A55" s="255" t="s">
        <v>357</v>
      </c>
      <c r="B55" s="13"/>
      <c r="C55" s="13"/>
      <c r="D55" s="13"/>
      <c r="E55" s="13"/>
      <c r="F55" s="13"/>
      <c r="G55" s="13"/>
      <c r="H55" s="13"/>
      <c r="I55" s="13"/>
      <c r="J55" s="13"/>
      <c r="K55" s="13"/>
      <c r="L55" s="13"/>
      <c r="M55" s="215"/>
      <c r="N55" s="215"/>
      <c r="O55" s="215"/>
      <c r="P55" s="39"/>
    </row>
    <row r="56" spans="1:25" ht="15" customHeight="1" x14ac:dyDescent="0.2">
      <c r="A56" s="255" t="s">
        <v>900</v>
      </c>
      <c r="B56" s="13"/>
      <c r="C56" s="13"/>
      <c r="D56" s="13"/>
      <c r="E56" s="13"/>
      <c r="F56" s="13"/>
      <c r="G56" s="13"/>
      <c r="H56" s="13"/>
      <c r="I56" s="13"/>
      <c r="J56" s="13"/>
      <c r="K56" s="13"/>
      <c r="L56" s="13"/>
      <c r="M56" s="215"/>
      <c r="N56" s="215"/>
      <c r="O56" s="215"/>
      <c r="P56" s="39"/>
    </row>
    <row r="57" spans="1:25" ht="15" customHeight="1" x14ac:dyDescent="0.2">
      <c r="A57" s="37" t="s">
        <v>455</v>
      </c>
      <c r="B57" s="13"/>
      <c r="C57" s="13"/>
      <c r="D57" s="13"/>
      <c r="E57" s="13"/>
      <c r="F57" s="13"/>
      <c r="G57" s="13"/>
      <c r="H57" s="13"/>
      <c r="I57" s="13"/>
      <c r="J57" s="13"/>
      <c r="K57" s="13"/>
      <c r="L57" s="13"/>
      <c r="M57" s="215"/>
      <c r="N57" s="215"/>
      <c r="O57" s="215"/>
      <c r="P57" s="39"/>
    </row>
    <row r="58" spans="1:25" ht="15" customHeight="1" x14ac:dyDescent="0.2">
      <c r="A58" s="168" t="s">
        <v>615</v>
      </c>
      <c r="B58" s="13"/>
      <c r="C58" s="13"/>
      <c r="D58" s="13"/>
      <c r="E58" s="13"/>
      <c r="F58" s="13"/>
      <c r="G58" s="13"/>
      <c r="H58" s="13"/>
      <c r="I58" s="13"/>
      <c r="J58" s="13"/>
      <c r="K58" s="13"/>
      <c r="L58" s="13"/>
      <c r="M58" s="215"/>
      <c r="N58" s="215"/>
      <c r="O58" s="215"/>
      <c r="P58" s="39"/>
    </row>
    <row r="59" spans="1:25" ht="15" customHeight="1" x14ac:dyDescent="0.2">
      <c r="A59" s="255" t="s">
        <v>975</v>
      </c>
      <c r="B59" s="13"/>
      <c r="C59" s="13"/>
      <c r="D59" s="13"/>
      <c r="E59" s="13"/>
      <c r="F59" s="13"/>
      <c r="G59" s="13"/>
      <c r="H59" s="13"/>
      <c r="I59" s="13"/>
      <c r="J59" s="13"/>
      <c r="K59" s="13"/>
      <c r="L59" s="13"/>
      <c r="M59" s="215"/>
      <c r="N59" s="215"/>
      <c r="O59" s="215"/>
      <c r="P59" s="39"/>
    </row>
    <row r="60" spans="1:25" x14ac:dyDescent="0.2">
      <c r="A60" s="286" t="s">
        <v>202</v>
      </c>
      <c r="B60" s="3"/>
      <c r="C60" s="3"/>
      <c r="D60" s="3"/>
      <c r="G60" s="185"/>
      <c r="J60" s="185"/>
    </row>
    <row r="61" spans="1:25" ht="15" customHeight="1" x14ac:dyDescent="0.2">
      <c r="B61" s="3"/>
      <c r="C61" s="3"/>
      <c r="D61" s="3"/>
      <c r="G61" s="185"/>
      <c r="J61" s="185"/>
      <c r="M61" s="215"/>
      <c r="N61" s="215"/>
      <c r="O61" s="215"/>
    </row>
    <row r="62" spans="1:25" ht="21" customHeight="1" x14ac:dyDescent="0.2">
      <c r="A62" s="46" t="s">
        <v>1002</v>
      </c>
    </row>
    <row r="63" spans="1:25" ht="15" customHeight="1" thickBot="1" x14ac:dyDescent="0.25">
      <c r="P63" s="285" t="s">
        <v>23</v>
      </c>
    </row>
    <row r="64" spans="1:25" ht="15.95" customHeight="1" x14ac:dyDescent="0.2">
      <c r="A64" s="41"/>
      <c r="B64" s="42" t="s">
        <v>35</v>
      </c>
      <c r="C64" s="42" t="s">
        <v>121</v>
      </c>
      <c r="D64" s="42" t="s">
        <v>123</v>
      </c>
      <c r="E64" s="42" t="s">
        <v>36</v>
      </c>
      <c r="F64" s="42" t="s">
        <v>37</v>
      </c>
      <c r="G64" s="42" t="s">
        <v>38</v>
      </c>
      <c r="H64" s="42" t="s">
        <v>39</v>
      </c>
      <c r="I64" s="42" t="s">
        <v>125</v>
      </c>
      <c r="J64" s="42" t="s">
        <v>126</v>
      </c>
      <c r="K64" s="42" t="s">
        <v>127</v>
      </c>
      <c r="L64" s="252">
        <v>100000</v>
      </c>
      <c r="M64" s="250" t="s">
        <v>231</v>
      </c>
      <c r="N64" s="250" t="s">
        <v>231</v>
      </c>
      <c r="O64" s="257" t="s">
        <v>77</v>
      </c>
      <c r="P64" s="281" t="s">
        <v>220</v>
      </c>
    </row>
    <row r="65" spans="1:18" ht="15.95" customHeight="1" x14ac:dyDescent="0.2">
      <c r="A65" s="566" t="s">
        <v>81</v>
      </c>
      <c r="B65" s="43" t="s">
        <v>120</v>
      </c>
      <c r="C65" s="43" t="s">
        <v>40</v>
      </c>
      <c r="D65" s="43" t="s">
        <v>40</v>
      </c>
      <c r="E65" s="43" t="s">
        <v>40</v>
      </c>
      <c r="F65" s="43" t="s">
        <v>40</v>
      </c>
      <c r="G65" s="43" t="s">
        <v>40</v>
      </c>
      <c r="H65" s="43" t="s">
        <v>40</v>
      </c>
      <c r="I65" s="43" t="s">
        <v>40</v>
      </c>
      <c r="J65" s="43" t="s">
        <v>40</v>
      </c>
      <c r="K65" s="43" t="s">
        <v>40</v>
      </c>
      <c r="L65" s="43" t="s">
        <v>43</v>
      </c>
      <c r="M65" s="239" t="s">
        <v>230</v>
      </c>
      <c r="N65" s="239" t="s">
        <v>138</v>
      </c>
      <c r="O65" s="256" t="s">
        <v>137</v>
      </c>
      <c r="P65" s="282" t="s">
        <v>284</v>
      </c>
    </row>
    <row r="66" spans="1:18" ht="15.95" customHeight="1" thickBot="1" x14ac:dyDescent="0.25">
      <c r="A66" s="423" t="s">
        <v>99</v>
      </c>
      <c r="B66" s="44" t="s">
        <v>43</v>
      </c>
      <c r="C66" s="44" t="s">
        <v>122</v>
      </c>
      <c r="D66" s="44" t="s">
        <v>124</v>
      </c>
      <c r="E66" s="44" t="s">
        <v>44</v>
      </c>
      <c r="F66" s="44" t="s">
        <v>45</v>
      </c>
      <c r="G66" s="44" t="s">
        <v>46</v>
      </c>
      <c r="H66" s="44" t="s">
        <v>42</v>
      </c>
      <c r="I66" s="44" t="s">
        <v>128</v>
      </c>
      <c r="J66" s="44" t="s">
        <v>129</v>
      </c>
      <c r="K66" s="44" t="s">
        <v>130</v>
      </c>
      <c r="L66" s="44" t="s">
        <v>131</v>
      </c>
      <c r="M66" s="251" t="s">
        <v>138</v>
      </c>
      <c r="N66" s="251" t="s">
        <v>131</v>
      </c>
      <c r="O66" s="258" t="s">
        <v>41</v>
      </c>
      <c r="P66" s="283" t="s">
        <v>239</v>
      </c>
    </row>
    <row r="67" spans="1:18" ht="15" customHeight="1" x14ac:dyDescent="0.25">
      <c r="A67" s="544" t="s">
        <v>200</v>
      </c>
      <c r="B67" s="192"/>
      <c r="C67" s="192"/>
      <c r="D67" s="192"/>
      <c r="E67" s="192"/>
      <c r="F67" s="192"/>
      <c r="G67" s="192"/>
      <c r="H67" s="192"/>
      <c r="I67" s="192"/>
      <c r="J67" s="192"/>
      <c r="K67" s="192"/>
      <c r="L67" s="192"/>
      <c r="M67" s="192"/>
      <c r="N67" s="192"/>
      <c r="O67" s="192"/>
    </row>
    <row r="68" spans="1:18" ht="15.75" customHeight="1" x14ac:dyDescent="0.25">
      <c r="A68" s="487" t="s">
        <v>286</v>
      </c>
      <c r="B68" s="719">
        <f>B8/B$8</f>
        <v>1</v>
      </c>
      <c r="C68" s="719">
        <f t="shared" ref="C68:I68" si="0">C8/C$8</f>
        <v>1</v>
      </c>
      <c r="D68" s="719">
        <f t="shared" si="0"/>
        <v>1</v>
      </c>
      <c r="E68" s="719">
        <f t="shared" si="0"/>
        <v>1</v>
      </c>
      <c r="F68" s="719">
        <f t="shared" si="0"/>
        <v>1</v>
      </c>
      <c r="G68" s="719">
        <f t="shared" si="0"/>
        <v>1</v>
      </c>
      <c r="H68" s="719">
        <f t="shared" si="0"/>
        <v>1</v>
      </c>
      <c r="I68" s="719">
        <f t="shared" si="0"/>
        <v>1</v>
      </c>
      <c r="J68" s="719" t="s">
        <v>102</v>
      </c>
      <c r="K68" s="719" t="s">
        <v>102</v>
      </c>
      <c r="L68" s="719" t="s">
        <v>102</v>
      </c>
      <c r="M68" s="720">
        <f t="shared" ref="M68:O68" si="1">M8/M$8</f>
        <v>1</v>
      </c>
      <c r="N68" s="720">
        <f t="shared" si="1"/>
        <v>1</v>
      </c>
      <c r="O68" s="720">
        <f t="shared" si="1"/>
        <v>1</v>
      </c>
      <c r="P68" s="719">
        <f>P8/P$8</f>
        <v>1</v>
      </c>
    </row>
    <row r="69" spans="1:18" ht="15.75" customHeight="1" x14ac:dyDescent="0.2">
      <c r="A69" s="490" t="s">
        <v>161</v>
      </c>
      <c r="B69" s="721">
        <f t="shared" ref="B69:I73" si="2">B9/B$8</f>
        <v>0.40787327826951586</v>
      </c>
      <c r="C69" s="721">
        <f t="shared" si="2"/>
        <v>0.41237829611153803</v>
      </c>
      <c r="D69" s="721">
        <f t="shared" si="2"/>
        <v>0.4026087381471164</v>
      </c>
      <c r="E69" s="721">
        <f t="shared" si="2"/>
        <v>0.350205151930571</v>
      </c>
      <c r="F69" s="721">
        <f t="shared" si="2"/>
        <v>0.34763002501131973</v>
      </c>
      <c r="G69" s="721">
        <f t="shared" si="2"/>
        <v>0.37469580708901445</v>
      </c>
      <c r="H69" s="721">
        <f t="shared" si="2"/>
        <v>0.29890697591200566</v>
      </c>
      <c r="I69" s="721">
        <f t="shared" si="2"/>
        <v>0.31614195757718794</v>
      </c>
      <c r="J69" s="721" t="s">
        <v>102</v>
      </c>
      <c r="K69" s="721" t="s">
        <v>102</v>
      </c>
      <c r="L69" s="721" t="s">
        <v>102</v>
      </c>
      <c r="M69" s="722">
        <f t="shared" ref="M69:P69" si="3">M9/M$8</f>
        <v>0.35202424687237133</v>
      </c>
      <c r="N69" s="722">
        <f t="shared" si="3"/>
        <v>0.31614195757718794</v>
      </c>
      <c r="O69" s="722">
        <f t="shared" si="3"/>
        <v>0.34951636509459649</v>
      </c>
      <c r="P69" s="721">
        <f t="shared" si="3"/>
        <v>0.26380622524125025</v>
      </c>
    </row>
    <row r="70" spans="1:18" ht="15.75" customHeight="1" x14ac:dyDescent="0.2">
      <c r="A70" s="492" t="s">
        <v>162</v>
      </c>
      <c r="B70" s="723">
        <f t="shared" si="2"/>
        <v>0.16589355132953273</v>
      </c>
      <c r="C70" s="723">
        <f t="shared" si="2"/>
        <v>0.3474489546423713</v>
      </c>
      <c r="D70" s="723">
        <f t="shared" si="2"/>
        <v>0.30030689848984998</v>
      </c>
      <c r="E70" s="723">
        <f t="shared" si="2"/>
        <v>0.34134138846161216</v>
      </c>
      <c r="F70" s="723">
        <f t="shared" si="2"/>
        <v>0.35756315172986192</v>
      </c>
      <c r="G70" s="723">
        <f t="shared" si="2"/>
        <v>0.35952083714788374</v>
      </c>
      <c r="H70" s="723">
        <f t="shared" si="2"/>
        <v>0.45979015193339473</v>
      </c>
      <c r="I70" s="723">
        <f t="shared" si="2"/>
        <v>0.51614139645150792</v>
      </c>
      <c r="J70" s="723" t="s">
        <v>102</v>
      </c>
      <c r="K70" s="723" t="s">
        <v>102</v>
      </c>
      <c r="L70" s="723" t="s">
        <v>102</v>
      </c>
      <c r="M70" s="724">
        <f t="shared" ref="M70:P70" si="4">M10/M$8</f>
        <v>0.35730142658264669</v>
      </c>
      <c r="N70" s="724">
        <f t="shared" si="4"/>
        <v>0.51614139645150792</v>
      </c>
      <c r="O70" s="724">
        <f t="shared" si="4"/>
        <v>0.36840305565186127</v>
      </c>
      <c r="P70" s="723">
        <f t="shared" si="4"/>
        <v>0.5355583785600867</v>
      </c>
    </row>
    <row r="71" spans="1:18" ht="15.75" customHeight="1" x14ac:dyDescent="0.2">
      <c r="A71" s="490" t="s">
        <v>163</v>
      </c>
      <c r="B71" s="721">
        <f t="shared" si="2"/>
        <v>8.2078114679704373E-3</v>
      </c>
      <c r="C71" s="721">
        <f t="shared" si="2"/>
        <v>4.5028417805952591E-2</v>
      </c>
      <c r="D71" s="721">
        <f t="shared" si="2"/>
        <v>2.3888050505913576E-2</v>
      </c>
      <c r="E71" s="721">
        <f t="shared" si="2"/>
        <v>3.0599420284872888E-2</v>
      </c>
      <c r="F71" s="721">
        <f t="shared" si="2"/>
        <v>1.7678687214421642E-2</v>
      </c>
      <c r="G71" s="721">
        <f t="shared" si="2"/>
        <v>2.091583284534005E-2</v>
      </c>
      <c r="H71" s="721">
        <f t="shared" si="2"/>
        <v>2.9809388368137235E-2</v>
      </c>
      <c r="I71" s="721">
        <f t="shared" si="2"/>
        <v>1.9610900721596585E-2</v>
      </c>
      <c r="J71" s="721" t="s">
        <v>102</v>
      </c>
      <c r="K71" s="721" t="s">
        <v>102</v>
      </c>
      <c r="L71" s="721" t="s">
        <v>102</v>
      </c>
      <c r="M71" s="722">
        <f t="shared" ref="M71:P71" si="5">M11/M$8</f>
        <v>2.5906840636055823E-2</v>
      </c>
      <c r="N71" s="722">
        <f t="shared" si="5"/>
        <v>1.9610900721596585E-2</v>
      </c>
      <c r="O71" s="722">
        <f t="shared" si="5"/>
        <v>2.5466805362444868E-2</v>
      </c>
      <c r="P71" s="721">
        <f t="shared" si="5"/>
        <v>2.0882900684887656E-2</v>
      </c>
    </row>
    <row r="72" spans="1:18" ht="15.75" customHeight="1" x14ac:dyDescent="0.2">
      <c r="A72" s="492" t="s">
        <v>164</v>
      </c>
      <c r="B72" s="723">
        <f t="shared" si="2"/>
        <v>0.3183715486746842</v>
      </c>
      <c r="C72" s="723">
        <f t="shared" si="2"/>
        <v>0.1254941991980715</v>
      </c>
      <c r="D72" s="723">
        <f t="shared" si="2"/>
        <v>0.20075435650422666</v>
      </c>
      <c r="E72" s="723">
        <f t="shared" si="2"/>
        <v>0.22119216050836962</v>
      </c>
      <c r="F72" s="723">
        <f t="shared" si="2"/>
        <v>0.23526378819946461</v>
      </c>
      <c r="G72" s="723">
        <f t="shared" si="2"/>
        <v>0.18954262318343143</v>
      </c>
      <c r="H72" s="723">
        <f t="shared" si="2"/>
        <v>0.12439518765398928</v>
      </c>
      <c r="I72" s="723">
        <f t="shared" si="2"/>
        <v>9.0398756083787196E-2</v>
      </c>
      <c r="J72" s="723" t="s">
        <v>102</v>
      </c>
      <c r="K72" s="723" t="s">
        <v>102</v>
      </c>
      <c r="L72" s="723" t="s">
        <v>102</v>
      </c>
      <c r="M72" s="724">
        <f t="shared" ref="M72:P72" si="6">M12/M$8</f>
        <v>0.20643572700374421</v>
      </c>
      <c r="N72" s="724">
        <f t="shared" si="6"/>
        <v>9.0398756083787196E-2</v>
      </c>
      <c r="O72" s="724">
        <f t="shared" si="6"/>
        <v>0.19832568133537373</v>
      </c>
      <c r="P72" s="723">
        <f t="shared" si="6"/>
        <v>0.13986696626146974</v>
      </c>
      <c r="R72" s="68"/>
    </row>
    <row r="73" spans="1:18" ht="15.75" customHeight="1" x14ac:dyDescent="0.2">
      <c r="A73" s="495" t="s">
        <v>165</v>
      </c>
      <c r="B73" s="725">
        <f t="shared" si="2"/>
        <v>9.9653810259159328E-2</v>
      </c>
      <c r="C73" s="725">
        <f t="shared" si="2"/>
        <v>6.9650132242066662E-2</v>
      </c>
      <c r="D73" s="725">
        <f t="shared" si="2"/>
        <v>7.2441956353713186E-2</v>
      </c>
      <c r="E73" s="725">
        <f t="shared" si="2"/>
        <v>5.6661878814574358E-2</v>
      </c>
      <c r="F73" s="725">
        <f t="shared" si="2"/>
        <v>4.1864347845491673E-2</v>
      </c>
      <c r="G73" s="725">
        <f t="shared" si="2"/>
        <v>5.5324899734330274E-2</v>
      </c>
      <c r="H73" s="725">
        <f t="shared" si="2"/>
        <v>8.709829613247308E-2</v>
      </c>
      <c r="I73" s="725">
        <f t="shared" si="2"/>
        <v>5.7706989165920305E-2</v>
      </c>
      <c r="J73" s="725" t="s">
        <v>102</v>
      </c>
      <c r="K73" s="725" t="s">
        <v>102</v>
      </c>
      <c r="L73" s="725" t="s">
        <v>102</v>
      </c>
      <c r="M73" s="726">
        <f t="shared" ref="M73:P73" si="7">M13/M$8</f>
        <v>5.8331758905899325E-2</v>
      </c>
      <c r="N73" s="726">
        <f t="shared" si="7"/>
        <v>5.7706989165920305E-2</v>
      </c>
      <c r="O73" s="726">
        <f t="shared" si="7"/>
        <v>5.8288092555004903E-2</v>
      </c>
      <c r="P73" s="725">
        <f t="shared" si="7"/>
        <v>3.9885529251422552E-2</v>
      </c>
    </row>
    <row r="74" spans="1:18" ht="15.75" customHeight="1" x14ac:dyDescent="0.25">
      <c r="A74" s="498" t="s">
        <v>290</v>
      </c>
      <c r="B74" s="727">
        <f>B14/B$14</f>
        <v>1</v>
      </c>
      <c r="C74" s="727">
        <f t="shared" ref="C74:I74" si="8">C14/C$14</f>
        <v>1</v>
      </c>
      <c r="D74" s="727">
        <f t="shared" si="8"/>
        <v>1</v>
      </c>
      <c r="E74" s="727">
        <f t="shared" si="8"/>
        <v>1</v>
      </c>
      <c r="F74" s="727">
        <f t="shared" si="8"/>
        <v>1</v>
      </c>
      <c r="G74" s="727">
        <f t="shared" si="8"/>
        <v>1</v>
      </c>
      <c r="H74" s="727">
        <f t="shared" si="8"/>
        <v>1</v>
      </c>
      <c r="I74" s="727">
        <f t="shared" si="8"/>
        <v>1</v>
      </c>
      <c r="J74" s="727" t="s">
        <v>102</v>
      </c>
      <c r="K74" s="727" t="s">
        <v>102</v>
      </c>
      <c r="L74" s="727" t="s">
        <v>102</v>
      </c>
      <c r="M74" s="728">
        <f t="shared" ref="M74:O74" si="9">M14/M$14</f>
        <v>1</v>
      </c>
      <c r="N74" s="728">
        <f t="shared" si="9"/>
        <v>1</v>
      </c>
      <c r="O74" s="728">
        <f t="shared" si="9"/>
        <v>1</v>
      </c>
      <c r="P74" s="727">
        <f>P14/P$14</f>
        <v>1</v>
      </c>
    </row>
    <row r="75" spans="1:18" ht="15.75" customHeight="1" x14ac:dyDescent="0.2">
      <c r="A75" s="490" t="s">
        <v>79</v>
      </c>
      <c r="B75" s="721">
        <f t="shared" ref="B75:I85" si="10">B15/B$14</f>
        <v>0.46010993760149477</v>
      </c>
      <c r="C75" s="721">
        <f t="shared" si="10"/>
        <v>0.53565985533199945</v>
      </c>
      <c r="D75" s="721">
        <f t="shared" si="10"/>
        <v>0.55362163359864369</v>
      </c>
      <c r="E75" s="721">
        <f t="shared" si="10"/>
        <v>0.62529713930212627</v>
      </c>
      <c r="F75" s="721">
        <f t="shared" si="10"/>
        <v>0.6553561060472437</v>
      </c>
      <c r="G75" s="721">
        <f t="shared" si="10"/>
        <v>0.6082917241476764</v>
      </c>
      <c r="H75" s="721">
        <f t="shared" si="10"/>
        <v>0.68414815536565066</v>
      </c>
      <c r="I75" s="721">
        <f t="shared" si="10"/>
        <v>0.63453493700403341</v>
      </c>
      <c r="J75" s="721" t="s">
        <v>102</v>
      </c>
      <c r="K75" s="721" t="s">
        <v>102</v>
      </c>
      <c r="L75" s="721" t="s">
        <v>102</v>
      </c>
      <c r="M75" s="722">
        <f t="shared" ref="M75:P75" si="11">M15/M$14</f>
        <v>0.62921502855202627</v>
      </c>
      <c r="N75" s="722">
        <f t="shared" si="11"/>
        <v>0.63453493700403341</v>
      </c>
      <c r="O75" s="722">
        <f t="shared" si="11"/>
        <v>0.62957131658607424</v>
      </c>
      <c r="P75" s="721">
        <f t="shared" si="11"/>
        <v>0.66412250656217753</v>
      </c>
    </row>
    <row r="76" spans="1:18" ht="15.75" customHeight="1" x14ac:dyDescent="0.2">
      <c r="A76" s="492" t="s">
        <v>167</v>
      </c>
      <c r="B76" s="723">
        <f t="shared" si="10"/>
        <v>0.32916872277542603</v>
      </c>
      <c r="C76" s="723">
        <f t="shared" si="10"/>
        <v>0.46497435704743661</v>
      </c>
      <c r="D76" s="723">
        <f t="shared" si="10"/>
        <v>0.46689959945387299</v>
      </c>
      <c r="E76" s="723">
        <f t="shared" si="10"/>
        <v>0.51470318206444188</v>
      </c>
      <c r="F76" s="723">
        <f t="shared" si="10"/>
        <v>0.53278597574958331</v>
      </c>
      <c r="G76" s="723">
        <f t="shared" si="10"/>
        <v>0.46063723088562986</v>
      </c>
      <c r="H76" s="723">
        <f t="shared" si="10"/>
        <v>0.51137961514476382</v>
      </c>
      <c r="I76" s="723">
        <f t="shared" si="10"/>
        <v>0.47024673025732394</v>
      </c>
      <c r="J76" s="723" t="s">
        <v>102</v>
      </c>
      <c r="K76" s="723" t="s">
        <v>102</v>
      </c>
      <c r="L76" s="723" t="s">
        <v>102</v>
      </c>
      <c r="M76" s="724">
        <f t="shared" ref="M76:P76" si="12">M16/M$14</f>
        <v>0.50635445266227586</v>
      </c>
      <c r="N76" s="724">
        <f t="shared" si="12"/>
        <v>0.47024673025732394</v>
      </c>
      <c r="O76" s="724">
        <f t="shared" si="12"/>
        <v>0.50393622506760716</v>
      </c>
      <c r="P76" s="723">
        <f t="shared" si="12"/>
        <v>0.573746033592481</v>
      </c>
    </row>
    <row r="77" spans="1:18" ht="15.75" customHeight="1" x14ac:dyDescent="0.2">
      <c r="A77" s="490" t="s">
        <v>322</v>
      </c>
      <c r="B77" s="721">
        <f t="shared" si="10"/>
        <v>8.483972810239844E-2</v>
      </c>
      <c r="C77" s="721">
        <f t="shared" si="10"/>
        <v>3.2700627441019342E-2</v>
      </c>
      <c r="D77" s="721">
        <f t="shared" si="10"/>
        <v>7.2833070018348781E-2</v>
      </c>
      <c r="E77" s="721">
        <f t="shared" si="10"/>
        <v>4.8685921043247746E-2</v>
      </c>
      <c r="F77" s="721">
        <f t="shared" si="10"/>
        <v>4.5945521087455282E-2</v>
      </c>
      <c r="G77" s="721">
        <f t="shared" si="10"/>
        <v>2.5381814590417863E-2</v>
      </c>
      <c r="H77" s="721">
        <f t="shared" si="10"/>
        <v>7.270688644631857E-4</v>
      </c>
      <c r="I77" s="721">
        <f t="shared" si="10"/>
        <v>1.201998698868199E-2</v>
      </c>
      <c r="J77" s="721" t="s">
        <v>102</v>
      </c>
      <c r="K77" s="721" t="s">
        <v>102</v>
      </c>
      <c r="L77" s="721" t="s">
        <v>102</v>
      </c>
      <c r="M77" s="722">
        <f t="shared" ref="M77:P77" si="13">M17/M$14</f>
        <v>4.1393886216030927E-2</v>
      </c>
      <c r="N77" s="722">
        <f t="shared" si="13"/>
        <v>1.201998698868199E-2</v>
      </c>
      <c r="O77" s="722">
        <f t="shared" si="13"/>
        <v>3.942664018271802E-2</v>
      </c>
      <c r="P77" s="721">
        <f t="shared" si="13"/>
        <v>0.11546278665939358</v>
      </c>
    </row>
    <row r="78" spans="1:18" ht="15.75" customHeight="1" x14ac:dyDescent="0.2">
      <c r="A78" s="492" t="s">
        <v>168</v>
      </c>
      <c r="B78" s="723">
        <f t="shared" si="10"/>
        <v>0.13094121482606877</v>
      </c>
      <c r="C78" s="723">
        <f t="shared" si="10"/>
        <v>7.0685498284562914E-2</v>
      </c>
      <c r="D78" s="723">
        <f t="shared" si="10"/>
        <v>8.6722034144770629E-2</v>
      </c>
      <c r="E78" s="723">
        <f t="shared" si="10"/>
        <v>0.11059395723828551</v>
      </c>
      <c r="F78" s="723">
        <f t="shared" si="10"/>
        <v>0.12257013029766035</v>
      </c>
      <c r="G78" s="723">
        <f t="shared" si="10"/>
        <v>0.14765449326204649</v>
      </c>
      <c r="H78" s="723">
        <f t="shared" si="10"/>
        <v>0.17276854022088695</v>
      </c>
      <c r="I78" s="723">
        <f t="shared" si="10"/>
        <v>0.16428820674670955</v>
      </c>
      <c r="J78" s="723" t="s">
        <v>102</v>
      </c>
      <c r="K78" s="723" t="s">
        <v>102</v>
      </c>
      <c r="L78" s="723" t="s">
        <v>102</v>
      </c>
      <c r="M78" s="724">
        <f t="shared" ref="M78:P78" si="14">M18/M$14</f>
        <v>0.12286057588919574</v>
      </c>
      <c r="N78" s="724">
        <f t="shared" si="14"/>
        <v>0.16428820674670955</v>
      </c>
      <c r="O78" s="724">
        <f t="shared" si="14"/>
        <v>0.12563509151846711</v>
      </c>
      <c r="P78" s="723">
        <f t="shared" si="14"/>
        <v>9.0376472970448749E-2</v>
      </c>
    </row>
    <row r="79" spans="1:18" ht="15.75" customHeight="1" x14ac:dyDescent="0.2">
      <c r="A79" s="490" t="s">
        <v>169</v>
      </c>
      <c r="B79" s="721">
        <f t="shared" si="10"/>
        <v>0.23652085661636335</v>
      </c>
      <c r="C79" s="721">
        <f t="shared" si="10"/>
        <v>0.22254878132404524</v>
      </c>
      <c r="D79" s="721">
        <f t="shared" si="10"/>
        <v>0.18543786857849839</v>
      </c>
      <c r="E79" s="721">
        <f t="shared" si="10"/>
        <v>0.14718129491273357</v>
      </c>
      <c r="F79" s="721">
        <f t="shared" si="10"/>
        <v>0.10765909390949467</v>
      </c>
      <c r="G79" s="721">
        <f t="shared" si="10"/>
        <v>0.1599730521137632</v>
      </c>
      <c r="H79" s="721">
        <f t="shared" si="10"/>
        <v>0.11372177402343653</v>
      </c>
      <c r="I79" s="721">
        <f t="shared" si="10"/>
        <v>0.10336371616433507</v>
      </c>
      <c r="J79" s="721" t="s">
        <v>102</v>
      </c>
      <c r="K79" s="721" t="s">
        <v>102</v>
      </c>
      <c r="L79" s="721" t="s">
        <v>102</v>
      </c>
      <c r="M79" s="722">
        <f t="shared" ref="M79:P79" si="15">M19/M$14</f>
        <v>0.14031071822163854</v>
      </c>
      <c r="N79" s="722">
        <f t="shared" si="15"/>
        <v>0.10336371616433507</v>
      </c>
      <c r="O79" s="722">
        <f t="shared" si="15"/>
        <v>0.13783628189676483</v>
      </c>
      <c r="P79" s="721">
        <f t="shared" si="15"/>
        <v>0.1660663506207429</v>
      </c>
    </row>
    <row r="80" spans="1:18" ht="15.75" customHeight="1" x14ac:dyDescent="0.2">
      <c r="A80" s="492" t="s">
        <v>170</v>
      </c>
      <c r="B80" s="723">
        <f t="shared" si="10"/>
        <v>0.12966663578145085</v>
      </c>
      <c r="C80" s="723">
        <f t="shared" si="10"/>
        <v>0.14380189140804153</v>
      </c>
      <c r="D80" s="723">
        <f t="shared" si="10"/>
        <v>0.10576566503346868</v>
      </c>
      <c r="E80" s="723">
        <f t="shared" si="10"/>
        <v>0.10780786687692871</v>
      </c>
      <c r="F80" s="723">
        <f t="shared" si="10"/>
        <v>6.3760646761305106E-2</v>
      </c>
      <c r="G80" s="723">
        <f t="shared" si="10"/>
        <v>0.10098055009378036</v>
      </c>
      <c r="H80" s="723">
        <f t="shared" si="10"/>
        <v>6.7451965480735426E-2</v>
      </c>
      <c r="I80" s="723">
        <f t="shared" si="10"/>
        <v>5.087809318495834E-2</v>
      </c>
      <c r="J80" s="723" t="s">
        <v>102</v>
      </c>
      <c r="K80" s="723" t="s">
        <v>102</v>
      </c>
      <c r="L80" s="723" t="s">
        <v>102</v>
      </c>
      <c r="M80" s="724">
        <f t="shared" ref="M80:P80" si="16">M20/M$14</f>
        <v>9.2404116239357195E-2</v>
      </c>
      <c r="N80" s="724">
        <f t="shared" si="16"/>
        <v>5.087809318495834E-2</v>
      </c>
      <c r="O80" s="724">
        <f t="shared" si="16"/>
        <v>8.9623011030856001E-2</v>
      </c>
      <c r="P80" s="723">
        <f t="shared" si="16"/>
        <v>0.12698561267972358</v>
      </c>
    </row>
    <row r="81" spans="1:16" ht="15.75" customHeight="1" x14ac:dyDescent="0.2">
      <c r="A81" s="490" t="s">
        <v>171</v>
      </c>
      <c r="B81" s="721">
        <f t="shared" si="10"/>
        <v>1.8828177989664022E-2</v>
      </c>
      <c r="C81" s="721">
        <f t="shared" si="10"/>
        <v>1.0776195715269951E-2</v>
      </c>
      <c r="D81" s="721">
        <f t="shared" si="10"/>
        <v>5.973678202610455E-3</v>
      </c>
      <c r="E81" s="721">
        <f t="shared" si="10"/>
        <v>2.5581513765053077E-3</v>
      </c>
      <c r="F81" s="721">
        <f t="shared" si="10"/>
        <v>2.2925530845598922E-3</v>
      </c>
      <c r="G81" s="721">
        <f t="shared" si="10"/>
        <v>2.0258341214093555E-3</v>
      </c>
      <c r="H81" s="721">
        <f t="shared" si="10"/>
        <v>2.0762120236621556E-3</v>
      </c>
      <c r="I81" s="721">
        <f t="shared" si="10"/>
        <v>1.5643531144046696E-3</v>
      </c>
      <c r="J81" s="721" t="s">
        <v>102</v>
      </c>
      <c r="K81" s="721" t="s">
        <v>102</v>
      </c>
      <c r="L81" s="721" t="s">
        <v>102</v>
      </c>
      <c r="M81" s="722">
        <f t="shared" ref="M81:P81" si="17">M21/M$14</f>
        <v>2.8237360879342431E-3</v>
      </c>
      <c r="N81" s="722">
        <f t="shared" si="17"/>
        <v>1.5643531144046696E-3</v>
      </c>
      <c r="O81" s="722">
        <f t="shared" si="17"/>
        <v>2.7393919515589899E-3</v>
      </c>
      <c r="P81" s="721">
        <f t="shared" si="17"/>
        <v>4.5020344317733803E-3</v>
      </c>
    </row>
    <row r="82" spans="1:16" ht="15.75" customHeight="1" x14ac:dyDescent="0.2">
      <c r="A82" s="693" t="s">
        <v>607</v>
      </c>
      <c r="B82" s="723">
        <f t="shared" si="10"/>
        <v>8.8026042845248509E-2</v>
      </c>
      <c r="C82" s="723">
        <f t="shared" si="10"/>
        <v>6.7970694200733775E-2</v>
      </c>
      <c r="D82" s="723">
        <f t="shared" si="10"/>
        <v>7.3698525343050422E-2</v>
      </c>
      <c r="E82" s="723">
        <f t="shared" si="10"/>
        <v>3.6815276658698499E-2</v>
      </c>
      <c r="F82" s="723">
        <f t="shared" si="10"/>
        <v>4.1605894063629661E-2</v>
      </c>
      <c r="G82" s="723">
        <f t="shared" si="10"/>
        <v>5.6966667898573478E-2</v>
      </c>
      <c r="H82" s="723">
        <f t="shared" si="10"/>
        <v>4.4193596519038938E-2</v>
      </c>
      <c r="I82" s="723">
        <f t="shared" si="10"/>
        <v>5.092126986497205E-2</v>
      </c>
      <c r="J82" s="723" t="s">
        <v>102</v>
      </c>
      <c r="K82" s="723" t="s">
        <v>102</v>
      </c>
      <c r="L82" s="723" t="s">
        <v>102</v>
      </c>
      <c r="M82" s="724">
        <f t="shared" ref="M82:P82" si="18">M22/M$14</f>
        <v>4.5082865894347096E-2</v>
      </c>
      <c r="N82" s="724">
        <f t="shared" si="18"/>
        <v>5.092126986497205E-2</v>
      </c>
      <c r="O82" s="724">
        <f t="shared" si="18"/>
        <v>4.5473878914349855E-2</v>
      </c>
      <c r="P82" s="723">
        <f t="shared" si="18"/>
        <v>3.4578703508493749E-2</v>
      </c>
    </row>
    <row r="83" spans="1:16" ht="15.75" customHeight="1" x14ac:dyDescent="0.2">
      <c r="A83" s="490" t="s">
        <v>172</v>
      </c>
      <c r="B83" s="721">
        <f t="shared" si="10"/>
        <v>6.1593411803292832E-3</v>
      </c>
      <c r="C83" s="721">
        <f t="shared" si="10"/>
        <v>1.2138170310210344E-2</v>
      </c>
      <c r="D83" s="721">
        <f t="shared" si="10"/>
        <v>1.8579477134780937E-2</v>
      </c>
      <c r="E83" s="721">
        <f t="shared" si="10"/>
        <v>2.1663239265495977E-2</v>
      </c>
      <c r="F83" s="721">
        <f t="shared" si="10"/>
        <v>2.9024146736817365E-2</v>
      </c>
      <c r="G83" s="721">
        <f t="shared" si="10"/>
        <v>3.4636097942571414E-2</v>
      </c>
      <c r="H83" s="721">
        <f t="shared" si="10"/>
        <v>3.3149864198937624E-2</v>
      </c>
      <c r="I83" s="721">
        <f t="shared" si="10"/>
        <v>0.13059252919923545</v>
      </c>
      <c r="J83" s="721" t="s">
        <v>102</v>
      </c>
      <c r="K83" s="721" t="s">
        <v>102</v>
      </c>
      <c r="L83" s="721" t="s">
        <v>102</v>
      </c>
      <c r="M83" s="722">
        <f t="shared" ref="M83:P83" si="19">M23/M$14</f>
        <v>2.5905237622062205E-2</v>
      </c>
      <c r="N83" s="722">
        <f t="shared" si="19"/>
        <v>0.13059252919923545</v>
      </c>
      <c r="O83" s="722">
        <f t="shared" si="19"/>
        <v>3.2916416408392934E-2</v>
      </c>
      <c r="P83" s="721">
        <f t="shared" si="19"/>
        <v>4.2669357092669342E-2</v>
      </c>
    </row>
    <row r="84" spans="1:16" ht="15.75" customHeight="1" x14ac:dyDescent="0.2">
      <c r="A84" s="492" t="s">
        <v>173</v>
      </c>
      <c r="B84" s="723">
        <f t="shared" si="10"/>
        <v>0.16518612547525394</v>
      </c>
      <c r="C84" s="723">
        <f t="shared" si="10"/>
        <v>0.13541156459009041</v>
      </c>
      <c r="D84" s="723">
        <f t="shared" si="10"/>
        <v>0.13217450864237695</v>
      </c>
      <c r="E84" s="723">
        <f t="shared" si="10"/>
        <v>0.10241190372412651</v>
      </c>
      <c r="F84" s="723">
        <f t="shared" si="10"/>
        <v>7.4843502964191191E-2</v>
      </c>
      <c r="G84" s="723">
        <f t="shared" si="10"/>
        <v>0.11532846765862831</v>
      </c>
      <c r="H84" s="723">
        <f t="shared" si="10"/>
        <v>8.9385856824044041E-2</v>
      </c>
      <c r="I84" s="723">
        <f t="shared" si="10"/>
        <v>8.5809551966281081E-2</v>
      </c>
      <c r="J84" s="723" t="s">
        <v>102</v>
      </c>
      <c r="K84" s="723" t="s">
        <v>102</v>
      </c>
      <c r="L84" s="723" t="s">
        <v>102</v>
      </c>
      <c r="M84" s="724">
        <f t="shared" ref="M84:P84" si="20">M24/M$14</f>
        <v>9.9369618997740203E-2</v>
      </c>
      <c r="N84" s="724">
        <f t="shared" si="20"/>
        <v>8.5809551966281081E-2</v>
      </c>
      <c r="O84" s="724">
        <f t="shared" si="20"/>
        <v>9.8461466223315905E-2</v>
      </c>
      <c r="P84" s="723">
        <f t="shared" si="20"/>
        <v>8.1465168373126964E-2</v>
      </c>
    </row>
    <row r="85" spans="1:16" ht="15.75" customHeight="1" x14ac:dyDescent="0.2">
      <c r="A85" s="495" t="s">
        <v>174</v>
      </c>
      <c r="B85" s="725">
        <f t="shared" si="10"/>
        <v>0.13202373912655871</v>
      </c>
      <c r="C85" s="725">
        <f t="shared" si="10"/>
        <v>9.4241628443654496E-2</v>
      </c>
      <c r="D85" s="725">
        <f t="shared" si="10"/>
        <v>0.11018651204633127</v>
      </c>
      <c r="E85" s="725">
        <f t="shared" si="10"/>
        <v>0.10344642279551759</v>
      </c>
      <c r="F85" s="725">
        <f t="shared" si="10"/>
        <v>0.13311715034181537</v>
      </c>
      <c r="G85" s="725">
        <f t="shared" si="10"/>
        <v>8.177065813736073E-2</v>
      </c>
      <c r="H85" s="725">
        <f t="shared" si="10"/>
        <v>7.959434958793106E-2</v>
      </c>
      <c r="I85" s="725">
        <f t="shared" si="10"/>
        <v>4.5699265666712362E-2</v>
      </c>
      <c r="J85" s="725" t="s">
        <v>102</v>
      </c>
      <c r="K85" s="725" t="s">
        <v>102</v>
      </c>
      <c r="L85" s="725" t="s">
        <v>102</v>
      </c>
      <c r="M85" s="726">
        <f t="shared" ref="M85:P85" si="21">M25/M$14</f>
        <v>0.10519939660653277</v>
      </c>
      <c r="N85" s="726">
        <f t="shared" si="21"/>
        <v>4.5699265666712362E-2</v>
      </c>
      <c r="O85" s="726">
        <f t="shared" si="21"/>
        <v>0.10121451888600953</v>
      </c>
      <c r="P85" s="725">
        <f t="shared" si="21"/>
        <v>4.5676617350531065E-2</v>
      </c>
    </row>
    <row r="86" spans="1:16" ht="15.75" customHeight="1" x14ac:dyDescent="0.25">
      <c r="A86" s="501" t="s">
        <v>201</v>
      </c>
      <c r="B86" s="729"/>
      <c r="C86" s="729"/>
      <c r="D86" s="729"/>
      <c r="E86" s="729"/>
      <c r="F86" s="729"/>
      <c r="G86" s="729"/>
      <c r="H86" s="729"/>
      <c r="I86" s="729"/>
      <c r="J86" s="729"/>
      <c r="K86" s="729"/>
      <c r="L86" s="729"/>
      <c r="M86" s="730"/>
      <c r="N86" s="730"/>
      <c r="O86" s="730"/>
      <c r="P86" s="731"/>
    </row>
    <row r="87" spans="1:16" ht="15.75" customHeight="1" x14ac:dyDescent="0.25">
      <c r="A87" s="498" t="s">
        <v>292</v>
      </c>
      <c r="B87" s="727">
        <f>B28/B$28</f>
        <v>1</v>
      </c>
      <c r="C87" s="727">
        <f t="shared" ref="C87:I87" si="22">C28/C$28</f>
        <v>1</v>
      </c>
      <c r="D87" s="727">
        <f t="shared" si="22"/>
        <v>1</v>
      </c>
      <c r="E87" s="727">
        <f t="shared" si="22"/>
        <v>1</v>
      </c>
      <c r="F87" s="727">
        <f t="shared" si="22"/>
        <v>1</v>
      </c>
      <c r="G87" s="727">
        <f t="shared" si="22"/>
        <v>1</v>
      </c>
      <c r="H87" s="727">
        <f t="shared" si="22"/>
        <v>1</v>
      </c>
      <c r="I87" s="727">
        <f t="shared" si="22"/>
        <v>1</v>
      </c>
      <c r="J87" s="727" t="s">
        <v>102</v>
      </c>
      <c r="K87" s="727" t="s">
        <v>102</v>
      </c>
      <c r="L87" s="727" t="s">
        <v>102</v>
      </c>
      <c r="M87" s="728">
        <f t="shared" ref="M87:O87" si="23">M28/M$28</f>
        <v>1</v>
      </c>
      <c r="N87" s="728">
        <f t="shared" si="23"/>
        <v>1</v>
      </c>
      <c r="O87" s="728">
        <f t="shared" si="23"/>
        <v>1</v>
      </c>
      <c r="P87" s="727">
        <f>P28/P$28</f>
        <v>1</v>
      </c>
    </row>
    <row r="88" spans="1:16" ht="15.75" customHeight="1" x14ac:dyDescent="0.2">
      <c r="A88" s="490" t="s">
        <v>178</v>
      </c>
      <c r="B88" s="721">
        <f t="shared" ref="B88:I90" si="24">B29/B$28</f>
        <v>0.83664289093139688</v>
      </c>
      <c r="C88" s="721">
        <f t="shared" si="24"/>
        <v>0.9513317121058299</v>
      </c>
      <c r="D88" s="721">
        <f t="shared" si="24"/>
        <v>0.91877831131776011</v>
      </c>
      <c r="E88" s="721">
        <f t="shared" si="24"/>
        <v>0.92144787600844325</v>
      </c>
      <c r="F88" s="721">
        <f t="shared" si="24"/>
        <v>0.90329421747857686</v>
      </c>
      <c r="G88" s="721">
        <f t="shared" si="24"/>
        <v>0.90614408582121286</v>
      </c>
      <c r="H88" s="721">
        <f t="shared" si="24"/>
        <v>0.70075696919103669</v>
      </c>
      <c r="I88" s="721">
        <f t="shared" si="24"/>
        <v>0.95471399471152185</v>
      </c>
      <c r="J88" s="721" t="s">
        <v>102</v>
      </c>
      <c r="K88" s="721" t="s">
        <v>102</v>
      </c>
      <c r="L88" s="721" t="s">
        <v>102</v>
      </c>
      <c r="M88" s="722">
        <f t="shared" ref="M88:P88" si="25">M29/M$28</f>
        <v>0.89088488762941798</v>
      </c>
      <c r="N88" s="722">
        <f t="shared" si="25"/>
        <v>0.95471399471152185</v>
      </c>
      <c r="O88" s="722">
        <f t="shared" si="25"/>
        <v>0.89505703378493406</v>
      </c>
      <c r="P88" s="721">
        <f t="shared" si="25"/>
        <v>0.90955037256820892</v>
      </c>
    </row>
    <row r="89" spans="1:16" ht="15.75" customHeight="1" x14ac:dyDescent="0.2">
      <c r="A89" s="492" t="s">
        <v>179</v>
      </c>
      <c r="B89" s="723">
        <f t="shared" si="24"/>
        <v>5.1529864546985639E-2</v>
      </c>
      <c r="C89" s="723">
        <f t="shared" si="24"/>
        <v>2.0492314710212539E-2</v>
      </c>
      <c r="D89" s="723">
        <f t="shared" si="24"/>
        <v>4.0498746308396456E-2</v>
      </c>
      <c r="E89" s="723">
        <f t="shared" si="24"/>
        <v>3.3934556308191997E-2</v>
      </c>
      <c r="F89" s="723">
        <f t="shared" si="24"/>
        <v>4.9526984969705624E-2</v>
      </c>
      <c r="G89" s="723">
        <f t="shared" si="24"/>
        <v>1.9172690336761489E-2</v>
      </c>
      <c r="H89" s="723">
        <f t="shared" si="24"/>
        <v>0.25588441600304035</v>
      </c>
      <c r="I89" s="723">
        <f t="shared" si="24"/>
        <v>3.115378802819015E-2</v>
      </c>
      <c r="J89" s="723" t="s">
        <v>102</v>
      </c>
      <c r="K89" s="723" t="s">
        <v>102</v>
      </c>
      <c r="L89" s="723" t="s">
        <v>102</v>
      </c>
      <c r="M89" s="724">
        <f t="shared" ref="M89:P89" si="26">M30/M$28</f>
        <v>6.0167148552035088E-2</v>
      </c>
      <c r="N89" s="724">
        <f t="shared" si="26"/>
        <v>3.115378802819015E-2</v>
      </c>
      <c r="O89" s="724">
        <f t="shared" si="26"/>
        <v>5.8270709983007894E-2</v>
      </c>
      <c r="P89" s="723">
        <f t="shared" si="26"/>
        <v>5.7863798875572275E-2</v>
      </c>
    </row>
    <row r="90" spans="1:16" ht="15.75" customHeight="1" x14ac:dyDescent="0.2">
      <c r="A90" s="495" t="s">
        <v>180</v>
      </c>
      <c r="B90" s="725">
        <f t="shared" si="24"/>
        <v>0.11182724452161738</v>
      </c>
      <c r="C90" s="725">
        <f t="shared" si="24"/>
        <v>2.8175973181772968E-2</v>
      </c>
      <c r="D90" s="725">
        <f t="shared" si="24"/>
        <v>4.0722942373843302E-2</v>
      </c>
      <c r="E90" s="725">
        <f t="shared" si="24"/>
        <v>4.4617567681787609E-2</v>
      </c>
      <c r="F90" s="725">
        <f t="shared" si="24"/>
        <v>4.7178797551717486E-2</v>
      </c>
      <c r="G90" s="725">
        <f t="shared" si="24"/>
        <v>7.4683223842025664E-2</v>
      </c>
      <c r="H90" s="725">
        <f t="shared" si="24"/>
        <v>4.3358614804440802E-2</v>
      </c>
      <c r="I90" s="725">
        <f t="shared" si="24"/>
        <v>1.4132217258677518E-2</v>
      </c>
      <c r="J90" s="725" t="s">
        <v>102</v>
      </c>
      <c r="K90" s="725" t="s">
        <v>102</v>
      </c>
      <c r="L90" s="725" t="s">
        <v>102</v>
      </c>
      <c r="M90" s="726">
        <f t="shared" ref="M90:P90" si="27">M31/M$28</f>
        <v>4.8947963818546922E-2</v>
      </c>
      <c r="N90" s="726">
        <f t="shared" si="27"/>
        <v>1.4132217258677518E-2</v>
      </c>
      <c r="O90" s="726">
        <f t="shared" si="27"/>
        <v>4.6672256232058104E-2</v>
      </c>
      <c r="P90" s="725">
        <f t="shared" si="27"/>
        <v>3.2585828556218853E-2</v>
      </c>
    </row>
    <row r="91" spans="1:16" ht="15.75" customHeight="1" x14ac:dyDescent="0.25">
      <c r="A91" s="498" t="s">
        <v>293</v>
      </c>
      <c r="B91" s="727">
        <f>B32/B$32</f>
        <v>1</v>
      </c>
      <c r="C91" s="727">
        <f t="shared" ref="C91:I91" si="28">C32/C$32</f>
        <v>1</v>
      </c>
      <c r="D91" s="727">
        <f t="shared" si="28"/>
        <v>1</v>
      </c>
      <c r="E91" s="727">
        <f t="shared" si="28"/>
        <v>1</v>
      </c>
      <c r="F91" s="727">
        <f t="shared" si="28"/>
        <v>1</v>
      </c>
      <c r="G91" s="727">
        <f t="shared" si="28"/>
        <v>1</v>
      </c>
      <c r="H91" s="727">
        <f t="shared" si="28"/>
        <v>1</v>
      </c>
      <c r="I91" s="727">
        <f t="shared" si="28"/>
        <v>1</v>
      </c>
      <c r="J91" s="727" t="s">
        <v>102</v>
      </c>
      <c r="K91" s="727" t="s">
        <v>102</v>
      </c>
      <c r="L91" s="727" t="s">
        <v>102</v>
      </c>
      <c r="M91" s="728">
        <f t="shared" ref="M91:O91" si="29">M32/M$32</f>
        <v>1</v>
      </c>
      <c r="N91" s="728">
        <f t="shared" si="29"/>
        <v>1</v>
      </c>
      <c r="O91" s="728">
        <f t="shared" si="29"/>
        <v>1</v>
      </c>
      <c r="P91" s="727">
        <f>P32/P$32</f>
        <v>1</v>
      </c>
    </row>
    <row r="92" spans="1:16" ht="15.75" customHeight="1" x14ac:dyDescent="0.2">
      <c r="A92" s="490" t="s">
        <v>182</v>
      </c>
      <c r="B92" s="721">
        <f t="shared" ref="B92:I94" si="30">B33/B$32</f>
        <v>0.35138967846192781</v>
      </c>
      <c r="C92" s="721">
        <f t="shared" si="30"/>
        <v>0.20987933919954568</v>
      </c>
      <c r="D92" s="721">
        <f t="shared" si="30"/>
        <v>0.20882260355833046</v>
      </c>
      <c r="E92" s="721">
        <f t="shared" si="30"/>
        <v>0.20271656198560672</v>
      </c>
      <c r="F92" s="721">
        <f t="shared" si="30"/>
        <v>7.089207448191033E-2</v>
      </c>
      <c r="G92" s="721">
        <f t="shared" si="30"/>
        <v>0.26564753923383466</v>
      </c>
      <c r="H92" s="721">
        <f t="shared" si="30"/>
        <v>0.13452033154211981</v>
      </c>
      <c r="I92" s="721">
        <f t="shared" si="30"/>
        <v>0.30815761163069205</v>
      </c>
      <c r="J92" s="721" t="s">
        <v>102</v>
      </c>
      <c r="K92" s="721" t="s">
        <v>102</v>
      </c>
      <c r="L92" s="721" t="s">
        <v>102</v>
      </c>
      <c r="M92" s="722">
        <f t="shared" ref="M92:P92" si="31">M33/M$32</f>
        <v>0.14922488387237789</v>
      </c>
      <c r="N92" s="722">
        <f t="shared" si="31"/>
        <v>0.30815761163069205</v>
      </c>
      <c r="O92" s="722">
        <f t="shared" si="31"/>
        <v>0.15456141320919942</v>
      </c>
      <c r="P92" s="721">
        <f t="shared" si="31"/>
        <v>0.24609757606140661</v>
      </c>
    </row>
    <row r="93" spans="1:16" ht="15.75" customHeight="1" x14ac:dyDescent="0.2">
      <c r="A93" s="492" t="s">
        <v>183</v>
      </c>
      <c r="B93" s="723">
        <f t="shared" si="30"/>
        <v>0.46160871250689861</v>
      </c>
      <c r="C93" s="723">
        <f t="shared" si="30"/>
        <v>0.53812035727148544</v>
      </c>
      <c r="D93" s="723">
        <f t="shared" si="30"/>
        <v>0.61545280086131615</v>
      </c>
      <c r="E93" s="723">
        <f t="shared" si="30"/>
        <v>0.53575225305296836</v>
      </c>
      <c r="F93" s="723">
        <f t="shared" si="30"/>
        <v>0.15469804870686407</v>
      </c>
      <c r="G93" s="723">
        <f t="shared" si="30"/>
        <v>0.39369336632351781</v>
      </c>
      <c r="H93" s="723">
        <f t="shared" si="30"/>
        <v>0.7957674864132902</v>
      </c>
      <c r="I93" s="723">
        <f t="shared" si="30"/>
        <v>0.58673140073069918</v>
      </c>
      <c r="J93" s="723" t="s">
        <v>102</v>
      </c>
      <c r="K93" s="723" t="s">
        <v>102</v>
      </c>
      <c r="L93" s="723" t="s">
        <v>102</v>
      </c>
      <c r="M93" s="724">
        <f t="shared" ref="M93:P93" si="32">M34/M$32</f>
        <v>0.40110177156102511</v>
      </c>
      <c r="N93" s="724">
        <f t="shared" si="32"/>
        <v>0.58673140073069918</v>
      </c>
      <c r="O93" s="724">
        <f t="shared" si="32"/>
        <v>0.40733471033720464</v>
      </c>
      <c r="P93" s="723">
        <f t="shared" si="32"/>
        <v>0.56153022175999079</v>
      </c>
    </row>
    <row r="94" spans="1:16" ht="15.75" customHeight="1" x14ac:dyDescent="0.2">
      <c r="A94" s="490" t="s">
        <v>184</v>
      </c>
      <c r="B94" s="725">
        <f t="shared" si="30"/>
        <v>0.18700160903117363</v>
      </c>
      <c r="C94" s="725">
        <f t="shared" si="30"/>
        <v>0.25200030352896885</v>
      </c>
      <c r="D94" s="725">
        <f t="shared" si="30"/>
        <v>0.17572459557664283</v>
      </c>
      <c r="E94" s="725">
        <f t="shared" si="30"/>
        <v>0.2615311849648449</v>
      </c>
      <c r="F94" s="725">
        <f t="shared" si="30"/>
        <v>0.77440987681122553</v>
      </c>
      <c r="G94" s="725">
        <f t="shared" si="30"/>
        <v>0.34065909443962544</v>
      </c>
      <c r="H94" s="725">
        <f t="shared" si="30"/>
        <v>6.9712182046979446E-2</v>
      </c>
      <c r="I94" s="725">
        <f t="shared" si="30"/>
        <v>0.10511098763860878</v>
      </c>
      <c r="J94" s="725" t="s">
        <v>102</v>
      </c>
      <c r="K94" s="725" t="s">
        <v>102</v>
      </c>
      <c r="L94" s="725" t="s">
        <v>102</v>
      </c>
      <c r="M94" s="726">
        <f t="shared" ref="M94:P94" si="33">M35/M$32</f>
        <v>0.44967334456659697</v>
      </c>
      <c r="N94" s="726">
        <f t="shared" si="33"/>
        <v>0.10511098763860878</v>
      </c>
      <c r="O94" s="726">
        <f t="shared" si="33"/>
        <v>0.43810387645359594</v>
      </c>
      <c r="P94" s="725">
        <f t="shared" si="33"/>
        <v>0.19237220217860257</v>
      </c>
    </row>
    <row r="95" spans="1:16" ht="15.75" customHeight="1" x14ac:dyDescent="0.25">
      <c r="A95" s="544" t="s">
        <v>226</v>
      </c>
      <c r="B95" s="732"/>
      <c r="C95" s="732"/>
      <c r="D95" s="732"/>
      <c r="E95" s="732"/>
      <c r="F95" s="732"/>
      <c r="G95" s="732"/>
      <c r="H95" s="732"/>
      <c r="I95" s="732"/>
      <c r="J95" s="732"/>
      <c r="K95" s="732"/>
      <c r="L95" s="732"/>
      <c r="M95" s="733"/>
      <c r="N95" s="733"/>
      <c r="O95" s="733"/>
      <c r="P95" s="734"/>
    </row>
    <row r="96" spans="1:16" ht="15.75" customHeight="1" x14ac:dyDescent="0.25">
      <c r="A96" s="550" t="s">
        <v>787</v>
      </c>
      <c r="B96" s="735">
        <v>0.25901542100000002</v>
      </c>
      <c r="C96" s="735">
        <v>0.22692478299999999</v>
      </c>
      <c r="D96" s="735">
        <v>0.23007338399999999</v>
      </c>
      <c r="E96" s="735">
        <v>0.21826505800000001</v>
      </c>
      <c r="F96" s="735">
        <v>0.217882615</v>
      </c>
      <c r="G96" s="735">
        <v>0.25649769100000003</v>
      </c>
      <c r="H96" s="735">
        <v>0.24014588000000001</v>
      </c>
      <c r="I96" s="735">
        <v>0.19059625899999999</v>
      </c>
      <c r="J96" s="719" t="s">
        <v>102</v>
      </c>
      <c r="K96" s="719" t="s">
        <v>102</v>
      </c>
      <c r="L96" s="719" t="s">
        <v>102</v>
      </c>
      <c r="M96" s="736">
        <v>0.22683108199999999</v>
      </c>
      <c r="N96" s="736">
        <v>0.19059625899999999</v>
      </c>
      <c r="O96" s="736">
        <v>0.22440434300000001</v>
      </c>
      <c r="P96" s="735">
        <v>0.148300929</v>
      </c>
    </row>
    <row r="97" spans="1:16" s="7" customFormat="1" ht="15.75" customHeight="1" x14ac:dyDescent="0.2">
      <c r="A97" s="562" t="s">
        <v>407</v>
      </c>
      <c r="B97" s="741">
        <v>0.165893551</v>
      </c>
      <c r="C97" s="741">
        <v>0.347448955</v>
      </c>
      <c r="D97" s="741">
        <v>0.30030689799999999</v>
      </c>
      <c r="E97" s="741">
        <v>0.34134138800000002</v>
      </c>
      <c r="F97" s="741">
        <v>0.357563152</v>
      </c>
      <c r="G97" s="741">
        <v>0.35952083699999998</v>
      </c>
      <c r="H97" s="741">
        <v>0.45979015200000001</v>
      </c>
      <c r="I97" s="741">
        <v>0.51614139599999997</v>
      </c>
      <c r="J97" s="721" t="s">
        <v>102</v>
      </c>
      <c r="K97" s="721" t="s">
        <v>102</v>
      </c>
      <c r="L97" s="721" t="s">
        <v>102</v>
      </c>
      <c r="M97" s="742">
        <v>0.357301427</v>
      </c>
      <c r="N97" s="742">
        <v>0.51614139599999997</v>
      </c>
      <c r="O97" s="742">
        <v>0.36840305600000001</v>
      </c>
      <c r="P97" s="721">
        <v>0.53555837900000003</v>
      </c>
    </row>
    <row r="98" spans="1:16" ht="15.75" customHeight="1" x14ac:dyDescent="0.25">
      <c r="A98" s="546" t="s">
        <v>408</v>
      </c>
      <c r="B98" s="737">
        <v>0.82666867899999996</v>
      </c>
      <c r="C98" s="737">
        <v>0.94913116799999997</v>
      </c>
      <c r="D98" s="737">
        <v>0.85631208800000003</v>
      </c>
      <c r="E98" s="737">
        <v>0.87241137899999999</v>
      </c>
      <c r="F98" s="737">
        <v>0.846224317</v>
      </c>
      <c r="G98" s="737">
        <v>0.80142976600000004</v>
      </c>
      <c r="H98" s="737">
        <v>0.85381494199999997</v>
      </c>
      <c r="I98" s="737">
        <v>0.86907459499999995</v>
      </c>
      <c r="J98" s="723" t="s">
        <v>102</v>
      </c>
      <c r="K98" s="723" t="s">
        <v>102</v>
      </c>
      <c r="L98" s="723" t="s">
        <v>102</v>
      </c>
      <c r="M98" s="738">
        <v>0.85481939500000004</v>
      </c>
      <c r="N98" s="738">
        <v>0.86907459499999995</v>
      </c>
      <c r="O98" s="738">
        <v>0.85577410200000004</v>
      </c>
      <c r="P98" s="723">
        <v>0.91681483399999997</v>
      </c>
    </row>
    <row r="99" spans="1:16" ht="16.5" customHeight="1" x14ac:dyDescent="0.2">
      <c r="A99" s="562" t="s">
        <v>462</v>
      </c>
      <c r="B99" s="721">
        <v>0.222427661</v>
      </c>
      <c r="C99" s="721">
        <v>0.29759688499999998</v>
      </c>
      <c r="D99" s="721">
        <v>0.37285248500000001</v>
      </c>
      <c r="E99" s="721">
        <v>0.35240613799999998</v>
      </c>
      <c r="F99" s="721">
        <v>0.33159165600000001</v>
      </c>
      <c r="G99" s="721">
        <v>0.426528087</v>
      </c>
      <c r="H99" s="721">
        <v>0.24780898800000001</v>
      </c>
      <c r="I99" s="721">
        <v>0.36047970899999998</v>
      </c>
      <c r="J99" s="721" t="s">
        <v>102</v>
      </c>
      <c r="K99" s="721" t="s">
        <v>102</v>
      </c>
      <c r="L99" s="721" t="s">
        <v>102</v>
      </c>
      <c r="M99" s="722">
        <v>0.345057318</v>
      </c>
      <c r="N99" s="722">
        <v>0.36047970899999998</v>
      </c>
      <c r="O99" s="722">
        <v>0.34609019499999999</v>
      </c>
      <c r="P99" s="721">
        <v>0.28683293999999998</v>
      </c>
    </row>
    <row r="100" spans="1:16" ht="15.75" customHeight="1" x14ac:dyDescent="0.25">
      <c r="A100" s="492" t="s">
        <v>409</v>
      </c>
      <c r="B100" s="723">
        <v>0.20171774200000001</v>
      </c>
      <c r="C100" s="723">
        <v>1.013300028</v>
      </c>
      <c r="D100" s="723">
        <v>0.69767443600000001</v>
      </c>
      <c r="E100" s="723">
        <v>0.811396593</v>
      </c>
      <c r="F100" s="723">
        <v>0.57128182999999999</v>
      </c>
      <c r="G100" s="723">
        <v>0.70245659800000004</v>
      </c>
      <c r="H100" s="723">
        <v>0.76981335100000003</v>
      </c>
      <c r="I100" s="723">
        <v>0.702997761</v>
      </c>
      <c r="J100" s="723" t="s">
        <v>102</v>
      </c>
      <c r="K100" s="723" t="s">
        <v>102</v>
      </c>
      <c r="L100" s="723" t="s">
        <v>102</v>
      </c>
      <c r="M100" s="724">
        <v>0.72904194300000003</v>
      </c>
      <c r="N100" s="724">
        <v>0.702997761</v>
      </c>
      <c r="O100" s="724">
        <v>0.72729769700000002</v>
      </c>
      <c r="P100" s="737">
        <v>0.69401103600000003</v>
      </c>
    </row>
    <row r="101" spans="1:16" ht="15.75" customHeight="1" x14ac:dyDescent="0.25">
      <c r="A101" s="495" t="s">
        <v>788</v>
      </c>
      <c r="B101" s="739">
        <v>0.77878660899999996</v>
      </c>
      <c r="C101" s="739">
        <v>4.4653563890000001</v>
      </c>
      <c r="D101" s="739">
        <v>3.0323995859999999</v>
      </c>
      <c r="E101" s="739">
        <v>3.7174827750000001</v>
      </c>
      <c r="F101" s="739">
        <v>2.6219706920000001</v>
      </c>
      <c r="G101" s="739">
        <v>2.7386468700000002</v>
      </c>
      <c r="H101" s="739">
        <v>3.2056071589999999</v>
      </c>
      <c r="I101" s="739">
        <v>3.688413224</v>
      </c>
      <c r="J101" s="725" t="s">
        <v>102</v>
      </c>
      <c r="K101" s="725" t="s">
        <v>102</v>
      </c>
      <c r="L101" s="725" t="s">
        <v>102</v>
      </c>
      <c r="M101" s="740">
        <v>3.2140301729999998</v>
      </c>
      <c r="N101" s="740">
        <v>3.688413224</v>
      </c>
      <c r="O101" s="740">
        <v>3.241014361</v>
      </c>
      <c r="P101" s="739">
        <v>4.6797484120000004</v>
      </c>
    </row>
    <row r="102" spans="1:16" ht="15" customHeight="1" x14ac:dyDescent="0.2">
      <c r="A102" s="255" t="s">
        <v>285</v>
      </c>
      <c r="B102" s="39"/>
      <c r="C102" s="39"/>
      <c r="D102" s="39"/>
      <c r="E102" s="39"/>
      <c r="F102" s="39"/>
      <c r="G102" s="39"/>
      <c r="H102" s="39"/>
      <c r="I102" s="13"/>
      <c r="J102" s="13"/>
      <c r="K102" s="13"/>
      <c r="L102" s="13"/>
      <c r="M102" s="215"/>
      <c r="N102" s="215"/>
      <c r="O102" s="215"/>
      <c r="P102" s="39"/>
    </row>
    <row r="103" spans="1:16" ht="15" customHeight="1" x14ac:dyDescent="0.2">
      <c r="A103" s="168" t="s">
        <v>616</v>
      </c>
      <c r="B103" s="39"/>
      <c r="C103" s="39"/>
      <c r="D103" s="39"/>
      <c r="E103" s="39"/>
      <c r="F103" s="39"/>
      <c r="G103" s="39"/>
      <c r="H103" s="39"/>
      <c r="I103" s="13"/>
      <c r="J103" s="13"/>
      <c r="K103" s="13"/>
      <c r="L103" s="13"/>
      <c r="M103" s="215"/>
      <c r="N103" s="215"/>
      <c r="O103" s="215"/>
      <c r="P103" s="39"/>
    </row>
    <row r="104" spans="1:16" ht="15" customHeight="1" x14ac:dyDescent="0.2">
      <c r="A104" s="255" t="s">
        <v>976</v>
      </c>
      <c r="B104" s="39"/>
      <c r="C104" s="39"/>
      <c r="D104" s="39"/>
      <c r="E104" s="39"/>
      <c r="F104" s="39"/>
      <c r="G104" s="39"/>
      <c r="H104" s="39"/>
      <c r="I104" s="13"/>
      <c r="J104" s="13"/>
      <c r="K104" s="13"/>
      <c r="L104" s="13"/>
      <c r="M104" s="215"/>
      <c r="N104" s="215"/>
      <c r="O104" s="215"/>
      <c r="P104" s="39"/>
    </row>
    <row r="105" spans="1:16" ht="15" customHeight="1" x14ac:dyDescent="0.2">
      <c r="A105" s="254" t="s">
        <v>323</v>
      </c>
      <c r="B105" s="425"/>
      <c r="C105" s="425"/>
      <c r="D105" s="425"/>
      <c r="E105" s="7"/>
      <c r="F105" s="7"/>
      <c r="G105" s="426"/>
      <c r="H105" s="7"/>
      <c r="J105" s="185"/>
      <c r="M105" s="215"/>
      <c r="N105" s="215"/>
      <c r="O105" s="215"/>
    </row>
    <row r="106" spans="1:16" ht="15" customHeight="1" x14ac:dyDescent="0.2">
      <c r="A106" s="13"/>
      <c r="B106" s="13"/>
      <c r="C106" s="13"/>
      <c r="D106" s="13"/>
      <c r="E106" s="13"/>
      <c r="F106" s="13"/>
      <c r="G106" s="13"/>
      <c r="H106" s="13"/>
      <c r="I106" s="13"/>
      <c r="J106" s="13"/>
      <c r="K106" s="13"/>
      <c r="L106" s="13"/>
      <c r="M106" s="215"/>
      <c r="N106" s="215"/>
      <c r="O106" s="215"/>
      <c r="P106" s="39"/>
    </row>
    <row r="107" spans="1:16" ht="19.5" customHeight="1" x14ac:dyDescent="0.25">
      <c r="A107" s="280" t="s">
        <v>915</v>
      </c>
      <c r="B107" s="13"/>
      <c r="C107" s="13"/>
      <c r="D107" s="13"/>
      <c r="E107" s="13"/>
      <c r="F107" s="13"/>
      <c r="G107" s="13"/>
      <c r="H107" s="13"/>
      <c r="I107" s="13"/>
      <c r="J107" s="13"/>
      <c r="K107" s="13"/>
      <c r="L107" s="13"/>
      <c r="M107" s="215"/>
      <c r="N107" s="215"/>
      <c r="O107" s="215"/>
      <c r="P107" s="39"/>
    </row>
    <row r="108" spans="1:16" ht="15" customHeight="1" thickBot="1" x14ac:dyDescent="0.25">
      <c r="A108" s="13"/>
      <c r="B108" s="13"/>
      <c r="C108" s="13"/>
      <c r="D108" s="13"/>
      <c r="E108" s="13"/>
      <c r="F108" s="13"/>
      <c r="G108" s="13"/>
      <c r="H108" s="13"/>
      <c r="I108" s="13"/>
      <c r="J108" s="13"/>
      <c r="K108" s="13"/>
      <c r="L108" s="13"/>
      <c r="M108" s="215"/>
      <c r="N108" s="215"/>
      <c r="O108" s="215"/>
      <c r="P108" s="39"/>
    </row>
    <row r="109" spans="1:16" ht="15" customHeight="1" x14ac:dyDescent="0.2">
      <c r="A109" s="565" t="s">
        <v>81</v>
      </c>
      <c r="B109" s="42" t="s">
        <v>35</v>
      </c>
      <c r="C109" s="42" t="s">
        <v>121</v>
      </c>
      <c r="D109" s="42" t="s">
        <v>123</v>
      </c>
      <c r="E109" s="42" t="s">
        <v>36</v>
      </c>
      <c r="F109" s="42" t="s">
        <v>37</v>
      </c>
      <c r="G109" s="42" t="s">
        <v>38</v>
      </c>
      <c r="H109" s="42" t="s">
        <v>39</v>
      </c>
      <c r="I109" s="42" t="s">
        <v>125</v>
      </c>
      <c r="J109" s="42" t="s">
        <v>126</v>
      </c>
      <c r="K109" s="42" t="s">
        <v>127</v>
      </c>
      <c r="L109" s="252">
        <v>100000</v>
      </c>
      <c r="M109" s="250" t="s">
        <v>231</v>
      </c>
      <c r="N109" s="250" t="s">
        <v>229</v>
      </c>
      <c r="O109" s="257" t="s">
        <v>77</v>
      </c>
      <c r="P109" s="281" t="s">
        <v>220</v>
      </c>
    </row>
    <row r="110" spans="1:16" ht="15" customHeight="1" x14ac:dyDescent="0.2">
      <c r="A110" s="229" t="s">
        <v>225</v>
      </c>
      <c r="B110" s="43" t="s">
        <v>120</v>
      </c>
      <c r="C110" s="43" t="s">
        <v>40</v>
      </c>
      <c r="D110" s="43" t="s">
        <v>40</v>
      </c>
      <c r="E110" s="43" t="s">
        <v>40</v>
      </c>
      <c r="F110" s="43" t="s">
        <v>40</v>
      </c>
      <c r="G110" s="43" t="s">
        <v>40</v>
      </c>
      <c r="H110" s="43" t="s">
        <v>40</v>
      </c>
      <c r="I110" s="43" t="s">
        <v>40</v>
      </c>
      <c r="J110" s="43" t="s">
        <v>40</v>
      </c>
      <c r="K110" s="43" t="s">
        <v>40</v>
      </c>
      <c r="L110" s="43" t="s">
        <v>43</v>
      </c>
      <c r="M110" s="239" t="s">
        <v>230</v>
      </c>
      <c r="N110" s="239" t="s">
        <v>138</v>
      </c>
      <c r="O110" s="256" t="s">
        <v>137</v>
      </c>
      <c r="P110" s="282" t="s">
        <v>284</v>
      </c>
    </row>
    <row r="111" spans="1:16" ht="15" customHeight="1" thickBot="1" x14ac:dyDescent="0.25">
      <c r="A111" s="423" t="s">
        <v>82</v>
      </c>
      <c r="B111" s="44" t="s">
        <v>43</v>
      </c>
      <c r="C111" s="44" t="s">
        <v>122</v>
      </c>
      <c r="D111" s="44" t="s">
        <v>124</v>
      </c>
      <c r="E111" s="44" t="s">
        <v>44</v>
      </c>
      <c r="F111" s="44" t="s">
        <v>45</v>
      </c>
      <c r="G111" s="44" t="s">
        <v>46</v>
      </c>
      <c r="H111" s="44" t="s">
        <v>42</v>
      </c>
      <c r="I111" s="44" t="s">
        <v>128</v>
      </c>
      <c r="J111" s="44" t="s">
        <v>129</v>
      </c>
      <c r="K111" s="44" t="s">
        <v>130</v>
      </c>
      <c r="L111" s="44" t="s">
        <v>131</v>
      </c>
      <c r="M111" s="251" t="s">
        <v>138</v>
      </c>
      <c r="N111" s="251" t="s">
        <v>131</v>
      </c>
      <c r="O111" s="258" t="s">
        <v>41</v>
      </c>
      <c r="P111" s="283" t="s">
        <v>239</v>
      </c>
    </row>
    <row r="112" spans="1:16" ht="15" customHeight="1" x14ac:dyDescent="0.25">
      <c r="A112" s="544" t="s">
        <v>223</v>
      </c>
      <c r="B112" s="192"/>
      <c r="C112" s="192"/>
      <c r="D112" s="192"/>
      <c r="E112" s="192"/>
      <c r="F112" s="192"/>
      <c r="G112" s="192"/>
      <c r="H112" s="192"/>
      <c r="I112" s="192"/>
      <c r="J112" s="192"/>
      <c r="K112" s="192"/>
      <c r="L112" s="192"/>
      <c r="M112" s="253"/>
      <c r="N112" s="253"/>
      <c r="O112" s="253"/>
    </row>
    <row r="113" spans="1:16" ht="16.5" customHeight="1" x14ac:dyDescent="0.25">
      <c r="A113" s="487" t="s">
        <v>286</v>
      </c>
      <c r="B113" s="572">
        <v>-1.2147127520000001</v>
      </c>
      <c r="C113" s="572">
        <v>5.2619572200000002</v>
      </c>
      <c r="D113" s="572">
        <v>7.448467011</v>
      </c>
      <c r="E113" s="572">
        <v>4.5724104060000004</v>
      </c>
      <c r="F113" s="572">
        <v>3.2954965089999999</v>
      </c>
      <c r="G113" s="572">
        <v>-9.2010263660000007</v>
      </c>
      <c r="H113" s="572">
        <v>8.1783257329999994</v>
      </c>
      <c r="I113" s="572">
        <v>4.6142521490000004</v>
      </c>
      <c r="J113" s="572" t="s">
        <v>102</v>
      </c>
      <c r="K113" s="572" t="s">
        <v>102</v>
      </c>
      <c r="L113" s="572" t="s">
        <v>102</v>
      </c>
      <c r="M113" s="573">
        <v>3.0421840599999999</v>
      </c>
      <c r="N113" s="573">
        <v>4.6142521490000004</v>
      </c>
      <c r="O113" s="573">
        <v>3.1505215679999998</v>
      </c>
      <c r="P113" s="572">
        <v>4.1179418459999999</v>
      </c>
    </row>
    <row r="114" spans="1:16" ht="15.75" customHeight="1" x14ac:dyDescent="0.2">
      <c r="A114" s="490" t="s">
        <v>161</v>
      </c>
      <c r="B114" s="574">
        <v>10.825988407000001</v>
      </c>
      <c r="C114" s="574">
        <v>4.6684024910000002</v>
      </c>
      <c r="D114" s="574">
        <v>9.5511028430000007</v>
      </c>
      <c r="E114" s="574">
        <v>9.9144396599999993</v>
      </c>
      <c r="F114" s="574">
        <v>7.3448339000000002</v>
      </c>
      <c r="G114" s="574">
        <v>9.2504013290000007</v>
      </c>
      <c r="H114" s="574">
        <v>5.6849111040000002</v>
      </c>
      <c r="I114" s="574">
        <v>4.3890251510000002</v>
      </c>
      <c r="J114" s="574" t="s">
        <v>102</v>
      </c>
      <c r="K114" s="574" t="s">
        <v>102</v>
      </c>
      <c r="L114" s="574" t="s">
        <v>102</v>
      </c>
      <c r="M114" s="575">
        <v>8.6837229990000004</v>
      </c>
      <c r="N114" s="575">
        <v>4.3890251510000002</v>
      </c>
      <c r="O114" s="575">
        <v>8.4017836189999997</v>
      </c>
      <c r="P114" s="574">
        <v>4.0108692530000001</v>
      </c>
    </row>
    <row r="115" spans="1:16" ht="15.75" customHeight="1" x14ac:dyDescent="0.2">
      <c r="A115" s="492" t="s">
        <v>162</v>
      </c>
      <c r="B115" s="576">
        <v>-3.6717376800000001</v>
      </c>
      <c r="C115" s="577">
        <v>7.4914487679999997</v>
      </c>
      <c r="D115" s="576">
        <v>6.4122206730000002</v>
      </c>
      <c r="E115" s="576">
        <v>5.9034566489999998</v>
      </c>
      <c r="F115" s="576">
        <v>6.9783904029999997</v>
      </c>
      <c r="G115" s="576">
        <v>5.6888303420000002</v>
      </c>
      <c r="H115" s="576">
        <v>5.6054422099999996</v>
      </c>
      <c r="I115" s="576">
        <v>7.0799461130000001</v>
      </c>
      <c r="J115" s="576" t="s">
        <v>102</v>
      </c>
      <c r="K115" s="576" t="s">
        <v>102</v>
      </c>
      <c r="L115" s="576" t="s">
        <v>102</v>
      </c>
      <c r="M115" s="578">
        <v>6.1229962530000002</v>
      </c>
      <c r="N115" s="578">
        <v>7.0799461130000001</v>
      </c>
      <c r="O115" s="578">
        <v>6.2159449149999997</v>
      </c>
      <c r="P115" s="576">
        <v>4.3575204349999996</v>
      </c>
    </row>
    <row r="116" spans="1:16" ht="15.75" customHeight="1" x14ac:dyDescent="0.2">
      <c r="A116" s="490" t="s">
        <v>163</v>
      </c>
      <c r="B116" s="574">
        <v>127.69388385800001</v>
      </c>
      <c r="C116" s="574">
        <v>-3.6978514069999999</v>
      </c>
      <c r="D116" s="574">
        <v>7.755434674</v>
      </c>
      <c r="E116" s="574">
        <v>6.2159333669999999</v>
      </c>
      <c r="F116" s="574">
        <v>-2.7201690190000001</v>
      </c>
      <c r="G116" s="574">
        <v>6.1902047109999998</v>
      </c>
      <c r="H116" s="574">
        <v>2.6470065049999998</v>
      </c>
      <c r="I116" s="574">
        <v>-1.807399534</v>
      </c>
      <c r="J116" s="574" t="s">
        <v>102</v>
      </c>
      <c r="K116" s="574" t="s">
        <v>102</v>
      </c>
      <c r="L116" s="574" t="s">
        <v>102</v>
      </c>
      <c r="M116" s="575">
        <v>4.1342828359999997</v>
      </c>
      <c r="N116" s="575">
        <v>-1.807399534</v>
      </c>
      <c r="O116" s="575">
        <v>3.7962473370000001</v>
      </c>
      <c r="P116" s="574">
        <v>9.3167023919999998</v>
      </c>
    </row>
    <row r="117" spans="1:16" ht="15.75" customHeight="1" x14ac:dyDescent="0.2">
      <c r="A117" s="492" t="s">
        <v>164</v>
      </c>
      <c r="B117" s="576">
        <v>-6.1914374240000001</v>
      </c>
      <c r="C117" s="576">
        <v>9.6268448339999999</v>
      </c>
      <c r="D117" s="576">
        <v>5.2279933710000002</v>
      </c>
      <c r="E117" s="576">
        <v>18.484816454000001</v>
      </c>
      <c r="F117" s="576">
        <v>18.517796572000002</v>
      </c>
      <c r="G117" s="576">
        <v>0.31407213</v>
      </c>
      <c r="H117" s="576">
        <v>4.553380325</v>
      </c>
      <c r="I117" s="576">
        <v>-4.2998063049999997</v>
      </c>
      <c r="J117" s="576" t="s">
        <v>102</v>
      </c>
      <c r="K117" s="576" t="s">
        <v>102</v>
      </c>
      <c r="L117" s="576" t="s">
        <v>102</v>
      </c>
      <c r="M117" s="578">
        <v>13.739729480999999</v>
      </c>
      <c r="N117" s="578">
        <v>-4.2998063049999997</v>
      </c>
      <c r="O117" s="578">
        <v>13.060783925999999</v>
      </c>
      <c r="P117" s="576">
        <v>4.601181585</v>
      </c>
    </row>
    <row r="118" spans="1:16" ht="15.75" customHeight="1" x14ac:dyDescent="0.2">
      <c r="A118" s="495" t="s">
        <v>165</v>
      </c>
      <c r="B118" s="579">
        <v>-22.784995352999999</v>
      </c>
      <c r="C118" s="579">
        <v>-2.6687942090000001</v>
      </c>
      <c r="D118" s="579">
        <v>6.5151299680000001</v>
      </c>
      <c r="E118" s="579">
        <v>-43.254494756</v>
      </c>
      <c r="F118" s="579">
        <v>-55.146374885999997</v>
      </c>
      <c r="G118" s="579">
        <v>-73.598153077999996</v>
      </c>
      <c r="H118" s="579">
        <v>49.736027561</v>
      </c>
      <c r="I118" s="579">
        <v>1.9636275270000001</v>
      </c>
      <c r="J118" s="579" t="s">
        <v>102</v>
      </c>
      <c r="K118" s="579" t="s">
        <v>102</v>
      </c>
      <c r="L118" s="579" t="s">
        <v>102</v>
      </c>
      <c r="M118" s="580">
        <v>-43.649347724000002</v>
      </c>
      <c r="N118" s="580">
        <v>1.9636275270000001</v>
      </c>
      <c r="O118" s="580">
        <v>-41.849344739000003</v>
      </c>
      <c r="P118" s="579">
        <v>-2.2468260189999998</v>
      </c>
    </row>
    <row r="119" spans="1:16" ht="16.5" customHeight="1" x14ac:dyDescent="0.25">
      <c r="A119" s="498" t="s">
        <v>290</v>
      </c>
      <c r="B119" s="581">
        <v>4.6280477629999996</v>
      </c>
      <c r="C119" s="581">
        <v>1.816210688</v>
      </c>
      <c r="D119" s="581">
        <v>9.2998827500000001</v>
      </c>
      <c r="E119" s="581">
        <v>5.2978317510000004</v>
      </c>
      <c r="F119" s="581">
        <v>13.348334112</v>
      </c>
      <c r="G119" s="581">
        <v>-2.7545981570000002</v>
      </c>
      <c r="H119" s="581">
        <v>10.513518917000001</v>
      </c>
      <c r="I119" s="581">
        <v>5.3803282540000001</v>
      </c>
      <c r="J119" s="581" t="s">
        <v>102</v>
      </c>
      <c r="K119" s="581" t="s">
        <v>102</v>
      </c>
      <c r="L119" s="581" t="s">
        <v>102</v>
      </c>
      <c r="M119" s="582">
        <v>6.8248710990000001</v>
      </c>
      <c r="N119" s="582">
        <v>5.3803282540000001</v>
      </c>
      <c r="O119" s="582">
        <v>6.7268901110000003</v>
      </c>
      <c r="P119" s="581">
        <v>2.9986089869999999</v>
      </c>
    </row>
    <row r="120" spans="1:16" ht="15.75" customHeight="1" x14ac:dyDescent="0.2">
      <c r="A120" s="490" t="s">
        <v>79</v>
      </c>
      <c r="B120" s="574">
        <v>-1.5554695110000001</v>
      </c>
      <c r="C120" s="574">
        <v>2.8446211369999999</v>
      </c>
      <c r="D120" s="574">
        <v>8.2319170100000001</v>
      </c>
      <c r="E120" s="574">
        <v>8.0485991539999997</v>
      </c>
      <c r="F120" s="574">
        <v>8.8192708369999995</v>
      </c>
      <c r="G120" s="574">
        <v>8.5189474559999994</v>
      </c>
      <c r="H120" s="574">
        <v>8.2262588999999995</v>
      </c>
      <c r="I120" s="574">
        <v>5.3410728719999998</v>
      </c>
      <c r="J120" s="574" t="s">
        <v>102</v>
      </c>
      <c r="K120" s="574" t="s">
        <v>102</v>
      </c>
      <c r="L120" s="574" t="s">
        <v>102</v>
      </c>
      <c r="M120" s="575">
        <v>8.2428199969999998</v>
      </c>
      <c r="N120" s="575">
        <v>5.3410728719999998</v>
      </c>
      <c r="O120" s="575">
        <v>8.0419283700000008</v>
      </c>
      <c r="P120" s="574">
        <v>2.5542567570000001</v>
      </c>
    </row>
    <row r="121" spans="1:16" ht="15.75" customHeight="1" x14ac:dyDescent="0.2">
      <c r="A121" s="492" t="s">
        <v>167</v>
      </c>
      <c r="B121" s="576">
        <v>2.5126265440000002</v>
      </c>
      <c r="C121" s="576">
        <v>5.3011941719999998</v>
      </c>
      <c r="D121" s="576">
        <v>11.209380562</v>
      </c>
      <c r="E121" s="576">
        <v>10.235722560999999</v>
      </c>
      <c r="F121" s="576">
        <v>10.732509994000001</v>
      </c>
      <c r="G121" s="576">
        <v>10.04059825</v>
      </c>
      <c r="H121" s="576">
        <v>11.312599816000001</v>
      </c>
      <c r="I121" s="576">
        <v>7.903154765</v>
      </c>
      <c r="J121" s="576" t="s">
        <v>102</v>
      </c>
      <c r="K121" s="576" t="s">
        <v>102</v>
      </c>
      <c r="L121" s="576" t="s">
        <v>102</v>
      </c>
      <c r="M121" s="578">
        <v>10.463239915000001</v>
      </c>
      <c r="N121" s="578">
        <v>7.903154765</v>
      </c>
      <c r="O121" s="578">
        <v>10.299693188000001</v>
      </c>
      <c r="P121" s="576">
        <v>4.3767579660000004</v>
      </c>
    </row>
    <row r="122" spans="1:16" ht="15.75" customHeight="1" x14ac:dyDescent="0.2">
      <c r="A122" s="490" t="s">
        <v>322</v>
      </c>
      <c r="B122" s="574">
        <v>0.86218566900000004</v>
      </c>
      <c r="C122" s="574">
        <v>12.034713994000001</v>
      </c>
      <c r="D122" s="574">
        <v>3.0287016640000002</v>
      </c>
      <c r="E122" s="574">
        <v>-1.3548891460000001</v>
      </c>
      <c r="F122" s="574">
        <v>6.6205860980000004</v>
      </c>
      <c r="G122" s="574">
        <v>13.238308607</v>
      </c>
      <c r="H122" s="574">
        <v>-11.216355653000001</v>
      </c>
      <c r="I122" s="574">
        <v>1.0230517539999999</v>
      </c>
      <c r="J122" s="574" t="s">
        <v>102</v>
      </c>
      <c r="K122" s="574" t="s">
        <v>102</v>
      </c>
      <c r="L122" s="574" t="s">
        <v>102</v>
      </c>
      <c r="M122" s="575">
        <v>2.3813372080000001</v>
      </c>
      <c r="N122" s="575">
        <v>1.0230517539999999</v>
      </c>
      <c r="O122" s="575">
        <v>2.3532386870000002</v>
      </c>
      <c r="P122" s="574">
        <v>0.87048807299999997</v>
      </c>
    </row>
    <row r="123" spans="1:16" ht="15.75" customHeight="1" x14ac:dyDescent="0.2">
      <c r="A123" s="492" t="s">
        <v>168</v>
      </c>
      <c r="B123" s="576">
        <v>-10.48543424</v>
      </c>
      <c r="C123" s="576">
        <v>-10.838151934000001</v>
      </c>
      <c r="D123" s="576">
        <v>-5.4036569930000002</v>
      </c>
      <c r="E123" s="576">
        <v>-1.084934504</v>
      </c>
      <c r="F123" s="576">
        <v>1.217449751</v>
      </c>
      <c r="G123" s="576">
        <v>4.0311046800000003</v>
      </c>
      <c r="H123" s="576">
        <v>1.7905015E-2</v>
      </c>
      <c r="I123" s="576">
        <v>-1.362702085</v>
      </c>
      <c r="J123" s="576" t="s">
        <v>102</v>
      </c>
      <c r="K123" s="576" t="s">
        <v>102</v>
      </c>
      <c r="L123" s="576" t="s">
        <v>102</v>
      </c>
      <c r="M123" s="578">
        <v>-3.8370079000000001E-2</v>
      </c>
      <c r="N123" s="578">
        <v>-1.362702085</v>
      </c>
      <c r="O123" s="578">
        <v>-0.15577091300000001</v>
      </c>
      <c r="P123" s="576">
        <v>-7.6748749969999999</v>
      </c>
    </row>
    <row r="124" spans="1:16" ht="15.75" customHeight="1" x14ac:dyDescent="0.2">
      <c r="A124" s="490" t="s">
        <v>169</v>
      </c>
      <c r="B124" s="574">
        <v>9.4283238409999992</v>
      </c>
      <c r="C124" s="574">
        <v>10.028615304000001</v>
      </c>
      <c r="D124" s="574">
        <v>7.96616255</v>
      </c>
      <c r="E124" s="574">
        <v>5.4094766989999998</v>
      </c>
      <c r="F124" s="574">
        <v>3.6906893639999998</v>
      </c>
      <c r="G124" s="574">
        <v>2.3541794120000001</v>
      </c>
      <c r="H124" s="574">
        <v>3.3706729979999999</v>
      </c>
      <c r="I124" s="574">
        <v>2.3568431570000001</v>
      </c>
      <c r="J124" s="574" t="s">
        <v>102</v>
      </c>
      <c r="K124" s="574" t="s">
        <v>102</v>
      </c>
      <c r="L124" s="574" t="s">
        <v>102</v>
      </c>
      <c r="M124" s="575">
        <v>4.8547516330000002</v>
      </c>
      <c r="N124" s="575">
        <v>2.3568431570000001</v>
      </c>
      <c r="O124" s="575">
        <v>4.7263952600000003</v>
      </c>
      <c r="P124" s="574">
        <v>3.1945914609999999</v>
      </c>
    </row>
    <row r="125" spans="1:16" ht="15.75" customHeight="1" x14ac:dyDescent="0.2">
      <c r="A125" s="492" t="s">
        <v>170</v>
      </c>
      <c r="B125" s="576">
        <v>-5.5225300940000004</v>
      </c>
      <c r="C125" s="576">
        <v>2.2250408319999999</v>
      </c>
      <c r="D125" s="576">
        <v>-1.2393122329999999</v>
      </c>
      <c r="E125" s="576">
        <v>-2.0004218549999999</v>
      </c>
      <c r="F125" s="576">
        <v>-9.5203609749999991</v>
      </c>
      <c r="G125" s="576">
        <v>-9.8189955179999995</v>
      </c>
      <c r="H125" s="576">
        <v>-10.044757558000001</v>
      </c>
      <c r="I125" s="576">
        <v>-25.194020945999998</v>
      </c>
      <c r="J125" s="576" t="s">
        <v>102</v>
      </c>
      <c r="K125" s="576" t="s">
        <v>102</v>
      </c>
      <c r="L125" s="576" t="s">
        <v>102</v>
      </c>
      <c r="M125" s="578">
        <v>-4.9727191309999998</v>
      </c>
      <c r="N125" s="578">
        <v>-25.194020945999998</v>
      </c>
      <c r="O125" s="578">
        <v>-5.9394127670000003</v>
      </c>
      <c r="P125" s="576">
        <v>1.9501974019999999</v>
      </c>
    </row>
    <row r="126" spans="1:16" ht="15.75" customHeight="1" x14ac:dyDescent="0.2">
      <c r="A126" s="490" t="s">
        <v>171</v>
      </c>
      <c r="B126" s="574">
        <v>16.112447519</v>
      </c>
      <c r="C126" s="574">
        <v>30.691290452</v>
      </c>
      <c r="D126" s="574">
        <v>24.140127866</v>
      </c>
      <c r="E126" s="574">
        <v>-6.7076515030000001</v>
      </c>
      <c r="F126" s="574">
        <v>46.760893734</v>
      </c>
      <c r="G126" s="574">
        <v>-24.10926838</v>
      </c>
      <c r="H126" s="574">
        <v>0.265509255</v>
      </c>
      <c r="I126" s="574">
        <v>-39.067166421000003</v>
      </c>
      <c r="J126" s="574" t="s">
        <v>102</v>
      </c>
      <c r="K126" s="574" t="s">
        <v>102</v>
      </c>
      <c r="L126" s="574" t="s">
        <v>102</v>
      </c>
      <c r="M126" s="575">
        <v>5.6566940429999999</v>
      </c>
      <c r="N126" s="575">
        <v>-39.067166421000003</v>
      </c>
      <c r="O126" s="575">
        <v>2.7717373329999999</v>
      </c>
      <c r="P126" s="574">
        <v>4.6835640789999999</v>
      </c>
    </row>
    <row r="127" spans="1:16" ht="15.75" customHeight="1" x14ac:dyDescent="0.2">
      <c r="A127" s="693" t="s">
        <v>607</v>
      </c>
      <c r="B127" s="576">
        <v>40.435635615999999</v>
      </c>
      <c r="C127" s="576">
        <v>27.412311953</v>
      </c>
      <c r="D127" s="576">
        <v>23.137450589</v>
      </c>
      <c r="E127" s="576">
        <v>36.974020776000003</v>
      </c>
      <c r="F127" s="576">
        <v>30.854878055</v>
      </c>
      <c r="G127" s="576">
        <v>36.778653275000003</v>
      </c>
      <c r="H127" s="576">
        <v>34.086810696999997</v>
      </c>
      <c r="I127" s="576">
        <v>67.487955939000003</v>
      </c>
      <c r="J127" s="576" t="s">
        <v>102</v>
      </c>
      <c r="K127" s="576" t="s">
        <v>102</v>
      </c>
      <c r="L127" s="576" t="s">
        <v>102</v>
      </c>
      <c r="M127" s="578">
        <v>32.979022968999999</v>
      </c>
      <c r="N127" s="578">
        <v>67.487955939000003</v>
      </c>
      <c r="O127" s="578">
        <v>35.066051834</v>
      </c>
      <c r="P127" s="576">
        <v>7.8328566080000002</v>
      </c>
    </row>
    <row r="128" spans="1:16" ht="15.75" customHeight="1" x14ac:dyDescent="0.2">
      <c r="A128" s="490" t="s">
        <v>172</v>
      </c>
      <c r="B128" s="574">
        <v>67.157992132999993</v>
      </c>
      <c r="C128" s="574">
        <v>-11.6674065</v>
      </c>
      <c r="D128" s="574">
        <v>6.7809890250000002</v>
      </c>
      <c r="E128" s="574">
        <v>-11.592606669</v>
      </c>
      <c r="F128" s="574">
        <v>34.220975670000001</v>
      </c>
      <c r="G128" s="574">
        <v>38.665948618999998</v>
      </c>
      <c r="H128" s="574">
        <v>8.1436168579999997</v>
      </c>
      <c r="I128" s="574">
        <v>4.6381604159999998</v>
      </c>
      <c r="J128" s="574" t="s">
        <v>102</v>
      </c>
      <c r="K128" s="574" t="s">
        <v>102</v>
      </c>
      <c r="L128" s="574" t="s">
        <v>102</v>
      </c>
      <c r="M128" s="575">
        <v>8.7310683069999993</v>
      </c>
      <c r="N128" s="575">
        <v>4.6381604159999998</v>
      </c>
      <c r="O128" s="575">
        <v>7.6126403219999998</v>
      </c>
      <c r="P128" s="574">
        <v>-0.97563886200000005</v>
      </c>
    </row>
    <row r="129" spans="1:20" ht="15.75" customHeight="1" x14ac:dyDescent="0.2">
      <c r="A129" s="492" t="s">
        <v>173</v>
      </c>
      <c r="B129" s="576">
        <v>4.9782159909999999</v>
      </c>
      <c r="C129" s="576">
        <v>-1.6180334240000001</v>
      </c>
      <c r="D129" s="576">
        <v>8.4195588909999994</v>
      </c>
      <c r="E129" s="576">
        <v>6.1581301059999998</v>
      </c>
      <c r="F129" s="576">
        <v>-0.39835622700000001</v>
      </c>
      <c r="G129" s="576">
        <v>21.444869722</v>
      </c>
      <c r="H129" s="576">
        <v>24.045148232999999</v>
      </c>
      <c r="I129" s="576">
        <v>9.1511915340000005</v>
      </c>
      <c r="J129" s="576" t="s">
        <v>102</v>
      </c>
      <c r="K129" s="576" t="s">
        <v>102</v>
      </c>
      <c r="L129" s="576" t="s">
        <v>102</v>
      </c>
      <c r="M129" s="578">
        <v>8.7063785009999997</v>
      </c>
      <c r="N129" s="578">
        <v>9.1511915340000005</v>
      </c>
      <c r="O129" s="578">
        <v>8.7322411960000004</v>
      </c>
      <c r="P129" s="576">
        <v>5.9018008740000001</v>
      </c>
    </row>
    <row r="130" spans="1:20" ht="15.75" customHeight="1" x14ac:dyDescent="0.2">
      <c r="A130" s="495" t="s">
        <v>174</v>
      </c>
      <c r="B130" s="579">
        <v>18.718908824</v>
      </c>
      <c r="C130" s="579">
        <v>-12.474670633000001</v>
      </c>
      <c r="D130" s="579">
        <v>19.334071192</v>
      </c>
      <c r="E130" s="579">
        <v>-6.2693653649999996</v>
      </c>
      <c r="F130" s="579">
        <v>67.655256139000002</v>
      </c>
      <c r="G130" s="579">
        <v>-57.311345588000002</v>
      </c>
      <c r="H130" s="579">
        <v>32.670001178</v>
      </c>
      <c r="I130" s="579">
        <v>8.3473995120000009</v>
      </c>
      <c r="J130" s="579" t="s">
        <v>102</v>
      </c>
      <c r="K130" s="579" t="s">
        <v>102</v>
      </c>
      <c r="L130" s="579" t="s">
        <v>102</v>
      </c>
      <c r="M130" s="580">
        <v>-0.53156671799999999</v>
      </c>
      <c r="N130" s="580">
        <v>8.3473995120000009</v>
      </c>
      <c r="O130" s="580">
        <v>-0.284468163</v>
      </c>
      <c r="P130" s="579">
        <v>7.8138926639999999</v>
      </c>
    </row>
    <row r="131" spans="1:20" ht="16.5" customHeight="1" x14ac:dyDescent="0.25">
      <c r="A131" s="544" t="s">
        <v>224</v>
      </c>
      <c r="B131" s="583"/>
      <c r="C131" s="583"/>
      <c r="D131" s="583"/>
      <c r="E131" s="583"/>
      <c r="F131" s="583"/>
      <c r="G131" s="583"/>
      <c r="H131" s="583"/>
      <c r="I131" s="583"/>
      <c r="J131" s="583"/>
      <c r="K131" s="583"/>
      <c r="L131" s="583"/>
      <c r="M131" s="584"/>
      <c r="N131" s="584"/>
      <c r="O131" s="584"/>
      <c r="P131" s="583"/>
    </row>
    <row r="132" spans="1:20" ht="16.5" customHeight="1" x14ac:dyDescent="0.25">
      <c r="A132" s="487" t="s">
        <v>288</v>
      </c>
      <c r="B132" s="572">
        <v>-24.104732272</v>
      </c>
      <c r="C132" s="572">
        <v>-22.231239729999999</v>
      </c>
      <c r="D132" s="572">
        <v>14.659822626</v>
      </c>
      <c r="E132" s="572">
        <v>18.227523746999999</v>
      </c>
      <c r="F132" s="572">
        <v>27.712522722999999</v>
      </c>
      <c r="G132" s="572">
        <v>-2.6732203060000002</v>
      </c>
      <c r="H132" s="572">
        <v>13.405788506</v>
      </c>
      <c r="I132" s="572">
        <v>-9.8891945959999994</v>
      </c>
      <c r="J132" s="572" t="s">
        <v>102</v>
      </c>
      <c r="K132" s="572" t="s">
        <v>102</v>
      </c>
      <c r="L132" s="572" t="s">
        <v>102</v>
      </c>
      <c r="M132" s="573">
        <v>14.887470802999999</v>
      </c>
      <c r="N132" s="573">
        <v>-9.8891945959999994</v>
      </c>
      <c r="O132" s="573">
        <v>12.859118529</v>
      </c>
      <c r="P132" s="572">
        <v>10.163335259</v>
      </c>
    </row>
    <row r="133" spans="1:20" ht="15.75" customHeight="1" x14ac:dyDescent="0.2">
      <c r="A133" s="545" t="s">
        <v>178</v>
      </c>
      <c r="B133" s="585">
        <v>-29.441811377000001</v>
      </c>
      <c r="C133" s="585">
        <v>-24.227814595000002</v>
      </c>
      <c r="D133" s="585">
        <v>20.155421516000001</v>
      </c>
      <c r="E133" s="585">
        <v>20.510583171</v>
      </c>
      <c r="F133" s="585">
        <v>37.517959924000003</v>
      </c>
      <c r="G133" s="585">
        <v>-1.050269423</v>
      </c>
      <c r="H133" s="585">
        <v>-2.6810817610000002</v>
      </c>
      <c r="I133" s="585">
        <v>-1.630534208</v>
      </c>
      <c r="J133" s="585" t="s">
        <v>102</v>
      </c>
      <c r="K133" s="585" t="s">
        <v>102</v>
      </c>
      <c r="L133" s="585" t="s">
        <v>102</v>
      </c>
      <c r="M133" s="586">
        <v>16.573577692000001</v>
      </c>
      <c r="N133" s="586">
        <v>-1.630534208</v>
      </c>
      <c r="O133" s="586">
        <v>15.088651024000001</v>
      </c>
      <c r="P133" s="585">
        <v>10.725448594</v>
      </c>
    </row>
    <row r="134" spans="1:20" ht="15.75" customHeight="1" x14ac:dyDescent="0.2">
      <c r="A134" s="546" t="s">
        <v>179</v>
      </c>
      <c r="B134" s="587">
        <v>-60.919704762999999</v>
      </c>
      <c r="C134" s="587">
        <v>203.93960387999999</v>
      </c>
      <c r="D134" s="587">
        <v>86.973276373999994</v>
      </c>
      <c r="E134" s="587">
        <v>4.4967564839999996</v>
      </c>
      <c r="F134" s="587">
        <v>-40.273618036000002</v>
      </c>
      <c r="G134" s="587">
        <v>111.12110969299999</v>
      </c>
      <c r="H134" s="587">
        <v>82.985273186000001</v>
      </c>
      <c r="I134" s="587">
        <v>-69.588827699999996</v>
      </c>
      <c r="J134" s="587" t="s">
        <v>102</v>
      </c>
      <c r="K134" s="587" t="s">
        <v>102</v>
      </c>
      <c r="L134" s="587" t="s">
        <v>102</v>
      </c>
      <c r="M134" s="588">
        <v>18.495374538</v>
      </c>
      <c r="N134" s="588">
        <v>-69.588827699999996</v>
      </c>
      <c r="O134" s="588">
        <v>7.6037294009999998</v>
      </c>
      <c r="P134" s="587">
        <v>2.2363989449999999</v>
      </c>
    </row>
    <row r="135" spans="1:20" ht="15.75" customHeight="1" x14ac:dyDescent="0.2">
      <c r="A135" s="545" t="s">
        <v>180</v>
      </c>
      <c r="B135" s="585" t="s">
        <v>102</v>
      </c>
      <c r="C135" s="585">
        <v>19.362413504999999</v>
      </c>
      <c r="D135" s="585">
        <v>-52.552115295999997</v>
      </c>
      <c r="E135" s="585">
        <v>-8.4440765379999991</v>
      </c>
      <c r="F135" s="585">
        <v>9.1344166500000004</v>
      </c>
      <c r="G135" s="585">
        <v>-27.225658996</v>
      </c>
      <c r="H135" s="585">
        <v>98.093364280000003</v>
      </c>
      <c r="I135" s="605">
        <v>-61.559571708999997</v>
      </c>
      <c r="J135" s="585" t="s">
        <v>102</v>
      </c>
      <c r="K135" s="585" t="s">
        <v>102</v>
      </c>
      <c r="L135" s="585" t="s">
        <v>102</v>
      </c>
      <c r="M135" s="586">
        <v>-11.671128924</v>
      </c>
      <c r="N135" s="848">
        <v>-61.559571708999997</v>
      </c>
      <c r="O135" s="586">
        <v>-13.883164201</v>
      </c>
      <c r="P135" s="585">
        <v>9.7225327549999996</v>
      </c>
    </row>
    <row r="136" spans="1:20" ht="16.5" customHeight="1" x14ac:dyDescent="0.25">
      <c r="A136" s="547" t="s">
        <v>289</v>
      </c>
      <c r="B136" s="589">
        <v>-10.706428812</v>
      </c>
      <c r="C136" s="589">
        <v>13.208391990999999</v>
      </c>
      <c r="D136" s="589">
        <v>-14.869957705999999</v>
      </c>
      <c r="E136" s="589">
        <v>1.315512942</v>
      </c>
      <c r="F136" s="589">
        <v>143.37447902400001</v>
      </c>
      <c r="G136" s="589">
        <v>13.584411941000001</v>
      </c>
      <c r="H136" s="589">
        <v>41.260449391999998</v>
      </c>
      <c r="I136" s="589">
        <v>-27.376845715000002</v>
      </c>
      <c r="J136" s="589" t="s">
        <v>102</v>
      </c>
      <c r="K136" s="589" t="s">
        <v>102</v>
      </c>
      <c r="L136" s="589" t="s">
        <v>102</v>
      </c>
      <c r="M136" s="590">
        <v>38.060657638000002</v>
      </c>
      <c r="N136" s="590">
        <v>-27.376845715000002</v>
      </c>
      <c r="O136" s="590">
        <v>34.006296937999998</v>
      </c>
      <c r="P136" s="589">
        <v>4.5805366169999999</v>
      </c>
    </row>
    <row r="137" spans="1:20" ht="15.75" customHeight="1" x14ac:dyDescent="0.2">
      <c r="A137" s="545" t="s">
        <v>182</v>
      </c>
      <c r="B137" s="585">
        <v>334.66554535</v>
      </c>
      <c r="C137" s="585">
        <v>20.483021568000002</v>
      </c>
      <c r="D137" s="585">
        <v>27.004552156999999</v>
      </c>
      <c r="E137" s="585">
        <v>21.499034405</v>
      </c>
      <c r="F137" s="585">
        <v>9.8634903230000006</v>
      </c>
      <c r="G137" s="585">
        <v>5.4942669769999997</v>
      </c>
      <c r="H137" s="585">
        <v>15.787781387000001</v>
      </c>
      <c r="I137" s="585">
        <v>35.721026905000002</v>
      </c>
      <c r="J137" s="585" t="s">
        <v>102</v>
      </c>
      <c r="K137" s="585" t="s">
        <v>102</v>
      </c>
      <c r="L137" s="585" t="s">
        <v>102</v>
      </c>
      <c r="M137" s="586">
        <v>16.312175538000002</v>
      </c>
      <c r="N137" s="586">
        <v>35.721026905000002</v>
      </c>
      <c r="O137" s="586">
        <v>17.436451696999999</v>
      </c>
      <c r="P137" s="585">
        <v>10.330488277000001</v>
      </c>
    </row>
    <row r="138" spans="1:20" ht="15.75" customHeight="1" x14ac:dyDescent="0.2">
      <c r="A138" s="548" t="s">
        <v>183</v>
      </c>
      <c r="B138" s="587">
        <v>-44.198610090999999</v>
      </c>
      <c r="C138" s="587">
        <v>-7.153910174</v>
      </c>
      <c r="D138" s="587">
        <v>-5.0866920000000002</v>
      </c>
      <c r="E138" s="587">
        <v>11.943297146999999</v>
      </c>
      <c r="F138" s="587">
        <v>2.8425292010000001</v>
      </c>
      <c r="G138" s="587">
        <v>69.497922394</v>
      </c>
      <c r="H138" s="587">
        <v>83.576133034999998</v>
      </c>
      <c r="I138" s="587">
        <v>-8.643231063</v>
      </c>
      <c r="J138" s="587" t="s">
        <v>102</v>
      </c>
      <c r="K138" s="587" t="s">
        <v>102</v>
      </c>
      <c r="L138" s="587" t="s">
        <v>102</v>
      </c>
      <c r="M138" s="588">
        <v>21.666977473999999</v>
      </c>
      <c r="N138" s="588">
        <v>-8.643231063</v>
      </c>
      <c r="O138" s="588">
        <v>19.745475730999999</v>
      </c>
      <c r="P138" s="587">
        <v>5.9774797599999996</v>
      </c>
    </row>
    <row r="139" spans="1:20" ht="15.75" customHeight="1" x14ac:dyDescent="0.2">
      <c r="A139" s="545" t="s">
        <v>465</v>
      </c>
      <c r="B139" s="992">
        <v>-11.718781760000001</v>
      </c>
      <c r="C139" s="585">
        <v>94.526855415</v>
      </c>
      <c r="D139" s="585">
        <v>-51.432514978999997</v>
      </c>
      <c r="E139" s="585">
        <v>-23.434176083000001</v>
      </c>
      <c r="F139" s="585">
        <v>295.22856236199999</v>
      </c>
      <c r="G139" s="585">
        <v>-14.044408939</v>
      </c>
      <c r="H139" s="585">
        <v>-55.948896892999997</v>
      </c>
      <c r="I139" s="585">
        <v>-79.295706085000006</v>
      </c>
      <c r="J139" s="585" t="s">
        <v>102</v>
      </c>
      <c r="K139" s="585" t="s">
        <v>102</v>
      </c>
      <c r="L139" s="585" t="s">
        <v>102</v>
      </c>
      <c r="M139" s="586">
        <v>68.827614467999993</v>
      </c>
      <c r="N139" s="586">
        <v>-79.295706085000006</v>
      </c>
      <c r="O139" s="586">
        <v>59.627618556000002</v>
      </c>
      <c r="P139" s="585">
        <v>-5.3640444059999997</v>
      </c>
    </row>
    <row r="140" spans="1:20" ht="16.5" customHeight="1" x14ac:dyDescent="0.25">
      <c r="A140" s="549" t="s">
        <v>226</v>
      </c>
      <c r="B140" s="591"/>
      <c r="C140" s="591"/>
      <c r="D140" s="591"/>
      <c r="E140" s="591"/>
      <c r="F140" s="591"/>
      <c r="G140" s="591"/>
      <c r="H140" s="591"/>
      <c r="I140" s="591"/>
      <c r="J140" s="591"/>
      <c r="K140" s="591"/>
      <c r="L140" s="591"/>
      <c r="M140" s="592"/>
      <c r="N140" s="592"/>
      <c r="O140" s="592"/>
      <c r="P140" s="591"/>
    </row>
    <row r="141" spans="1:20" ht="16.5" customHeight="1" x14ac:dyDescent="0.25">
      <c r="A141" s="550" t="s">
        <v>458</v>
      </c>
      <c r="B141" s="593">
        <v>-0.86518497699999997</v>
      </c>
      <c r="C141" s="593">
        <v>5.5309320140000002</v>
      </c>
      <c r="D141" s="593">
        <v>7.1031480929999997</v>
      </c>
      <c r="E141" s="593">
        <v>4.2939334000000002</v>
      </c>
      <c r="F141" s="593">
        <v>3.8118108679999998</v>
      </c>
      <c r="G141" s="593">
        <v>-9.2142241820000006</v>
      </c>
      <c r="H141" s="593">
        <v>8.2794216330000001</v>
      </c>
      <c r="I141" s="593">
        <v>4.851207627</v>
      </c>
      <c r="J141" s="593" t="s">
        <v>102</v>
      </c>
      <c r="K141" s="593" t="s">
        <v>102</v>
      </c>
      <c r="L141" s="593" t="s">
        <v>102</v>
      </c>
      <c r="M141" s="594">
        <v>2.9906590639999999</v>
      </c>
      <c r="N141" s="594">
        <v>4.851207627</v>
      </c>
      <c r="O141" s="594">
        <v>3.1191048270000001</v>
      </c>
      <c r="P141" s="593">
        <v>3.761913233</v>
      </c>
    </row>
    <row r="142" spans="1:20" ht="16.5" customHeight="1" x14ac:dyDescent="0.2">
      <c r="A142" s="551" t="s">
        <v>402</v>
      </c>
      <c r="B142" s="595">
        <v>4.1041837000000001</v>
      </c>
      <c r="C142" s="595">
        <v>5.3122071750000002</v>
      </c>
      <c r="D142" s="595">
        <v>10.838103267999999</v>
      </c>
      <c r="E142" s="595">
        <v>10.935310337000001</v>
      </c>
      <c r="F142" s="595">
        <v>11.588347811</v>
      </c>
      <c r="G142" s="595">
        <v>9.5805865519999998</v>
      </c>
      <c r="H142" s="595">
        <v>11.817675092</v>
      </c>
      <c r="I142" s="595">
        <v>8.0577279239999999</v>
      </c>
      <c r="J142" s="595" t="s">
        <v>102</v>
      </c>
      <c r="K142" s="595" t="s">
        <v>102</v>
      </c>
      <c r="L142" s="595" t="s">
        <v>102</v>
      </c>
      <c r="M142" s="596">
        <v>10.898828437000001</v>
      </c>
      <c r="N142" s="596">
        <v>8.0577279239999999</v>
      </c>
      <c r="O142" s="596">
        <v>10.705022151</v>
      </c>
      <c r="P142" s="595">
        <v>4.845576178</v>
      </c>
    </row>
    <row r="143" spans="1:20" s="3" customFormat="1" ht="16.5" customHeight="1" x14ac:dyDescent="0.25">
      <c r="A143" s="552" t="s">
        <v>403</v>
      </c>
      <c r="B143" s="597">
        <v>2.8753426040000001</v>
      </c>
      <c r="C143" s="597">
        <v>5.0868587749999996</v>
      </c>
      <c r="D143" s="597">
        <v>10.901368029</v>
      </c>
      <c r="E143" s="597">
        <v>9.8096414329999995</v>
      </c>
      <c r="F143" s="597">
        <v>11.254340065999999</v>
      </c>
      <c r="G143" s="597">
        <v>9.8533020350000005</v>
      </c>
      <c r="H143" s="597">
        <v>11.401030607999999</v>
      </c>
      <c r="I143" s="597">
        <v>8.1156756170000008</v>
      </c>
      <c r="J143" s="597" t="s">
        <v>102</v>
      </c>
      <c r="K143" s="597" t="s">
        <v>102</v>
      </c>
      <c r="L143" s="597" t="s">
        <v>102</v>
      </c>
      <c r="M143" s="598">
        <v>10.313664427999999</v>
      </c>
      <c r="N143" s="598">
        <v>8.1156756170000008</v>
      </c>
      <c r="O143" s="598">
        <v>10.176649325</v>
      </c>
      <c r="P143" s="597">
        <v>3.9967386170000001</v>
      </c>
      <c r="Q143"/>
      <c r="S143"/>
      <c r="T143"/>
    </row>
    <row r="144" spans="1:20" ht="16.5" customHeight="1" x14ac:dyDescent="0.25">
      <c r="A144" s="553" t="s">
        <v>404</v>
      </c>
      <c r="B144" s="595">
        <v>4.9982487280000001</v>
      </c>
      <c r="C144" s="595">
        <v>1.6089688040000001</v>
      </c>
      <c r="D144" s="595">
        <v>8.9971588839999992</v>
      </c>
      <c r="E144" s="595">
        <v>4.89083647</v>
      </c>
      <c r="F144" s="595">
        <v>13.882491330000001</v>
      </c>
      <c r="G144" s="595">
        <v>-2.9201161199999999</v>
      </c>
      <c r="H144" s="595">
        <v>10.601314889999999</v>
      </c>
      <c r="I144" s="595">
        <v>5.5878802690000002</v>
      </c>
      <c r="J144" s="595" t="s">
        <v>102</v>
      </c>
      <c r="K144" s="595" t="s">
        <v>102</v>
      </c>
      <c r="L144" s="595" t="s">
        <v>102</v>
      </c>
      <c r="M144" s="596">
        <v>6.6802222359999996</v>
      </c>
      <c r="N144" s="596">
        <v>5.5878802690000002</v>
      </c>
      <c r="O144" s="596">
        <v>6.6078318579999999</v>
      </c>
      <c r="P144" s="595">
        <v>2.6236072610000001</v>
      </c>
    </row>
    <row r="145" spans="1:20" ht="16.5" customHeight="1" x14ac:dyDescent="0.25">
      <c r="A145" s="548" t="s">
        <v>649</v>
      </c>
      <c r="B145" s="599">
        <v>-29.192158343999999</v>
      </c>
      <c r="C145" s="599">
        <v>-25.024035073</v>
      </c>
      <c r="D145" s="599">
        <v>19.885484501000001</v>
      </c>
      <c r="E145" s="599">
        <v>19.412964082999999</v>
      </c>
      <c r="F145" s="599">
        <v>39.091995654000002</v>
      </c>
      <c r="G145" s="599">
        <v>-4.7655502329999999</v>
      </c>
      <c r="H145" s="599">
        <v>-4.1810519429999999</v>
      </c>
      <c r="I145" s="599">
        <v>-1.1331580400000001</v>
      </c>
      <c r="J145" s="599" t="s">
        <v>102</v>
      </c>
      <c r="K145" s="599" t="s">
        <v>102</v>
      </c>
      <c r="L145" s="599" t="s">
        <v>102</v>
      </c>
      <c r="M145" s="600">
        <v>15.157360293</v>
      </c>
      <c r="N145" s="600">
        <v>-1.1331580400000001</v>
      </c>
      <c r="O145" s="600">
        <v>13.845535349</v>
      </c>
      <c r="P145" s="599">
        <v>10.323270634</v>
      </c>
    </row>
    <row r="146" spans="1:20" ht="16.5" customHeight="1" x14ac:dyDescent="0.25">
      <c r="A146" s="554" t="s">
        <v>405</v>
      </c>
      <c r="B146" s="595">
        <v>-63.568742714000003</v>
      </c>
      <c r="C146" s="595">
        <v>-9.4137668039999998</v>
      </c>
      <c r="D146" s="595">
        <v>-10.038970793000001</v>
      </c>
      <c r="E146" s="595">
        <v>-0.633118403</v>
      </c>
      <c r="F146" s="595">
        <v>0.376615376</v>
      </c>
      <c r="G146" s="595">
        <v>0.92417594999999997</v>
      </c>
      <c r="H146" s="595">
        <v>-7.647958783</v>
      </c>
      <c r="I146" s="595">
        <v>0.24412272300000001</v>
      </c>
      <c r="J146" s="595" t="s">
        <v>102</v>
      </c>
      <c r="K146" s="595" t="s">
        <v>102</v>
      </c>
      <c r="L146" s="595" t="s">
        <v>102</v>
      </c>
      <c r="M146" s="596">
        <v>-2.3704560809999999</v>
      </c>
      <c r="N146" s="596">
        <v>0.24412272300000001</v>
      </c>
      <c r="O146" s="596">
        <v>-2.2025335300000002</v>
      </c>
      <c r="P146" s="595">
        <v>1.1807607760000001</v>
      </c>
    </row>
    <row r="147" spans="1:20" ht="16.5" customHeight="1" x14ac:dyDescent="0.25">
      <c r="A147" s="546" t="s">
        <v>406</v>
      </c>
      <c r="B147" s="601">
        <v>-5.1882444860000003</v>
      </c>
      <c r="C147" s="601">
        <v>2.016966794</v>
      </c>
      <c r="D147" s="601">
        <v>-1.512846079</v>
      </c>
      <c r="E147" s="601">
        <v>-2.3792080580000001</v>
      </c>
      <c r="F147" s="601">
        <v>-9.093973128</v>
      </c>
      <c r="G147" s="601">
        <v>-9.9724894200000005</v>
      </c>
      <c r="H147" s="601">
        <v>-9.9732938299999994</v>
      </c>
      <c r="I147" s="601">
        <v>-25.046686694999998</v>
      </c>
      <c r="J147" s="601" t="s">
        <v>102</v>
      </c>
      <c r="K147" s="601" t="s">
        <v>102</v>
      </c>
      <c r="L147" s="601" t="s">
        <v>102</v>
      </c>
      <c r="M147" s="602">
        <v>-5.1013931760000002</v>
      </c>
      <c r="N147" s="602">
        <v>-25.046686694999998</v>
      </c>
      <c r="O147" s="602">
        <v>-6.0443412370000003</v>
      </c>
      <c r="P147" s="601">
        <v>1.5790127780000001</v>
      </c>
    </row>
    <row r="148" spans="1:20" ht="16.5" customHeight="1" x14ac:dyDescent="0.2">
      <c r="A148" s="551" t="s">
        <v>417</v>
      </c>
      <c r="B148" s="595">
        <v>-0.42314122700000001</v>
      </c>
      <c r="C148" s="595">
        <v>0.72064756500000005</v>
      </c>
      <c r="D148" s="595">
        <v>-0.29244002400000002</v>
      </c>
      <c r="E148" s="595">
        <v>0.42901448800000003</v>
      </c>
      <c r="F148" s="595">
        <v>1.230965565</v>
      </c>
      <c r="G148" s="595">
        <v>5.0650704820000003</v>
      </c>
      <c r="H148" s="595">
        <v>-1.120194643</v>
      </c>
      <c r="I148" s="595">
        <v>1.1885014629999999</v>
      </c>
      <c r="J148" s="595" t="s">
        <v>102</v>
      </c>
      <c r="K148" s="595" t="s">
        <v>102</v>
      </c>
      <c r="L148" s="595" t="s">
        <v>102</v>
      </c>
      <c r="M148" s="596">
        <v>1.0372667849999999</v>
      </c>
      <c r="N148" s="596">
        <v>1.1885014629999999</v>
      </c>
      <c r="O148" s="596">
        <v>1.0632220320000001</v>
      </c>
      <c r="P148" s="595">
        <v>0.122944939</v>
      </c>
    </row>
    <row r="149" spans="1:20" s="3" customFormat="1" ht="16.5" customHeight="1" x14ac:dyDescent="0.2">
      <c r="A149" s="552" t="s">
        <v>422</v>
      </c>
      <c r="B149" s="597">
        <v>4.382631827</v>
      </c>
      <c r="C149" s="597">
        <v>-2.5306590529999999</v>
      </c>
      <c r="D149" s="597">
        <v>1.3266399170000001</v>
      </c>
      <c r="E149" s="597">
        <v>0.54229142399999997</v>
      </c>
      <c r="F149" s="597">
        <v>7.6116571659999996</v>
      </c>
      <c r="G149" s="597">
        <v>5.2786216269999997</v>
      </c>
      <c r="H149" s="597">
        <v>1.64026033</v>
      </c>
      <c r="I149" s="597">
        <v>0.59271547899999999</v>
      </c>
      <c r="J149" s="597" t="s">
        <v>102</v>
      </c>
      <c r="K149" s="597" t="s">
        <v>102</v>
      </c>
      <c r="L149" s="597" t="s">
        <v>102</v>
      </c>
      <c r="M149" s="598">
        <v>2.8383094459999998</v>
      </c>
      <c r="N149" s="598">
        <v>0.59271547899999999</v>
      </c>
      <c r="O149" s="598">
        <v>2.6890953820000001</v>
      </c>
      <c r="P149" s="597">
        <v>-0.91563832599999995</v>
      </c>
      <c r="Q149"/>
      <c r="S149"/>
      <c r="T149"/>
    </row>
    <row r="150" spans="1:20" ht="16.5" customHeight="1" x14ac:dyDescent="0.25">
      <c r="A150" s="553" t="s">
        <v>418</v>
      </c>
      <c r="B150" s="595">
        <v>1.357922818</v>
      </c>
      <c r="C150" s="595">
        <v>10.243180374</v>
      </c>
      <c r="D150" s="595">
        <v>-5.4540326659999998</v>
      </c>
      <c r="E150" s="595">
        <v>-0.61452523999999997</v>
      </c>
      <c r="F150" s="595">
        <v>-8.1304845179999994</v>
      </c>
      <c r="G150" s="595">
        <v>-5.0070414010000004</v>
      </c>
      <c r="H150" s="595">
        <v>-1.116514885</v>
      </c>
      <c r="I150" s="595">
        <v>-1.14012186</v>
      </c>
      <c r="J150" s="595" t="s">
        <v>102</v>
      </c>
      <c r="K150" s="595" t="s">
        <v>102</v>
      </c>
      <c r="L150" s="595" t="s">
        <v>102</v>
      </c>
      <c r="M150" s="596">
        <v>-3.1136191599999998</v>
      </c>
      <c r="N150" s="596">
        <v>-1.14012186</v>
      </c>
      <c r="O150" s="596">
        <v>-2.9809799899999998</v>
      </c>
      <c r="P150" s="595">
        <v>0.65463221599999999</v>
      </c>
    </row>
    <row r="151" spans="1:20" ht="16.5" customHeight="1" x14ac:dyDescent="0.25">
      <c r="A151" s="548" t="s">
        <v>463</v>
      </c>
      <c r="B151" s="599">
        <v>-10.740183703</v>
      </c>
      <c r="C151" s="599">
        <v>-10.571253084</v>
      </c>
      <c r="D151" s="599">
        <v>3.3863476320000001</v>
      </c>
      <c r="E151" s="599">
        <v>4.2857046160000003</v>
      </c>
      <c r="F151" s="599">
        <v>6.0098794699999996</v>
      </c>
      <c r="G151" s="599">
        <v>-0.82651759300000005</v>
      </c>
      <c r="H151" s="599">
        <v>-3.8230469399999998</v>
      </c>
      <c r="I151" s="599">
        <v>-2.4505667249999998</v>
      </c>
      <c r="J151" s="599" t="s">
        <v>102</v>
      </c>
      <c r="K151" s="599" t="s">
        <v>102</v>
      </c>
      <c r="L151" s="599" t="s">
        <v>102</v>
      </c>
      <c r="M151" s="600">
        <v>2.5400882</v>
      </c>
      <c r="N151" s="600">
        <v>-2.4505667249999998</v>
      </c>
      <c r="O151" s="600">
        <v>2.2002603839999999</v>
      </c>
      <c r="P151" s="599">
        <v>2.0024005030000001</v>
      </c>
    </row>
    <row r="152" spans="1:20" ht="16.5" customHeight="1" x14ac:dyDescent="0.25">
      <c r="A152" s="554" t="s">
        <v>419</v>
      </c>
      <c r="B152" s="595">
        <v>-37.965142284000002</v>
      </c>
      <c r="C152" s="595">
        <v>-12.330061537000001</v>
      </c>
      <c r="D152" s="595">
        <v>-14.763082575</v>
      </c>
      <c r="E152" s="595">
        <v>-4.5106760850000001</v>
      </c>
      <c r="F152" s="595">
        <v>-7.6867121889999996</v>
      </c>
      <c r="G152" s="595">
        <v>2.6757199699999998</v>
      </c>
      <c r="H152" s="595">
        <v>-15.211937212</v>
      </c>
      <c r="I152" s="595">
        <v>-3.7475010869999998</v>
      </c>
      <c r="J152" s="595" t="s">
        <v>102</v>
      </c>
      <c r="K152" s="595" t="s">
        <v>102</v>
      </c>
      <c r="L152" s="595" t="s">
        <v>102</v>
      </c>
      <c r="M152" s="596">
        <v>-6.758532142</v>
      </c>
      <c r="N152" s="596">
        <v>-3.7475010869999998</v>
      </c>
      <c r="O152" s="596">
        <v>-6.552069994</v>
      </c>
      <c r="P152" s="595">
        <v>-0.98957892700000005</v>
      </c>
    </row>
    <row r="153" spans="1:20" ht="16.5" customHeight="1" x14ac:dyDescent="0.2">
      <c r="A153" s="555" t="s">
        <v>620</v>
      </c>
      <c r="B153" s="603">
        <v>-1.92287977</v>
      </c>
      <c r="C153" s="603">
        <v>-4.0826283999999997E-2</v>
      </c>
      <c r="D153" s="603">
        <v>-0.86648430099999996</v>
      </c>
      <c r="E153" s="603">
        <v>-0.30664204900000003</v>
      </c>
      <c r="F153" s="603">
        <v>-1.949991239</v>
      </c>
      <c r="G153" s="603">
        <v>-0.57829637</v>
      </c>
      <c r="H153" s="603">
        <v>-0.91488637299999997</v>
      </c>
      <c r="I153" s="603">
        <v>-0.32131420900000002</v>
      </c>
      <c r="J153" s="603" t="s">
        <v>102</v>
      </c>
      <c r="K153" s="603" t="s">
        <v>102</v>
      </c>
      <c r="L153" s="603" t="s">
        <v>102</v>
      </c>
      <c r="M153" s="604">
        <v>-0.80025726200000002</v>
      </c>
      <c r="N153" s="604">
        <v>-0.32131420900000002</v>
      </c>
      <c r="O153" s="604">
        <v>-0.77298389000000001</v>
      </c>
      <c r="P153" s="603">
        <v>0.209288696</v>
      </c>
    </row>
    <row r="154" spans="1:20" ht="15" customHeight="1" x14ac:dyDescent="0.2">
      <c r="A154" s="255" t="s">
        <v>909</v>
      </c>
      <c r="B154" s="13"/>
      <c r="C154" s="13"/>
      <c r="D154" s="13"/>
      <c r="E154" s="13"/>
      <c r="F154" s="13"/>
      <c r="G154" s="13"/>
      <c r="H154" s="13"/>
      <c r="I154" s="13"/>
      <c r="J154" s="13"/>
      <c r="K154" s="13"/>
      <c r="L154" s="13"/>
      <c r="M154" s="13"/>
      <c r="N154" s="13"/>
      <c r="O154" s="13"/>
      <c r="P154" s="39"/>
    </row>
    <row r="155" spans="1:20" ht="15" customHeight="1" x14ac:dyDescent="0.2">
      <c r="A155" s="255" t="s">
        <v>357</v>
      </c>
      <c r="B155" s="13"/>
      <c r="C155" s="13"/>
      <c r="D155" s="13"/>
      <c r="E155" s="13"/>
      <c r="F155" s="13"/>
      <c r="G155" s="13"/>
      <c r="H155" s="13"/>
      <c r="I155" s="13"/>
      <c r="J155" s="13"/>
      <c r="K155" s="13"/>
      <c r="L155" s="13"/>
      <c r="M155" s="13"/>
      <c r="N155" s="13"/>
      <c r="O155" s="13"/>
      <c r="P155" s="39"/>
    </row>
    <row r="156" spans="1:20" ht="15" customHeight="1" x14ac:dyDescent="0.2">
      <c r="A156" s="286" t="s">
        <v>904</v>
      </c>
      <c r="B156" s="13"/>
      <c r="C156" s="13"/>
      <c r="D156" s="13"/>
      <c r="E156" s="13"/>
      <c r="F156" s="13"/>
      <c r="G156" s="13"/>
      <c r="H156" s="13"/>
      <c r="I156" s="13"/>
      <c r="J156" s="13"/>
      <c r="K156" s="13"/>
      <c r="L156" s="13"/>
      <c r="M156" s="13"/>
      <c r="N156" s="13"/>
      <c r="O156" s="13"/>
      <c r="P156" s="39"/>
    </row>
    <row r="157" spans="1:20" ht="15" customHeight="1" x14ac:dyDescent="0.2">
      <c r="A157" s="37" t="s">
        <v>557</v>
      </c>
      <c r="B157" s="13"/>
      <c r="C157" s="13"/>
      <c r="D157" s="13"/>
      <c r="E157" s="13"/>
      <c r="F157" s="13"/>
      <c r="G157" s="13"/>
      <c r="H157" s="13"/>
      <c r="I157" s="13"/>
      <c r="J157" s="13"/>
      <c r="K157" s="13"/>
      <c r="L157" s="13"/>
      <c r="M157" s="13"/>
      <c r="N157" s="13"/>
      <c r="O157" s="13"/>
      <c r="P157" s="39"/>
    </row>
    <row r="158" spans="1:20" ht="15" customHeight="1" x14ac:dyDescent="0.2">
      <c r="A158" s="286" t="s">
        <v>905</v>
      </c>
      <c r="B158" s="13"/>
      <c r="C158" s="13"/>
      <c r="D158" s="13"/>
      <c r="E158" s="13"/>
      <c r="F158" s="13"/>
      <c r="G158" s="13"/>
      <c r="H158" s="13"/>
      <c r="I158" s="13"/>
      <c r="J158" s="13"/>
      <c r="K158" s="13"/>
      <c r="L158" s="13"/>
      <c r="M158" s="13"/>
      <c r="N158" s="13"/>
      <c r="O158" s="13"/>
      <c r="P158" s="39"/>
    </row>
    <row r="159" spans="1:20" ht="15" customHeight="1" x14ac:dyDescent="0.2">
      <c r="A159" s="255" t="s">
        <v>977</v>
      </c>
      <c r="B159" s="13"/>
      <c r="C159" s="13"/>
      <c r="D159" s="13"/>
      <c r="E159" s="13"/>
      <c r="F159" s="13"/>
      <c r="G159" s="13"/>
      <c r="H159" s="13"/>
      <c r="I159" s="13"/>
      <c r="J159" s="13"/>
      <c r="K159" s="13"/>
      <c r="L159" s="13"/>
      <c r="M159" s="13"/>
      <c r="N159" s="13"/>
      <c r="O159" s="13"/>
      <c r="P159" s="39"/>
    </row>
    <row r="160" spans="1:20" x14ac:dyDescent="0.2">
      <c r="A160" s="922" t="s">
        <v>913</v>
      </c>
      <c r="B160" s="13"/>
      <c r="C160" s="13"/>
      <c r="D160" s="13"/>
      <c r="E160" s="13"/>
      <c r="F160" s="13"/>
      <c r="G160" s="13"/>
      <c r="H160" s="13"/>
      <c r="I160" s="13"/>
      <c r="J160" s="13"/>
      <c r="K160" s="13"/>
      <c r="L160" s="13"/>
      <c r="M160" s="13"/>
      <c r="N160" s="13"/>
      <c r="O160" s="13"/>
      <c r="P160" s="39"/>
    </row>
    <row r="161" spans="1:16" x14ac:dyDescent="0.2">
      <c r="A161" s="243"/>
      <c r="B161" s="3"/>
      <c r="C161" s="3"/>
      <c r="D161" s="3"/>
      <c r="G161" s="185"/>
      <c r="J161" s="185"/>
    </row>
    <row r="162" spans="1:16" ht="12.75" customHeight="1" x14ac:dyDescent="0.2">
      <c r="A162" s="1015" t="s">
        <v>679</v>
      </c>
      <c r="B162" s="1015"/>
      <c r="C162" s="1015"/>
      <c r="D162" s="1015"/>
      <c r="E162" s="1015"/>
      <c r="F162" s="1015"/>
      <c r="G162" s="1015"/>
      <c r="H162" s="1015"/>
      <c r="I162" s="1015"/>
      <c r="J162" s="1015"/>
      <c r="K162" s="1015"/>
      <c r="L162" s="1015"/>
      <c r="M162" s="1015"/>
      <c r="N162" s="1015"/>
      <c r="O162" s="1015"/>
      <c r="P162" s="1015"/>
    </row>
    <row r="163" spans="1:16" ht="13.5" customHeight="1" x14ac:dyDescent="0.2">
      <c r="A163" s="1015"/>
      <c r="B163" s="1015"/>
      <c r="C163" s="1015"/>
      <c r="D163" s="1015"/>
      <c r="E163" s="1015"/>
      <c r="F163" s="1015"/>
      <c r="G163" s="1015"/>
      <c r="H163" s="1015"/>
      <c r="I163" s="1015"/>
      <c r="J163" s="1015"/>
      <c r="K163" s="1015"/>
      <c r="L163" s="1015"/>
      <c r="M163" s="1015"/>
      <c r="N163" s="1015"/>
      <c r="O163" s="1015"/>
      <c r="P163" s="1015"/>
    </row>
    <row r="164" spans="1:16" x14ac:dyDescent="0.2">
      <c r="A164" s="1015"/>
      <c r="B164" s="1015"/>
      <c r="C164" s="1015"/>
      <c r="D164" s="1015"/>
      <c r="E164" s="1015"/>
      <c r="F164" s="1015"/>
      <c r="G164" s="1015"/>
      <c r="H164" s="1015"/>
      <c r="I164" s="1015"/>
      <c r="J164" s="1015"/>
      <c r="K164" s="1015"/>
      <c r="L164" s="1015"/>
      <c r="M164" s="1015"/>
      <c r="N164" s="1015"/>
      <c r="O164" s="1015"/>
      <c r="P164" s="1015"/>
    </row>
    <row r="165" spans="1:16" x14ac:dyDescent="0.2">
      <c r="A165" s="303"/>
      <c r="B165" s="303"/>
      <c r="C165" s="303"/>
      <c r="D165" s="303"/>
      <c r="E165" s="303"/>
      <c r="F165" s="303"/>
      <c r="G165" s="306"/>
      <c r="H165" s="306"/>
      <c r="I165" s="306"/>
      <c r="J165" s="306"/>
      <c r="K165" s="306"/>
      <c r="L165" s="306"/>
      <c r="M165" s="306"/>
      <c r="N165" s="306"/>
      <c r="O165" s="306"/>
      <c r="P165" s="306"/>
    </row>
    <row r="166" spans="1:16" x14ac:dyDescent="0.2">
      <c r="A166" s="1024" t="s">
        <v>324</v>
      </c>
      <c r="B166" s="1024"/>
      <c r="C166" s="1024"/>
      <c r="D166" s="1024"/>
      <c r="E166" s="1024"/>
      <c r="F166" s="1024"/>
      <c r="G166" s="306"/>
      <c r="H166" s="306"/>
      <c r="I166" s="306"/>
      <c r="J166" s="306"/>
      <c r="K166" s="306"/>
      <c r="L166" s="306"/>
      <c r="M166" s="306"/>
      <c r="N166" s="306"/>
      <c r="O166" s="306"/>
      <c r="P166" s="306"/>
    </row>
    <row r="167" spans="1:16" x14ac:dyDescent="0.2">
      <c r="A167" s="303"/>
      <c r="B167" s="303"/>
      <c r="C167" s="303"/>
      <c r="D167" s="303"/>
      <c r="E167" s="303"/>
      <c r="F167" s="303"/>
      <c r="G167" s="306"/>
      <c r="H167" s="306"/>
      <c r="I167" s="306"/>
      <c r="J167" s="306"/>
      <c r="K167" s="306"/>
      <c r="L167" s="306"/>
      <c r="M167" s="306"/>
      <c r="N167" s="306"/>
      <c r="O167" s="306"/>
      <c r="P167" s="306"/>
    </row>
    <row r="168" spans="1:16" ht="12.75" customHeight="1" x14ac:dyDescent="0.2">
      <c r="A168" s="1015" t="s">
        <v>325</v>
      </c>
      <c r="B168" s="1015"/>
      <c r="C168" s="1015"/>
      <c r="D168" s="1015"/>
      <c r="E168" s="1015"/>
      <c r="F168" s="1015"/>
      <c r="G168" s="1015"/>
      <c r="H168" s="1015"/>
      <c r="I168" s="1015"/>
      <c r="J168" s="1015"/>
      <c r="K168" s="1015"/>
      <c r="L168" s="1015"/>
      <c r="M168" s="1015"/>
      <c r="N168" s="1015"/>
      <c r="O168" s="1015"/>
      <c r="P168" s="1015"/>
    </row>
    <row r="169" spans="1:16" x14ac:dyDescent="0.2">
      <c r="A169" s="1015"/>
      <c r="B169" s="1015"/>
      <c r="C169" s="1015"/>
      <c r="D169" s="1015"/>
      <c r="E169" s="1015"/>
      <c r="F169" s="1015"/>
      <c r="G169" s="1015"/>
      <c r="H169" s="1015"/>
      <c r="I169" s="1015"/>
      <c r="J169" s="1015"/>
      <c r="K169" s="1015"/>
      <c r="L169" s="1015"/>
      <c r="M169" s="1015"/>
      <c r="N169" s="1015"/>
      <c r="O169" s="1015"/>
      <c r="P169" s="1015"/>
    </row>
    <row r="170" spans="1:16" x14ac:dyDescent="0.2">
      <c r="A170" s="303"/>
      <c r="B170" s="303"/>
      <c r="C170" s="303"/>
      <c r="D170" s="303"/>
      <c r="E170" s="303"/>
      <c r="F170" s="303"/>
      <c r="G170" s="306"/>
      <c r="H170" s="306"/>
      <c r="I170" s="306"/>
      <c r="J170" s="306"/>
      <c r="K170" s="306"/>
      <c r="L170" s="306"/>
      <c r="M170" s="306"/>
      <c r="N170" s="306"/>
      <c r="O170" s="306"/>
      <c r="P170" s="306"/>
    </row>
    <row r="171" spans="1:16" ht="12.75" customHeight="1" x14ac:dyDescent="0.2">
      <c r="A171" s="1015" t="s">
        <v>326</v>
      </c>
      <c r="B171" s="1015"/>
      <c r="C171" s="1015"/>
      <c r="D171" s="1015"/>
      <c r="E171" s="1015"/>
      <c r="F171" s="1015"/>
      <c r="G171" s="1015"/>
      <c r="H171" s="1015"/>
      <c r="I171" s="1015"/>
      <c r="J171" s="1015"/>
      <c r="K171" s="1015"/>
      <c r="L171" s="1015"/>
      <c r="M171" s="1015"/>
      <c r="N171" s="1015"/>
      <c r="O171" s="1015"/>
      <c r="P171" s="1015"/>
    </row>
    <row r="172" spans="1:16" x14ac:dyDescent="0.2">
      <c r="A172" s="1015"/>
      <c r="B172" s="1015"/>
      <c r="C172" s="1015"/>
      <c r="D172" s="1015"/>
      <c r="E172" s="1015"/>
      <c r="F172" s="1015"/>
      <c r="G172" s="1015"/>
      <c r="H172" s="1015"/>
      <c r="I172" s="1015"/>
      <c r="J172" s="1015"/>
      <c r="K172" s="1015"/>
      <c r="L172" s="1015"/>
      <c r="M172" s="1015"/>
      <c r="N172" s="1015"/>
      <c r="O172" s="1015"/>
      <c r="P172" s="1015"/>
    </row>
    <row r="173" spans="1:16" x14ac:dyDescent="0.2">
      <c r="A173" s="1015"/>
      <c r="B173" s="1015"/>
      <c r="C173" s="1015"/>
      <c r="D173" s="1015"/>
      <c r="E173" s="1015"/>
      <c r="F173" s="1015"/>
      <c r="G173" s="1015"/>
      <c r="H173" s="1015"/>
      <c r="I173" s="1015"/>
      <c r="J173" s="1015"/>
      <c r="K173" s="1015"/>
      <c r="L173" s="1015"/>
      <c r="M173" s="1015"/>
      <c r="N173" s="1015"/>
      <c r="O173" s="1015"/>
      <c r="P173" s="1015"/>
    </row>
    <row r="174" spans="1:16" x14ac:dyDescent="0.2">
      <c r="A174" s="303"/>
      <c r="B174" s="303"/>
      <c r="C174" s="303"/>
      <c r="D174" s="303"/>
      <c r="E174" s="303"/>
      <c r="F174" s="303"/>
      <c r="G174" s="306"/>
      <c r="H174" s="306"/>
      <c r="I174" s="306"/>
      <c r="J174" s="306"/>
      <c r="K174" s="306"/>
      <c r="L174" s="306"/>
      <c r="M174" s="306"/>
      <c r="N174" s="306"/>
      <c r="O174" s="306"/>
      <c r="P174" s="306"/>
    </row>
    <row r="175" spans="1:16" ht="12.75" customHeight="1" x14ac:dyDescent="0.2">
      <c r="A175" s="1015" t="s">
        <v>327</v>
      </c>
      <c r="B175" s="1015"/>
      <c r="C175" s="1015"/>
      <c r="D175" s="1015"/>
      <c r="E175" s="1015"/>
      <c r="F175" s="1015"/>
      <c r="G175" s="1015"/>
      <c r="H175" s="1015"/>
      <c r="I175" s="1015"/>
      <c r="J175" s="1015"/>
      <c r="K175" s="1015"/>
      <c r="L175" s="1015"/>
      <c r="M175" s="1015"/>
      <c r="N175" s="1015"/>
      <c r="O175" s="1015"/>
      <c r="P175" s="1015"/>
    </row>
    <row r="176" spans="1:16" x14ac:dyDescent="0.2">
      <c r="A176" s="1015"/>
      <c r="B176" s="1015"/>
      <c r="C176" s="1015"/>
      <c r="D176" s="1015"/>
      <c r="E176" s="1015"/>
      <c r="F176" s="1015"/>
      <c r="G176" s="1015"/>
      <c r="H176" s="1015"/>
      <c r="I176" s="1015"/>
      <c r="J176" s="1015"/>
      <c r="K176" s="1015"/>
      <c r="L176" s="1015"/>
      <c r="M176" s="1015"/>
      <c r="N176" s="1015"/>
      <c r="O176" s="1015"/>
      <c r="P176" s="1015"/>
    </row>
    <row r="177" spans="1:16" ht="10.5" customHeight="1" x14ac:dyDescent="0.2">
      <c r="A177" s="1015"/>
      <c r="B177" s="1015"/>
      <c r="C177" s="1015"/>
      <c r="D177" s="1015"/>
      <c r="E177" s="1015"/>
      <c r="F177" s="1015"/>
      <c r="G177" s="1015"/>
      <c r="H177" s="1015"/>
      <c r="I177" s="1015"/>
      <c r="J177" s="1015"/>
      <c r="K177" s="1015"/>
      <c r="L177" s="1015"/>
      <c r="M177" s="1015"/>
      <c r="N177" s="1015"/>
      <c r="O177" s="1015"/>
      <c r="P177" s="1015"/>
    </row>
    <row r="178" spans="1:16" x14ac:dyDescent="0.2">
      <c r="A178" s="1015"/>
      <c r="B178" s="1015"/>
      <c r="C178" s="1015"/>
      <c r="D178" s="1015"/>
      <c r="E178" s="1015"/>
      <c r="F178" s="1015"/>
      <c r="G178" s="1015"/>
      <c r="H178" s="1015"/>
      <c r="I178" s="1015"/>
      <c r="J178" s="1015"/>
      <c r="K178" s="1015"/>
      <c r="L178" s="1015"/>
      <c r="M178" s="1015"/>
      <c r="N178" s="1015"/>
      <c r="O178" s="1015"/>
      <c r="P178" s="1015"/>
    </row>
    <row r="179" spans="1:16" ht="12.75" customHeight="1" x14ac:dyDescent="0.2">
      <c r="A179" s="303"/>
      <c r="B179" s="303"/>
      <c r="C179" s="303"/>
      <c r="D179" s="303"/>
      <c r="E179" s="303"/>
      <c r="F179" s="303"/>
      <c r="G179" s="306"/>
      <c r="H179" s="306"/>
      <c r="I179" s="306"/>
      <c r="J179" s="306"/>
      <c r="K179" s="306"/>
      <c r="L179" s="306"/>
      <c r="M179" s="306"/>
      <c r="N179" s="306"/>
      <c r="O179" s="306"/>
      <c r="P179" s="306"/>
    </row>
    <row r="180" spans="1:16" ht="60.75" customHeight="1" x14ac:dyDescent="0.2">
      <c r="A180" s="1015" t="s">
        <v>680</v>
      </c>
      <c r="B180" s="1015"/>
      <c r="C180" s="1015"/>
      <c r="D180" s="1015"/>
      <c r="E180" s="1015"/>
      <c r="F180" s="1015"/>
      <c r="G180" s="1015"/>
      <c r="H180" s="1015"/>
      <c r="I180" s="1015"/>
      <c r="J180" s="1015"/>
      <c r="K180" s="1015"/>
      <c r="L180" s="1015"/>
      <c r="M180" s="1015"/>
      <c r="N180" s="1015"/>
      <c r="O180" s="1015"/>
      <c r="P180" s="1015"/>
    </row>
    <row r="181" spans="1:16" ht="12.75" customHeight="1" x14ac:dyDescent="0.2">
      <c r="A181" s="303"/>
      <c r="B181" s="303"/>
      <c r="C181" s="303"/>
      <c r="D181" s="303"/>
      <c r="E181" s="303"/>
      <c r="F181" s="303"/>
      <c r="G181" s="306"/>
      <c r="H181" s="306"/>
      <c r="I181" s="306"/>
      <c r="J181" s="306"/>
      <c r="K181" s="306"/>
      <c r="L181" s="306"/>
      <c r="M181" s="306"/>
      <c r="N181" s="306"/>
      <c r="O181" s="306"/>
      <c r="P181" s="306"/>
    </row>
    <row r="182" spans="1:16" ht="157.5" customHeight="1" x14ac:dyDescent="0.2">
      <c r="A182" s="1015" t="s">
        <v>681</v>
      </c>
      <c r="B182" s="1015"/>
      <c r="C182" s="1015"/>
      <c r="D182" s="1015"/>
      <c r="E182" s="1015"/>
      <c r="F182" s="1015"/>
      <c r="G182" s="1015"/>
      <c r="H182" s="1015"/>
      <c r="I182" s="1015"/>
      <c r="J182" s="1015"/>
      <c r="K182" s="1015"/>
      <c r="L182" s="1015"/>
      <c r="M182" s="1015"/>
      <c r="N182" s="1015"/>
      <c r="O182" s="1015"/>
      <c r="P182" s="1015"/>
    </row>
  </sheetData>
  <mergeCells count="7">
    <mergeCell ref="A180:P180"/>
    <mergeCell ref="A182:P182"/>
    <mergeCell ref="A166:F166"/>
    <mergeCell ref="A162:P164"/>
    <mergeCell ref="A168:P169"/>
    <mergeCell ref="A171:P173"/>
    <mergeCell ref="A175:P178"/>
  </mergeCells>
  <phoneticPr fontId="2" type="noConversion"/>
  <pageMargins left="0.59055118110236227" right="0.59055118110236227" top="0.78740157480314965" bottom="0.78740157480314965" header="0.39370078740157483" footer="0.39370078740157483"/>
  <pageSetup paperSize="9" scale="48" firstPageNumber="30" fitToHeight="0" orientation="landscape" useFirstPageNumber="1" r:id="rId1"/>
  <headerFooter alignWithMargins="0">
    <oddHeader>&amp;R&amp;12Les finances des communes en 2024</oddHeader>
    <oddFooter>&amp;L&amp;12Direction Générale des Collectivités Locales / DESL&amp;C&amp;12&amp;P&amp;R&amp;12Mise en ligne : janvier 2026</oddFooter>
  </headerFooter>
  <rowBreaks count="3" manualBreakCount="3">
    <brk id="60" max="15" man="1"/>
    <brk id="105" max="15" man="1"/>
    <brk id="160" max="15" man="1"/>
  </rowBreaks>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83"/>
  <sheetViews>
    <sheetView view="pageBreakPreview" zoomScale="60" zoomScaleNormal="85" zoomScalePageLayoutView="85" workbookViewId="0">
      <selection activeCell="P114" sqref="P114:P154"/>
    </sheetView>
  </sheetViews>
  <sheetFormatPr baseColWidth="10" defaultRowHeight="12.75" x14ac:dyDescent="0.2"/>
  <cols>
    <col min="1" max="1" width="90" customWidth="1"/>
    <col min="13" max="14" width="15.5703125" customWidth="1"/>
    <col min="15" max="15" width="14.28515625" customWidth="1"/>
    <col min="16" max="16" width="18.85546875" customWidth="1"/>
  </cols>
  <sheetData>
    <row r="1" spans="1:16" ht="24" customHeight="1" x14ac:dyDescent="0.2">
      <c r="A1" s="46" t="s">
        <v>918</v>
      </c>
    </row>
    <row r="2" spans="1:16" ht="18" x14ac:dyDescent="0.2">
      <c r="A2" s="46"/>
    </row>
    <row r="3" spans="1:16" ht="13.5" thickBot="1" x14ac:dyDescent="0.25">
      <c r="P3" s="259" t="s">
        <v>213</v>
      </c>
    </row>
    <row r="4" spans="1:16" ht="12.7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231</v>
      </c>
      <c r="O4" s="257" t="s">
        <v>77</v>
      </c>
      <c r="P4" s="281" t="s">
        <v>220</v>
      </c>
    </row>
    <row r="5" spans="1:16"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3.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ht="12.75" customHeight="1" x14ac:dyDescent="0.2">
      <c r="A7" s="227"/>
    </row>
    <row r="8" spans="1:16" ht="15.75" customHeight="1" x14ac:dyDescent="0.25">
      <c r="A8" s="474" t="s">
        <v>160</v>
      </c>
      <c r="B8" s="466">
        <v>925.636988449</v>
      </c>
      <c r="C8" s="466">
        <v>981.45051978399999</v>
      </c>
      <c r="D8" s="466">
        <v>864.58346690300004</v>
      </c>
      <c r="E8" s="466">
        <v>843.00728602599997</v>
      </c>
      <c r="F8" s="466">
        <v>902.35063437099996</v>
      </c>
      <c r="G8" s="466">
        <v>949.65424363499994</v>
      </c>
      <c r="H8" s="466">
        <v>975.99509188000002</v>
      </c>
      <c r="I8" s="466">
        <v>1846.3357720639999</v>
      </c>
      <c r="J8" s="466">
        <v>1180.3558870249999</v>
      </c>
      <c r="K8" s="466" t="s">
        <v>102</v>
      </c>
      <c r="L8" s="570" t="s">
        <v>102</v>
      </c>
      <c r="M8" s="479">
        <v>888.60284834100003</v>
      </c>
      <c r="N8" s="479">
        <v>1438.8278744249999</v>
      </c>
      <c r="O8" s="479">
        <v>915.32920100299998</v>
      </c>
      <c r="P8" s="466">
        <v>1132.2923975839999</v>
      </c>
    </row>
    <row r="9" spans="1:16" ht="15.75" customHeight="1" x14ac:dyDescent="0.2">
      <c r="A9" s="465" t="s">
        <v>161</v>
      </c>
      <c r="B9" s="467">
        <v>329.86201587400001</v>
      </c>
      <c r="C9" s="467">
        <v>364.03430424599998</v>
      </c>
      <c r="D9" s="467">
        <v>321.24690352800002</v>
      </c>
      <c r="E9" s="467">
        <v>300.135266554</v>
      </c>
      <c r="F9" s="467">
        <v>293.52001073500003</v>
      </c>
      <c r="G9" s="467">
        <v>285.47932061500001</v>
      </c>
      <c r="H9" s="467">
        <v>290.849971009</v>
      </c>
      <c r="I9" s="467">
        <v>336.76258403600002</v>
      </c>
      <c r="J9" s="467">
        <v>227.19696793400001</v>
      </c>
      <c r="K9" s="467" t="s">
        <v>102</v>
      </c>
      <c r="L9" s="467" t="s">
        <v>102</v>
      </c>
      <c r="M9" s="480">
        <v>303.04982946799998</v>
      </c>
      <c r="N9" s="480">
        <v>269.72023805200001</v>
      </c>
      <c r="O9" s="480">
        <v>301.43089472000003</v>
      </c>
      <c r="P9" s="467">
        <v>298.70578327599998</v>
      </c>
    </row>
    <row r="10" spans="1:16" ht="15.75" customHeight="1" x14ac:dyDescent="0.2">
      <c r="A10" s="465" t="s">
        <v>162</v>
      </c>
      <c r="B10" s="467">
        <v>292.96434922899999</v>
      </c>
      <c r="C10" s="467">
        <v>321.61603823799999</v>
      </c>
      <c r="D10" s="467">
        <v>344.41606537600001</v>
      </c>
      <c r="E10" s="467">
        <v>372.818682733</v>
      </c>
      <c r="F10" s="467">
        <v>444.97341950800001</v>
      </c>
      <c r="G10" s="467">
        <v>479.261272523</v>
      </c>
      <c r="H10" s="467">
        <v>511.91595403100001</v>
      </c>
      <c r="I10" s="467">
        <v>909.99176777800005</v>
      </c>
      <c r="J10" s="467">
        <v>708.48675175200003</v>
      </c>
      <c r="K10" s="467" t="s">
        <v>102</v>
      </c>
      <c r="L10" s="467" t="s">
        <v>102</v>
      </c>
      <c r="M10" s="480">
        <v>402.25938887000001</v>
      </c>
      <c r="N10" s="480">
        <v>786.69242002099998</v>
      </c>
      <c r="O10" s="480">
        <v>420.93264486300001</v>
      </c>
      <c r="P10" s="467">
        <v>606.408680506</v>
      </c>
    </row>
    <row r="11" spans="1:16" ht="15.75" customHeight="1" x14ac:dyDescent="0.2">
      <c r="A11" s="465" t="s">
        <v>163</v>
      </c>
      <c r="B11" s="467">
        <v>14.653367748999999</v>
      </c>
      <c r="C11" s="467">
        <v>23.358864395000001</v>
      </c>
      <c r="D11" s="467">
        <v>15.40997445</v>
      </c>
      <c r="E11" s="467">
        <v>20.052517867999999</v>
      </c>
      <c r="F11" s="467">
        <v>20.541319456</v>
      </c>
      <c r="G11" s="467">
        <v>22.907505390000001</v>
      </c>
      <c r="H11" s="467">
        <v>22.482532485</v>
      </c>
      <c r="I11" s="467">
        <v>36.241571581999999</v>
      </c>
      <c r="J11" s="467">
        <v>31.214283287000001</v>
      </c>
      <c r="K11" s="467" t="s">
        <v>102</v>
      </c>
      <c r="L11" s="467" t="s">
        <v>102</v>
      </c>
      <c r="M11" s="480">
        <v>20.024039434999999</v>
      </c>
      <c r="N11" s="480">
        <v>33.165413082000001</v>
      </c>
      <c r="O11" s="480">
        <v>20.662361883999999</v>
      </c>
      <c r="P11" s="467">
        <v>23.645549684999999</v>
      </c>
    </row>
    <row r="12" spans="1:16" ht="15.75" customHeight="1" x14ac:dyDescent="0.2">
      <c r="A12" s="465" t="s">
        <v>164</v>
      </c>
      <c r="B12" s="467">
        <v>112.882166871</v>
      </c>
      <c r="C12" s="467">
        <v>140.70291628499999</v>
      </c>
      <c r="D12" s="467">
        <v>97.824286142999995</v>
      </c>
      <c r="E12" s="467">
        <v>79.744249397000004</v>
      </c>
      <c r="F12" s="467">
        <v>88.743061896</v>
      </c>
      <c r="G12" s="467">
        <v>107.701139496</v>
      </c>
      <c r="H12" s="467">
        <v>117.356843537</v>
      </c>
      <c r="I12" s="467">
        <v>514.04576001099997</v>
      </c>
      <c r="J12" s="467">
        <v>194.27982841400001</v>
      </c>
      <c r="K12" s="467" t="s">
        <v>102</v>
      </c>
      <c r="L12" s="467" t="s">
        <v>102</v>
      </c>
      <c r="M12" s="480">
        <v>93.834315247000006</v>
      </c>
      <c r="N12" s="480">
        <v>318.38348034000001</v>
      </c>
      <c r="O12" s="480">
        <v>104.74145303900001</v>
      </c>
      <c r="P12" s="467">
        <v>158.370302571</v>
      </c>
    </row>
    <row r="13" spans="1:16" ht="15.75" customHeight="1" x14ac:dyDescent="0.2">
      <c r="A13" s="465" t="s">
        <v>165</v>
      </c>
      <c r="B13" s="467">
        <v>175.275088727</v>
      </c>
      <c r="C13" s="467">
        <v>131.73839661900001</v>
      </c>
      <c r="D13" s="467">
        <v>85.686237406999993</v>
      </c>
      <c r="E13" s="467">
        <v>70.256569472999999</v>
      </c>
      <c r="F13" s="467">
        <v>54.572822776999999</v>
      </c>
      <c r="G13" s="467">
        <v>54.305005610999999</v>
      </c>
      <c r="H13" s="467">
        <v>33.389790818000002</v>
      </c>
      <c r="I13" s="467">
        <v>49.294088657000003</v>
      </c>
      <c r="J13" s="467">
        <v>19.178055638</v>
      </c>
      <c r="K13" s="467" t="s">
        <v>102</v>
      </c>
      <c r="L13" s="467" t="s">
        <v>102</v>
      </c>
      <c r="M13" s="480">
        <v>69.435275321000006</v>
      </c>
      <c r="N13" s="480">
        <v>30.866322928999999</v>
      </c>
      <c r="O13" s="480">
        <v>67.561846497000005</v>
      </c>
      <c r="P13" s="467">
        <v>45.162081544999999</v>
      </c>
    </row>
    <row r="14" spans="1:16" ht="15.75" customHeight="1" x14ac:dyDescent="0.25">
      <c r="A14" s="474" t="s">
        <v>166</v>
      </c>
      <c r="B14" s="466">
        <v>1328.3638710719999</v>
      </c>
      <c r="C14" s="466">
        <v>1339.832127892</v>
      </c>
      <c r="D14" s="466">
        <v>1141.9467543190001</v>
      </c>
      <c r="E14" s="466">
        <v>1073.1188488549999</v>
      </c>
      <c r="F14" s="466">
        <v>1118.644055944</v>
      </c>
      <c r="G14" s="466">
        <v>1138.972093762</v>
      </c>
      <c r="H14" s="466">
        <v>1193.4189610779999</v>
      </c>
      <c r="I14" s="466">
        <v>2042.4404432839999</v>
      </c>
      <c r="J14" s="466">
        <v>1370.6099184540001</v>
      </c>
      <c r="K14" s="466" t="s">
        <v>102</v>
      </c>
      <c r="L14" s="466" t="s">
        <v>102</v>
      </c>
      <c r="M14" s="479">
        <v>1126.8287625749999</v>
      </c>
      <c r="N14" s="479">
        <v>1631.3525847870001</v>
      </c>
      <c r="O14" s="479">
        <v>1151.33524803</v>
      </c>
      <c r="P14" s="466">
        <v>1329.451253362</v>
      </c>
    </row>
    <row r="15" spans="1:16" ht="15.75" customHeight="1" x14ac:dyDescent="0.2">
      <c r="A15" s="465" t="s">
        <v>79</v>
      </c>
      <c r="B15" s="467">
        <v>545.42308640399995</v>
      </c>
      <c r="C15" s="467">
        <v>543.81036287300003</v>
      </c>
      <c r="D15" s="467">
        <v>517.68864548099998</v>
      </c>
      <c r="E15" s="467">
        <v>534.89536867300001</v>
      </c>
      <c r="F15" s="467">
        <v>619.69212819500001</v>
      </c>
      <c r="G15" s="467">
        <v>681.69216298699996</v>
      </c>
      <c r="H15" s="467">
        <v>676.63775415500004</v>
      </c>
      <c r="I15" s="467">
        <v>1129.8235476089999</v>
      </c>
      <c r="J15" s="467">
        <v>1033.676319813</v>
      </c>
      <c r="K15" s="467" t="s">
        <v>102</v>
      </c>
      <c r="L15" s="467" t="s">
        <v>102</v>
      </c>
      <c r="M15" s="480">
        <v>577.44723097500002</v>
      </c>
      <c r="N15" s="480">
        <v>1070.9918087789999</v>
      </c>
      <c r="O15" s="480">
        <v>601.420416155</v>
      </c>
      <c r="P15" s="467">
        <v>882.91849873499996</v>
      </c>
    </row>
    <row r="16" spans="1:16" ht="15.75" customHeight="1" x14ac:dyDescent="0.2">
      <c r="A16" s="465" t="s">
        <v>167</v>
      </c>
      <c r="B16" s="467">
        <v>435.65694457000001</v>
      </c>
      <c r="C16" s="467">
        <v>454.26284270600001</v>
      </c>
      <c r="D16" s="467">
        <v>435.30275877399998</v>
      </c>
      <c r="E16" s="467">
        <v>468.50974293399997</v>
      </c>
      <c r="F16" s="467">
        <v>557.38105804199995</v>
      </c>
      <c r="G16" s="467">
        <v>595.52710139099997</v>
      </c>
      <c r="H16" s="467">
        <v>592.20192560400005</v>
      </c>
      <c r="I16" s="467">
        <v>1017.7067496990001</v>
      </c>
      <c r="J16" s="467">
        <v>972.39338543199995</v>
      </c>
      <c r="K16" s="467" t="s">
        <v>102</v>
      </c>
      <c r="L16" s="467" t="s">
        <v>102</v>
      </c>
      <c r="M16" s="480">
        <v>503.888473283</v>
      </c>
      <c r="N16" s="480">
        <v>989.97985550600004</v>
      </c>
      <c r="O16" s="480">
        <v>527.49963070299998</v>
      </c>
      <c r="P16" s="467">
        <v>762.76738347100002</v>
      </c>
    </row>
    <row r="17" spans="1:16" ht="15.75" customHeight="1" x14ac:dyDescent="0.2">
      <c r="A17" s="465" t="s">
        <v>199</v>
      </c>
      <c r="B17" s="467">
        <v>179.05377363400001</v>
      </c>
      <c r="C17" s="467">
        <v>131.87472592399999</v>
      </c>
      <c r="D17" s="467">
        <v>70.989350336000001</v>
      </c>
      <c r="E17" s="467">
        <v>83.144620384000007</v>
      </c>
      <c r="F17" s="467">
        <v>88.651854602</v>
      </c>
      <c r="G17" s="467">
        <v>103.218801997</v>
      </c>
      <c r="H17" s="467">
        <v>116.38171226</v>
      </c>
      <c r="I17" s="467">
        <v>401.60088388899999</v>
      </c>
      <c r="J17" s="467">
        <v>91.106020810999993</v>
      </c>
      <c r="K17" s="467" t="s">
        <v>102</v>
      </c>
      <c r="L17" s="467" t="s">
        <v>102</v>
      </c>
      <c r="M17" s="480">
        <v>91.671197542000002</v>
      </c>
      <c r="N17" s="480">
        <v>211.61149874</v>
      </c>
      <c r="O17" s="480">
        <v>97.497117187000001</v>
      </c>
      <c r="P17" s="467">
        <v>153.50214644100001</v>
      </c>
    </row>
    <row r="18" spans="1:16" ht="15.75" customHeight="1" x14ac:dyDescent="0.2">
      <c r="A18" s="465" t="s">
        <v>168</v>
      </c>
      <c r="B18" s="467">
        <v>109.766141834</v>
      </c>
      <c r="C18" s="467">
        <v>89.547520168000005</v>
      </c>
      <c r="D18" s="467">
        <v>82.385886706999997</v>
      </c>
      <c r="E18" s="467">
        <v>66.385625739999995</v>
      </c>
      <c r="F18" s="467">
        <v>62.311070153000003</v>
      </c>
      <c r="G18" s="467">
        <v>86.165061596000001</v>
      </c>
      <c r="H18" s="467">
        <v>84.435828551</v>
      </c>
      <c r="I18" s="467">
        <v>112.11679791100001</v>
      </c>
      <c r="J18" s="467">
        <v>61.282934380999997</v>
      </c>
      <c r="K18" s="467" t="s">
        <v>102</v>
      </c>
      <c r="L18" s="467" t="s">
        <v>102</v>
      </c>
      <c r="M18" s="480">
        <v>73.558757692</v>
      </c>
      <c r="N18" s="480">
        <v>81.011953273000003</v>
      </c>
      <c r="O18" s="480">
        <v>73.920785452000004</v>
      </c>
      <c r="P18" s="467">
        <v>120.151115265</v>
      </c>
    </row>
    <row r="19" spans="1:16" ht="15.75" customHeight="1" x14ac:dyDescent="0.2">
      <c r="A19" s="465" t="s">
        <v>169</v>
      </c>
      <c r="B19" s="467">
        <v>438.56238497800001</v>
      </c>
      <c r="C19" s="467">
        <v>375.18912088899998</v>
      </c>
      <c r="D19" s="467">
        <v>299.85054455400001</v>
      </c>
      <c r="E19" s="467">
        <v>281.16094237800002</v>
      </c>
      <c r="F19" s="467">
        <v>273.155608395</v>
      </c>
      <c r="G19" s="467">
        <v>231.90982006600001</v>
      </c>
      <c r="H19" s="467">
        <v>263.861955636</v>
      </c>
      <c r="I19" s="467">
        <v>438.540843043</v>
      </c>
      <c r="J19" s="467">
        <v>183.55765512799999</v>
      </c>
      <c r="K19" s="467" t="s">
        <v>102</v>
      </c>
      <c r="L19" s="467" t="s">
        <v>102</v>
      </c>
      <c r="M19" s="480">
        <v>283.07660908399998</v>
      </c>
      <c r="N19" s="480">
        <v>282.51861898700002</v>
      </c>
      <c r="O19" s="480">
        <v>283.049505555</v>
      </c>
      <c r="P19" s="467">
        <v>220.77711797399999</v>
      </c>
    </row>
    <row r="20" spans="1:16" ht="15.75" customHeight="1" x14ac:dyDescent="0.2">
      <c r="A20" s="465" t="s">
        <v>170</v>
      </c>
      <c r="B20" s="467">
        <v>243.324655095</v>
      </c>
      <c r="C20" s="467">
        <v>214.934264649</v>
      </c>
      <c r="D20" s="467">
        <v>212.25718312399999</v>
      </c>
      <c r="E20" s="467">
        <v>213.306766372</v>
      </c>
      <c r="F20" s="467">
        <v>227.031549493</v>
      </c>
      <c r="G20" s="467">
        <v>203.93745823200001</v>
      </c>
      <c r="H20" s="467">
        <v>233.47243614499999</v>
      </c>
      <c r="I20" s="467">
        <v>415.74688630000003</v>
      </c>
      <c r="J20" s="467">
        <v>168.18874495599999</v>
      </c>
      <c r="K20" s="467" t="s">
        <v>102</v>
      </c>
      <c r="L20" s="467" t="s">
        <v>102</v>
      </c>
      <c r="M20" s="480">
        <v>217.30399059600001</v>
      </c>
      <c r="N20" s="480">
        <v>264.26799033200001</v>
      </c>
      <c r="O20" s="480">
        <v>219.58519621100001</v>
      </c>
      <c r="P20" s="467">
        <v>168.82118193599999</v>
      </c>
    </row>
    <row r="21" spans="1:16" ht="15.75" customHeight="1" x14ac:dyDescent="0.2">
      <c r="A21" s="465" t="s">
        <v>171</v>
      </c>
      <c r="B21" s="467">
        <v>65.786050849000006</v>
      </c>
      <c r="C21" s="467">
        <v>31.908242663999999</v>
      </c>
      <c r="D21" s="467">
        <v>14.596235952000001</v>
      </c>
      <c r="E21" s="467">
        <v>5.3264168730000003</v>
      </c>
      <c r="F21" s="467">
        <v>2.9682947190000002</v>
      </c>
      <c r="G21" s="467">
        <v>2.80941821</v>
      </c>
      <c r="H21" s="467">
        <v>2.379702209</v>
      </c>
      <c r="I21" s="467">
        <v>2.0245714480000001</v>
      </c>
      <c r="J21" s="467">
        <v>0.121808877</v>
      </c>
      <c r="K21" s="467" t="s">
        <v>102</v>
      </c>
      <c r="L21" s="467" t="s">
        <v>102</v>
      </c>
      <c r="M21" s="480">
        <v>8.133204675</v>
      </c>
      <c r="N21" s="480">
        <v>0.86028587000000001</v>
      </c>
      <c r="O21" s="480">
        <v>7.7799335879999996</v>
      </c>
      <c r="P21" s="467">
        <v>5.985235318</v>
      </c>
    </row>
    <row r="22" spans="1:16" ht="15.75" customHeight="1" x14ac:dyDescent="0.2">
      <c r="A22" s="687" t="s">
        <v>607</v>
      </c>
      <c r="B22" s="467">
        <v>129.45167903500001</v>
      </c>
      <c r="C22" s="467">
        <v>128.34661357499999</v>
      </c>
      <c r="D22" s="467">
        <v>72.997125476999997</v>
      </c>
      <c r="E22" s="467">
        <v>62.527759133000004</v>
      </c>
      <c r="F22" s="467">
        <v>43.155764183999999</v>
      </c>
      <c r="G22" s="467">
        <v>25.162943624</v>
      </c>
      <c r="H22" s="467">
        <v>28.009817282</v>
      </c>
      <c r="I22" s="467">
        <v>20.769385294999999</v>
      </c>
      <c r="J22" s="467">
        <v>15.247101295</v>
      </c>
      <c r="K22" s="467" t="s">
        <v>102</v>
      </c>
      <c r="L22" s="467" t="s">
        <v>102</v>
      </c>
      <c r="M22" s="480">
        <v>57.639413812999997</v>
      </c>
      <c r="N22" s="480">
        <v>17.390342784000001</v>
      </c>
      <c r="O22" s="480">
        <v>55.684375754999998</v>
      </c>
      <c r="P22" s="467">
        <v>45.970700719</v>
      </c>
    </row>
    <row r="23" spans="1:16" ht="15.75" customHeight="1" x14ac:dyDescent="0.2">
      <c r="A23" s="465" t="s">
        <v>172</v>
      </c>
      <c r="B23" s="467">
        <v>26.103249661</v>
      </c>
      <c r="C23" s="467">
        <v>41.335714666000001</v>
      </c>
      <c r="D23" s="467">
        <v>37.864091289000001</v>
      </c>
      <c r="E23" s="467">
        <v>44.096237264000003</v>
      </c>
      <c r="F23" s="467">
        <v>46.880477413000001</v>
      </c>
      <c r="G23" s="467">
        <v>39.89931078</v>
      </c>
      <c r="H23" s="467">
        <v>76.675493294999995</v>
      </c>
      <c r="I23" s="467">
        <v>160.263366144</v>
      </c>
      <c r="J23" s="467">
        <v>31.640098958999999</v>
      </c>
      <c r="K23" s="467" t="s">
        <v>102</v>
      </c>
      <c r="L23" s="467" t="s">
        <v>102</v>
      </c>
      <c r="M23" s="480">
        <v>45.695612590000003</v>
      </c>
      <c r="N23" s="480">
        <v>81.559792094000002</v>
      </c>
      <c r="O23" s="480">
        <v>47.437661141</v>
      </c>
      <c r="P23" s="467">
        <v>56.726830266999997</v>
      </c>
    </row>
    <row r="24" spans="1:16" ht="15.75" customHeight="1" x14ac:dyDescent="0.2">
      <c r="A24" s="465" t="s">
        <v>173</v>
      </c>
      <c r="B24" s="467">
        <v>103.320816287</v>
      </c>
      <c r="C24" s="467">
        <v>132.120480187</v>
      </c>
      <c r="D24" s="467">
        <v>134.453874977</v>
      </c>
      <c r="E24" s="467">
        <v>107.146592582</v>
      </c>
      <c r="F24" s="467">
        <v>90.982018510000003</v>
      </c>
      <c r="G24" s="467">
        <v>101.22845385700001</v>
      </c>
      <c r="H24" s="467">
        <v>98.250188218999995</v>
      </c>
      <c r="I24" s="467">
        <v>238.34309629000001</v>
      </c>
      <c r="J24" s="467">
        <v>84.780922914000001</v>
      </c>
      <c r="K24" s="467" t="s">
        <v>102</v>
      </c>
      <c r="L24" s="467" t="s">
        <v>102</v>
      </c>
      <c r="M24" s="480">
        <v>107.64049028700001</v>
      </c>
      <c r="N24" s="480">
        <v>144.37960004199999</v>
      </c>
      <c r="O24" s="480">
        <v>109.425037258</v>
      </c>
      <c r="P24" s="467">
        <v>108.30397019900001</v>
      </c>
    </row>
    <row r="25" spans="1:16" ht="15.75" customHeight="1" x14ac:dyDescent="0.2">
      <c r="A25" s="475" t="s">
        <v>174</v>
      </c>
      <c r="B25" s="468">
        <v>214.95433374199999</v>
      </c>
      <c r="C25" s="468">
        <v>247.376449278</v>
      </c>
      <c r="D25" s="468">
        <v>152.089598018</v>
      </c>
      <c r="E25" s="468">
        <v>105.81970795700001</v>
      </c>
      <c r="F25" s="468">
        <v>87.933823430000004</v>
      </c>
      <c r="G25" s="468">
        <v>84.242346072999993</v>
      </c>
      <c r="H25" s="468">
        <v>77.993569772000001</v>
      </c>
      <c r="I25" s="468">
        <v>75.469590197000002</v>
      </c>
      <c r="J25" s="468">
        <v>36.954921638999998</v>
      </c>
      <c r="K25" s="468" t="s">
        <v>102</v>
      </c>
      <c r="L25" s="468" t="s">
        <v>102</v>
      </c>
      <c r="M25" s="481">
        <v>112.96881964000001</v>
      </c>
      <c r="N25" s="481">
        <v>51.902764885000003</v>
      </c>
      <c r="O25" s="481">
        <v>110.002627922</v>
      </c>
      <c r="P25" s="468">
        <v>60.724836185999997</v>
      </c>
    </row>
    <row r="26" spans="1:16" ht="15.75" customHeight="1" x14ac:dyDescent="0.25">
      <c r="A26" s="474" t="s">
        <v>175</v>
      </c>
      <c r="B26" s="466">
        <v>402.72688262200001</v>
      </c>
      <c r="C26" s="466">
        <v>358.38160810900001</v>
      </c>
      <c r="D26" s="466">
        <v>277.36328741599999</v>
      </c>
      <c r="E26" s="466">
        <v>230.11156282900001</v>
      </c>
      <c r="F26" s="466">
        <v>216.293421572</v>
      </c>
      <c r="G26" s="466">
        <v>189.31785012700001</v>
      </c>
      <c r="H26" s="466">
        <v>217.42386919800001</v>
      </c>
      <c r="I26" s="466">
        <v>196.10467122</v>
      </c>
      <c r="J26" s="466">
        <v>190.25403142900001</v>
      </c>
      <c r="K26" s="466" t="s">
        <v>102</v>
      </c>
      <c r="L26" s="466" t="s">
        <v>102</v>
      </c>
      <c r="M26" s="479">
        <v>238.22591423399999</v>
      </c>
      <c r="N26" s="479">
        <v>192.52471036099999</v>
      </c>
      <c r="O26" s="479">
        <v>236.00604702699999</v>
      </c>
      <c r="P26" s="466">
        <v>197.158855778</v>
      </c>
    </row>
    <row r="27" spans="1:16" ht="15.75" customHeight="1" x14ac:dyDescent="0.25">
      <c r="A27" s="476" t="s">
        <v>176</v>
      </c>
      <c r="B27" s="469">
        <v>295.78954120200001</v>
      </c>
      <c r="C27" s="469">
        <v>222.23232765</v>
      </c>
      <c r="D27" s="469">
        <v>181.111263866</v>
      </c>
      <c r="E27" s="469">
        <v>134.22872488300001</v>
      </c>
      <c r="F27" s="469">
        <v>115.741040564</v>
      </c>
      <c r="G27" s="469">
        <v>66.591032948000006</v>
      </c>
      <c r="H27" s="469">
        <v>124.002824031</v>
      </c>
      <c r="I27" s="469">
        <v>12.787334271000001</v>
      </c>
      <c r="J27" s="469">
        <v>60.971225312999998</v>
      </c>
      <c r="K27" s="469" t="s">
        <v>102</v>
      </c>
      <c r="L27" s="469" t="s">
        <v>102</v>
      </c>
      <c r="M27" s="482">
        <v>136.74868612500001</v>
      </c>
      <c r="N27" s="482">
        <v>42.270681410999998</v>
      </c>
      <c r="O27" s="482">
        <v>132.15955921700001</v>
      </c>
      <c r="P27" s="469">
        <v>108.187236056</v>
      </c>
    </row>
    <row r="28" spans="1:16" ht="15.75" customHeight="1" x14ac:dyDescent="0.25">
      <c r="A28" s="474" t="s">
        <v>177</v>
      </c>
      <c r="B28" s="466">
        <v>647.72961476399996</v>
      </c>
      <c r="C28" s="466">
        <v>650.75632605400006</v>
      </c>
      <c r="D28" s="466">
        <v>507.18205346399998</v>
      </c>
      <c r="E28" s="466">
        <v>551.00236401200004</v>
      </c>
      <c r="F28" s="466">
        <v>454.08622755900001</v>
      </c>
      <c r="G28" s="466">
        <v>414.50429117200002</v>
      </c>
      <c r="H28" s="466">
        <v>451.18248832900002</v>
      </c>
      <c r="I28" s="466">
        <v>327.89692647599998</v>
      </c>
      <c r="J28" s="466">
        <v>204.80862433600001</v>
      </c>
      <c r="K28" s="466" t="s">
        <v>102</v>
      </c>
      <c r="L28" s="466" t="s">
        <v>102</v>
      </c>
      <c r="M28" s="479">
        <v>509.11806970100002</v>
      </c>
      <c r="N28" s="479">
        <v>252.58015437</v>
      </c>
      <c r="O28" s="479">
        <v>496.65712650299997</v>
      </c>
      <c r="P28" s="466">
        <v>411.49686769099998</v>
      </c>
    </row>
    <row r="29" spans="1:16" ht="15.75" customHeight="1" x14ac:dyDescent="0.2">
      <c r="A29" s="465" t="s">
        <v>178</v>
      </c>
      <c r="B29" s="467">
        <v>613.81372265599998</v>
      </c>
      <c r="C29" s="467">
        <v>627.87810200599995</v>
      </c>
      <c r="D29" s="467">
        <v>462.09078459699998</v>
      </c>
      <c r="E29" s="467">
        <v>522.22063995500002</v>
      </c>
      <c r="F29" s="467">
        <v>422.37439119200002</v>
      </c>
      <c r="G29" s="467">
        <v>403.19356349399999</v>
      </c>
      <c r="H29" s="467">
        <v>407.12226026600001</v>
      </c>
      <c r="I29" s="467">
        <v>294.78284786400002</v>
      </c>
      <c r="J29" s="467">
        <v>174.55730983199999</v>
      </c>
      <c r="K29" s="467" t="s">
        <v>102</v>
      </c>
      <c r="L29" s="467" t="s">
        <v>102</v>
      </c>
      <c r="M29" s="480">
        <v>478.02586140099999</v>
      </c>
      <c r="N29" s="480">
        <v>221.217778788</v>
      </c>
      <c r="O29" s="480">
        <v>465.551795234</v>
      </c>
      <c r="P29" s="467">
        <v>374.27712931899998</v>
      </c>
    </row>
    <row r="30" spans="1:16" ht="15.75" customHeight="1" x14ac:dyDescent="0.2">
      <c r="A30" s="465" t="s">
        <v>179</v>
      </c>
      <c r="B30" s="467">
        <v>11.36251468</v>
      </c>
      <c r="C30" s="467">
        <v>16.828872964999999</v>
      </c>
      <c r="D30" s="467">
        <v>26.819311510999999</v>
      </c>
      <c r="E30" s="467">
        <v>13.865841714</v>
      </c>
      <c r="F30" s="467">
        <v>10.649210183999999</v>
      </c>
      <c r="G30" s="467">
        <v>7.2482401300000001</v>
      </c>
      <c r="H30" s="467">
        <v>10.709973981999999</v>
      </c>
      <c r="I30" s="467">
        <v>32.980156020000003</v>
      </c>
      <c r="J30" s="467">
        <v>28.647271183000001</v>
      </c>
      <c r="K30" s="467" t="s">
        <v>102</v>
      </c>
      <c r="L30" s="467" t="s">
        <v>102</v>
      </c>
      <c r="M30" s="480">
        <v>14.239399710000001</v>
      </c>
      <c r="N30" s="480">
        <v>30.32889758</v>
      </c>
      <c r="O30" s="480">
        <v>15.020922857</v>
      </c>
      <c r="P30" s="467">
        <v>23.810771989999999</v>
      </c>
    </row>
    <row r="31" spans="1:16" ht="15.75" customHeight="1" x14ac:dyDescent="0.2">
      <c r="A31" s="465" t="s">
        <v>180</v>
      </c>
      <c r="B31" s="467">
        <v>22.553377428000001</v>
      </c>
      <c r="C31" s="467">
        <v>6.0493510830000004</v>
      </c>
      <c r="D31" s="467">
        <v>18.271957356000001</v>
      </c>
      <c r="E31" s="467">
        <v>14.915882343</v>
      </c>
      <c r="F31" s="467">
        <v>21.062626182999999</v>
      </c>
      <c r="G31" s="467">
        <v>4.062487548</v>
      </c>
      <c r="H31" s="467">
        <v>33.350254081000003</v>
      </c>
      <c r="I31" s="467">
        <v>0.13392259300000001</v>
      </c>
      <c r="J31" s="467">
        <v>1.604043321</v>
      </c>
      <c r="K31" s="467" t="s">
        <v>102</v>
      </c>
      <c r="L31" s="467" t="s">
        <v>102</v>
      </c>
      <c r="M31" s="480">
        <v>16.852808589999999</v>
      </c>
      <c r="N31" s="480">
        <v>1.033478001</v>
      </c>
      <c r="O31" s="480">
        <v>16.084408411999998</v>
      </c>
      <c r="P31" s="467">
        <v>13.408966381999999</v>
      </c>
    </row>
    <row r="32" spans="1:16" ht="15.75" customHeight="1" x14ac:dyDescent="0.25">
      <c r="A32" s="474" t="s">
        <v>181</v>
      </c>
      <c r="B32" s="466">
        <v>382.90068142199999</v>
      </c>
      <c r="C32" s="466">
        <v>341.44332466499998</v>
      </c>
      <c r="D32" s="466">
        <v>290.59639461699999</v>
      </c>
      <c r="E32" s="466">
        <v>282.65447723900002</v>
      </c>
      <c r="F32" s="466">
        <v>256.529639911</v>
      </c>
      <c r="G32" s="466">
        <v>204.40585408600001</v>
      </c>
      <c r="H32" s="466">
        <v>211.71042044500001</v>
      </c>
      <c r="I32" s="466">
        <v>186.14471943199999</v>
      </c>
      <c r="J32" s="466">
        <v>101.786166065</v>
      </c>
      <c r="K32" s="466" t="s">
        <v>102</v>
      </c>
      <c r="L32" s="466" t="s">
        <v>102</v>
      </c>
      <c r="M32" s="479">
        <v>268.91210451900002</v>
      </c>
      <c r="N32" s="479">
        <v>134.52637854400001</v>
      </c>
      <c r="O32" s="479">
        <v>262.384520103</v>
      </c>
      <c r="P32" s="466">
        <v>177.39971704600001</v>
      </c>
    </row>
    <row r="33" spans="1:16" ht="15.75" customHeight="1" x14ac:dyDescent="0.2">
      <c r="A33" s="465" t="s">
        <v>182</v>
      </c>
      <c r="B33" s="467">
        <v>88.319960637999998</v>
      </c>
      <c r="C33" s="467">
        <v>63.923831446999998</v>
      </c>
      <c r="D33" s="467">
        <v>57.250551282000004</v>
      </c>
      <c r="E33" s="467">
        <v>58.050720122999998</v>
      </c>
      <c r="F33" s="467">
        <v>53.493895682000002</v>
      </c>
      <c r="G33" s="467">
        <v>39.885466856999997</v>
      </c>
      <c r="H33" s="467">
        <v>49.074677975999997</v>
      </c>
      <c r="I33" s="467">
        <v>36.223704298999998</v>
      </c>
      <c r="J33" s="467">
        <v>16.44326014</v>
      </c>
      <c r="K33" s="467" t="s">
        <v>102</v>
      </c>
      <c r="L33" s="467" t="s">
        <v>102</v>
      </c>
      <c r="M33" s="480">
        <v>55.228959017999998</v>
      </c>
      <c r="N33" s="480">
        <v>24.120204786999999</v>
      </c>
      <c r="O33" s="480">
        <v>53.717898093999999</v>
      </c>
      <c r="P33" s="467">
        <v>43.657640358999998</v>
      </c>
    </row>
    <row r="34" spans="1:16" ht="15.75" customHeight="1" x14ac:dyDescent="0.2">
      <c r="A34" s="465" t="s">
        <v>183</v>
      </c>
      <c r="B34" s="467">
        <v>280.38418661700001</v>
      </c>
      <c r="C34" s="467">
        <v>232.39480482299999</v>
      </c>
      <c r="D34" s="467">
        <v>205.07397199499999</v>
      </c>
      <c r="E34" s="467">
        <v>187.90660352399999</v>
      </c>
      <c r="F34" s="467">
        <v>142.44188467199999</v>
      </c>
      <c r="G34" s="467">
        <v>135.29395450600001</v>
      </c>
      <c r="H34" s="467">
        <v>110.728731379</v>
      </c>
      <c r="I34" s="467">
        <v>69.318781974000004</v>
      </c>
      <c r="J34" s="467">
        <v>74.978728391999994</v>
      </c>
      <c r="K34" s="467" t="s">
        <v>102</v>
      </c>
      <c r="L34" s="467" t="s">
        <v>102</v>
      </c>
      <c r="M34" s="480">
        <v>173.12074366300001</v>
      </c>
      <c r="N34" s="480">
        <v>72.782059044999997</v>
      </c>
      <c r="O34" s="480">
        <v>168.246943047</v>
      </c>
      <c r="P34" s="467">
        <v>99.615302452999998</v>
      </c>
    </row>
    <row r="35" spans="1:16" ht="15.75" customHeight="1" x14ac:dyDescent="0.2">
      <c r="A35" s="475" t="s">
        <v>184</v>
      </c>
      <c r="B35" s="468">
        <v>14.196534167999999</v>
      </c>
      <c r="C35" s="468">
        <v>45.124688396000003</v>
      </c>
      <c r="D35" s="468">
        <v>28.271871340000001</v>
      </c>
      <c r="E35" s="468">
        <v>36.697153591999999</v>
      </c>
      <c r="F35" s="468">
        <v>60.593859555999998</v>
      </c>
      <c r="G35" s="468">
        <v>29.226432722999999</v>
      </c>
      <c r="H35" s="468">
        <v>51.907011091000001</v>
      </c>
      <c r="I35" s="468">
        <v>80.602233158999994</v>
      </c>
      <c r="J35" s="468">
        <v>10.364177531999999</v>
      </c>
      <c r="K35" s="468" t="s">
        <v>102</v>
      </c>
      <c r="L35" s="468" t="s">
        <v>102</v>
      </c>
      <c r="M35" s="481">
        <v>40.562401838</v>
      </c>
      <c r="N35" s="481">
        <v>37.624114712000001</v>
      </c>
      <c r="O35" s="481">
        <v>40.419678961999999</v>
      </c>
      <c r="P35" s="468">
        <v>34.126774234000003</v>
      </c>
    </row>
    <row r="36" spans="1:16" ht="15.75" customHeight="1" x14ac:dyDescent="0.25">
      <c r="A36" s="477" t="s">
        <v>185</v>
      </c>
      <c r="B36" s="466">
        <v>1573.366603214</v>
      </c>
      <c r="C36" s="466">
        <v>1632.2068458379999</v>
      </c>
      <c r="D36" s="466">
        <v>1371.7655203669999</v>
      </c>
      <c r="E36" s="466">
        <v>1394.009650038</v>
      </c>
      <c r="F36" s="466">
        <v>1356.4368619300001</v>
      </c>
      <c r="G36" s="466">
        <v>1364.158534808</v>
      </c>
      <c r="H36" s="466">
        <v>1427.1775802090001</v>
      </c>
      <c r="I36" s="466">
        <v>2174.23269854</v>
      </c>
      <c r="J36" s="466">
        <v>1385.164511361</v>
      </c>
      <c r="K36" s="466" t="s">
        <v>102</v>
      </c>
      <c r="L36" s="466" t="s">
        <v>102</v>
      </c>
      <c r="M36" s="479">
        <v>1397.720918042</v>
      </c>
      <c r="N36" s="479">
        <v>1691.4080287950001</v>
      </c>
      <c r="O36" s="479">
        <v>1411.986327506</v>
      </c>
      <c r="P36" s="466">
        <v>1543.7892652749999</v>
      </c>
    </row>
    <row r="37" spans="1:16" ht="15.75" customHeight="1" x14ac:dyDescent="0.25">
      <c r="A37" s="477" t="s">
        <v>186</v>
      </c>
      <c r="B37" s="466">
        <v>1711.2645524940001</v>
      </c>
      <c r="C37" s="466">
        <v>1681.2754525580001</v>
      </c>
      <c r="D37" s="466">
        <v>1432.5431489360001</v>
      </c>
      <c r="E37" s="466">
        <v>1355.7733260929999</v>
      </c>
      <c r="F37" s="466">
        <v>1375.173695854</v>
      </c>
      <c r="G37" s="466">
        <v>1343.3779478480001</v>
      </c>
      <c r="H37" s="466">
        <v>1405.1293815229999</v>
      </c>
      <c r="I37" s="466">
        <v>2228.585162716</v>
      </c>
      <c r="J37" s="466">
        <v>1472.3960845189999</v>
      </c>
      <c r="K37" s="466" t="s">
        <v>102</v>
      </c>
      <c r="L37" s="466" t="s">
        <v>102</v>
      </c>
      <c r="M37" s="479">
        <v>1395.7408670929999</v>
      </c>
      <c r="N37" s="479">
        <v>1765.878963331</v>
      </c>
      <c r="O37" s="479">
        <v>1413.7197681340001</v>
      </c>
      <c r="P37" s="466">
        <v>1506.850970408</v>
      </c>
    </row>
    <row r="38" spans="1:16" ht="15.75" customHeight="1" x14ac:dyDescent="0.25">
      <c r="A38" s="476" t="s">
        <v>187</v>
      </c>
      <c r="B38" s="469">
        <v>137.897949281</v>
      </c>
      <c r="C38" s="469">
        <v>49.068606719999998</v>
      </c>
      <c r="D38" s="469">
        <v>60.777628569000001</v>
      </c>
      <c r="E38" s="469">
        <v>-38.236323945000002</v>
      </c>
      <c r="F38" s="469">
        <v>18.736833923999999</v>
      </c>
      <c r="G38" s="469">
        <v>-20.780586960000001</v>
      </c>
      <c r="H38" s="469">
        <v>-22.048198685999999</v>
      </c>
      <c r="I38" s="469">
        <v>54.352464175999998</v>
      </c>
      <c r="J38" s="469">
        <v>87.231573158000003</v>
      </c>
      <c r="K38" s="469" t="s">
        <v>102</v>
      </c>
      <c r="L38" s="469" t="s">
        <v>102</v>
      </c>
      <c r="M38" s="482">
        <v>-1.980050949</v>
      </c>
      <c r="N38" s="482">
        <v>74.470934536000001</v>
      </c>
      <c r="O38" s="482">
        <v>1.7334406280000001</v>
      </c>
      <c r="P38" s="469">
        <v>-36.938294867000003</v>
      </c>
    </row>
    <row r="39" spans="1:16" ht="15.75" customHeight="1" x14ac:dyDescent="0.2">
      <c r="A39" s="465" t="s">
        <v>188</v>
      </c>
      <c r="B39" s="467">
        <v>106.937341421</v>
      </c>
      <c r="C39" s="467">
        <v>136.14928045900001</v>
      </c>
      <c r="D39" s="467">
        <v>96.252023550000004</v>
      </c>
      <c r="E39" s="467">
        <v>95.882837945000006</v>
      </c>
      <c r="F39" s="467">
        <v>100.552381008</v>
      </c>
      <c r="G39" s="467">
        <v>122.72681717899999</v>
      </c>
      <c r="H39" s="467">
        <v>93.421045167000003</v>
      </c>
      <c r="I39" s="467">
        <v>183.31733694900001</v>
      </c>
      <c r="J39" s="467">
        <v>129.28280611599999</v>
      </c>
      <c r="K39" s="467" t="s">
        <v>102</v>
      </c>
      <c r="L39" s="467" t="s">
        <v>102</v>
      </c>
      <c r="M39" s="480">
        <v>101.477228109</v>
      </c>
      <c r="N39" s="480">
        <v>150.25402895100001</v>
      </c>
      <c r="O39" s="480">
        <v>103.84648781</v>
      </c>
      <c r="P39" s="467">
        <v>88.971619723000003</v>
      </c>
    </row>
    <row r="40" spans="1:16" ht="15.75" customHeight="1" x14ac:dyDescent="0.2">
      <c r="A40" s="465" t="s">
        <v>189</v>
      </c>
      <c r="B40" s="467">
        <v>127.43948764300001</v>
      </c>
      <c r="C40" s="467">
        <v>141.74100676699999</v>
      </c>
      <c r="D40" s="467">
        <v>56.932637206999999</v>
      </c>
      <c r="E40" s="467">
        <v>101.986862309</v>
      </c>
      <c r="F40" s="467">
        <v>76.966307036000003</v>
      </c>
      <c r="G40" s="467">
        <v>88.588177209999998</v>
      </c>
      <c r="H40" s="467">
        <v>84.250550087999997</v>
      </c>
      <c r="I40" s="467">
        <v>2.1188563000000001E-2</v>
      </c>
      <c r="J40" s="467">
        <v>114.68776513100001</v>
      </c>
      <c r="K40" s="467" t="s">
        <v>102</v>
      </c>
      <c r="L40" s="467" t="s">
        <v>102</v>
      </c>
      <c r="M40" s="480">
        <v>89.903829643999998</v>
      </c>
      <c r="N40" s="480">
        <v>70.184772472999995</v>
      </c>
      <c r="O40" s="480">
        <v>88.946006115000003</v>
      </c>
      <c r="P40" s="467">
        <v>101.995484976</v>
      </c>
    </row>
    <row r="41" spans="1:16" ht="15.75" customHeight="1" x14ac:dyDescent="0.2">
      <c r="A41" s="475" t="s">
        <v>190</v>
      </c>
      <c r="B41" s="468">
        <v>20.502146222</v>
      </c>
      <c r="C41" s="468">
        <v>5.5917263080000001</v>
      </c>
      <c r="D41" s="468">
        <v>-39.319386342999998</v>
      </c>
      <c r="E41" s="468">
        <v>6.1040243639999998</v>
      </c>
      <c r="F41" s="468">
        <v>-23.586073972000001</v>
      </c>
      <c r="G41" s="468">
        <v>-34.138639969000003</v>
      </c>
      <c r="H41" s="468">
        <v>-9.1704950790000002</v>
      </c>
      <c r="I41" s="468">
        <v>-183.296148386</v>
      </c>
      <c r="J41" s="468">
        <v>-14.595040985000001</v>
      </c>
      <c r="K41" s="468" t="s">
        <v>102</v>
      </c>
      <c r="L41" s="468" t="s">
        <v>102</v>
      </c>
      <c r="M41" s="481">
        <v>-11.573398465</v>
      </c>
      <c r="N41" s="481">
        <v>-80.069256478</v>
      </c>
      <c r="O41" s="481">
        <v>-14.900481695</v>
      </c>
      <c r="P41" s="468">
        <v>13.023865253</v>
      </c>
    </row>
    <row r="42" spans="1:16" ht="15.75" customHeight="1" x14ac:dyDescent="0.25">
      <c r="A42" s="477" t="s">
        <v>191</v>
      </c>
      <c r="B42" s="466">
        <v>1680.3039446339999</v>
      </c>
      <c r="C42" s="466">
        <v>1768.3561262969999</v>
      </c>
      <c r="D42" s="466">
        <v>1468.017543917</v>
      </c>
      <c r="E42" s="466">
        <v>1489.8924879829999</v>
      </c>
      <c r="F42" s="466">
        <v>1456.989242938</v>
      </c>
      <c r="G42" s="466">
        <v>1486.8853519869999</v>
      </c>
      <c r="H42" s="466">
        <v>1520.598625375</v>
      </c>
      <c r="I42" s="466">
        <v>2357.550035489</v>
      </c>
      <c r="J42" s="466">
        <v>1514.4473174770001</v>
      </c>
      <c r="K42" s="466" t="s">
        <v>102</v>
      </c>
      <c r="L42" s="466" t="s">
        <v>102</v>
      </c>
      <c r="M42" s="479">
        <v>1499.1981461509999</v>
      </c>
      <c r="N42" s="479">
        <v>1841.6620577460001</v>
      </c>
      <c r="O42" s="479">
        <v>1515.8328153160001</v>
      </c>
      <c r="P42" s="466">
        <v>1632.7608849979999</v>
      </c>
    </row>
    <row r="43" spans="1:16" ht="15.75" customHeight="1" x14ac:dyDescent="0.25">
      <c r="A43" s="477" t="s">
        <v>192</v>
      </c>
      <c r="B43" s="466">
        <v>1838.704040137</v>
      </c>
      <c r="C43" s="466">
        <v>1823.0164593239999</v>
      </c>
      <c r="D43" s="466">
        <v>1489.4757861430001</v>
      </c>
      <c r="E43" s="466">
        <v>1457.760188403</v>
      </c>
      <c r="F43" s="466">
        <v>1452.14000289</v>
      </c>
      <c r="G43" s="466">
        <v>1431.966125058</v>
      </c>
      <c r="H43" s="466">
        <v>1489.3799316110001</v>
      </c>
      <c r="I43" s="466">
        <v>2228.6063512790001</v>
      </c>
      <c r="J43" s="466">
        <v>1587.08384965</v>
      </c>
      <c r="K43" s="466" t="s">
        <v>102</v>
      </c>
      <c r="L43" s="466" t="s">
        <v>102</v>
      </c>
      <c r="M43" s="479">
        <v>1485.644696737</v>
      </c>
      <c r="N43" s="479">
        <v>1836.0637358040001</v>
      </c>
      <c r="O43" s="479">
        <v>1502.6657742489999</v>
      </c>
      <c r="P43" s="466">
        <v>1608.8464553839999</v>
      </c>
    </row>
    <row r="44" spans="1:16" ht="15.75" customHeight="1" x14ac:dyDescent="0.2">
      <c r="A44" s="475" t="s">
        <v>193</v>
      </c>
      <c r="B44" s="468">
        <v>158.400095502</v>
      </c>
      <c r="C44" s="468">
        <v>54.660333027999997</v>
      </c>
      <c r="D44" s="468">
        <v>21.458242225999999</v>
      </c>
      <c r="E44" s="468">
        <v>-32.132299580000002</v>
      </c>
      <c r="F44" s="468">
        <v>-4.8492400480000004</v>
      </c>
      <c r="G44" s="468">
        <v>-54.919226928</v>
      </c>
      <c r="H44" s="468">
        <v>-31.218693765000001</v>
      </c>
      <c r="I44" s="468">
        <v>-128.943684211</v>
      </c>
      <c r="J44" s="468">
        <v>72.636532172000003</v>
      </c>
      <c r="K44" s="468" t="s">
        <v>102</v>
      </c>
      <c r="L44" s="468" t="s">
        <v>102</v>
      </c>
      <c r="M44" s="481">
        <v>-13.553449413999999</v>
      </c>
      <c r="N44" s="481">
        <v>-5.5983219420000001</v>
      </c>
      <c r="O44" s="481">
        <v>-13.167041068</v>
      </c>
      <c r="P44" s="468">
        <v>-23.914429613999999</v>
      </c>
    </row>
    <row r="45" spans="1:16" s="8" customFormat="1" ht="15.75" customHeight="1" x14ac:dyDescent="0.25">
      <c r="A45" s="478" t="s">
        <v>283</v>
      </c>
      <c r="B45" s="469">
        <v>585.59247596299997</v>
      </c>
      <c r="C45" s="469">
        <v>862.96051682899997</v>
      </c>
      <c r="D45" s="469">
        <v>629.39278105100004</v>
      </c>
      <c r="E45" s="469">
        <v>774.11567360900005</v>
      </c>
      <c r="F45" s="469">
        <v>788.10163371800002</v>
      </c>
      <c r="G45" s="469">
        <v>993.92795793599998</v>
      </c>
      <c r="H45" s="469">
        <v>854.77134191699997</v>
      </c>
      <c r="I45" s="469">
        <v>1415.6013318600001</v>
      </c>
      <c r="J45" s="469">
        <v>1270.8992898700001</v>
      </c>
      <c r="K45" s="469" t="s">
        <v>102</v>
      </c>
      <c r="L45" s="469" t="s">
        <v>102</v>
      </c>
      <c r="M45" s="482">
        <v>786.13455463800005</v>
      </c>
      <c r="N45" s="482">
        <v>1327.0592809059999</v>
      </c>
      <c r="O45" s="482">
        <v>812.40915923299997</v>
      </c>
      <c r="P45" s="469">
        <v>922.65384219600003</v>
      </c>
    </row>
    <row r="46" spans="1:16" ht="15.75" customHeight="1" x14ac:dyDescent="0.25">
      <c r="A46" s="474" t="s">
        <v>442</v>
      </c>
      <c r="B46" s="467"/>
      <c r="C46" s="467"/>
      <c r="D46" s="467"/>
      <c r="E46" s="467"/>
      <c r="F46" s="467"/>
      <c r="G46" s="467"/>
      <c r="H46" s="467"/>
      <c r="I46" s="467"/>
      <c r="J46" s="467"/>
      <c r="K46" s="467"/>
      <c r="L46" s="467"/>
      <c r="M46" s="483"/>
      <c r="N46" s="483"/>
      <c r="O46" s="483"/>
      <c r="P46" s="470"/>
    </row>
    <row r="47" spans="1:16" ht="15.75" customHeight="1" x14ac:dyDescent="0.25">
      <c r="A47" s="465" t="s">
        <v>456</v>
      </c>
      <c r="B47" s="467">
        <v>920.75633800100002</v>
      </c>
      <c r="C47" s="467">
        <v>979.08828403400003</v>
      </c>
      <c r="D47" s="467">
        <v>864.16407155800005</v>
      </c>
      <c r="E47" s="467">
        <v>840.67375652099997</v>
      </c>
      <c r="F47" s="467">
        <v>896.70208394999997</v>
      </c>
      <c r="G47" s="467">
        <v>941.69331395699999</v>
      </c>
      <c r="H47" s="467">
        <v>967.988201957</v>
      </c>
      <c r="I47" s="467">
        <v>1846.3357720639999</v>
      </c>
      <c r="J47" s="467">
        <v>1176.1349059250001</v>
      </c>
      <c r="K47" s="467" t="s">
        <v>102</v>
      </c>
      <c r="L47" s="467" t="s">
        <v>102</v>
      </c>
      <c r="M47" s="480">
        <v>884.75734604700006</v>
      </c>
      <c r="N47" s="480">
        <v>1436.2450890099999</v>
      </c>
      <c r="O47" s="480">
        <v>911.54503328199996</v>
      </c>
      <c r="P47" s="467">
        <v>1129.889010739</v>
      </c>
    </row>
    <row r="48" spans="1:16" ht="15.75" customHeight="1" x14ac:dyDescent="0.25">
      <c r="A48" s="465" t="s">
        <v>410</v>
      </c>
      <c r="B48" s="467">
        <v>311.10264760899997</v>
      </c>
      <c r="C48" s="467">
        <v>349.64807186500002</v>
      </c>
      <c r="D48" s="467">
        <v>404.316062375</v>
      </c>
      <c r="E48" s="467">
        <v>398.12369625399998</v>
      </c>
      <c r="F48" s="467">
        <v>473.277621125</v>
      </c>
      <c r="G48" s="467">
        <v>494.06188709700001</v>
      </c>
      <c r="H48" s="467">
        <v>478.671931997</v>
      </c>
      <c r="I48" s="467">
        <v>616.39480380299995</v>
      </c>
      <c r="J48" s="467">
        <v>874.924867275</v>
      </c>
      <c r="K48" s="467" t="s">
        <v>102</v>
      </c>
      <c r="L48" s="467" t="s">
        <v>102</v>
      </c>
      <c r="M48" s="480">
        <v>426.83551776399997</v>
      </c>
      <c r="N48" s="480">
        <v>774.58733335099998</v>
      </c>
      <c r="O48" s="480">
        <v>443.72703890899999</v>
      </c>
      <c r="P48" s="467">
        <v>625.13532775199997</v>
      </c>
    </row>
    <row r="49" spans="1:25" ht="15.75" customHeight="1" x14ac:dyDescent="0.25">
      <c r="A49" s="465" t="s">
        <v>411</v>
      </c>
      <c r="B49" s="467">
        <v>435.65694457000001</v>
      </c>
      <c r="C49" s="467">
        <v>454.26284270600001</v>
      </c>
      <c r="D49" s="467">
        <v>435.30275877399998</v>
      </c>
      <c r="E49" s="467">
        <v>468.50974293399997</v>
      </c>
      <c r="F49" s="467">
        <v>557.38105804199995</v>
      </c>
      <c r="G49" s="467">
        <v>595.52710139099997</v>
      </c>
      <c r="H49" s="467">
        <v>592.20192560400005</v>
      </c>
      <c r="I49" s="467">
        <v>1017.7067496990001</v>
      </c>
      <c r="J49" s="467">
        <v>972.39338543199995</v>
      </c>
      <c r="K49" s="467" t="s">
        <v>102</v>
      </c>
      <c r="L49" s="467" t="s">
        <v>102</v>
      </c>
      <c r="M49" s="480">
        <v>503.888473283</v>
      </c>
      <c r="N49" s="480">
        <v>989.97985550600004</v>
      </c>
      <c r="O49" s="480">
        <v>527.49963070299998</v>
      </c>
      <c r="P49" s="467">
        <v>762.76738347100002</v>
      </c>
    </row>
    <row r="50" spans="1:25" ht="15.75" customHeight="1" x14ac:dyDescent="0.25">
      <c r="A50" s="465" t="s">
        <v>412</v>
      </c>
      <c r="B50" s="467">
        <v>1328.3638710719999</v>
      </c>
      <c r="C50" s="467">
        <v>1339.832127892</v>
      </c>
      <c r="D50" s="467">
        <v>1141.9467543190001</v>
      </c>
      <c r="E50" s="467">
        <v>1073.1188488549999</v>
      </c>
      <c r="F50" s="467">
        <v>1118.644055944</v>
      </c>
      <c r="G50" s="467">
        <v>1138.972093762</v>
      </c>
      <c r="H50" s="467">
        <v>1193.4189610779999</v>
      </c>
      <c r="I50" s="467">
        <v>2042.4404432839999</v>
      </c>
      <c r="J50" s="467">
        <v>1370.6099184540001</v>
      </c>
      <c r="K50" s="467" t="s">
        <v>102</v>
      </c>
      <c r="L50" s="467" t="s">
        <v>102</v>
      </c>
      <c r="M50" s="480">
        <v>1126.8287625749999</v>
      </c>
      <c r="N50" s="480">
        <v>1631.3525847870001</v>
      </c>
      <c r="O50" s="480">
        <v>1151.33524803</v>
      </c>
      <c r="P50" s="467">
        <v>1329.451253362</v>
      </c>
    </row>
    <row r="51" spans="1:25" ht="15.75" customHeight="1" x14ac:dyDescent="0.25">
      <c r="A51" s="465" t="s">
        <v>464</v>
      </c>
      <c r="B51" s="467">
        <v>623.62742659900005</v>
      </c>
      <c r="C51" s="467">
        <v>633.50450961900003</v>
      </c>
      <c r="D51" s="467">
        <v>468.60555146399997</v>
      </c>
      <c r="E51" s="467">
        <v>527.38606205200006</v>
      </c>
      <c r="F51" s="467">
        <v>435.34585522100002</v>
      </c>
      <c r="G51" s="467">
        <v>412.944128009</v>
      </c>
      <c r="H51" s="467">
        <v>433.62344563099998</v>
      </c>
      <c r="I51" s="467">
        <v>294.78284786400002</v>
      </c>
      <c r="J51" s="467">
        <v>178.784508813</v>
      </c>
      <c r="K51" s="467" t="s">
        <v>102</v>
      </c>
      <c r="L51" s="467" t="s">
        <v>102</v>
      </c>
      <c r="M51" s="480">
        <v>487.39608674300001</v>
      </c>
      <c r="N51" s="480">
        <v>223.804368877</v>
      </c>
      <c r="O51" s="480">
        <v>474.59251569999998</v>
      </c>
      <c r="P51" s="467">
        <v>381.33041176900002</v>
      </c>
    </row>
    <row r="52" spans="1:25" ht="15.75" customHeight="1" x14ac:dyDescent="0.25">
      <c r="A52" s="465" t="s">
        <v>413</v>
      </c>
      <c r="B52" s="467">
        <v>585.59247596299997</v>
      </c>
      <c r="C52" s="467">
        <v>862.96051682899997</v>
      </c>
      <c r="D52" s="467">
        <v>629.39278105100004</v>
      </c>
      <c r="E52" s="467">
        <v>774.11567360900005</v>
      </c>
      <c r="F52" s="467">
        <v>788.10163371800002</v>
      </c>
      <c r="G52" s="467">
        <v>993.92795793599998</v>
      </c>
      <c r="H52" s="467">
        <v>854.77134191699997</v>
      </c>
      <c r="I52" s="467">
        <v>1415.6013318600001</v>
      </c>
      <c r="J52" s="467">
        <v>1270.8992898700001</v>
      </c>
      <c r="K52" s="467" t="s">
        <v>102</v>
      </c>
      <c r="L52" s="467" t="s">
        <v>102</v>
      </c>
      <c r="M52" s="480">
        <v>786.13455463800005</v>
      </c>
      <c r="N52" s="480">
        <v>1327.0592809059999</v>
      </c>
      <c r="O52" s="480">
        <v>812.40915923299997</v>
      </c>
      <c r="P52" s="467">
        <v>922.65384219600003</v>
      </c>
    </row>
    <row r="53" spans="1:25" ht="15.75" customHeight="1" x14ac:dyDescent="0.25">
      <c r="A53" s="465" t="s">
        <v>414</v>
      </c>
      <c r="B53" s="467">
        <v>243.324655095</v>
      </c>
      <c r="C53" s="467">
        <v>214.934264649</v>
      </c>
      <c r="D53" s="467">
        <v>212.25718312399999</v>
      </c>
      <c r="E53" s="467">
        <v>213.306766372</v>
      </c>
      <c r="F53" s="467">
        <v>227.031549493</v>
      </c>
      <c r="G53" s="467">
        <v>203.93745823200001</v>
      </c>
      <c r="H53" s="467">
        <v>233.47243614499999</v>
      </c>
      <c r="I53" s="467">
        <v>415.74688630000003</v>
      </c>
      <c r="J53" s="467">
        <v>168.18874495599999</v>
      </c>
      <c r="K53" s="467" t="s">
        <v>102</v>
      </c>
      <c r="L53" s="467" t="s">
        <v>102</v>
      </c>
      <c r="M53" s="480">
        <v>217.30399059600001</v>
      </c>
      <c r="N53" s="480">
        <v>264.26799033200001</v>
      </c>
      <c r="O53" s="480">
        <v>219.58519621100001</v>
      </c>
      <c r="P53" s="467">
        <v>168.82118193599999</v>
      </c>
    </row>
    <row r="54" spans="1:25" ht="12.75" customHeight="1" x14ac:dyDescent="0.2">
      <c r="A54" s="235" t="s">
        <v>899</v>
      </c>
      <c r="B54" s="473"/>
      <c r="C54" s="473"/>
      <c r="D54" s="473"/>
      <c r="E54" s="473"/>
      <c r="F54" s="473"/>
      <c r="G54" s="473"/>
      <c r="H54" s="473"/>
      <c r="I54" s="473"/>
      <c r="J54" s="473"/>
      <c r="K54" s="473"/>
      <c r="L54" s="473"/>
      <c r="M54" s="569"/>
      <c r="N54" s="486"/>
      <c r="O54" s="714"/>
      <c r="P54" s="715"/>
      <c r="Q54" s="13"/>
      <c r="R54" s="13"/>
      <c r="S54" s="13"/>
      <c r="T54" s="13"/>
      <c r="U54" s="13"/>
      <c r="V54" s="215"/>
      <c r="W54" s="215"/>
      <c r="X54" s="215"/>
      <c r="Y54" s="39"/>
    </row>
    <row r="55" spans="1:25" s="37" customFormat="1" x14ac:dyDescent="0.2">
      <c r="A55" s="37" t="s">
        <v>357</v>
      </c>
      <c r="M55" s="422"/>
      <c r="N55" s="422"/>
      <c r="O55" s="422"/>
      <c r="P55" s="168"/>
    </row>
    <row r="56" spans="1:25" s="37" customFormat="1" x14ac:dyDescent="0.2">
      <c r="A56" s="255" t="s">
        <v>900</v>
      </c>
      <c r="M56" s="422"/>
      <c r="N56" s="422"/>
      <c r="O56" s="422"/>
      <c r="P56" s="168"/>
    </row>
    <row r="57" spans="1:25" s="37" customFormat="1" x14ac:dyDescent="0.2">
      <c r="A57" s="37" t="s">
        <v>455</v>
      </c>
      <c r="M57" s="422"/>
      <c r="N57" s="422"/>
      <c r="O57" s="422"/>
      <c r="P57" s="168"/>
    </row>
    <row r="58" spans="1:25" s="37" customFormat="1" x14ac:dyDescent="0.2">
      <c r="A58" s="168" t="s">
        <v>615</v>
      </c>
      <c r="M58" s="422"/>
      <c r="N58" s="422"/>
      <c r="O58" s="422"/>
      <c r="P58" s="168"/>
    </row>
    <row r="59" spans="1:25" s="37" customFormat="1" x14ac:dyDescent="0.2">
      <c r="A59" s="37" t="s">
        <v>978</v>
      </c>
      <c r="B59" s="235"/>
      <c r="C59" s="235"/>
      <c r="D59" s="235"/>
      <c r="G59" s="185"/>
      <c r="J59" s="185"/>
      <c r="M59" s="422"/>
      <c r="N59" s="422"/>
      <c r="O59" s="422"/>
    </row>
    <row r="60" spans="1:25" x14ac:dyDescent="0.2">
      <c r="A60" s="286" t="s">
        <v>202</v>
      </c>
      <c r="B60" s="3"/>
      <c r="C60" s="3"/>
      <c r="D60" s="3"/>
      <c r="G60" s="185"/>
      <c r="J60" s="185"/>
    </row>
    <row r="61" spans="1:25" ht="18" x14ac:dyDescent="0.2">
      <c r="A61" s="46"/>
    </row>
    <row r="62" spans="1:25" ht="24" customHeight="1" x14ac:dyDescent="0.2">
      <c r="A62" s="46" t="s">
        <v>919</v>
      </c>
    </row>
    <row r="63" spans="1:25" ht="15" customHeight="1" thickBot="1" x14ac:dyDescent="0.25">
      <c r="P63" s="285" t="s">
        <v>23</v>
      </c>
    </row>
    <row r="64" spans="1:25" ht="15" customHeight="1" x14ac:dyDescent="0.2">
      <c r="A64" s="41"/>
      <c r="B64" s="42" t="s">
        <v>35</v>
      </c>
      <c r="C64" s="42" t="s">
        <v>121</v>
      </c>
      <c r="D64" s="42" t="s">
        <v>123</v>
      </c>
      <c r="E64" s="42" t="s">
        <v>36</v>
      </c>
      <c r="F64" s="42" t="s">
        <v>37</v>
      </c>
      <c r="G64" s="42" t="s">
        <v>38</v>
      </c>
      <c r="H64" s="42" t="s">
        <v>39</v>
      </c>
      <c r="I64" s="42" t="s">
        <v>125</v>
      </c>
      <c r="J64" s="42" t="s">
        <v>126</v>
      </c>
      <c r="K64" s="42" t="s">
        <v>127</v>
      </c>
      <c r="L64" s="252">
        <v>100000</v>
      </c>
      <c r="M64" s="250" t="s">
        <v>231</v>
      </c>
      <c r="N64" s="250" t="s">
        <v>231</v>
      </c>
      <c r="O64" s="257" t="s">
        <v>77</v>
      </c>
      <c r="P64" s="281" t="s">
        <v>220</v>
      </c>
    </row>
    <row r="65" spans="1:16" ht="15" customHeight="1" x14ac:dyDescent="0.2">
      <c r="A65" s="566" t="s">
        <v>81</v>
      </c>
      <c r="B65" s="43" t="s">
        <v>120</v>
      </c>
      <c r="C65" s="43" t="s">
        <v>40</v>
      </c>
      <c r="D65" s="43" t="s">
        <v>40</v>
      </c>
      <c r="E65" s="43" t="s">
        <v>40</v>
      </c>
      <c r="F65" s="43" t="s">
        <v>40</v>
      </c>
      <c r="G65" s="43" t="s">
        <v>40</v>
      </c>
      <c r="H65" s="43" t="s">
        <v>40</v>
      </c>
      <c r="I65" s="43" t="s">
        <v>40</v>
      </c>
      <c r="J65" s="43" t="s">
        <v>40</v>
      </c>
      <c r="K65" s="43" t="s">
        <v>40</v>
      </c>
      <c r="L65" s="43" t="s">
        <v>43</v>
      </c>
      <c r="M65" s="239" t="s">
        <v>230</v>
      </c>
      <c r="N65" s="239" t="s">
        <v>138</v>
      </c>
      <c r="O65" s="256" t="s">
        <v>137</v>
      </c>
      <c r="P65" s="282" t="s">
        <v>284</v>
      </c>
    </row>
    <row r="66" spans="1:16" ht="15" customHeight="1" thickBot="1" x14ac:dyDescent="0.25">
      <c r="A66" s="423" t="s">
        <v>99</v>
      </c>
      <c r="B66" s="44" t="s">
        <v>43</v>
      </c>
      <c r="C66" s="44" t="s">
        <v>122</v>
      </c>
      <c r="D66" s="44" t="s">
        <v>124</v>
      </c>
      <c r="E66" s="44" t="s">
        <v>44</v>
      </c>
      <c r="F66" s="44" t="s">
        <v>45</v>
      </c>
      <c r="G66" s="44" t="s">
        <v>46</v>
      </c>
      <c r="H66" s="44" t="s">
        <v>42</v>
      </c>
      <c r="I66" s="44" t="s">
        <v>128</v>
      </c>
      <c r="J66" s="44" t="s">
        <v>129</v>
      </c>
      <c r="K66" s="44" t="s">
        <v>130</v>
      </c>
      <c r="L66" s="44" t="s">
        <v>131</v>
      </c>
      <c r="M66" s="251" t="s">
        <v>138</v>
      </c>
      <c r="N66" s="251" t="s">
        <v>131</v>
      </c>
      <c r="O66" s="258" t="s">
        <v>41</v>
      </c>
      <c r="P66" s="283" t="s">
        <v>239</v>
      </c>
    </row>
    <row r="67" spans="1:16" ht="15" customHeight="1" x14ac:dyDescent="0.25">
      <c r="A67" s="544" t="s">
        <v>200</v>
      </c>
      <c r="B67" s="192"/>
      <c r="C67" s="192"/>
      <c r="D67" s="192"/>
      <c r="E67" s="192"/>
      <c r="F67" s="192"/>
      <c r="G67" s="192"/>
      <c r="H67" s="192"/>
      <c r="I67" s="192"/>
      <c r="J67" s="192"/>
      <c r="K67" s="192"/>
      <c r="L67" s="192"/>
      <c r="M67" s="192"/>
      <c r="N67" s="192"/>
      <c r="O67" s="192"/>
    </row>
    <row r="68" spans="1:16" ht="15.75" customHeight="1" x14ac:dyDescent="0.25">
      <c r="A68" s="487" t="s">
        <v>286</v>
      </c>
      <c r="B68" s="719">
        <f>B8/B$8</f>
        <v>1</v>
      </c>
      <c r="C68" s="719">
        <f t="shared" ref="C68:J68" si="0">C8/C$8</f>
        <v>1</v>
      </c>
      <c r="D68" s="719">
        <f t="shared" si="0"/>
        <v>1</v>
      </c>
      <c r="E68" s="719">
        <f t="shared" si="0"/>
        <v>1</v>
      </c>
      <c r="F68" s="719">
        <f t="shared" si="0"/>
        <v>1</v>
      </c>
      <c r="G68" s="719">
        <f t="shared" si="0"/>
        <v>1</v>
      </c>
      <c r="H68" s="719">
        <f t="shared" si="0"/>
        <v>1</v>
      </c>
      <c r="I68" s="719">
        <f t="shared" si="0"/>
        <v>1</v>
      </c>
      <c r="J68" s="719">
        <f t="shared" si="0"/>
        <v>1</v>
      </c>
      <c r="K68" s="719" t="s">
        <v>102</v>
      </c>
      <c r="L68" s="719" t="s">
        <v>102</v>
      </c>
      <c r="M68" s="720">
        <f t="shared" ref="M68:O68" si="1">M8/M$8</f>
        <v>1</v>
      </c>
      <c r="N68" s="720">
        <f t="shared" si="1"/>
        <v>1</v>
      </c>
      <c r="O68" s="720">
        <f t="shared" si="1"/>
        <v>1</v>
      </c>
      <c r="P68" s="719">
        <f t="shared" ref="P68" si="2">P8/P$8</f>
        <v>1</v>
      </c>
    </row>
    <row r="69" spans="1:16" ht="15.75" customHeight="1" x14ac:dyDescent="0.2">
      <c r="A69" s="490" t="s">
        <v>161</v>
      </c>
      <c r="B69" s="721">
        <f t="shared" ref="B69:J73" si="3">B9/B$8</f>
        <v>0.35636218084447746</v>
      </c>
      <c r="C69" s="721">
        <f t="shared" si="3"/>
        <v>0.37091457685112594</v>
      </c>
      <c r="D69" s="721">
        <f t="shared" si="3"/>
        <v>0.37156262619585989</v>
      </c>
      <c r="E69" s="721">
        <f t="shared" si="3"/>
        <v>0.35602926751542124</v>
      </c>
      <c r="F69" s="721">
        <f t="shared" si="3"/>
        <v>0.32528376393241365</v>
      </c>
      <c r="G69" s="721">
        <f t="shared" si="3"/>
        <v>0.30061395768871446</v>
      </c>
      <c r="H69" s="721">
        <f t="shared" si="3"/>
        <v>0.29800351807994585</v>
      </c>
      <c r="I69" s="721">
        <f t="shared" si="3"/>
        <v>0.18239509255650535</v>
      </c>
      <c r="J69" s="721">
        <f t="shared" si="3"/>
        <v>0.19248175099683981</v>
      </c>
      <c r="K69" s="721" t="s">
        <v>102</v>
      </c>
      <c r="L69" s="721" t="s">
        <v>102</v>
      </c>
      <c r="M69" s="722">
        <f t="shared" ref="M69:O69" si="4">M9/M$8</f>
        <v>0.34104080358709932</v>
      </c>
      <c r="N69" s="722">
        <f t="shared" si="4"/>
        <v>0.18745830745028383</v>
      </c>
      <c r="O69" s="722">
        <f t="shared" si="4"/>
        <v>0.3293141903368732</v>
      </c>
      <c r="P69" s="721">
        <f t="shared" ref="P69" si="5">P9/P$8</f>
        <v>0.26380622524125025</v>
      </c>
    </row>
    <row r="70" spans="1:16" ht="15.75" customHeight="1" x14ac:dyDescent="0.2">
      <c r="A70" s="492" t="s">
        <v>162</v>
      </c>
      <c r="B70" s="723">
        <f t="shared" si="3"/>
        <v>0.31650026185739605</v>
      </c>
      <c r="C70" s="723">
        <f t="shared" si="3"/>
        <v>0.32769460278933066</v>
      </c>
      <c r="D70" s="723">
        <f t="shared" si="3"/>
        <v>0.39836068877158043</v>
      </c>
      <c r="E70" s="723">
        <f t="shared" si="3"/>
        <v>0.44224847034299719</v>
      </c>
      <c r="F70" s="723">
        <f t="shared" si="3"/>
        <v>0.49312695371259629</v>
      </c>
      <c r="G70" s="723">
        <f t="shared" si="3"/>
        <v>0.50466922644238121</v>
      </c>
      <c r="H70" s="723">
        <f t="shared" si="3"/>
        <v>0.52450668890652663</v>
      </c>
      <c r="I70" s="723">
        <f t="shared" si="3"/>
        <v>0.49286363918559056</v>
      </c>
      <c r="J70" s="723">
        <f t="shared" si="3"/>
        <v>0.60023147216869377</v>
      </c>
      <c r="K70" s="723" t="s">
        <v>102</v>
      </c>
      <c r="L70" s="723" t="s">
        <v>102</v>
      </c>
      <c r="M70" s="724">
        <f t="shared" ref="M70:O70" si="6">M10/M$8</f>
        <v>0.45268748532711611</v>
      </c>
      <c r="N70" s="724">
        <f t="shared" si="6"/>
        <v>0.54675922951199885</v>
      </c>
      <c r="O70" s="724">
        <f t="shared" si="6"/>
        <v>0.45987022417918078</v>
      </c>
      <c r="P70" s="723">
        <f t="shared" ref="P70" si="7">P10/P$8</f>
        <v>0.5355583785600867</v>
      </c>
    </row>
    <row r="71" spans="1:16" ht="15.75" customHeight="1" x14ac:dyDescent="0.2">
      <c r="A71" s="490" t="s">
        <v>163</v>
      </c>
      <c r="B71" s="721">
        <f t="shared" si="3"/>
        <v>1.5830577139698387E-2</v>
      </c>
      <c r="C71" s="721">
        <f t="shared" si="3"/>
        <v>2.3800348488419852E-2</v>
      </c>
      <c r="D71" s="721">
        <f t="shared" si="3"/>
        <v>1.7823582152455022E-2</v>
      </c>
      <c r="E71" s="721">
        <f t="shared" si="3"/>
        <v>2.3786885594463937E-2</v>
      </c>
      <c r="F71" s="721">
        <f t="shared" si="3"/>
        <v>2.2764232299031632E-2</v>
      </c>
      <c r="G71" s="721">
        <f t="shared" si="3"/>
        <v>2.412194284765868E-2</v>
      </c>
      <c r="H71" s="721">
        <f t="shared" si="3"/>
        <v>2.303549748564131E-2</v>
      </c>
      <c r="I71" s="721">
        <f t="shared" si="3"/>
        <v>1.9628916977265688E-2</v>
      </c>
      <c r="J71" s="721">
        <f t="shared" si="3"/>
        <v>2.6444806714755582E-2</v>
      </c>
      <c r="K71" s="721" t="s">
        <v>102</v>
      </c>
      <c r="L71" s="721" t="s">
        <v>102</v>
      </c>
      <c r="M71" s="722">
        <f t="shared" ref="M71:O71" si="8">M11/M$8</f>
        <v>2.2534295801982174E-2</v>
      </c>
      <c r="N71" s="722">
        <f t="shared" si="8"/>
        <v>2.3050299255047393E-2</v>
      </c>
      <c r="O71" s="722">
        <f t="shared" si="8"/>
        <v>2.2573694645990298E-2</v>
      </c>
      <c r="P71" s="721">
        <f t="shared" ref="P71" si="9">P11/P$8</f>
        <v>2.0882900684887656E-2</v>
      </c>
    </row>
    <row r="72" spans="1:16" ht="15.75" customHeight="1" x14ac:dyDescent="0.2">
      <c r="A72" s="492" t="s">
        <v>164</v>
      </c>
      <c r="B72" s="723">
        <f t="shared" si="3"/>
        <v>0.12195079526818141</v>
      </c>
      <c r="C72" s="723">
        <f t="shared" si="3"/>
        <v>0.14336221077753999</v>
      </c>
      <c r="D72" s="723">
        <f t="shared" si="3"/>
        <v>0.11314614480590705</v>
      </c>
      <c r="E72" s="723">
        <f t="shared" si="3"/>
        <v>9.4594970552295488E-2</v>
      </c>
      <c r="F72" s="723">
        <f t="shared" si="3"/>
        <v>9.8346539045611664E-2</v>
      </c>
      <c r="G72" s="723">
        <f t="shared" si="3"/>
        <v>0.11341089687942782</v>
      </c>
      <c r="H72" s="723">
        <f t="shared" si="3"/>
        <v>0.12024327223914892</v>
      </c>
      <c r="I72" s="723">
        <f t="shared" si="3"/>
        <v>0.2784140175307081</v>
      </c>
      <c r="J72" s="723">
        <f t="shared" si="3"/>
        <v>0.16459428088563019</v>
      </c>
      <c r="K72" s="723" t="s">
        <v>102</v>
      </c>
      <c r="L72" s="723" t="s">
        <v>102</v>
      </c>
      <c r="M72" s="724">
        <f t="shared" ref="M72:O72" si="10">M12/M$8</f>
        <v>0.10559758549298644</v>
      </c>
      <c r="N72" s="724">
        <f t="shared" si="10"/>
        <v>0.2212797555560535</v>
      </c>
      <c r="O72" s="724">
        <f t="shared" si="10"/>
        <v>0.11443036333182242</v>
      </c>
      <c r="P72" s="723">
        <f t="shared" ref="P72" si="11">P12/P$8</f>
        <v>0.13986696626146974</v>
      </c>
    </row>
    <row r="73" spans="1:16" ht="15.75" customHeight="1" x14ac:dyDescent="0.2">
      <c r="A73" s="495" t="s">
        <v>165</v>
      </c>
      <c r="B73" s="725">
        <f t="shared" si="3"/>
        <v>0.18935618489132705</v>
      </c>
      <c r="C73" s="725">
        <f t="shared" si="3"/>
        <v>0.13422826109256464</v>
      </c>
      <c r="D73" s="725">
        <f t="shared" si="3"/>
        <v>9.9106958075354176E-2</v>
      </c>
      <c r="E73" s="725">
        <f t="shared" si="3"/>
        <v>8.3340405993635916E-2</v>
      </c>
      <c r="F73" s="725">
        <f t="shared" si="3"/>
        <v>6.0478511011455079E-2</v>
      </c>
      <c r="G73" s="725">
        <f t="shared" si="3"/>
        <v>5.7183976141817944E-2</v>
      </c>
      <c r="H73" s="725">
        <f t="shared" si="3"/>
        <v>3.4211023288737319E-2</v>
      </c>
      <c r="I73" s="725">
        <f t="shared" si="3"/>
        <v>2.6698333749930352E-2</v>
      </c>
      <c r="J73" s="725">
        <f t="shared" si="3"/>
        <v>1.6247689234080813E-2</v>
      </c>
      <c r="K73" s="725" t="s">
        <v>102</v>
      </c>
      <c r="L73" s="725" t="s">
        <v>102</v>
      </c>
      <c r="M73" s="726">
        <f t="shared" ref="M73:O73" si="12">M13/M$8</f>
        <v>7.8139829790815976E-2</v>
      </c>
      <c r="N73" s="726">
        <f t="shared" si="12"/>
        <v>2.1452408225921489E-2</v>
      </c>
      <c r="O73" s="726">
        <f t="shared" si="12"/>
        <v>7.3811527506133359E-2</v>
      </c>
      <c r="P73" s="725">
        <f t="shared" ref="P73" si="13">P13/P$8</f>
        <v>3.9885529251422552E-2</v>
      </c>
    </row>
    <row r="74" spans="1:16" ht="15.75" customHeight="1" x14ac:dyDescent="0.25">
      <c r="A74" s="498" t="s">
        <v>287</v>
      </c>
      <c r="B74" s="727">
        <f>B14/B$14</f>
        <v>1</v>
      </c>
      <c r="C74" s="727">
        <f t="shared" ref="C74:J74" si="14">C14/C$14</f>
        <v>1</v>
      </c>
      <c r="D74" s="727">
        <f t="shared" si="14"/>
        <v>1</v>
      </c>
      <c r="E74" s="727">
        <f t="shared" si="14"/>
        <v>1</v>
      </c>
      <c r="F74" s="727">
        <f t="shared" si="14"/>
        <v>1</v>
      </c>
      <c r="G74" s="727">
        <f t="shared" si="14"/>
        <v>1</v>
      </c>
      <c r="H74" s="727">
        <f t="shared" si="14"/>
        <v>1</v>
      </c>
      <c r="I74" s="727">
        <f t="shared" si="14"/>
        <v>1</v>
      </c>
      <c r="J74" s="727">
        <f t="shared" si="14"/>
        <v>1</v>
      </c>
      <c r="K74" s="727" t="s">
        <v>102</v>
      </c>
      <c r="L74" s="727" t="s">
        <v>102</v>
      </c>
      <c r="M74" s="728">
        <f t="shared" ref="M74:O74" si="15">M14/M$14</f>
        <v>1</v>
      </c>
      <c r="N74" s="728">
        <f t="shared" si="15"/>
        <v>1</v>
      </c>
      <c r="O74" s="728">
        <f t="shared" si="15"/>
        <v>1</v>
      </c>
      <c r="P74" s="727">
        <f t="shared" ref="P74" si="16">P14/P$14</f>
        <v>1</v>
      </c>
    </row>
    <row r="75" spans="1:16" ht="15.75" customHeight="1" x14ac:dyDescent="0.2">
      <c r="A75" s="490" t="s">
        <v>79</v>
      </c>
      <c r="B75" s="721">
        <f t="shared" ref="B75:J85" si="17">B15/B$14</f>
        <v>0.41059765195498676</v>
      </c>
      <c r="C75" s="721">
        <f t="shared" si="17"/>
        <v>0.40587947665398499</v>
      </c>
      <c r="D75" s="721">
        <f t="shared" si="17"/>
        <v>0.45333868984961878</v>
      </c>
      <c r="E75" s="721">
        <f t="shared" si="17"/>
        <v>0.49844932762454458</v>
      </c>
      <c r="F75" s="721">
        <f t="shared" si="17"/>
        <v>0.55396721137721949</v>
      </c>
      <c r="G75" s="721">
        <f t="shared" si="17"/>
        <v>0.59851524608946793</v>
      </c>
      <c r="H75" s="721">
        <f t="shared" si="17"/>
        <v>0.56697419449729702</v>
      </c>
      <c r="I75" s="721">
        <f t="shared" si="17"/>
        <v>0.55317331348588983</v>
      </c>
      <c r="J75" s="721">
        <f t="shared" si="17"/>
        <v>0.75417250808964709</v>
      </c>
      <c r="K75" s="721" t="s">
        <v>102</v>
      </c>
      <c r="L75" s="721" t="s">
        <v>102</v>
      </c>
      <c r="M75" s="722">
        <f t="shared" ref="M75:O75" si="18">M15/M$14</f>
        <v>0.51245340033336795</v>
      </c>
      <c r="N75" s="722">
        <f t="shared" si="18"/>
        <v>0.65650541689541353</v>
      </c>
      <c r="O75" s="722">
        <f t="shared" si="18"/>
        <v>0.52236776141794017</v>
      </c>
      <c r="P75" s="721">
        <f t="shared" ref="P75" si="19">P15/P$14</f>
        <v>0.66412250656217753</v>
      </c>
    </row>
    <row r="76" spans="1:16" ht="15.75" customHeight="1" x14ac:dyDescent="0.2">
      <c r="A76" s="492" t="s">
        <v>167</v>
      </c>
      <c r="B76" s="723">
        <f t="shared" si="17"/>
        <v>0.32796506594117281</v>
      </c>
      <c r="C76" s="723">
        <f t="shared" si="17"/>
        <v>0.33904459614706062</v>
      </c>
      <c r="D76" s="723">
        <f t="shared" si="17"/>
        <v>0.38119356890119871</v>
      </c>
      <c r="E76" s="723">
        <f t="shared" si="17"/>
        <v>0.43658700379169757</v>
      </c>
      <c r="F76" s="723">
        <f t="shared" si="17"/>
        <v>0.49826489049873679</v>
      </c>
      <c r="G76" s="723">
        <f t="shared" si="17"/>
        <v>0.52286364578432032</v>
      </c>
      <c r="H76" s="723">
        <f t="shared" si="17"/>
        <v>0.4962229903478923</v>
      </c>
      <c r="I76" s="723">
        <f t="shared" si="17"/>
        <v>0.49827976773836763</v>
      </c>
      <c r="J76" s="723">
        <f t="shared" si="17"/>
        <v>0.7094603448724679</v>
      </c>
      <c r="K76" s="723" t="s">
        <v>102</v>
      </c>
      <c r="L76" s="723" t="s">
        <v>102</v>
      </c>
      <c r="M76" s="724">
        <f t="shared" ref="M76:O76" si="20">M16/M$14</f>
        <v>0.4471739540367492</v>
      </c>
      <c r="N76" s="724">
        <f t="shared" si="20"/>
        <v>0.60684603974514695</v>
      </c>
      <c r="O76" s="724">
        <f t="shared" si="20"/>
        <v>0.4581633643246672</v>
      </c>
      <c r="P76" s="723">
        <f t="shared" ref="P76" si="21">P16/P$14</f>
        <v>0.573746033592481</v>
      </c>
    </row>
    <row r="77" spans="1:16" ht="15.75" customHeight="1" x14ac:dyDescent="0.2">
      <c r="A77" s="490" t="s">
        <v>322</v>
      </c>
      <c r="B77" s="721">
        <f t="shared" si="17"/>
        <v>0.13479271571087087</v>
      </c>
      <c r="C77" s="721">
        <f t="shared" si="17"/>
        <v>9.8426305190548485E-2</v>
      </c>
      <c r="D77" s="721">
        <f t="shared" si="17"/>
        <v>6.2165201720227749E-2</v>
      </c>
      <c r="E77" s="721">
        <f t="shared" si="17"/>
        <v>7.7479414766327095E-2</v>
      </c>
      <c r="F77" s="721">
        <f t="shared" si="17"/>
        <v>7.9249386014203227E-2</v>
      </c>
      <c r="G77" s="721">
        <f t="shared" si="17"/>
        <v>9.0624522376198474E-2</v>
      </c>
      <c r="H77" s="721">
        <f t="shared" si="17"/>
        <v>9.7519576993207735E-2</v>
      </c>
      <c r="I77" s="721">
        <f t="shared" si="17"/>
        <v>0.19662795319665419</v>
      </c>
      <c r="J77" s="721">
        <f t="shared" si="17"/>
        <v>6.6471152429543476E-2</v>
      </c>
      <c r="K77" s="721" t="s">
        <v>102</v>
      </c>
      <c r="L77" s="721" t="s">
        <v>102</v>
      </c>
      <c r="M77" s="722">
        <f t="shared" ref="M77:O77" si="22">M17/M$14</f>
        <v>8.1353263766994505E-2</v>
      </c>
      <c r="N77" s="722">
        <f t="shared" si="22"/>
        <v>0.12971536669225273</v>
      </c>
      <c r="O77" s="722">
        <f t="shared" si="22"/>
        <v>8.4681779137590993E-2</v>
      </c>
      <c r="P77" s="721">
        <f t="shared" ref="P77" si="23">P17/P$14</f>
        <v>0.11546278665939358</v>
      </c>
    </row>
    <row r="78" spans="1:16" ht="15.75" customHeight="1" x14ac:dyDescent="0.2">
      <c r="A78" s="492" t="s">
        <v>168</v>
      </c>
      <c r="B78" s="723">
        <f t="shared" si="17"/>
        <v>8.2632586013814027E-2</v>
      </c>
      <c r="C78" s="723">
        <f t="shared" si="17"/>
        <v>6.683488050767071E-2</v>
      </c>
      <c r="D78" s="723">
        <f t="shared" si="17"/>
        <v>7.2145120948420072E-2</v>
      </c>
      <c r="E78" s="723">
        <f t="shared" si="17"/>
        <v>6.1862323833778862E-2</v>
      </c>
      <c r="F78" s="723">
        <f t="shared" si="17"/>
        <v>5.5702320878482668E-2</v>
      </c>
      <c r="G78" s="723">
        <f t="shared" si="17"/>
        <v>7.565160030514767E-2</v>
      </c>
      <c r="H78" s="723">
        <f t="shared" si="17"/>
        <v>7.0751204149404667E-2</v>
      </c>
      <c r="I78" s="723">
        <f t="shared" si="17"/>
        <v>5.4893545748011925E-2</v>
      </c>
      <c r="J78" s="723">
        <f t="shared" si="17"/>
        <v>4.4712163217179253E-2</v>
      </c>
      <c r="K78" s="723" t="s">
        <v>102</v>
      </c>
      <c r="L78" s="723" t="s">
        <v>102</v>
      </c>
      <c r="M78" s="724">
        <f t="shared" ref="M78:O78" si="24">M18/M$14</f>
        <v>6.5279446296618693E-2</v>
      </c>
      <c r="N78" s="724">
        <f t="shared" si="24"/>
        <v>4.9659377150266658E-2</v>
      </c>
      <c r="O78" s="724">
        <f t="shared" si="24"/>
        <v>6.4204397093272927E-2</v>
      </c>
      <c r="P78" s="723">
        <f t="shared" ref="P78" si="25">P18/P$14</f>
        <v>9.0376472970448749E-2</v>
      </c>
    </row>
    <row r="79" spans="1:16" ht="15.75" customHeight="1" x14ac:dyDescent="0.2">
      <c r="A79" s="490" t="s">
        <v>169</v>
      </c>
      <c r="B79" s="721">
        <f t="shared" si="17"/>
        <v>0.33015229827357229</v>
      </c>
      <c r="C79" s="721">
        <f t="shared" si="17"/>
        <v>0.28002696239214447</v>
      </c>
      <c r="D79" s="721">
        <f t="shared" si="17"/>
        <v>0.2625783937998194</v>
      </c>
      <c r="E79" s="721">
        <f t="shared" si="17"/>
        <v>0.26200354478722848</v>
      </c>
      <c r="F79" s="721">
        <f t="shared" si="17"/>
        <v>0.24418456160703395</v>
      </c>
      <c r="G79" s="721">
        <f t="shared" si="17"/>
        <v>0.20361325912736539</v>
      </c>
      <c r="H79" s="721">
        <f t="shared" si="17"/>
        <v>0.22109750577253851</v>
      </c>
      <c r="I79" s="721">
        <f t="shared" si="17"/>
        <v>0.21471413988350074</v>
      </c>
      <c r="J79" s="721">
        <f t="shared" si="17"/>
        <v>0.13392406742178445</v>
      </c>
      <c r="K79" s="721" t="s">
        <v>102</v>
      </c>
      <c r="L79" s="721" t="s">
        <v>102</v>
      </c>
      <c r="M79" s="722">
        <f t="shared" ref="M79:O79" si="26">M19/M$14</f>
        <v>0.25121528530840892</v>
      </c>
      <c r="N79" s="722">
        <f t="shared" si="26"/>
        <v>0.17318059971927374</v>
      </c>
      <c r="O79" s="722">
        <f t="shared" si="26"/>
        <v>0.24584455834155497</v>
      </c>
      <c r="P79" s="721">
        <f t="shared" ref="P79" si="27">P19/P$14</f>
        <v>0.1660663506207429</v>
      </c>
    </row>
    <row r="80" spans="1:16" ht="15.75" customHeight="1" x14ac:dyDescent="0.2">
      <c r="A80" s="492" t="s">
        <v>170</v>
      </c>
      <c r="B80" s="723">
        <f t="shared" si="17"/>
        <v>0.183176206756237</v>
      </c>
      <c r="C80" s="723">
        <f t="shared" si="17"/>
        <v>0.16041880185927682</v>
      </c>
      <c r="D80" s="723">
        <f t="shared" si="17"/>
        <v>0.1858730998807204</v>
      </c>
      <c r="E80" s="723">
        <f t="shared" si="17"/>
        <v>0.19877273295459752</v>
      </c>
      <c r="F80" s="723">
        <f t="shared" si="17"/>
        <v>0.20295244790927969</v>
      </c>
      <c r="G80" s="723">
        <f t="shared" si="17"/>
        <v>0.17905395518374734</v>
      </c>
      <c r="H80" s="723">
        <f t="shared" si="17"/>
        <v>0.19563325517646155</v>
      </c>
      <c r="I80" s="723">
        <f t="shared" si="17"/>
        <v>0.20355398252471379</v>
      </c>
      <c r="J80" s="723">
        <f t="shared" si="17"/>
        <v>0.12271087688152074</v>
      </c>
      <c r="K80" s="723" t="s">
        <v>102</v>
      </c>
      <c r="L80" s="723" t="s">
        <v>102</v>
      </c>
      <c r="M80" s="724">
        <f t="shared" ref="M80:O80" si="28">M20/M$14</f>
        <v>0.19284561932855046</v>
      </c>
      <c r="N80" s="724">
        <f t="shared" si="28"/>
        <v>0.16199317841918554</v>
      </c>
      <c r="O80" s="724">
        <f t="shared" si="28"/>
        <v>0.19072220414229718</v>
      </c>
      <c r="P80" s="723">
        <f t="shared" ref="P80" si="29">P20/P$14</f>
        <v>0.12698561267972358</v>
      </c>
    </row>
    <row r="81" spans="1:16" ht="15.75" customHeight="1" x14ac:dyDescent="0.2">
      <c r="A81" s="490" t="s">
        <v>171</v>
      </c>
      <c r="B81" s="721">
        <f t="shared" si="17"/>
        <v>4.9524119318233306E-2</v>
      </c>
      <c r="C81" s="721">
        <f t="shared" si="17"/>
        <v>2.3815104892433235E-2</v>
      </c>
      <c r="D81" s="721">
        <f t="shared" si="17"/>
        <v>1.278188838209402E-2</v>
      </c>
      <c r="E81" s="721">
        <f t="shared" si="17"/>
        <v>4.9634920481391219E-3</v>
      </c>
      <c r="F81" s="721">
        <f t="shared" si="17"/>
        <v>2.653475610251305E-3</v>
      </c>
      <c r="G81" s="721">
        <f t="shared" si="17"/>
        <v>2.4666260265609782E-3</v>
      </c>
      <c r="H81" s="721">
        <f t="shared" si="17"/>
        <v>1.9940207811433176E-3</v>
      </c>
      <c r="I81" s="721">
        <f t="shared" si="17"/>
        <v>9.9125115479241658E-4</v>
      </c>
      <c r="J81" s="721">
        <f t="shared" si="17"/>
        <v>8.8872023585963937E-5</v>
      </c>
      <c r="K81" s="721" t="s">
        <v>102</v>
      </c>
      <c r="L81" s="721" t="s">
        <v>102</v>
      </c>
      <c r="M81" s="722">
        <f t="shared" ref="M81:O81" si="30">M21/M$14</f>
        <v>7.2177822799040121E-3</v>
      </c>
      <c r="N81" s="722">
        <f t="shared" si="30"/>
        <v>5.2734514783775238E-4</v>
      </c>
      <c r="O81" s="722">
        <f t="shared" si="30"/>
        <v>6.7573138243721001E-3</v>
      </c>
      <c r="P81" s="721">
        <f t="shared" ref="P81" si="31">P21/P$14</f>
        <v>4.5020344317733803E-3</v>
      </c>
    </row>
    <row r="82" spans="1:16" ht="15.75" customHeight="1" x14ac:dyDescent="0.2">
      <c r="A82" s="693" t="s">
        <v>607</v>
      </c>
      <c r="B82" s="723">
        <f t="shared" si="17"/>
        <v>9.7451972199854769E-2</v>
      </c>
      <c r="C82" s="723">
        <f t="shared" si="17"/>
        <v>9.5793055639688054E-2</v>
      </c>
      <c r="D82" s="723">
        <f t="shared" si="17"/>
        <v>6.3923405536129255E-2</v>
      </c>
      <c r="E82" s="723">
        <f t="shared" si="17"/>
        <v>5.8267319784491803E-2</v>
      </c>
      <c r="F82" s="723">
        <f t="shared" si="17"/>
        <v>3.8578638088396906E-2</v>
      </c>
      <c r="G82" s="723">
        <f t="shared" si="17"/>
        <v>2.2092677917057078E-2</v>
      </c>
      <c r="H82" s="723">
        <f t="shared" si="17"/>
        <v>2.3470229814933637E-2</v>
      </c>
      <c r="I82" s="723">
        <f t="shared" si="17"/>
        <v>1.0168906203994528E-2</v>
      </c>
      <c r="J82" s="723">
        <f t="shared" si="17"/>
        <v>1.112431851667774E-2</v>
      </c>
      <c r="K82" s="723" t="s">
        <v>102</v>
      </c>
      <c r="L82" s="723" t="s">
        <v>102</v>
      </c>
      <c r="M82" s="724">
        <f t="shared" ref="M82:O82" si="32">M22/M$14</f>
        <v>5.1151883699954465E-2</v>
      </c>
      <c r="N82" s="724">
        <f t="shared" si="32"/>
        <v>1.0660076151637445E-2</v>
      </c>
      <c r="O82" s="724">
        <f t="shared" si="32"/>
        <v>4.8365040374017149E-2</v>
      </c>
      <c r="P82" s="723">
        <f t="shared" ref="P82" si="33">P22/P$14</f>
        <v>3.4578703508493749E-2</v>
      </c>
    </row>
    <row r="83" spans="1:16" ht="15.75" customHeight="1" x14ac:dyDescent="0.2">
      <c r="A83" s="490" t="s">
        <v>172</v>
      </c>
      <c r="B83" s="721">
        <f t="shared" si="17"/>
        <v>1.9650677219890417E-2</v>
      </c>
      <c r="C83" s="721">
        <f t="shared" si="17"/>
        <v>3.085141325207269E-2</v>
      </c>
      <c r="D83" s="721">
        <f t="shared" si="17"/>
        <v>3.3157492804102108E-2</v>
      </c>
      <c r="E83" s="721">
        <f t="shared" si="17"/>
        <v>4.1091662224598847E-2</v>
      </c>
      <c r="F83" s="721">
        <f t="shared" si="17"/>
        <v>4.1908306010206758E-2</v>
      </c>
      <c r="G83" s="721">
        <f t="shared" si="17"/>
        <v>3.5030981881402773E-2</v>
      </c>
      <c r="H83" s="721">
        <f t="shared" si="17"/>
        <v>6.4248596507751152E-2</v>
      </c>
      <c r="I83" s="721">
        <f t="shared" si="17"/>
        <v>7.8466604336484683E-2</v>
      </c>
      <c r="J83" s="721">
        <f t="shared" si="17"/>
        <v>2.3084685535246178E-2</v>
      </c>
      <c r="K83" s="721" t="s">
        <v>102</v>
      </c>
      <c r="L83" s="721" t="s">
        <v>102</v>
      </c>
      <c r="M83" s="722">
        <f t="shared" ref="M83:O83" si="34">M23/M$14</f>
        <v>4.0552401667115393E-2</v>
      </c>
      <c r="N83" s="722">
        <f t="shared" si="34"/>
        <v>4.9995195921823964E-2</v>
      </c>
      <c r="O83" s="722">
        <f t="shared" si="34"/>
        <v>4.1202300739223027E-2</v>
      </c>
      <c r="P83" s="721">
        <f t="shared" ref="P83" si="35">P23/P$14</f>
        <v>4.2669357092669342E-2</v>
      </c>
    </row>
    <row r="84" spans="1:16" ht="15.75" customHeight="1" x14ac:dyDescent="0.2">
      <c r="A84" s="492" t="s">
        <v>173</v>
      </c>
      <c r="B84" s="723">
        <f t="shared" si="17"/>
        <v>7.7780507688468892E-2</v>
      </c>
      <c r="C84" s="723">
        <f t="shared" si="17"/>
        <v>9.8609726872924963E-2</v>
      </c>
      <c r="D84" s="723">
        <f t="shared" si="17"/>
        <v>0.11774093185034845</v>
      </c>
      <c r="E84" s="723">
        <f t="shared" si="17"/>
        <v>9.9845970179653118E-2</v>
      </c>
      <c r="F84" s="723">
        <f t="shared" si="17"/>
        <v>8.1332411347970923E-2</v>
      </c>
      <c r="G84" s="723">
        <f t="shared" si="17"/>
        <v>8.8877027287512053E-2</v>
      </c>
      <c r="H84" s="723">
        <f t="shared" si="17"/>
        <v>8.2326652603417552E-2</v>
      </c>
      <c r="I84" s="723">
        <f t="shared" si="17"/>
        <v>0.11669524909464328</v>
      </c>
      <c r="J84" s="723">
        <f t="shared" si="17"/>
        <v>6.1856347143343239E-2</v>
      </c>
      <c r="K84" s="723" t="s">
        <v>102</v>
      </c>
      <c r="L84" s="723" t="s">
        <v>102</v>
      </c>
      <c r="M84" s="724">
        <f t="shared" ref="M84:O84" si="36">M24/M$14</f>
        <v>9.5525153299266821E-2</v>
      </c>
      <c r="N84" s="724">
        <f t="shared" si="36"/>
        <v>8.8503001367329262E-2</v>
      </c>
      <c r="O84" s="724">
        <f t="shared" si="36"/>
        <v>9.5041854616396443E-2</v>
      </c>
      <c r="P84" s="723">
        <f t="shared" ref="P84" si="37">P24/P$14</f>
        <v>8.1465168373126964E-2</v>
      </c>
    </row>
    <row r="85" spans="1:16" ht="15.75" customHeight="1" x14ac:dyDescent="0.2">
      <c r="A85" s="495" t="s">
        <v>174</v>
      </c>
      <c r="B85" s="725">
        <f t="shared" si="17"/>
        <v>0.16181886486308167</v>
      </c>
      <c r="C85" s="725">
        <f t="shared" si="17"/>
        <v>0.18463242082961925</v>
      </c>
      <c r="D85" s="725">
        <f t="shared" si="17"/>
        <v>0.13318449169611121</v>
      </c>
      <c r="E85" s="725">
        <f t="shared" si="17"/>
        <v>9.8609495183043225E-2</v>
      </c>
      <c r="F85" s="725">
        <f t="shared" si="17"/>
        <v>7.8607509656674943E-2</v>
      </c>
      <c r="G85" s="725">
        <f t="shared" si="17"/>
        <v>7.3963485615129831E-2</v>
      </c>
      <c r="H85" s="725">
        <f t="shared" si="17"/>
        <v>6.5353050618157951E-2</v>
      </c>
      <c r="I85" s="725">
        <f t="shared" si="17"/>
        <v>3.6950693198991851E-2</v>
      </c>
      <c r="J85" s="725">
        <f t="shared" si="17"/>
        <v>2.6962391809249312E-2</v>
      </c>
      <c r="K85" s="725" t="s">
        <v>102</v>
      </c>
      <c r="L85" s="725" t="s">
        <v>102</v>
      </c>
      <c r="M85" s="726">
        <f t="shared" ref="M85:O85" si="38">M25/M$14</f>
        <v>0.10025375939272847</v>
      </c>
      <c r="N85" s="726">
        <f t="shared" si="38"/>
        <v>3.181578609615944E-2</v>
      </c>
      <c r="O85" s="726">
        <f t="shared" si="38"/>
        <v>9.5543524885753947E-2</v>
      </c>
      <c r="P85" s="725">
        <f t="shared" ref="P85" si="39">P25/P$14</f>
        <v>4.5676617350531065E-2</v>
      </c>
    </row>
    <row r="86" spans="1:16" ht="15.75" customHeight="1" x14ac:dyDescent="0.25">
      <c r="A86" s="501" t="s">
        <v>201</v>
      </c>
      <c r="B86" s="729"/>
      <c r="C86" s="729"/>
      <c r="D86" s="729"/>
      <c r="E86" s="729"/>
      <c r="F86" s="729"/>
      <c r="G86" s="729"/>
      <c r="H86" s="729"/>
      <c r="I86" s="729"/>
      <c r="J86" s="729"/>
      <c r="K86" s="729"/>
      <c r="L86" s="729"/>
      <c r="M86" s="730"/>
      <c r="N86" s="730"/>
      <c r="O86" s="730"/>
      <c r="P86" s="731"/>
    </row>
    <row r="87" spans="1:16" ht="15.75" customHeight="1" x14ac:dyDescent="0.25">
      <c r="A87" s="498" t="s">
        <v>288</v>
      </c>
      <c r="B87" s="727">
        <f>B28/B$28</f>
        <v>1</v>
      </c>
      <c r="C87" s="727">
        <f t="shared" ref="C87:J87" si="40">C28/C$28</f>
        <v>1</v>
      </c>
      <c r="D87" s="727">
        <f t="shared" si="40"/>
        <v>1</v>
      </c>
      <c r="E87" s="727">
        <f t="shared" si="40"/>
        <v>1</v>
      </c>
      <c r="F87" s="727">
        <f t="shared" si="40"/>
        <v>1</v>
      </c>
      <c r="G87" s="727">
        <f t="shared" si="40"/>
        <v>1</v>
      </c>
      <c r="H87" s="727">
        <f t="shared" si="40"/>
        <v>1</v>
      </c>
      <c r="I87" s="727">
        <f t="shared" si="40"/>
        <v>1</v>
      </c>
      <c r="J87" s="727">
        <f t="shared" si="40"/>
        <v>1</v>
      </c>
      <c r="K87" s="727" t="s">
        <v>102</v>
      </c>
      <c r="L87" s="727" t="s">
        <v>102</v>
      </c>
      <c r="M87" s="728">
        <f t="shared" ref="M87:O87" si="41">M28/M$28</f>
        <v>1</v>
      </c>
      <c r="N87" s="728">
        <f t="shared" si="41"/>
        <v>1</v>
      </c>
      <c r="O87" s="728">
        <f t="shared" si="41"/>
        <v>1</v>
      </c>
      <c r="P87" s="727">
        <f t="shared" ref="P87" si="42">P28/P$28</f>
        <v>1</v>
      </c>
    </row>
    <row r="88" spans="1:16" ht="15.75" customHeight="1" x14ac:dyDescent="0.2">
      <c r="A88" s="490" t="s">
        <v>178</v>
      </c>
      <c r="B88" s="721">
        <f t="shared" ref="B88:J90" si="43">B29/B$28</f>
        <v>0.94763881203678291</v>
      </c>
      <c r="C88" s="721">
        <f t="shared" si="43"/>
        <v>0.96484363942072282</v>
      </c>
      <c r="D88" s="721">
        <f t="shared" si="43"/>
        <v>0.91109451022757726</v>
      </c>
      <c r="E88" s="721">
        <f t="shared" si="43"/>
        <v>0.9477647902498415</v>
      </c>
      <c r="F88" s="721">
        <f t="shared" si="43"/>
        <v>0.93016340412376941</v>
      </c>
      <c r="G88" s="721">
        <f t="shared" si="43"/>
        <v>0.97271264032992455</v>
      </c>
      <c r="H88" s="721">
        <f t="shared" si="43"/>
        <v>0.90234499520098499</v>
      </c>
      <c r="I88" s="721">
        <f t="shared" si="43"/>
        <v>0.89901070751749268</v>
      </c>
      <c r="J88" s="721">
        <f t="shared" si="43"/>
        <v>0.85229472341764745</v>
      </c>
      <c r="K88" s="721" t="s">
        <v>102</v>
      </c>
      <c r="L88" s="721" t="s">
        <v>102</v>
      </c>
      <c r="M88" s="722">
        <f t="shared" ref="M88:O88" si="44">M29/M$28</f>
        <v>0.93892927760694056</v>
      </c>
      <c r="N88" s="722">
        <f t="shared" si="44"/>
        <v>0.87583198822478414</v>
      </c>
      <c r="O88" s="722">
        <f t="shared" si="44"/>
        <v>0.9373706132276507</v>
      </c>
      <c r="P88" s="721">
        <f t="shared" ref="P88" si="45">P29/P$28</f>
        <v>0.90955037256820892</v>
      </c>
    </row>
    <row r="89" spans="1:16" ht="15.75" customHeight="1" x14ac:dyDescent="0.2">
      <c r="A89" s="492" t="s">
        <v>179</v>
      </c>
      <c r="B89" s="723">
        <f t="shared" si="43"/>
        <v>1.7542064498841738E-2</v>
      </c>
      <c r="C89" s="723">
        <f t="shared" si="43"/>
        <v>2.58604830890319E-2</v>
      </c>
      <c r="D89" s="723">
        <f t="shared" si="43"/>
        <v>5.2879062513799389E-2</v>
      </c>
      <c r="E89" s="723">
        <f t="shared" si="43"/>
        <v>2.5164759027600146E-2</v>
      </c>
      <c r="F89" s="723">
        <f t="shared" si="43"/>
        <v>2.3451955901076814E-2</v>
      </c>
      <c r="G89" s="723">
        <f t="shared" si="43"/>
        <v>1.7486526157559891E-2</v>
      </c>
      <c r="H89" s="723">
        <f t="shared" si="43"/>
        <v>2.3737565750092542E-2</v>
      </c>
      <c r="I89" s="723">
        <f t="shared" si="43"/>
        <v>0.10058086354894194</v>
      </c>
      <c r="J89" s="723">
        <f t="shared" si="43"/>
        <v>0.13987336361384153</v>
      </c>
      <c r="K89" s="723" t="s">
        <v>102</v>
      </c>
      <c r="L89" s="723" t="s">
        <v>102</v>
      </c>
      <c r="M89" s="724">
        <f t="shared" ref="M89:O89" si="46">M30/M$28</f>
        <v>2.7968757263639569E-2</v>
      </c>
      <c r="N89" s="724">
        <f t="shared" si="46"/>
        <v>0.12007632846550469</v>
      </c>
      <c r="O89" s="724">
        <f t="shared" si="46"/>
        <v>3.0244049778895641E-2</v>
      </c>
      <c r="P89" s="723">
        <f t="shared" ref="P89" si="47">P30/P$28</f>
        <v>5.7863798875572275E-2</v>
      </c>
    </row>
    <row r="90" spans="1:16" ht="15.75" customHeight="1" x14ac:dyDescent="0.2">
      <c r="A90" s="495" t="s">
        <v>180</v>
      </c>
      <c r="B90" s="725">
        <f t="shared" si="43"/>
        <v>3.4819123464375358E-2</v>
      </c>
      <c r="C90" s="725">
        <f t="shared" si="43"/>
        <v>9.2958774902451319E-3</v>
      </c>
      <c r="D90" s="725">
        <f t="shared" si="43"/>
        <v>3.6026427258623324E-2</v>
      </c>
      <c r="E90" s="725">
        <f t="shared" si="43"/>
        <v>2.7070450722558339E-2</v>
      </c>
      <c r="F90" s="725">
        <f t="shared" si="43"/>
        <v>4.6384639975153852E-2</v>
      </c>
      <c r="G90" s="725">
        <f t="shared" si="43"/>
        <v>9.8008335125154503E-3</v>
      </c>
      <c r="H90" s="725">
        <f t="shared" si="43"/>
        <v>7.3917439048922409E-2</v>
      </c>
      <c r="I90" s="725">
        <f t="shared" si="43"/>
        <v>4.084289366152455E-4</v>
      </c>
      <c r="J90" s="725">
        <f t="shared" si="43"/>
        <v>7.8319129685109224E-3</v>
      </c>
      <c r="K90" s="725" t="s">
        <v>102</v>
      </c>
      <c r="L90" s="725" t="s">
        <v>102</v>
      </c>
      <c r="M90" s="726">
        <f t="shared" ref="M90:O90" si="48">M31/M$28</f>
        <v>3.3101965129419757E-2</v>
      </c>
      <c r="N90" s="726">
        <f t="shared" si="48"/>
        <v>4.0916833057520309E-3</v>
      </c>
      <c r="O90" s="726">
        <f t="shared" si="48"/>
        <v>3.238533699345366E-2</v>
      </c>
      <c r="P90" s="725">
        <f t="shared" ref="P90" si="49">P31/P$28</f>
        <v>3.2585828556218853E-2</v>
      </c>
    </row>
    <row r="91" spans="1:16" ht="15.75" customHeight="1" x14ac:dyDescent="0.25">
      <c r="A91" s="498" t="s">
        <v>293</v>
      </c>
      <c r="B91" s="727">
        <f>B32/B$32</f>
        <v>1</v>
      </c>
      <c r="C91" s="727">
        <f t="shared" ref="C91:J91" si="50">C32/C$32</f>
        <v>1</v>
      </c>
      <c r="D91" s="727">
        <f t="shared" si="50"/>
        <v>1</v>
      </c>
      <c r="E91" s="727">
        <f t="shared" si="50"/>
        <v>1</v>
      </c>
      <c r="F91" s="727">
        <f t="shared" si="50"/>
        <v>1</v>
      </c>
      <c r="G91" s="727">
        <f t="shared" si="50"/>
        <v>1</v>
      </c>
      <c r="H91" s="727">
        <f t="shared" si="50"/>
        <v>1</v>
      </c>
      <c r="I91" s="727">
        <f t="shared" si="50"/>
        <v>1</v>
      </c>
      <c r="J91" s="727">
        <f t="shared" si="50"/>
        <v>1</v>
      </c>
      <c r="K91" s="727" t="s">
        <v>102</v>
      </c>
      <c r="L91" s="727" t="s">
        <v>102</v>
      </c>
      <c r="M91" s="728">
        <f t="shared" ref="M91:O91" si="51">M32/M$32</f>
        <v>1</v>
      </c>
      <c r="N91" s="728">
        <f t="shared" si="51"/>
        <v>1</v>
      </c>
      <c r="O91" s="728">
        <f t="shared" si="51"/>
        <v>1</v>
      </c>
      <c r="P91" s="727">
        <f t="shared" ref="P91" si="52">P32/P$32</f>
        <v>1</v>
      </c>
    </row>
    <row r="92" spans="1:16" ht="15.75" customHeight="1" x14ac:dyDescent="0.2">
      <c r="A92" s="490" t="s">
        <v>182</v>
      </c>
      <c r="B92" s="721">
        <f t="shared" ref="B92:J94" si="53">B33/B$32</f>
        <v>0.23066023364074764</v>
      </c>
      <c r="C92" s="721">
        <f t="shared" si="53"/>
        <v>0.18721652124761126</v>
      </c>
      <c r="D92" s="721">
        <f t="shared" si="53"/>
        <v>0.1970105353765832</v>
      </c>
      <c r="E92" s="721">
        <f t="shared" si="53"/>
        <v>0.20537697010868466</v>
      </c>
      <c r="F92" s="721">
        <f t="shared" si="53"/>
        <v>0.20852910291597918</v>
      </c>
      <c r="G92" s="721">
        <f t="shared" si="53"/>
        <v>0.19512878941431355</v>
      </c>
      <c r="H92" s="721">
        <f t="shared" si="53"/>
        <v>0.23180095657478064</v>
      </c>
      <c r="I92" s="721">
        <f t="shared" si="53"/>
        <v>0.19459968786400508</v>
      </c>
      <c r="J92" s="721">
        <f t="shared" si="53"/>
        <v>0.16154710188710161</v>
      </c>
      <c r="K92" s="721" t="s">
        <v>102</v>
      </c>
      <c r="L92" s="721" t="s">
        <v>102</v>
      </c>
      <c r="M92" s="722">
        <f t="shared" ref="M92:O92" si="54">M33/M$32</f>
        <v>0.20537922276420914</v>
      </c>
      <c r="N92" s="722">
        <f t="shared" si="54"/>
        <v>0.17929721329048429</v>
      </c>
      <c r="O92" s="722">
        <f t="shared" si="54"/>
        <v>0.20472967716583601</v>
      </c>
      <c r="P92" s="721">
        <f t="shared" ref="P92" si="55">P33/P$32</f>
        <v>0.24609757606140661</v>
      </c>
    </row>
    <row r="93" spans="1:16" ht="15.75" customHeight="1" x14ac:dyDescent="0.2">
      <c r="A93" s="492" t="s">
        <v>183</v>
      </c>
      <c r="B93" s="723">
        <f t="shared" si="53"/>
        <v>0.73226348298916932</v>
      </c>
      <c r="C93" s="723">
        <f t="shared" si="53"/>
        <v>0.68062483005344832</v>
      </c>
      <c r="D93" s="723">
        <f t="shared" si="53"/>
        <v>0.70570033143488664</v>
      </c>
      <c r="E93" s="723">
        <f t="shared" si="53"/>
        <v>0.66479259539594893</v>
      </c>
      <c r="F93" s="723">
        <f t="shared" si="53"/>
        <v>0.55526482133377864</v>
      </c>
      <c r="G93" s="723">
        <f t="shared" si="53"/>
        <v>0.66188884418680871</v>
      </c>
      <c r="H93" s="723">
        <f t="shared" si="53"/>
        <v>0.52301975097048226</v>
      </c>
      <c r="I93" s="723">
        <f t="shared" si="53"/>
        <v>0.37239187974560112</v>
      </c>
      <c r="J93" s="723">
        <f t="shared" si="53"/>
        <v>0.73662985148806026</v>
      </c>
      <c r="K93" s="723" t="s">
        <v>102</v>
      </c>
      <c r="L93" s="723" t="s">
        <v>102</v>
      </c>
      <c r="M93" s="724">
        <f t="shared" ref="M93:O93" si="56">M34/M$32</f>
        <v>0.64378189287038268</v>
      </c>
      <c r="N93" s="724">
        <f t="shared" si="56"/>
        <v>0.54102444318156473</v>
      </c>
      <c r="O93" s="724">
        <f t="shared" si="56"/>
        <v>0.64122282435318234</v>
      </c>
      <c r="P93" s="723">
        <f t="shared" ref="P93" si="57">P34/P$32</f>
        <v>0.56153022175999079</v>
      </c>
    </row>
    <row r="94" spans="1:16" ht="15.75" customHeight="1" x14ac:dyDescent="0.2">
      <c r="A94" s="490" t="s">
        <v>184</v>
      </c>
      <c r="B94" s="725">
        <f t="shared" si="53"/>
        <v>3.7076283372694779E-2</v>
      </c>
      <c r="C94" s="725">
        <f t="shared" si="53"/>
        <v>0.13215864870186919</v>
      </c>
      <c r="D94" s="725">
        <f t="shared" si="53"/>
        <v>9.7289133188530233E-2</v>
      </c>
      <c r="E94" s="725">
        <f t="shared" si="53"/>
        <v>0.1298304344953663</v>
      </c>
      <c r="F94" s="725">
        <f t="shared" si="53"/>
        <v>0.23620607574634392</v>
      </c>
      <c r="G94" s="725">
        <f t="shared" si="53"/>
        <v>0.14298236639887776</v>
      </c>
      <c r="H94" s="725">
        <f t="shared" si="53"/>
        <v>0.24517929245946049</v>
      </c>
      <c r="I94" s="725">
        <f t="shared" si="53"/>
        <v>0.43300843239039383</v>
      </c>
      <c r="J94" s="725">
        <f t="shared" si="53"/>
        <v>0.10182304661501348</v>
      </c>
      <c r="K94" s="725" t="s">
        <v>102</v>
      </c>
      <c r="L94" s="725" t="s">
        <v>102</v>
      </c>
      <c r="M94" s="726">
        <f t="shared" ref="M94:O94" si="58">M35/M$32</f>
        <v>0.15083888436540815</v>
      </c>
      <c r="N94" s="726">
        <f t="shared" si="58"/>
        <v>0.2796783435279509</v>
      </c>
      <c r="O94" s="726">
        <f t="shared" si="58"/>
        <v>0.15404749848098168</v>
      </c>
      <c r="P94" s="725">
        <f t="shared" ref="P94" si="59">P35/P$32</f>
        <v>0.19237220217860257</v>
      </c>
    </row>
    <row r="95" spans="1:16" ht="15.75" customHeight="1" x14ac:dyDescent="0.25">
      <c r="A95" s="544" t="s">
        <v>226</v>
      </c>
      <c r="B95" s="732"/>
      <c r="C95" s="732"/>
      <c r="D95" s="732"/>
      <c r="E95" s="732"/>
      <c r="F95" s="732"/>
      <c r="G95" s="732"/>
      <c r="H95" s="732"/>
      <c r="I95" s="732"/>
      <c r="J95" s="732"/>
      <c r="K95" s="732"/>
      <c r="L95" s="732"/>
      <c r="M95" s="733"/>
      <c r="N95" s="733"/>
      <c r="O95" s="733"/>
      <c r="P95" s="734"/>
    </row>
    <row r="96" spans="1:16" ht="15.75" customHeight="1" x14ac:dyDescent="0.25">
      <c r="A96" s="550" t="s">
        <v>787</v>
      </c>
      <c r="B96" s="735">
        <v>0.30317512499999999</v>
      </c>
      <c r="C96" s="735">
        <v>0.267482471</v>
      </c>
      <c r="D96" s="735">
        <v>0.242886357</v>
      </c>
      <c r="E96" s="735">
        <v>0.214432505</v>
      </c>
      <c r="F96" s="735">
        <v>0.193353212</v>
      </c>
      <c r="G96" s="735">
        <v>0.166218164</v>
      </c>
      <c r="H96" s="735">
        <v>0.18218570000000001</v>
      </c>
      <c r="I96" s="735">
        <v>9.6014878999999997E-2</v>
      </c>
      <c r="J96" s="735">
        <v>0.13880975800000001</v>
      </c>
      <c r="K96" s="735" t="s">
        <v>102</v>
      </c>
      <c r="L96" s="735" t="s">
        <v>102</v>
      </c>
      <c r="M96" s="736">
        <v>0.21141270300000001</v>
      </c>
      <c r="N96" s="736">
        <v>0.118015389</v>
      </c>
      <c r="O96" s="736">
        <v>0.20498464499999999</v>
      </c>
      <c r="P96" s="735">
        <v>0.148300929</v>
      </c>
    </row>
    <row r="97" spans="1:16" s="7" customFormat="1" ht="15.75" customHeight="1" x14ac:dyDescent="0.2">
      <c r="A97" s="562" t="s">
        <v>407</v>
      </c>
      <c r="B97" s="741">
        <v>0.31650026199999998</v>
      </c>
      <c r="C97" s="741">
        <v>0.32769460299999997</v>
      </c>
      <c r="D97" s="741">
        <v>0.39836068899999999</v>
      </c>
      <c r="E97" s="741">
        <v>0.44224847</v>
      </c>
      <c r="F97" s="741">
        <v>0.49312695400000001</v>
      </c>
      <c r="G97" s="741">
        <v>0.50466922599999997</v>
      </c>
      <c r="H97" s="741">
        <v>0.52450668899999997</v>
      </c>
      <c r="I97" s="741">
        <v>0.49286363900000002</v>
      </c>
      <c r="J97" s="741">
        <v>0.60023147200000004</v>
      </c>
      <c r="K97" s="721" t="s">
        <v>102</v>
      </c>
      <c r="L97" s="721" t="s">
        <v>102</v>
      </c>
      <c r="M97" s="742">
        <v>0.452687485</v>
      </c>
      <c r="N97" s="742">
        <v>0.54675923000000004</v>
      </c>
      <c r="O97" s="742">
        <v>0.45987022399999999</v>
      </c>
      <c r="P97" s="721">
        <v>0.53555837900000003</v>
      </c>
    </row>
    <row r="98" spans="1:16" ht="15.75" customHeight="1" x14ac:dyDescent="0.25">
      <c r="A98" s="546" t="s">
        <v>420</v>
      </c>
      <c r="B98" s="737">
        <v>0.77365374200000003</v>
      </c>
      <c r="C98" s="737">
        <v>0.83237111699999999</v>
      </c>
      <c r="D98" s="737">
        <v>0.84103404299999995</v>
      </c>
      <c r="E98" s="737">
        <v>0.87274265600000001</v>
      </c>
      <c r="F98" s="737">
        <v>0.89148506100000002</v>
      </c>
      <c r="G98" s="737">
        <v>0.93454452200000004</v>
      </c>
      <c r="H98" s="737">
        <v>0.88938527199999995</v>
      </c>
      <c r="I98" s="737">
        <v>0.99373918900000002</v>
      </c>
      <c r="J98" s="737">
        <v>0.95243562299999995</v>
      </c>
      <c r="K98" s="737" t="s">
        <v>102</v>
      </c>
      <c r="L98" s="737" t="s">
        <v>102</v>
      </c>
      <c r="M98" s="738">
        <v>0.87523021000000001</v>
      </c>
      <c r="N98" s="738">
        <v>0.97250535100000002</v>
      </c>
      <c r="O98" s="738">
        <v>0.88192515800000004</v>
      </c>
      <c r="P98" s="723">
        <v>0.91681483399999997</v>
      </c>
    </row>
    <row r="99" spans="1:16" ht="15.75" customHeight="1" x14ac:dyDescent="0.2">
      <c r="A99" s="562" t="s">
        <v>466</v>
      </c>
      <c r="B99" s="721">
        <v>0.46947033100000002</v>
      </c>
      <c r="C99" s="721">
        <v>0.47282379400000002</v>
      </c>
      <c r="D99" s="721">
        <v>0.410356744</v>
      </c>
      <c r="E99" s="721">
        <v>0.49145168099999997</v>
      </c>
      <c r="F99" s="721">
        <v>0.38917281399999998</v>
      </c>
      <c r="G99" s="721">
        <v>0.36255860000000001</v>
      </c>
      <c r="H99" s="721">
        <v>0.363345531</v>
      </c>
      <c r="I99" s="721">
        <v>0.14432873600000001</v>
      </c>
      <c r="J99" s="721">
        <v>0.13044156900000001</v>
      </c>
      <c r="K99" s="721" t="s">
        <v>102</v>
      </c>
      <c r="L99" s="721" t="s">
        <v>102</v>
      </c>
      <c r="M99" s="722">
        <v>0.43253784699999998</v>
      </c>
      <c r="N99" s="722">
        <v>0.13718945299999999</v>
      </c>
      <c r="O99" s="722">
        <v>0.41221053299999999</v>
      </c>
      <c r="P99" s="721">
        <v>0.28683293999999998</v>
      </c>
    </row>
    <row r="100" spans="1:16" ht="15.75" customHeight="1" x14ac:dyDescent="0.25">
      <c r="A100" s="492" t="s">
        <v>409</v>
      </c>
      <c r="B100" s="723">
        <v>0.44083740100000002</v>
      </c>
      <c r="C100" s="723">
        <v>0.644081075</v>
      </c>
      <c r="D100" s="723">
        <v>0.55115773000000001</v>
      </c>
      <c r="E100" s="723">
        <v>0.72136993400000005</v>
      </c>
      <c r="F100" s="723">
        <v>0.70451510399999995</v>
      </c>
      <c r="G100" s="723">
        <v>0.87265347699999996</v>
      </c>
      <c r="H100" s="723">
        <v>0.71623744</v>
      </c>
      <c r="I100" s="723">
        <v>0.693093077</v>
      </c>
      <c r="J100" s="723">
        <v>0.92725090700000001</v>
      </c>
      <c r="K100" s="723" t="s">
        <v>102</v>
      </c>
      <c r="L100" s="723" t="s">
        <v>102</v>
      </c>
      <c r="M100" s="724">
        <v>0.69765219099999998</v>
      </c>
      <c r="N100" s="724">
        <v>0.81347177400000004</v>
      </c>
      <c r="O100" s="724">
        <v>0.70562345800000004</v>
      </c>
      <c r="P100" s="737">
        <v>0.69401103600000003</v>
      </c>
    </row>
    <row r="101" spans="1:16" ht="15.75" customHeight="1" x14ac:dyDescent="0.25">
      <c r="A101" s="495" t="s">
        <v>786</v>
      </c>
      <c r="B101" s="739">
        <v>1.454068505</v>
      </c>
      <c r="C101" s="739">
        <v>2.4079375089999999</v>
      </c>
      <c r="D101" s="739">
        <v>2.2692000330000002</v>
      </c>
      <c r="E101" s="739">
        <v>3.3640885489999999</v>
      </c>
      <c r="F101" s="739">
        <v>3.643668994</v>
      </c>
      <c r="G101" s="739">
        <v>5.2500488320000001</v>
      </c>
      <c r="H101" s="739">
        <v>3.931359262</v>
      </c>
      <c r="I101" s="739">
        <v>7.2186007759999997</v>
      </c>
      <c r="J101" s="739">
        <v>6.6800124040000002</v>
      </c>
      <c r="K101" s="739" t="s">
        <v>102</v>
      </c>
      <c r="L101" s="739" t="s">
        <v>102</v>
      </c>
      <c r="M101" s="740">
        <v>3.299953983</v>
      </c>
      <c r="N101" s="740">
        <v>6.8929296320000004</v>
      </c>
      <c r="O101" s="740">
        <v>3.4423234890000001</v>
      </c>
      <c r="P101" s="739">
        <v>4.6797484120000004</v>
      </c>
    </row>
    <row r="102" spans="1:16" ht="15" customHeight="1" x14ac:dyDescent="0.2">
      <c r="A102" s="255" t="s">
        <v>285</v>
      </c>
      <c r="B102" s="13"/>
      <c r="C102" s="13"/>
      <c r="D102" s="13"/>
      <c r="E102" s="13"/>
      <c r="F102" s="13"/>
      <c r="G102" s="13"/>
      <c r="H102" s="13"/>
      <c r="I102" s="13"/>
      <c r="J102" s="13"/>
      <c r="K102" s="13"/>
      <c r="L102" s="13"/>
      <c r="M102" s="215"/>
      <c r="N102" s="215"/>
      <c r="O102" s="215"/>
      <c r="P102" s="39"/>
    </row>
    <row r="103" spans="1:16" ht="15" customHeight="1" x14ac:dyDescent="0.2">
      <c r="A103" s="255" t="s">
        <v>901</v>
      </c>
      <c r="B103" s="13"/>
      <c r="C103" s="13"/>
      <c r="D103" s="13"/>
      <c r="E103" s="13"/>
      <c r="F103" s="13"/>
      <c r="G103" s="13"/>
      <c r="H103" s="13"/>
      <c r="I103" s="13"/>
      <c r="J103" s="13"/>
      <c r="K103" s="13"/>
      <c r="L103" s="13"/>
      <c r="M103" s="215"/>
      <c r="N103" s="215"/>
      <c r="O103" s="215"/>
      <c r="P103" s="39"/>
    </row>
    <row r="104" spans="1:16" ht="15" customHeight="1" x14ac:dyDescent="0.2">
      <c r="A104" s="168" t="s">
        <v>552</v>
      </c>
      <c r="B104" s="13"/>
      <c r="C104" s="13"/>
      <c r="D104" s="13"/>
      <c r="E104" s="13"/>
      <c r="F104" s="13"/>
      <c r="G104" s="13"/>
      <c r="H104" s="13"/>
      <c r="I104" s="13"/>
      <c r="J104" s="13"/>
      <c r="K104" s="13"/>
      <c r="L104" s="13"/>
      <c r="M104" s="215"/>
      <c r="N104" s="215"/>
      <c r="O104" s="215"/>
      <c r="P104" s="39"/>
    </row>
    <row r="105" spans="1:16" ht="15" customHeight="1" x14ac:dyDescent="0.2">
      <c r="A105" s="255" t="s">
        <v>979</v>
      </c>
      <c r="B105" s="3"/>
      <c r="C105" s="3"/>
      <c r="D105" s="3"/>
      <c r="G105" s="185"/>
      <c r="J105" s="185"/>
      <c r="M105" s="215"/>
      <c r="N105" s="215"/>
      <c r="O105" s="215"/>
    </row>
    <row r="106" spans="1:16" ht="15" customHeight="1" x14ac:dyDescent="0.2">
      <c r="A106" s="254" t="s">
        <v>323</v>
      </c>
      <c r="B106" s="3"/>
      <c r="C106" s="3"/>
      <c r="D106" s="3"/>
      <c r="G106" s="185"/>
      <c r="J106" s="185"/>
      <c r="M106" s="215"/>
      <c r="N106" s="215"/>
      <c r="O106" s="215"/>
    </row>
    <row r="107" spans="1:16" x14ac:dyDescent="0.2">
      <c r="A107" s="13"/>
      <c r="B107" s="13"/>
      <c r="C107" s="13"/>
      <c r="D107" s="13"/>
      <c r="E107" s="13"/>
      <c r="F107" s="13"/>
      <c r="G107" s="13"/>
      <c r="H107" s="13"/>
      <c r="I107" s="13"/>
      <c r="J107" s="13"/>
      <c r="K107" s="13"/>
      <c r="L107" s="13"/>
      <c r="M107" s="215"/>
      <c r="N107" s="215"/>
      <c r="O107" s="215"/>
      <c r="P107" s="39"/>
    </row>
    <row r="108" spans="1:16" ht="24.75" customHeight="1" x14ac:dyDescent="0.25">
      <c r="A108" s="280" t="s">
        <v>920</v>
      </c>
      <c r="B108" s="13"/>
      <c r="C108" s="13"/>
      <c r="D108" s="13"/>
      <c r="E108" s="13"/>
      <c r="F108" s="13"/>
      <c r="G108" s="13"/>
      <c r="H108" s="13"/>
      <c r="I108" s="13"/>
      <c r="J108" s="13"/>
      <c r="K108" s="13"/>
      <c r="L108" s="13"/>
      <c r="M108" s="215"/>
      <c r="N108" s="215"/>
      <c r="O108" s="215"/>
      <c r="P108" s="39"/>
    </row>
    <row r="109" spans="1:16" ht="13.5" thickBot="1" x14ac:dyDescent="0.25">
      <c r="A109" s="13"/>
      <c r="B109" s="13"/>
      <c r="C109" s="13"/>
      <c r="D109" s="13"/>
      <c r="E109" s="13"/>
      <c r="F109" s="13"/>
      <c r="G109" s="13"/>
      <c r="H109" s="13"/>
      <c r="I109" s="13"/>
      <c r="J109" s="13"/>
      <c r="K109" s="13"/>
      <c r="L109" s="13"/>
      <c r="M109" s="215"/>
      <c r="N109" s="215"/>
      <c r="O109" s="215"/>
      <c r="P109" s="285" t="s">
        <v>23</v>
      </c>
    </row>
    <row r="110" spans="1:16" x14ac:dyDescent="0.2">
      <c r="A110" s="565" t="s">
        <v>81</v>
      </c>
      <c r="B110" s="42" t="s">
        <v>35</v>
      </c>
      <c r="C110" s="42" t="s">
        <v>121</v>
      </c>
      <c r="D110" s="42" t="s">
        <v>123</v>
      </c>
      <c r="E110" s="42" t="s">
        <v>36</v>
      </c>
      <c r="F110" s="42" t="s">
        <v>37</v>
      </c>
      <c r="G110" s="42" t="s">
        <v>38</v>
      </c>
      <c r="H110" s="42" t="s">
        <v>39</v>
      </c>
      <c r="I110" s="42" t="s">
        <v>125</v>
      </c>
      <c r="J110" s="42" t="s">
        <v>126</v>
      </c>
      <c r="K110" s="42" t="s">
        <v>127</v>
      </c>
      <c r="L110" s="252">
        <v>100000</v>
      </c>
      <c r="M110" s="250" t="s">
        <v>231</v>
      </c>
      <c r="N110" s="250" t="s">
        <v>229</v>
      </c>
      <c r="O110" s="257" t="s">
        <v>77</v>
      </c>
      <c r="P110" s="281" t="s">
        <v>220</v>
      </c>
    </row>
    <row r="111" spans="1:16" x14ac:dyDescent="0.2">
      <c r="A111" s="229" t="s">
        <v>225</v>
      </c>
      <c r="B111" s="43" t="s">
        <v>120</v>
      </c>
      <c r="C111" s="43" t="s">
        <v>40</v>
      </c>
      <c r="D111" s="43" t="s">
        <v>40</v>
      </c>
      <c r="E111" s="43" t="s">
        <v>40</v>
      </c>
      <c r="F111" s="43" t="s">
        <v>40</v>
      </c>
      <c r="G111" s="43" t="s">
        <v>40</v>
      </c>
      <c r="H111" s="43" t="s">
        <v>40</v>
      </c>
      <c r="I111" s="43" t="s">
        <v>40</v>
      </c>
      <c r="J111" s="43" t="s">
        <v>40</v>
      </c>
      <c r="K111" s="43" t="s">
        <v>40</v>
      </c>
      <c r="L111" s="43" t="s">
        <v>43</v>
      </c>
      <c r="M111" s="239" t="s">
        <v>230</v>
      </c>
      <c r="N111" s="239" t="s">
        <v>138</v>
      </c>
      <c r="O111" s="256" t="s">
        <v>137</v>
      </c>
      <c r="P111" s="282" t="s">
        <v>284</v>
      </c>
    </row>
    <row r="112" spans="1:16" ht="15" customHeight="1" thickBot="1" x14ac:dyDescent="0.25">
      <c r="A112" s="423" t="s">
        <v>82</v>
      </c>
      <c r="B112" s="44" t="s">
        <v>43</v>
      </c>
      <c r="C112" s="44" t="s">
        <v>122</v>
      </c>
      <c r="D112" s="44" t="s">
        <v>124</v>
      </c>
      <c r="E112" s="44" t="s">
        <v>44</v>
      </c>
      <c r="F112" s="44" t="s">
        <v>45</v>
      </c>
      <c r="G112" s="44" t="s">
        <v>46</v>
      </c>
      <c r="H112" s="44" t="s">
        <v>42</v>
      </c>
      <c r="I112" s="44" t="s">
        <v>128</v>
      </c>
      <c r="J112" s="44" t="s">
        <v>129</v>
      </c>
      <c r="K112" s="44" t="s">
        <v>130</v>
      </c>
      <c r="L112" s="44" t="s">
        <v>131</v>
      </c>
      <c r="M112" s="251" t="s">
        <v>138</v>
      </c>
      <c r="N112" s="251" t="s">
        <v>131</v>
      </c>
      <c r="O112" s="258" t="s">
        <v>41</v>
      </c>
      <c r="P112" s="283" t="s">
        <v>239</v>
      </c>
    </row>
    <row r="113" spans="1:16" ht="15" x14ac:dyDescent="0.25">
      <c r="A113" s="544" t="s">
        <v>223</v>
      </c>
      <c r="B113" s="192"/>
      <c r="C113" s="192"/>
      <c r="D113" s="192"/>
      <c r="E113" s="192"/>
      <c r="F113" s="192"/>
      <c r="G113" s="192"/>
      <c r="H113" s="192"/>
      <c r="I113" s="192"/>
      <c r="J113" s="192"/>
      <c r="K113" s="192"/>
      <c r="L113" s="192"/>
      <c r="M113" s="253"/>
      <c r="N113" s="253"/>
      <c r="O113" s="253"/>
    </row>
    <row r="114" spans="1:16" ht="15.75" customHeight="1" x14ac:dyDescent="0.25">
      <c r="A114" s="487" t="s">
        <v>286</v>
      </c>
      <c r="B114" s="572">
        <v>2.7051340960000001</v>
      </c>
      <c r="C114" s="572">
        <v>5.2406401840000001</v>
      </c>
      <c r="D114" s="572">
        <v>4.5337785349999997</v>
      </c>
      <c r="E114" s="572">
        <v>4.1301956359999998</v>
      </c>
      <c r="F114" s="572">
        <v>3.7201029189999999</v>
      </c>
      <c r="G114" s="572">
        <v>3.8982860179999999</v>
      </c>
      <c r="H114" s="572">
        <v>1.9093603370000001</v>
      </c>
      <c r="I114" s="572">
        <v>-1.3906059399999999</v>
      </c>
      <c r="J114" s="572">
        <v>5.4157411670000002</v>
      </c>
      <c r="K114" s="572" t="s">
        <v>102</v>
      </c>
      <c r="L114" s="572" t="s">
        <v>102</v>
      </c>
      <c r="M114" s="573">
        <v>3.8822290979999998</v>
      </c>
      <c r="N114" s="573">
        <v>1.912442025</v>
      </c>
      <c r="O114" s="573">
        <v>3.7291472269999999</v>
      </c>
      <c r="P114" s="572">
        <v>4.1179418459999999</v>
      </c>
    </row>
    <row r="115" spans="1:16" ht="15.75" customHeight="1" x14ac:dyDescent="0.2">
      <c r="A115" s="490" t="s">
        <v>161</v>
      </c>
      <c r="B115" s="574">
        <v>1.506934083</v>
      </c>
      <c r="C115" s="574">
        <v>5.668027039</v>
      </c>
      <c r="D115" s="574">
        <v>7.0904677899999999</v>
      </c>
      <c r="E115" s="574">
        <v>4.1671531489999998</v>
      </c>
      <c r="F115" s="574">
        <v>1.043248159</v>
      </c>
      <c r="G115" s="574">
        <v>1.2361399120000001</v>
      </c>
      <c r="H115" s="574">
        <v>-2.038468569</v>
      </c>
      <c r="I115" s="574">
        <v>-6.5611256520000003</v>
      </c>
      <c r="J115" s="574">
        <v>1.6410008389999999</v>
      </c>
      <c r="K115" s="574" t="s">
        <v>102</v>
      </c>
      <c r="L115" s="574" t="s">
        <v>102</v>
      </c>
      <c r="M115" s="575">
        <v>3.169787651</v>
      </c>
      <c r="N115" s="575">
        <v>-2.5060485400000001</v>
      </c>
      <c r="O115" s="575">
        <v>2.9093928419999999</v>
      </c>
      <c r="P115" s="574">
        <v>4.0108692530000001</v>
      </c>
    </row>
    <row r="116" spans="1:16" ht="15.75" customHeight="1" x14ac:dyDescent="0.2">
      <c r="A116" s="492" t="s">
        <v>162</v>
      </c>
      <c r="B116" s="576">
        <v>4.8988989619999996</v>
      </c>
      <c r="C116" s="577">
        <v>2.3627710159999999</v>
      </c>
      <c r="D116" s="576">
        <v>4.4951679450000004</v>
      </c>
      <c r="E116" s="576">
        <v>5.0636261520000003</v>
      </c>
      <c r="F116" s="576">
        <v>4.4771822649999997</v>
      </c>
      <c r="G116" s="576">
        <v>4.8509788189999998</v>
      </c>
      <c r="H116" s="576">
        <v>4.2735775970000001</v>
      </c>
      <c r="I116" s="576">
        <v>3.2540935229999999</v>
      </c>
      <c r="J116" s="576">
        <v>6.5789651659999997</v>
      </c>
      <c r="K116" s="576" t="s">
        <v>102</v>
      </c>
      <c r="L116" s="576" t="s">
        <v>102</v>
      </c>
      <c r="M116" s="578">
        <v>4.6489738249999997</v>
      </c>
      <c r="N116" s="578">
        <v>5.0601997619999999</v>
      </c>
      <c r="O116" s="578">
        <v>4.6861721440000004</v>
      </c>
      <c r="P116" s="576">
        <v>4.3575204349999996</v>
      </c>
    </row>
    <row r="117" spans="1:16" ht="15.75" customHeight="1" x14ac:dyDescent="0.2">
      <c r="A117" s="490" t="s">
        <v>163</v>
      </c>
      <c r="B117" s="574">
        <v>22.339374755000001</v>
      </c>
      <c r="C117" s="574">
        <v>2.3572521399999999</v>
      </c>
      <c r="D117" s="574">
        <v>6.011804079</v>
      </c>
      <c r="E117" s="574">
        <v>12.813056622</v>
      </c>
      <c r="F117" s="574">
        <v>2.6654438570000001</v>
      </c>
      <c r="G117" s="574">
        <v>2.2710053370000001</v>
      </c>
      <c r="H117" s="574">
        <v>15.682039602</v>
      </c>
      <c r="I117" s="574">
        <v>-11.281508304999999</v>
      </c>
      <c r="J117" s="574">
        <v>4.3821110320000001</v>
      </c>
      <c r="K117" s="574" t="s">
        <v>102</v>
      </c>
      <c r="L117" s="574" t="s">
        <v>102</v>
      </c>
      <c r="M117" s="575">
        <v>8.3847956060000008</v>
      </c>
      <c r="N117" s="575">
        <v>-2.8893053210000001</v>
      </c>
      <c r="O117" s="575">
        <v>7.4125528889999996</v>
      </c>
      <c r="P117" s="574">
        <v>9.3167023919999998</v>
      </c>
    </row>
    <row r="118" spans="1:16" ht="15.75" customHeight="1" x14ac:dyDescent="0.2">
      <c r="A118" s="492" t="s">
        <v>164</v>
      </c>
      <c r="B118" s="576">
        <v>6.1339495570000002</v>
      </c>
      <c r="C118" s="576">
        <v>32.356111472000002</v>
      </c>
      <c r="D118" s="576">
        <v>-2.1018984390000002</v>
      </c>
      <c r="E118" s="576">
        <v>0.903721459</v>
      </c>
      <c r="F118" s="576">
        <v>15.568694237000001</v>
      </c>
      <c r="G118" s="576">
        <v>12.393574564</v>
      </c>
      <c r="H118" s="576">
        <v>1.39582848</v>
      </c>
      <c r="I118" s="576">
        <v>-2.1406529299999999</v>
      </c>
      <c r="J118" s="576">
        <v>17.379505260999998</v>
      </c>
      <c r="K118" s="576" t="s">
        <v>102</v>
      </c>
      <c r="L118" s="576" t="s">
        <v>102</v>
      </c>
      <c r="M118" s="578">
        <v>6.055388583</v>
      </c>
      <c r="N118" s="578">
        <v>4.3380151769999999</v>
      </c>
      <c r="O118" s="578">
        <v>5.7982708570000003</v>
      </c>
      <c r="P118" s="576">
        <v>4.601181585</v>
      </c>
    </row>
    <row r="119" spans="1:16" ht="15.75" customHeight="1" x14ac:dyDescent="0.2">
      <c r="A119" s="495" t="s">
        <v>165</v>
      </c>
      <c r="B119" s="579">
        <v>-1.901942003</v>
      </c>
      <c r="C119" s="579">
        <v>-8.9892263400000001</v>
      </c>
      <c r="D119" s="579">
        <v>3.1774504139999999</v>
      </c>
      <c r="E119" s="579">
        <v>0.67356567199999995</v>
      </c>
      <c r="F119" s="579">
        <v>-3.9138423040000001</v>
      </c>
      <c r="G119" s="579">
        <v>-4.2538191520000002</v>
      </c>
      <c r="H119" s="579">
        <v>-3.762621947</v>
      </c>
      <c r="I119" s="579">
        <v>-23.587022312999999</v>
      </c>
      <c r="J119" s="579">
        <v>-46.750019604999999</v>
      </c>
      <c r="K119" s="579" t="s">
        <v>102</v>
      </c>
      <c r="L119" s="579" t="s">
        <v>102</v>
      </c>
      <c r="M119" s="580">
        <v>-1.250631743</v>
      </c>
      <c r="N119" s="580">
        <v>-34.430568184999998</v>
      </c>
      <c r="O119" s="580">
        <v>-2.3472147319999999</v>
      </c>
      <c r="P119" s="579">
        <v>-2.2468260189999998</v>
      </c>
    </row>
    <row r="120" spans="1:16" ht="15.75" customHeight="1" x14ac:dyDescent="0.25">
      <c r="A120" s="498" t="s">
        <v>290</v>
      </c>
      <c r="B120" s="581">
        <v>5.2337694350000001</v>
      </c>
      <c r="C120" s="581">
        <v>4.687457438</v>
      </c>
      <c r="D120" s="581">
        <v>4.7736053289999996</v>
      </c>
      <c r="E120" s="581">
        <v>4.4168549099999996</v>
      </c>
      <c r="F120" s="581">
        <v>4.525274488</v>
      </c>
      <c r="G120" s="581">
        <v>2.4245057459999999</v>
      </c>
      <c r="H120" s="581">
        <v>4.278655938</v>
      </c>
      <c r="I120" s="581">
        <v>2.4769617639999999</v>
      </c>
      <c r="J120" s="581">
        <v>4.9452925700000003</v>
      </c>
      <c r="K120" s="581" t="s">
        <v>102</v>
      </c>
      <c r="L120" s="581" t="s">
        <v>102</v>
      </c>
      <c r="M120" s="582">
        <v>4.2952584790000001</v>
      </c>
      <c r="N120" s="582">
        <v>3.731231336</v>
      </c>
      <c r="O120" s="582">
        <v>4.2562429110000002</v>
      </c>
      <c r="P120" s="581">
        <v>2.9986089869999999</v>
      </c>
    </row>
    <row r="121" spans="1:16" ht="15.75" customHeight="1" x14ac:dyDescent="0.2">
      <c r="A121" s="490" t="s">
        <v>79</v>
      </c>
      <c r="B121" s="574">
        <v>-0.51652850900000002</v>
      </c>
      <c r="C121" s="574">
        <v>1.896359693</v>
      </c>
      <c r="D121" s="574">
        <v>3.5194772319999998</v>
      </c>
      <c r="E121" s="574">
        <v>4.0498109790000001</v>
      </c>
      <c r="F121" s="574">
        <v>4.355011309</v>
      </c>
      <c r="G121" s="574">
        <v>1.2166689690000001</v>
      </c>
      <c r="H121" s="574">
        <v>3.041272078</v>
      </c>
      <c r="I121" s="574">
        <v>2.4438047780000001</v>
      </c>
      <c r="J121" s="574">
        <v>2.9822092210000002</v>
      </c>
      <c r="K121" s="574" t="s">
        <v>102</v>
      </c>
      <c r="L121" s="574" t="s">
        <v>102</v>
      </c>
      <c r="M121" s="575">
        <v>3.393203352</v>
      </c>
      <c r="N121" s="575">
        <v>2.7610889919999999</v>
      </c>
      <c r="O121" s="575">
        <v>3.3382194869999999</v>
      </c>
      <c r="P121" s="574">
        <v>2.5542567570000001</v>
      </c>
    </row>
    <row r="122" spans="1:16" ht="15.75" customHeight="1" x14ac:dyDescent="0.2">
      <c r="A122" s="492" t="s">
        <v>167</v>
      </c>
      <c r="B122" s="576">
        <v>5.0392274090000004</v>
      </c>
      <c r="C122" s="576">
        <v>5.0507466760000002</v>
      </c>
      <c r="D122" s="576">
        <v>6.6131745129999997</v>
      </c>
      <c r="E122" s="576">
        <v>5.669839305</v>
      </c>
      <c r="F122" s="576">
        <v>5.9578750090000003</v>
      </c>
      <c r="G122" s="576">
        <v>3.3126486000000002</v>
      </c>
      <c r="H122" s="576">
        <v>4.0163507860000003</v>
      </c>
      <c r="I122" s="576">
        <v>1.6171768280000001</v>
      </c>
      <c r="J122" s="576">
        <v>4.5239246690000003</v>
      </c>
      <c r="K122" s="576" t="s">
        <v>102</v>
      </c>
      <c r="L122" s="576" t="s">
        <v>102</v>
      </c>
      <c r="M122" s="578">
        <v>5.3375250620000001</v>
      </c>
      <c r="N122" s="578">
        <v>3.3444837230000002</v>
      </c>
      <c r="O122" s="578">
        <v>5.152660858</v>
      </c>
      <c r="P122" s="576">
        <v>4.3767579660000004</v>
      </c>
    </row>
    <row r="123" spans="1:16" ht="15.75" customHeight="1" x14ac:dyDescent="0.2">
      <c r="A123" s="490" t="s">
        <v>322</v>
      </c>
      <c r="B123" s="574">
        <v>1.37868434</v>
      </c>
      <c r="C123" s="574">
        <v>-0.50245210200000001</v>
      </c>
      <c r="D123" s="574">
        <v>4.1464531090000003</v>
      </c>
      <c r="E123" s="574">
        <v>-1.471933631</v>
      </c>
      <c r="F123" s="574">
        <v>0.86356291600000001</v>
      </c>
      <c r="G123" s="574">
        <v>-1.3237732259999999</v>
      </c>
      <c r="H123" s="574">
        <v>2.8940490919999999</v>
      </c>
      <c r="I123" s="574">
        <v>-0.61314033300000004</v>
      </c>
      <c r="J123" s="574">
        <v>0</v>
      </c>
      <c r="K123" s="574" t="s">
        <v>102</v>
      </c>
      <c r="L123" s="574" t="s">
        <v>102</v>
      </c>
      <c r="M123" s="575">
        <v>0.24807016600000001</v>
      </c>
      <c r="N123" s="575">
        <v>-0.45234492100000001</v>
      </c>
      <c r="O123" s="575">
        <v>0.17376392399999999</v>
      </c>
      <c r="P123" s="574">
        <v>0.87048807299999997</v>
      </c>
    </row>
    <row r="124" spans="1:16" ht="15.75" customHeight="1" x14ac:dyDescent="0.2">
      <c r="A124" s="492" t="s">
        <v>168</v>
      </c>
      <c r="B124" s="576">
        <v>-17.777280662999999</v>
      </c>
      <c r="C124" s="576">
        <v>-11.573199704</v>
      </c>
      <c r="D124" s="576">
        <v>-10.242375053</v>
      </c>
      <c r="E124" s="576">
        <v>-6.108941314</v>
      </c>
      <c r="F124" s="576">
        <v>-8.082880007</v>
      </c>
      <c r="G124" s="576">
        <v>-11.23042656</v>
      </c>
      <c r="H124" s="576">
        <v>-3.3155181429999998</v>
      </c>
      <c r="I124" s="576">
        <v>10.611412436</v>
      </c>
      <c r="J124" s="576">
        <v>-16.548758477</v>
      </c>
      <c r="K124" s="576" t="s">
        <v>102</v>
      </c>
      <c r="L124" s="576" t="s">
        <v>102</v>
      </c>
      <c r="M124" s="578">
        <v>-8.2124318790000004</v>
      </c>
      <c r="N124" s="578">
        <v>-3.8703791270000001</v>
      </c>
      <c r="O124" s="578">
        <v>-7.99119928</v>
      </c>
      <c r="P124" s="576">
        <v>-7.6748749969999999</v>
      </c>
    </row>
    <row r="125" spans="1:16" ht="15.75" customHeight="1" x14ac:dyDescent="0.2">
      <c r="A125" s="490" t="s">
        <v>169</v>
      </c>
      <c r="B125" s="574">
        <v>18.689129767000001</v>
      </c>
      <c r="C125" s="574">
        <v>11.126384182000001</v>
      </c>
      <c r="D125" s="574">
        <v>7.553179997</v>
      </c>
      <c r="E125" s="574">
        <v>6.5501922380000002</v>
      </c>
      <c r="F125" s="574">
        <v>5.0967712000000001</v>
      </c>
      <c r="G125" s="574">
        <v>1.776492977</v>
      </c>
      <c r="H125" s="574">
        <v>2.960211894</v>
      </c>
      <c r="I125" s="574">
        <v>0.79701121900000005</v>
      </c>
      <c r="J125" s="574">
        <v>1.534022379</v>
      </c>
      <c r="K125" s="574" t="s">
        <v>102</v>
      </c>
      <c r="L125" s="574" t="s">
        <v>102</v>
      </c>
      <c r="M125" s="575">
        <v>6.298604385</v>
      </c>
      <c r="N125" s="575">
        <v>1.088730787</v>
      </c>
      <c r="O125" s="575">
        <v>6.0336615189999998</v>
      </c>
      <c r="P125" s="574">
        <v>3.1945914609999999</v>
      </c>
    </row>
    <row r="126" spans="1:16" ht="15.75" customHeight="1" x14ac:dyDescent="0.2">
      <c r="A126" s="492" t="s">
        <v>170</v>
      </c>
      <c r="B126" s="576">
        <v>3.823972817</v>
      </c>
      <c r="C126" s="576">
        <v>1.8474619809999999</v>
      </c>
      <c r="D126" s="576">
        <v>2.1978686239999998</v>
      </c>
      <c r="E126" s="576">
        <v>2.527721433</v>
      </c>
      <c r="F126" s="576">
        <v>1.2424765689999999</v>
      </c>
      <c r="G126" s="576">
        <v>1.475655977</v>
      </c>
      <c r="H126" s="576">
        <v>-0.15194192200000001</v>
      </c>
      <c r="I126" s="576">
        <v>0.46987512599999998</v>
      </c>
      <c r="J126" s="576">
        <v>1.7236228469999999</v>
      </c>
      <c r="K126" s="576" t="s">
        <v>102</v>
      </c>
      <c r="L126" s="576" t="s">
        <v>102</v>
      </c>
      <c r="M126" s="578">
        <v>1.853091606</v>
      </c>
      <c r="N126" s="578">
        <v>0.95442780000000005</v>
      </c>
      <c r="O126" s="578">
        <v>1.800117819</v>
      </c>
      <c r="P126" s="576">
        <v>1.9501974019999999</v>
      </c>
    </row>
    <row r="127" spans="1:16" ht="15.75" customHeight="1" x14ac:dyDescent="0.2">
      <c r="A127" s="490" t="s">
        <v>171</v>
      </c>
      <c r="B127" s="574">
        <v>51.930634120999997</v>
      </c>
      <c r="C127" s="574">
        <v>12.222211124999999</v>
      </c>
      <c r="D127" s="574">
        <v>13.059484631</v>
      </c>
      <c r="E127" s="574">
        <v>3.6914612569999998</v>
      </c>
      <c r="F127" s="574">
        <v>-31.987950584</v>
      </c>
      <c r="G127" s="574">
        <v>36.485490143</v>
      </c>
      <c r="H127" s="574">
        <v>12.061503227999999</v>
      </c>
      <c r="I127" s="574">
        <v>54.693485365000001</v>
      </c>
      <c r="J127" s="574">
        <v>-46.54538067</v>
      </c>
      <c r="K127" s="574" t="s">
        <v>102</v>
      </c>
      <c r="L127" s="574" t="s">
        <v>102</v>
      </c>
      <c r="M127" s="575">
        <v>10.505367622</v>
      </c>
      <c r="N127" s="575">
        <v>32.888297434999998</v>
      </c>
      <c r="O127" s="575">
        <v>10.605430480000001</v>
      </c>
      <c r="P127" s="574">
        <v>4.6835640789999999</v>
      </c>
    </row>
    <row r="128" spans="1:16" ht="15.75" customHeight="1" x14ac:dyDescent="0.2">
      <c r="A128" s="693" t="s">
        <v>607</v>
      </c>
      <c r="B128" s="576">
        <v>40.949874463</v>
      </c>
      <c r="C128" s="576">
        <v>30.758793184000002</v>
      </c>
      <c r="D128" s="576">
        <v>25.445701633999999</v>
      </c>
      <c r="E128" s="576">
        <v>23.348781596999999</v>
      </c>
      <c r="F128" s="576">
        <v>37.882513543999998</v>
      </c>
      <c r="G128" s="576">
        <v>1.3341034860000001</v>
      </c>
      <c r="H128" s="576">
        <v>37.813972515000003</v>
      </c>
      <c r="I128" s="576">
        <v>4.0447885360000004</v>
      </c>
      <c r="J128" s="576">
        <v>0.19397261499999999</v>
      </c>
      <c r="K128" s="576" t="s">
        <v>102</v>
      </c>
      <c r="L128" s="576" t="s">
        <v>102</v>
      </c>
      <c r="M128" s="578">
        <v>26.422179395000001</v>
      </c>
      <c r="N128" s="578">
        <v>1.9428406030000001</v>
      </c>
      <c r="O128" s="578">
        <v>25.963339406999999</v>
      </c>
      <c r="P128" s="576">
        <v>7.8328566080000002</v>
      </c>
    </row>
    <row r="129" spans="1:16" ht="15.75" customHeight="1" x14ac:dyDescent="0.2">
      <c r="A129" s="490" t="s">
        <v>172</v>
      </c>
      <c r="B129" s="574">
        <v>-27.368887612999998</v>
      </c>
      <c r="C129" s="574">
        <v>3.3326720719999998</v>
      </c>
      <c r="D129" s="574">
        <v>-2.1979195140000001</v>
      </c>
      <c r="E129" s="574">
        <v>-6.0791130029999998</v>
      </c>
      <c r="F129" s="574">
        <v>-6.8370542929999996</v>
      </c>
      <c r="G129" s="574">
        <v>3.701059833</v>
      </c>
      <c r="H129" s="574">
        <v>-4.3870564500000002</v>
      </c>
      <c r="I129" s="574">
        <v>-1.6410455779999999</v>
      </c>
      <c r="J129" s="574">
        <v>31.373566203999999</v>
      </c>
      <c r="K129" s="574" t="s">
        <v>102</v>
      </c>
      <c r="L129" s="574" t="s">
        <v>102</v>
      </c>
      <c r="M129" s="575">
        <v>-4.6720306579999997</v>
      </c>
      <c r="N129" s="575">
        <v>4.5986121689999999</v>
      </c>
      <c r="O129" s="575">
        <v>-3.9611724650000002</v>
      </c>
      <c r="P129" s="574">
        <v>-0.97563886200000005</v>
      </c>
    </row>
    <row r="130" spans="1:16" ht="15.75" customHeight="1" x14ac:dyDescent="0.2">
      <c r="A130" s="492" t="s">
        <v>173</v>
      </c>
      <c r="B130" s="576">
        <v>-16.2901278</v>
      </c>
      <c r="C130" s="576">
        <v>1.3765329930000001</v>
      </c>
      <c r="D130" s="576">
        <v>0.97124697000000004</v>
      </c>
      <c r="E130" s="576">
        <v>3.3003624679999999</v>
      </c>
      <c r="F130" s="576">
        <v>-3.1072778830000001</v>
      </c>
      <c r="G130" s="576">
        <v>-1.5185927779999999</v>
      </c>
      <c r="H130" s="576">
        <v>3.679136524</v>
      </c>
      <c r="I130" s="576">
        <v>41.367457221999999</v>
      </c>
      <c r="J130" s="576">
        <v>16.410583813999999</v>
      </c>
      <c r="K130" s="576" t="s">
        <v>102</v>
      </c>
      <c r="L130" s="576" t="s">
        <v>102</v>
      </c>
      <c r="M130" s="578">
        <v>0.76203208200000006</v>
      </c>
      <c r="N130" s="578">
        <v>31.256640965999999</v>
      </c>
      <c r="O130" s="578">
        <v>2.285040805</v>
      </c>
      <c r="P130" s="576">
        <v>5.9018008740000001</v>
      </c>
    </row>
    <row r="131" spans="1:16" ht="15.75" customHeight="1" x14ac:dyDescent="0.2">
      <c r="A131" s="495" t="s">
        <v>174</v>
      </c>
      <c r="B131" s="579">
        <v>16.084071553000001</v>
      </c>
      <c r="C131" s="579">
        <v>3.8534492149999999</v>
      </c>
      <c r="D131" s="579">
        <v>9.2897583800000003</v>
      </c>
      <c r="E131" s="579">
        <v>6.7816296649999996</v>
      </c>
      <c r="F131" s="579">
        <v>21.701222497</v>
      </c>
      <c r="G131" s="579">
        <v>21.409757883000001</v>
      </c>
      <c r="H131" s="579">
        <v>37.914578743</v>
      </c>
      <c r="I131" s="579">
        <v>-38.936752900000002</v>
      </c>
      <c r="J131" s="579">
        <v>50.327386146000002</v>
      </c>
      <c r="K131" s="579" t="s">
        <v>102</v>
      </c>
      <c r="L131" s="579" t="s">
        <v>102</v>
      </c>
      <c r="M131" s="580">
        <v>12.004775413999999</v>
      </c>
      <c r="N131" s="580">
        <v>-17.626861412</v>
      </c>
      <c r="O131" s="580">
        <v>11.088918653</v>
      </c>
      <c r="P131" s="579">
        <v>7.8138926639999999</v>
      </c>
    </row>
    <row r="132" spans="1:16" ht="15.75" customHeight="1" x14ac:dyDescent="0.25">
      <c r="A132" s="544" t="s">
        <v>224</v>
      </c>
      <c r="B132" s="583"/>
      <c r="C132" s="583"/>
      <c r="D132" s="583"/>
      <c r="E132" s="583"/>
      <c r="F132" s="583"/>
      <c r="G132" s="583"/>
      <c r="H132" s="583"/>
      <c r="I132" s="583"/>
      <c r="J132" s="583"/>
      <c r="K132" s="583"/>
      <c r="L132" s="583"/>
      <c r="M132" s="584"/>
      <c r="N132" s="584"/>
      <c r="O132" s="584"/>
      <c r="P132" s="583"/>
    </row>
    <row r="133" spans="1:16" ht="15.75" customHeight="1" x14ac:dyDescent="0.25">
      <c r="A133" s="487" t="s">
        <v>288</v>
      </c>
      <c r="B133" s="572">
        <v>7.9943584620000001</v>
      </c>
      <c r="C133" s="572">
        <v>30.776045226000001</v>
      </c>
      <c r="D133" s="572">
        <v>-2.083265843</v>
      </c>
      <c r="E133" s="572">
        <v>17.092000289000001</v>
      </c>
      <c r="F133" s="572">
        <v>21.905106607</v>
      </c>
      <c r="G133" s="572">
        <v>29.136950422000002</v>
      </c>
      <c r="H133" s="572">
        <v>-1.801007174</v>
      </c>
      <c r="I133" s="572">
        <v>-12.201565706</v>
      </c>
      <c r="J133" s="572">
        <v>-42.750167193000003</v>
      </c>
      <c r="K133" s="572" t="s">
        <v>102</v>
      </c>
      <c r="L133" s="572" t="s">
        <v>102</v>
      </c>
      <c r="M133" s="573">
        <v>14.224836889000001</v>
      </c>
      <c r="N133" s="573">
        <v>-30.580573629</v>
      </c>
      <c r="O133" s="573">
        <v>12.432241736</v>
      </c>
      <c r="P133" s="572">
        <v>10.163335259</v>
      </c>
    </row>
    <row r="134" spans="1:16" ht="15.75" customHeight="1" x14ac:dyDescent="0.2">
      <c r="A134" s="545" t="s">
        <v>178</v>
      </c>
      <c r="B134" s="585">
        <v>5.6037856819999998</v>
      </c>
      <c r="C134" s="585">
        <v>27.955837258999999</v>
      </c>
      <c r="D134" s="585">
        <v>4.1617272180000002</v>
      </c>
      <c r="E134" s="585">
        <v>17.634476558999999</v>
      </c>
      <c r="F134" s="585">
        <v>18.735139491999998</v>
      </c>
      <c r="G134" s="585">
        <v>34.583808863999998</v>
      </c>
      <c r="H134" s="585">
        <v>-6.4234998509999999</v>
      </c>
      <c r="I134" s="585">
        <v>-16.460382620000001</v>
      </c>
      <c r="J134" s="585">
        <v>-37.293164515999997</v>
      </c>
      <c r="K134" s="585" t="s">
        <v>102</v>
      </c>
      <c r="L134" s="585" t="s">
        <v>102</v>
      </c>
      <c r="M134" s="586">
        <v>14.958316279</v>
      </c>
      <c r="N134" s="586">
        <v>-28.008393359999999</v>
      </c>
      <c r="O134" s="586">
        <v>13.396247008</v>
      </c>
      <c r="P134" s="585">
        <v>10.725448594</v>
      </c>
    </row>
    <row r="135" spans="1:16" ht="15.75" customHeight="1" x14ac:dyDescent="0.2">
      <c r="A135" s="546" t="s">
        <v>179</v>
      </c>
      <c r="B135" s="587">
        <v>35.850622471000001</v>
      </c>
      <c r="C135" s="587">
        <v>166.501247302</v>
      </c>
      <c r="D135" s="587">
        <v>-55.342622644999999</v>
      </c>
      <c r="E135" s="587">
        <v>18.033344169999999</v>
      </c>
      <c r="F135" s="587">
        <v>48.218651205</v>
      </c>
      <c r="G135" s="587">
        <v>-60.336906149999997</v>
      </c>
      <c r="H135" s="587">
        <v>-30.814390671000002</v>
      </c>
      <c r="I135" s="587">
        <v>60.100613363000001</v>
      </c>
      <c r="J135" s="587">
        <v>-63.510160876</v>
      </c>
      <c r="K135" s="587" t="s">
        <v>102</v>
      </c>
      <c r="L135" s="587" t="s">
        <v>102</v>
      </c>
      <c r="M135" s="588">
        <v>-23.539546859000001</v>
      </c>
      <c r="N135" s="588">
        <v>-45.873176934</v>
      </c>
      <c r="O135" s="588">
        <v>-26.513365657000001</v>
      </c>
      <c r="P135" s="587">
        <v>2.2363989449999999</v>
      </c>
    </row>
    <row r="136" spans="1:16" ht="15.75" customHeight="1" x14ac:dyDescent="0.2">
      <c r="A136" s="545" t="s">
        <v>180</v>
      </c>
      <c r="B136" s="585">
        <v>121.658322313</v>
      </c>
      <c r="C136" s="585">
        <v>912.53470886100001</v>
      </c>
      <c r="D136" s="585">
        <v>27.875274996999998</v>
      </c>
      <c r="E136" s="585">
        <v>0.17549552299999999</v>
      </c>
      <c r="F136" s="585">
        <v>119.893829307</v>
      </c>
      <c r="G136" s="585">
        <v>30.191965278000001</v>
      </c>
      <c r="H136" s="585">
        <v>274.36959445799999</v>
      </c>
      <c r="I136" s="585" t="s">
        <v>971</v>
      </c>
      <c r="J136" s="585">
        <v>84.931449834000006</v>
      </c>
      <c r="K136" s="585" t="s">
        <v>102</v>
      </c>
      <c r="L136" s="585" t="s">
        <v>102</v>
      </c>
      <c r="M136" s="586">
        <v>49.575033065</v>
      </c>
      <c r="N136" s="586">
        <v>94.724680458999998</v>
      </c>
      <c r="O136" s="586">
        <v>49.683351496</v>
      </c>
      <c r="P136" s="585">
        <v>9.7225327549999996</v>
      </c>
    </row>
    <row r="137" spans="1:16" ht="15.75" customHeight="1" x14ac:dyDescent="0.25">
      <c r="A137" s="547" t="s">
        <v>293</v>
      </c>
      <c r="B137" s="589">
        <v>5.4025064159999996</v>
      </c>
      <c r="C137" s="589">
        <v>12.584381858</v>
      </c>
      <c r="D137" s="589">
        <v>8.9286061439999997</v>
      </c>
      <c r="E137" s="589">
        <v>13.798560101</v>
      </c>
      <c r="F137" s="589">
        <v>29.526647611000001</v>
      </c>
      <c r="G137" s="589">
        <v>13.648780434000001</v>
      </c>
      <c r="H137" s="589">
        <v>-0.37179930999999999</v>
      </c>
      <c r="I137" s="589">
        <v>-47.742567108000003</v>
      </c>
      <c r="J137" s="589">
        <v>46.204181945999999</v>
      </c>
      <c r="K137" s="589" t="s">
        <v>102</v>
      </c>
      <c r="L137" s="589" t="s">
        <v>102</v>
      </c>
      <c r="M137" s="590">
        <v>14.054004402</v>
      </c>
      <c r="N137" s="590">
        <v>-25.612832461</v>
      </c>
      <c r="O137" s="590">
        <v>12.559217751</v>
      </c>
      <c r="P137" s="589">
        <v>4.5805366169999999</v>
      </c>
    </row>
    <row r="138" spans="1:16" ht="15.75" customHeight="1" x14ac:dyDescent="0.2">
      <c r="A138" s="545" t="s">
        <v>182</v>
      </c>
      <c r="B138" s="585">
        <v>35.893875813999998</v>
      </c>
      <c r="C138" s="585">
        <v>6.164825682</v>
      </c>
      <c r="D138" s="585">
        <v>6.7994748869999997</v>
      </c>
      <c r="E138" s="585">
        <v>10.835988304000001</v>
      </c>
      <c r="F138" s="585">
        <v>21.516760151</v>
      </c>
      <c r="G138" s="585">
        <v>8.0677164109999993</v>
      </c>
      <c r="H138" s="585">
        <v>-18.315018497000001</v>
      </c>
      <c r="I138" s="585">
        <v>62.237596975999999</v>
      </c>
      <c r="J138" s="585">
        <v>-19.94467126</v>
      </c>
      <c r="K138" s="585" t="s">
        <v>102</v>
      </c>
      <c r="L138" s="585" t="s">
        <v>102</v>
      </c>
      <c r="M138" s="586">
        <v>9.1151267879999995</v>
      </c>
      <c r="N138" s="586">
        <v>13.594043594</v>
      </c>
      <c r="O138" s="586">
        <v>9.2090423090000009</v>
      </c>
      <c r="P138" s="585">
        <v>10.330488277000001</v>
      </c>
    </row>
    <row r="139" spans="1:16" ht="15.75" customHeight="1" x14ac:dyDescent="0.2">
      <c r="A139" s="548" t="s">
        <v>183</v>
      </c>
      <c r="B139" s="587">
        <v>7.5624295679999998</v>
      </c>
      <c r="C139" s="587">
        <v>14.120097619999999</v>
      </c>
      <c r="D139" s="587">
        <v>20.179553683000002</v>
      </c>
      <c r="E139" s="587">
        <v>14.640111445000001</v>
      </c>
      <c r="F139" s="587">
        <v>17.638524659000002</v>
      </c>
      <c r="G139" s="587">
        <v>28.048396222000001</v>
      </c>
      <c r="H139" s="587">
        <v>-20.233426447999999</v>
      </c>
      <c r="I139" s="587">
        <v>-42.345200843999997</v>
      </c>
      <c r="J139" s="587">
        <v>81.816303275999999</v>
      </c>
      <c r="K139" s="587" t="s">
        <v>102</v>
      </c>
      <c r="L139" s="587" t="s">
        <v>102</v>
      </c>
      <c r="M139" s="588">
        <v>13.865922909</v>
      </c>
      <c r="N139" s="588">
        <v>1.2322253919999999</v>
      </c>
      <c r="O139" s="588">
        <v>13.568109261</v>
      </c>
      <c r="P139" s="587">
        <v>5.9774797599999996</v>
      </c>
    </row>
    <row r="140" spans="1:16" ht="15.75" customHeight="1" x14ac:dyDescent="0.2">
      <c r="A140" s="545" t="s">
        <v>184</v>
      </c>
      <c r="B140" s="585">
        <v>-62.255066511999999</v>
      </c>
      <c r="C140" s="585">
        <v>14.456265004</v>
      </c>
      <c r="D140" s="585">
        <v>-33.527424901000003</v>
      </c>
      <c r="E140" s="585">
        <v>14.335292578000001</v>
      </c>
      <c r="F140" s="585">
        <v>83.921942447000006</v>
      </c>
      <c r="G140" s="585">
        <v>-21.626461195000001</v>
      </c>
      <c r="H140" s="585">
        <v>281.48487970799999</v>
      </c>
      <c r="I140" s="585">
        <v>-62.273504652</v>
      </c>
      <c r="J140" s="585">
        <v>32.186145295999999</v>
      </c>
      <c r="K140" s="585" t="s">
        <v>102</v>
      </c>
      <c r="L140" s="585" t="s">
        <v>102</v>
      </c>
      <c r="M140" s="586">
        <v>22.464763169000001</v>
      </c>
      <c r="N140" s="586">
        <v>-57.107088417</v>
      </c>
      <c r="O140" s="586">
        <v>12.987617159999999</v>
      </c>
      <c r="P140" s="585">
        <v>-5.3640444059999997</v>
      </c>
    </row>
    <row r="141" spans="1:16" ht="15.75" customHeight="1" x14ac:dyDescent="0.25">
      <c r="A141" s="549" t="s">
        <v>226</v>
      </c>
      <c r="B141" s="591"/>
      <c r="C141" s="591"/>
      <c r="D141" s="591"/>
      <c r="E141" s="591"/>
      <c r="F141" s="591"/>
      <c r="G141" s="591"/>
      <c r="H141" s="591"/>
      <c r="I141" s="591"/>
      <c r="J141" s="591"/>
      <c r="K141" s="591"/>
      <c r="L141" s="591"/>
      <c r="M141" s="592"/>
      <c r="N141" s="592"/>
      <c r="O141" s="592"/>
      <c r="P141" s="591"/>
    </row>
    <row r="142" spans="1:16" ht="15.75" customHeight="1" x14ac:dyDescent="0.25">
      <c r="A142" s="550" t="s">
        <v>458</v>
      </c>
      <c r="B142" s="593">
        <v>2.0329209189999999</v>
      </c>
      <c r="C142" s="593">
        <v>4.6367854609999997</v>
      </c>
      <c r="D142" s="593">
        <v>4.3881070979999999</v>
      </c>
      <c r="E142" s="593">
        <v>3.9653547599999999</v>
      </c>
      <c r="F142" s="593">
        <v>3.8305486809999998</v>
      </c>
      <c r="G142" s="593">
        <v>4.0056014160000002</v>
      </c>
      <c r="H142" s="593">
        <v>1.3717460699999999</v>
      </c>
      <c r="I142" s="593">
        <v>-2.7772386400000002</v>
      </c>
      <c r="J142" s="593">
        <v>4.7085028400000004</v>
      </c>
      <c r="K142" s="593" t="s">
        <v>102</v>
      </c>
      <c r="L142" s="593" t="s">
        <v>102</v>
      </c>
      <c r="M142" s="594">
        <v>3.737286992</v>
      </c>
      <c r="N142" s="594">
        <v>0.85967302899999998</v>
      </c>
      <c r="O142" s="594">
        <v>3.5457930110000002</v>
      </c>
      <c r="P142" s="593">
        <v>3.761913233</v>
      </c>
    </row>
    <row r="143" spans="1:16" ht="15.75" customHeight="1" x14ac:dyDescent="0.2">
      <c r="A143" s="551" t="s">
        <v>402</v>
      </c>
      <c r="B143" s="595">
        <v>5.8934139190000003</v>
      </c>
      <c r="C143" s="595">
        <v>6.1009582</v>
      </c>
      <c r="D143" s="595">
        <v>6.1934779310000003</v>
      </c>
      <c r="E143" s="595">
        <v>7.443589072</v>
      </c>
      <c r="F143" s="595">
        <v>6.7206432649999996</v>
      </c>
      <c r="G143" s="595">
        <v>4.3840992209999996</v>
      </c>
      <c r="H143" s="595">
        <v>4.0953062019999997</v>
      </c>
      <c r="I143" s="595">
        <v>1.7114498570000001</v>
      </c>
      <c r="J143" s="595">
        <v>3.7408625209999999</v>
      </c>
      <c r="K143" s="595" t="s">
        <v>102</v>
      </c>
      <c r="L143" s="595" t="s">
        <v>102</v>
      </c>
      <c r="M143" s="596">
        <v>6.3048306350000001</v>
      </c>
      <c r="N143" s="596">
        <v>3.0908248880000002</v>
      </c>
      <c r="O143" s="596">
        <v>6.0701440580000003</v>
      </c>
      <c r="P143" s="595">
        <v>4.845576178</v>
      </c>
    </row>
    <row r="144" spans="1:16" ht="15.75" customHeight="1" x14ac:dyDescent="0.25">
      <c r="A144" s="552" t="s">
        <v>403</v>
      </c>
      <c r="B144" s="597">
        <v>4.2936434239999999</v>
      </c>
      <c r="C144" s="597">
        <v>4.3057279360000003</v>
      </c>
      <c r="D144" s="597">
        <v>6.3330216899999998</v>
      </c>
      <c r="E144" s="597">
        <v>5.4361353059999997</v>
      </c>
      <c r="F144" s="597">
        <v>6.1044260699999997</v>
      </c>
      <c r="G144" s="597">
        <v>3.2931082100000002</v>
      </c>
      <c r="H144" s="597">
        <v>3.634381195</v>
      </c>
      <c r="I144" s="597">
        <v>0.18824907099999999</v>
      </c>
      <c r="J144" s="597">
        <v>3.2498381809999999</v>
      </c>
      <c r="K144" s="597" t="s">
        <v>102</v>
      </c>
      <c r="L144" s="597" t="s">
        <v>102</v>
      </c>
      <c r="M144" s="598">
        <v>5.1461933799999997</v>
      </c>
      <c r="N144" s="598">
        <v>2.0096723089999999</v>
      </c>
      <c r="O144" s="598">
        <v>4.904971422</v>
      </c>
      <c r="P144" s="597">
        <v>3.9967386170000001</v>
      </c>
    </row>
    <row r="145" spans="1:17" ht="15.75" customHeight="1" x14ac:dyDescent="0.25">
      <c r="A145" s="553" t="s">
        <v>404</v>
      </c>
      <c r="B145" s="595">
        <v>4.4868045619999997</v>
      </c>
      <c r="C145" s="595">
        <v>3.9450151409999998</v>
      </c>
      <c r="D145" s="595">
        <v>4.4982864359999999</v>
      </c>
      <c r="E145" s="595">
        <v>4.1859220659999998</v>
      </c>
      <c r="F145" s="595">
        <v>4.6698441089999996</v>
      </c>
      <c r="G145" s="595">
        <v>2.4051333380000002</v>
      </c>
      <c r="H145" s="595">
        <v>3.8957231079999999</v>
      </c>
      <c r="I145" s="595">
        <v>1.035943821</v>
      </c>
      <c r="J145" s="595">
        <v>3.6660698479999998</v>
      </c>
      <c r="K145" s="595" t="s">
        <v>102</v>
      </c>
      <c r="L145" s="595" t="s">
        <v>102</v>
      </c>
      <c r="M145" s="596">
        <v>4.1058199359999996</v>
      </c>
      <c r="N145" s="596">
        <v>2.3914246370000001</v>
      </c>
      <c r="O145" s="596">
        <v>4.0106650080000001</v>
      </c>
      <c r="P145" s="595">
        <v>2.6236072610000001</v>
      </c>
    </row>
    <row r="146" spans="1:17" ht="15.75" customHeight="1" x14ac:dyDescent="0.25">
      <c r="A146" s="548" t="s">
        <v>649</v>
      </c>
      <c r="B146" s="599">
        <v>4.6455563780000002</v>
      </c>
      <c r="C146" s="599">
        <v>27.276006824</v>
      </c>
      <c r="D146" s="599">
        <v>3.5685226569999999</v>
      </c>
      <c r="E146" s="599">
        <v>17.232412962000001</v>
      </c>
      <c r="F146" s="599">
        <v>20.220126944</v>
      </c>
      <c r="G146" s="599">
        <v>33.479163161999999</v>
      </c>
      <c r="H146" s="599">
        <v>-2.4192640179999998</v>
      </c>
      <c r="I146" s="599">
        <v>-17.635106046000001</v>
      </c>
      <c r="J146" s="599">
        <v>-38.832311584000003</v>
      </c>
      <c r="K146" s="599" t="s">
        <v>102</v>
      </c>
      <c r="L146" s="599" t="s">
        <v>102</v>
      </c>
      <c r="M146" s="600">
        <v>15.196421687999999</v>
      </c>
      <c r="N146" s="600">
        <v>-29.559498082000001</v>
      </c>
      <c r="O146" s="600">
        <v>13.529214154</v>
      </c>
      <c r="P146" s="599">
        <v>10.323270634</v>
      </c>
    </row>
    <row r="147" spans="1:17" ht="15.75" customHeight="1" x14ac:dyDescent="0.25">
      <c r="A147" s="554" t="s">
        <v>405</v>
      </c>
      <c r="B147" s="595">
        <v>-0.65509650100000005</v>
      </c>
      <c r="C147" s="595">
        <v>-2.9767633299999998</v>
      </c>
      <c r="D147" s="595">
        <v>-3.7260222409999999</v>
      </c>
      <c r="E147" s="595">
        <v>0.49701458799999998</v>
      </c>
      <c r="F147" s="595">
        <v>-2.647718411</v>
      </c>
      <c r="G147" s="595">
        <v>-3.8741907649999998</v>
      </c>
      <c r="H147" s="595">
        <v>-1.4247941260000001</v>
      </c>
      <c r="I147" s="595">
        <v>-12.708891969</v>
      </c>
      <c r="J147" s="595">
        <v>-2.340467104</v>
      </c>
      <c r="K147" s="595" t="s">
        <v>102</v>
      </c>
      <c r="L147" s="595" t="s">
        <v>102</v>
      </c>
      <c r="M147" s="596">
        <v>-1.6015520029999999</v>
      </c>
      <c r="N147" s="596">
        <v>-6.9083763239999998</v>
      </c>
      <c r="O147" s="596">
        <v>-2.0065487179999999</v>
      </c>
      <c r="P147" s="595">
        <v>1.1807607760000001</v>
      </c>
    </row>
    <row r="148" spans="1:17" ht="15.75" customHeight="1" x14ac:dyDescent="0.25">
      <c r="A148" s="546" t="s">
        <v>406</v>
      </c>
      <c r="B148" s="601">
        <v>3.0870148890000002</v>
      </c>
      <c r="C148" s="601">
        <v>1.1251609</v>
      </c>
      <c r="D148" s="601">
        <v>1.9293181239999999</v>
      </c>
      <c r="E148" s="601">
        <v>2.300966678</v>
      </c>
      <c r="F148" s="601">
        <v>1.3825057300000001</v>
      </c>
      <c r="G148" s="601">
        <v>1.4564630329999999</v>
      </c>
      <c r="H148" s="601">
        <v>-0.51860467799999999</v>
      </c>
      <c r="I148" s="601">
        <v>-0.94291942200000001</v>
      </c>
      <c r="J148" s="601">
        <v>0.48367042599999999</v>
      </c>
      <c r="K148" s="601" t="s">
        <v>102</v>
      </c>
      <c r="L148" s="601" t="s">
        <v>102</v>
      </c>
      <c r="M148" s="602">
        <v>1.668088936</v>
      </c>
      <c r="N148" s="602">
        <v>-0.34951332699999998</v>
      </c>
      <c r="O148" s="602">
        <v>1.560325373</v>
      </c>
      <c r="P148" s="601">
        <v>1.5790127780000001</v>
      </c>
    </row>
    <row r="149" spans="1:17" ht="15.75" customHeight="1" x14ac:dyDescent="0.2">
      <c r="A149" s="551" t="s">
        <v>417</v>
      </c>
      <c r="B149" s="595">
        <v>0.66190128000000004</v>
      </c>
      <c r="C149" s="595">
        <v>-0.92129412300000002</v>
      </c>
      <c r="D149" s="595">
        <v>-1.4719285E-2</v>
      </c>
      <c r="E149" s="595">
        <v>0.39291259299999998</v>
      </c>
      <c r="F149" s="595">
        <v>0.35733757700000002</v>
      </c>
      <c r="G149" s="595">
        <v>0.45855054899999997</v>
      </c>
      <c r="H149" s="595">
        <v>1.189225301</v>
      </c>
      <c r="I149" s="595">
        <v>2.2170583289999999</v>
      </c>
      <c r="J149" s="595">
        <v>0.65510455300000003</v>
      </c>
      <c r="K149" s="595" t="s">
        <v>102</v>
      </c>
      <c r="L149" s="595" t="s">
        <v>102</v>
      </c>
      <c r="M149" s="596">
        <v>0.331676203</v>
      </c>
      <c r="N149" s="596">
        <v>1.638170876</v>
      </c>
      <c r="O149" s="596">
        <v>0.42040630000000001</v>
      </c>
      <c r="P149" s="595">
        <v>0.122944939</v>
      </c>
    </row>
    <row r="150" spans="1:17" ht="15.75" customHeight="1" x14ac:dyDescent="0.2">
      <c r="A150" s="552" t="s">
        <v>422</v>
      </c>
      <c r="B150" s="597">
        <v>1.7156065460000001</v>
      </c>
      <c r="C150" s="597">
        <v>-0.38503762200000002</v>
      </c>
      <c r="D150" s="597">
        <v>0.17370092300000001</v>
      </c>
      <c r="E150" s="597">
        <v>0.21625831600000001</v>
      </c>
      <c r="F150" s="597">
        <v>0.62619399799999997</v>
      </c>
      <c r="G150" s="597">
        <v>-1.1827059600000001</v>
      </c>
      <c r="H150" s="597">
        <v>1.901340384</v>
      </c>
      <c r="I150" s="597">
        <v>3.5455279829999999</v>
      </c>
      <c r="J150" s="597">
        <v>-0.38433135000000002</v>
      </c>
      <c r="K150" s="597" t="s">
        <v>102</v>
      </c>
      <c r="L150" s="597" t="s">
        <v>102</v>
      </c>
      <c r="M150" s="598">
        <v>0.31353747999999998</v>
      </c>
      <c r="N150" s="598">
        <v>1.57404155</v>
      </c>
      <c r="O150" s="598">
        <v>0.40398400400000001</v>
      </c>
      <c r="P150" s="597">
        <v>-0.91563832599999995</v>
      </c>
    </row>
    <row r="151" spans="1:17" s="3" customFormat="1" ht="15.75" customHeight="1" x14ac:dyDescent="0.25">
      <c r="A151" s="553" t="s">
        <v>418</v>
      </c>
      <c r="B151" s="595">
        <v>-0.13644624</v>
      </c>
      <c r="C151" s="595">
        <v>1.6946833299999999</v>
      </c>
      <c r="D151" s="595">
        <v>-0.44427116100000003</v>
      </c>
      <c r="E151" s="595">
        <v>-0.73250264499999995</v>
      </c>
      <c r="F151" s="595">
        <v>-0.49573584900000001</v>
      </c>
      <c r="G151" s="595">
        <v>2.6376707210000001</v>
      </c>
      <c r="H151" s="595">
        <v>-1.960109104</v>
      </c>
      <c r="I151" s="595">
        <v>-4.2504457320000002</v>
      </c>
      <c r="J151" s="595">
        <v>0.47668269699999999</v>
      </c>
      <c r="K151" s="595" t="s">
        <v>102</v>
      </c>
      <c r="L151" s="595" t="s">
        <v>102</v>
      </c>
      <c r="M151" s="596">
        <v>-0.268828927</v>
      </c>
      <c r="N151" s="596">
        <v>-1.8729441920000001</v>
      </c>
      <c r="O151" s="596">
        <v>-0.38317922100000001</v>
      </c>
      <c r="P151" s="595">
        <v>0.65463221599999999</v>
      </c>
      <c r="Q151"/>
    </row>
    <row r="152" spans="1:17" ht="15.75" customHeight="1" x14ac:dyDescent="0.25">
      <c r="A152" s="548" t="s">
        <v>463</v>
      </c>
      <c r="B152" s="599">
        <v>7.1220670999999999E-2</v>
      </c>
      <c r="C152" s="599">
        <v>8.6673429449999997</v>
      </c>
      <c r="D152" s="599">
        <v>-0.36838879899999999</v>
      </c>
      <c r="E152" s="599">
        <v>5.4692381719999998</v>
      </c>
      <c r="F152" s="599">
        <v>5.0338886550000002</v>
      </c>
      <c r="G152" s="599">
        <v>8.4403861169999992</v>
      </c>
      <c r="H152" s="599">
        <v>-2.3514091430000001</v>
      </c>
      <c r="I152" s="599">
        <v>-3.2717446730000002</v>
      </c>
      <c r="J152" s="599">
        <v>-9.0628822420000006</v>
      </c>
      <c r="K152" s="599" t="s">
        <v>102</v>
      </c>
      <c r="L152" s="599" t="s">
        <v>102</v>
      </c>
      <c r="M152" s="600">
        <v>4.164282998</v>
      </c>
      <c r="N152" s="600">
        <v>-6.2227404599999998</v>
      </c>
      <c r="O152" s="600">
        <v>3.456067446</v>
      </c>
      <c r="P152" s="599">
        <v>2.0024005030000001</v>
      </c>
    </row>
    <row r="153" spans="1:17" ht="15.75" customHeight="1" x14ac:dyDescent="0.25">
      <c r="A153" s="554" t="s">
        <v>419</v>
      </c>
      <c r="B153" s="595">
        <v>-2.2816895669999999</v>
      </c>
      <c r="C153" s="595">
        <v>-4.5949678340000002</v>
      </c>
      <c r="D153" s="595">
        <v>-4.7083245209999998</v>
      </c>
      <c r="E153" s="595">
        <v>-2.6479064640000001</v>
      </c>
      <c r="F153" s="595">
        <v>-5.2955444270000003</v>
      </c>
      <c r="G153" s="595">
        <v>-5.7005231529999998</v>
      </c>
      <c r="H153" s="595">
        <v>-3.865833818</v>
      </c>
      <c r="I153" s="595">
        <v>-10.913426060999999</v>
      </c>
      <c r="J153" s="595">
        <v>-5.7030447219999996</v>
      </c>
      <c r="K153" s="595" t="s">
        <v>102</v>
      </c>
      <c r="L153" s="595" t="s">
        <v>102</v>
      </c>
      <c r="M153" s="596">
        <v>-4.046568433</v>
      </c>
      <c r="N153" s="596">
        <v>-8.1265373679999993</v>
      </c>
      <c r="O153" s="596">
        <v>-4.332827451</v>
      </c>
      <c r="P153" s="595">
        <v>-0.98957892700000005</v>
      </c>
    </row>
    <row r="154" spans="1:17" ht="15.75" customHeight="1" x14ac:dyDescent="0.25">
      <c r="A154" s="555" t="s">
        <v>785</v>
      </c>
      <c r="B154" s="603">
        <v>-0.16699233299999999</v>
      </c>
      <c r="C154" s="603">
        <v>-0.135177931</v>
      </c>
      <c r="D154" s="603">
        <v>-0.211590315</v>
      </c>
      <c r="E154" s="603">
        <v>-0.159015397</v>
      </c>
      <c r="F154" s="603">
        <v>-0.40499954900000001</v>
      </c>
      <c r="G154" s="603">
        <v>2.8573688999999999E-2</v>
      </c>
      <c r="H154" s="603">
        <v>-0.69501295200000002</v>
      </c>
      <c r="I154" s="603">
        <v>-6.0283056439999996</v>
      </c>
      <c r="J154" s="603">
        <v>-0.21981346099999999</v>
      </c>
      <c r="K154" s="603" t="s">
        <v>102</v>
      </c>
      <c r="L154" s="603" t="s">
        <v>102</v>
      </c>
      <c r="M154" s="604">
        <v>-0.24396451299999999</v>
      </c>
      <c r="N154" s="604">
        <v>-1.8554192009999999</v>
      </c>
      <c r="O154" s="604">
        <v>-0.28482801899999999</v>
      </c>
      <c r="P154" s="603">
        <v>0.209288696</v>
      </c>
    </row>
    <row r="155" spans="1:17" x14ac:dyDescent="0.2">
      <c r="A155" s="255" t="s">
        <v>917</v>
      </c>
      <c r="B155" s="13"/>
      <c r="C155" s="13"/>
      <c r="D155" s="13"/>
      <c r="E155" s="13"/>
      <c r="F155" s="13"/>
      <c r="G155" s="13"/>
      <c r="H155" s="13"/>
      <c r="I155" s="13"/>
      <c r="J155" s="13"/>
      <c r="K155" s="13"/>
      <c r="L155" s="13"/>
      <c r="M155" s="13"/>
      <c r="N155" s="13"/>
      <c r="O155" s="13"/>
      <c r="P155" s="39"/>
    </row>
    <row r="156" spans="1:17" x14ac:dyDescent="0.2">
      <c r="A156" s="255" t="s">
        <v>357</v>
      </c>
      <c r="B156" s="13"/>
      <c r="C156" s="13"/>
      <c r="D156" s="13"/>
      <c r="E156" s="13"/>
      <c r="F156" s="13"/>
      <c r="G156" s="13"/>
      <c r="H156" s="13"/>
      <c r="I156" s="13"/>
      <c r="J156" s="13"/>
      <c r="K156" s="13"/>
      <c r="L156" s="13"/>
      <c r="M156" s="13"/>
      <c r="N156" s="13"/>
      <c r="O156" s="13"/>
      <c r="P156" s="39"/>
    </row>
    <row r="157" spans="1:17" x14ac:dyDescent="0.2">
      <c r="A157" s="286" t="s">
        <v>904</v>
      </c>
      <c r="B157" s="13"/>
      <c r="C157" s="13"/>
      <c r="D157" s="13"/>
      <c r="E157" s="13"/>
      <c r="F157" s="13"/>
      <c r="G157" s="13"/>
      <c r="H157" s="13"/>
      <c r="I157" s="13"/>
      <c r="J157" s="13"/>
      <c r="K157" s="13"/>
      <c r="L157" s="13"/>
      <c r="M157" s="13"/>
      <c r="N157" s="13"/>
      <c r="O157" s="13"/>
      <c r="P157" s="39"/>
    </row>
    <row r="158" spans="1:17" x14ac:dyDescent="0.2">
      <c r="A158" s="37" t="s">
        <v>557</v>
      </c>
      <c r="B158" s="13"/>
      <c r="C158" s="13"/>
      <c r="D158" s="13"/>
      <c r="E158" s="13"/>
      <c r="F158" s="13"/>
      <c r="G158" s="13"/>
      <c r="H158" s="13"/>
      <c r="I158" s="13"/>
      <c r="J158" s="13"/>
      <c r="K158" s="13"/>
      <c r="L158" s="13"/>
      <c r="M158" s="13"/>
      <c r="N158" s="13"/>
      <c r="O158" s="13"/>
      <c r="P158" s="39"/>
    </row>
    <row r="159" spans="1:17" x14ac:dyDescent="0.2">
      <c r="A159" s="286" t="s">
        <v>905</v>
      </c>
      <c r="B159" s="13"/>
      <c r="C159" s="13"/>
      <c r="D159" s="13"/>
      <c r="E159" s="13"/>
      <c r="F159" s="13"/>
      <c r="G159" s="13"/>
      <c r="H159" s="13"/>
      <c r="I159" s="13"/>
      <c r="J159" s="13"/>
      <c r="K159" s="13"/>
      <c r="L159" s="13"/>
      <c r="M159" s="13"/>
      <c r="N159" s="13"/>
      <c r="O159" s="13"/>
      <c r="P159" s="39"/>
    </row>
    <row r="160" spans="1:17" x14ac:dyDescent="0.2">
      <c r="A160" s="255" t="s">
        <v>980</v>
      </c>
      <c r="B160" s="13"/>
      <c r="C160" s="13"/>
      <c r="D160" s="13"/>
      <c r="E160" s="13"/>
      <c r="F160" s="13"/>
      <c r="G160" s="13"/>
      <c r="H160" s="13"/>
      <c r="I160" s="13"/>
      <c r="J160" s="13"/>
      <c r="K160" s="13"/>
      <c r="L160" s="13"/>
      <c r="M160" s="13"/>
      <c r="N160" s="13"/>
      <c r="O160" s="13"/>
      <c r="P160" s="39"/>
    </row>
    <row r="161" spans="1:16" x14ac:dyDescent="0.2">
      <c r="A161" s="286" t="s">
        <v>916</v>
      </c>
      <c r="B161" s="13"/>
      <c r="C161" s="13"/>
      <c r="D161" s="13"/>
      <c r="E161" s="13"/>
      <c r="F161" s="13"/>
      <c r="G161" s="13"/>
      <c r="H161" s="13"/>
      <c r="I161" s="13"/>
      <c r="J161" s="13"/>
      <c r="K161" s="13"/>
      <c r="L161" s="13"/>
      <c r="M161" s="13"/>
      <c r="N161" s="13"/>
      <c r="O161" s="13"/>
      <c r="P161" s="39"/>
    </row>
    <row r="162" spans="1:16" x14ac:dyDescent="0.2">
      <c r="A162" s="223"/>
      <c r="B162" s="3"/>
      <c r="C162" s="3"/>
      <c r="D162" s="3"/>
      <c r="G162" s="185"/>
      <c r="J162" s="185"/>
    </row>
    <row r="163" spans="1:16" ht="12.75" customHeight="1" x14ac:dyDescent="0.2">
      <c r="A163" s="1015" t="s">
        <v>679</v>
      </c>
      <c r="B163" s="1015"/>
      <c r="C163" s="1015"/>
      <c r="D163" s="1015"/>
      <c r="E163" s="1015"/>
      <c r="F163" s="1015"/>
      <c r="G163" s="1015"/>
      <c r="H163" s="1015"/>
      <c r="I163" s="1015"/>
      <c r="J163" s="1015"/>
      <c r="K163" s="1015"/>
      <c r="L163" s="1015"/>
      <c r="M163" s="1015"/>
      <c r="N163" s="1015"/>
      <c r="O163" s="1015"/>
      <c r="P163" s="1015"/>
    </row>
    <row r="164" spans="1:16" ht="13.5" customHeight="1" x14ac:dyDescent="0.2">
      <c r="A164" s="1015"/>
      <c r="B164" s="1015"/>
      <c r="C164" s="1015"/>
      <c r="D164" s="1015"/>
      <c r="E164" s="1015"/>
      <c r="F164" s="1015"/>
      <c r="G164" s="1015"/>
      <c r="H164" s="1015"/>
      <c r="I164" s="1015"/>
      <c r="J164" s="1015"/>
      <c r="K164" s="1015"/>
      <c r="L164" s="1015"/>
      <c r="M164" s="1015"/>
      <c r="N164" s="1015"/>
      <c r="O164" s="1015"/>
      <c r="P164" s="1015"/>
    </row>
    <row r="165" spans="1:16" x14ac:dyDescent="0.2">
      <c r="A165" s="1015"/>
      <c r="B165" s="1015"/>
      <c r="C165" s="1015"/>
      <c r="D165" s="1015"/>
      <c r="E165" s="1015"/>
      <c r="F165" s="1015"/>
      <c r="G165" s="1015"/>
      <c r="H165" s="1015"/>
      <c r="I165" s="1015"/>
      <c r="J165" s="1015"/>
      <c r="K165" s="1015"/>
      <c r="L165" s="1015"/>
      <c r="M165" s="1015"/>
      <c r="N165" s="1015"/>
      <c r="O165" s="1015"/>
      <c r="P165" s="1015"/>
    </row>
    <row r="166" spans="1:16" x14ac:dyDescent="0.2">
      <c r="A166" s="303"/>
      <c r="B166" s="303"/>
      <c r="C166" s="303"/>
      <c r="D166" s="303"/>
      <c r="E166" s="303"/>
      <c r="F166" s="303"/>
      <c r="G166" s="306"/>
      <c r="H166" s="306"/>
      <c r="I166" s="306"/>
      <c r="J166" s="306"/>
      <c r="K166" s="306"/>
      <c r="L166" s="306"/>
      <c r="M166" s="306"/>
      <c r="N166" s="306"/>
      <c r="O166" s="306"/>
      <c r="P166" s="306"/>
    </row>
    <row r="167" spans="1:16" x14ac:dyDescent="0.2">
      <c r="A167" s="1024" t="s">
        <v>324</v>
      </c>
      <c r="B167" s="1024"/>
      <c r="C167" s="1024"/>
      <c r="D167" s="1024"/>
      <c r="E167" s="1024"/>
      <c r="F167" s="1024"/>
      <c r="G167" s="306"/>
      <c r="H167" s="306"/>
      <c r="I167" s="306"/>
      <c r="J167" s="306"/>
      <c r="K167" s="306"/>
      <c r="L167" s="306"/>
      <c r="M167" s="306"/>
      <c r="N167" s="306"/>
      <c r="O167" s="306"/>
      <c r="P167" s="306"/>
    </row>
    <row r="168" spans="1:16" x14ac:dyDescent="0.2">
      <c r="A168" s="303"/>
      <c r="B168" s="303"/>
      <c r="C168" s="303"/>
      <c r="D168" s="303"/>
      <c r="E168" s="303"/>
      <c r="F168" s="303"/>
      <c r="G168" s="306"/>
      <c r="H168" s="306"/>
      <c r="I168" s="306"/>
      <c r="J168" s="306"/>
      <c r="K168" s="306"/>
      <c r="L168" s="306"/>
      <c r="M168" s="306"/>
      <c r="N168" s="306"/>
      <c r="O168" s="306"/>
      <c r="P168" s="306"/>
    </row>
    <row r="169" spans="1:16" ht="12.75" customHeight="1" x14ac:dyDescent="0.2">
      <c r="A169" s="1015" t="s">
        <v>325</v>
      </c>
      <c r="B169" s="1015"/>
      <c r="C169" s="1015"/>
      <c r="D169" s="1015"/>
      <c r="E169" s="1015"/>
      <c r="F169" s="1015"/>
      <c r="G169" s="1015"/>
      <c r="H169" s="1015"/>
      <c r="I169" s="1015"/>
      <c r="J169" s="1015"/>
      <c r="K169" s="1015"/>
      <c r="L169" s="1015"/>
      <c r="M169" s="1015"/>
      <c r="N169" s="1015"/>
      <c r="O169" s="1015"/>
      <c r="P169" s="1015"/>
    </row>
    <row r="170" spans="1:16" x14ac:dyDescent="0.2">
      <c r="A170" s="1015"/>
      <c r="B170" s="1015"/>
      <c r="C170" s="1015"/>
      <c r="D170" s="1015"/>
      <c r="E170" s="1015"/>
      <c r="F170" s="1015"/>
      <c r="G170" s="1015"/>
      <c r="H170" s="1015"/>
      <c r="I170" s="1015"/>
      <c r="J170" s="1015"/>
      <c r="K170" s="1015"/>
      <c r="L170" s="1015"/>
      <c r="M170" s="1015"/>
      <c r="N170" s="1015"/>
      <c r="O170" s="1015"/>
      <c r="P170" s="1015"/>
    </row>
    <row r="171" spans="1:16" x14ac:dyDescent="0.2">
      <c r="A171" s="303"/>
      <c r="B171" s="303"/>
      <c r="C171" s="303"/>
      <c r="D171" s="303"/>
      <c r="E171" s="303"/>
      <c r="F171" s="303"/>
      <c r="G171" s="306"/>
      <c r="H171" s="306"/>
      <c r="I171" s="306"/>
      <c r="J171" s="306"/>
      <c r="K171" s="306"/>
      <c r="L171" s="306"/>
      <c r="M171" s="306"/>
      <c r="N171" s="306"/>
      <c r="O171" s="306"/>
      <c r="P171" s="306"/>
    </row>
    <row r="172" spans="1:16" ht="12.75" customHeight="1" x14ac:dyDescent="0.2">
      <c r="A172" s="1015" t="s">
        <v>326</v>
      </c>
      <c r="B172" s="1015"/>
      <c r="C172" s="1015"/>
      <c r="D172" s="1015"/>
      <c r="E172" s="1015"/>
      <c r="F172" s="1015"/>
      <c r="G172" s="1015"/>
      <c r="H172" s="1015"/>
      <c r="I172" s="1015"/>
      <c r="J172" s="1015"/>
      <c r="K172" s="1015"/>
      <c r="L172" s="1015"/>
      <c r="M172" s="1015"/>
      <c r="N172" s="1015"/>
      <c r="O172" s="1015"/>
      <c r="P172" s="1015"/>
    </row>
    <row r="173" spans="1:16" x14ac:dyDescent="0.2">
      <c r="A173" s="1015"/>
      <c r="B173" s="1015"/>
      <c r="C173" s="1015"/>
      <c r="D173" s="1015"/>
      <c r="E173" s="1015"/>
      <c r="F173" s="1015"/>
      <c r="G173" s="1015"/>
      <c r="H173" s="1015"/>
      <c r="I173" s="1015"/>
      <c r="J173" s="1015"/>
      <c r="K173" s="1015"/>
      <c r="L173" s="1015"/>
      <c r="M173" s="1015"/>
      <c r="N173" s="1015"/>
      <c r="O173" s="1015"/>
      <c r="P173" s="1015"/>
    </row>
    <row r="174" spans="1:16" x14ac:dyDescent="0.2">
      <c r="A174" s="1015"/>
      <c r="B174" s="1015"/>
      <c r="C174" s="1015"/>
      <c r="D174" s="1015"/>
      <c r="E174" s="1015"/>
      <c r="F174" s="1015"/>
      <c r="G174" s="1015"/>
      <c r="H174" s="1015"/>
      <c r="I174" s="1015"/>
      <c r="J174" s="1015"/>
      <c r="K174" s="1015"/>
      <c r="L174" s="1015"/>
      <c r="M174" s="1015"/>
      <c r="N174" s="1015"/>
      <c r="O174" s="1015"/>
      <c r="P174" s="1015"/>
    </row>
    <row r="175" spans="1:16" x14ac:dyDescent="0.2">
      <c r="A175" s="303"/>
      <c r="B175" s="303"/>
      <c r="C175" s="303"/>
      <c r="D175" s="303"/>
      <c r="E175" s="303"/>
      <c r="F175" s="303"/>
      <c r="G175" s="306"/>
      <c r="H175" s="306"/>
      <c r="I175" s="306"/>
      <c r="J175" s="306"/>
      <c r="K175" s="306"/>
      <c r="L175" s="306"/>
      <c r="M175" s="306"/>
      <c r="N175" s="306"/>
      <c r="O175" s="306"/>
      <c r="P175" s="306"/>
    </row>
    <row r="176" spans="1:16" ht="12.75" customHeight="1" x14ac:dyDescent="0.2">
      <c r="A176" s="1015" t="s">
        <v>327</v>
      </c>
      <c r="B176" s="1015"/>
      <c r="C176" s="1015"/>
      <c r="D176" s="1015"/>
      <c r="E176" s="1015"/>
      <c r="F176" s="1015"/>
      <c r="G176" s="1015"/>
      <c r="H176" s="1015"/>
      <c r="I176" s="1015"/>
      <c r="J176" s="1015"/>
      <c r="K176" s="1015"/>
      <c r="L176" s="1015"/>
      <c r="M176" s="1015"/>
      <c r="N176" s="1015"/>
      <c r="O176" s="1015"/>
      <c r="P176" s="1015"/>
    </row>
    <row r="177" spans="1:16" x14ac:dyDescent="0.2">
      <c r="A177" s="1015"/>
      <c r="B177" s="1015"/>
      <c r="C177" s="1015"/>
      <c r="D177" s="1015"/>
      <c r="E177" s="1015"/>
      <c r="F177" s="1015"/>
      <c r="G177" s="1015"/>
      <c r="H177" s="1015"/>
      <c r="I177" s="1015"/>
      <c r="J177" s="1015"/>
      <c r="K177" s="1015"/>
      <c r="L177" s="1015"/>
      <c r="M177" s="1015"/>
      <c r="N177" s="1015"/>
      <c r="O177" s="1015"/>
      <c r="P177" s="1015"/>
    </row>
    <row r="178" spans="1:16" ht="10.5" customHeight="1" x14ac:dyDescent="0.2">
      <c r="A178" s="1015"/>
      <c r="B178" s="1015"/>
      <c r="C178" s="1015"/>
      <c r="D178" s="1015"/>
      <c r="E178" s="1015"/>
      <c r="F178" s="1015"/>
      <c r="G178" s="1015"/>
      <c r="H178" s="1015"/>
      <c r="I178" s="1015"/>
      <c r="J178" s="1015"/>
      <c r="K178" s="1015"/>
      <c r="L178" s="1015"/>
      <c r="M178" s="1015"/>
      <c r="N178" s="1015"/>
      <c r="O178" s="1015"/>
      <c r="P178" s="1015"/>
    </row>
    <row r="179" spans="1:16" x14ac:dyDescent="0.2">
      <c r="A179" s="1015"/>
      <c r="B179" s="1015"/>
      <c r="C179" s="1015"/>
      <c r="D179" s="1015"/>
      <c r="E179" s="1015"/>
      <c r="F179" s="1015"/>
      <c r="G179" s="1015"/>
      <c r="H179" s="1015"/>
      <c r="I179" s="1015"/>
      <c r="J179" s="1015"/>
      <c r="K179" s="1015"/>
      <c r="L179" s="1015"/>
      <c r="M179" s="1015"/>
      <c r="N179" s="1015"/>
      <c r="O179" s="1015"/>
      <c r="P179" s="1015"/>
    </row>
    <row r="180" spans="1:16" ht="12.75" customHeight="1" x14ac:dyDescent="0.2">
      <c r="A180" s="303"/>
      <c r="B180" s="303"/>
      <c r="C180" s="303"/>
      <c r="D180" s="303"/>
      <c r="E180" s="303"/>
      <c r="F180" s="303"/>
      <c r="G180" s="306"/>
      <c r="H180" s="306"/>
      <c r="I180" s="306"/>
      <c r="J180" s="306"/>
      <c r="K180" s="306"/>
      <c r="L180" s="306"/>
      <c r="M180" s="306"/>
      <c r="N180" s="306"/>
      <c r="O180" s="306"/>
      <c r="P180" s="306"/>
    </row>
    <row r="181" spans="1:16" ht="60.75" customHeight="1" x14ac:dyDescent="0.2">
      <c r="A181" s="1015" t="s">
        <v>680</v>
      </c>
      <c r="B181" s="1015"/>
      <c r="C181" s="1015"/>
      <c r="D181" s="1015"/>
      <c r="E181" s="1015"/>
      <c r="F181" s="1015"/>
      <c r="G181" s="1015"/>
      <c r="H181" s="1015"/>
      <c r="I181" s="1015"/>
      <c r="J181" s="1015"/>
      <c r="K181" s="1015"/>
      <c r="L181" s="1015"/>
      <c r="M181" s="1015"/>
      <c r="N181" s="1015"/>
      <c r="O181" s="1015"/>
      <c r="P181" s="1015"/>
    </row>
    <row r="182" spans="1:16" ht="12.75" customHeight="1" x14ac:dyDescent="0.2">
      <c r="A182" s="303"/>
      <c r="B182" s="303"/>
      <c r="C182" s="303"/>
      <c r="D182" s="303"/>
      <c r="E182" s="303"/>
      <c r="F182" s="303"/>
      <c r="G182" s="306"/>
      <c r="H182" s="306"/>
      <c r="I182" s="306"/>
      <c r="J182" s="306"/>
      <c r="K182" s="306"/>
      <c r="L182" s="306"/>
      <c r="M182" s="306"/>
      <c r="N182" s="306"/>
      <c r="O182" s="306"/>
      <c r="P182" s="306"/>
    </row>
    <row r="183" spans="1:16" ht="157.5" customHeight="1" x14ac:dyDescent="0.2">
      <c r="A183" s="1015" t="s">
        <v>681</v>
      </c>
      <c r="B183" s="1015"/>
      <c r="C183" s="1015"/>
      <c r="D183" s="1015"/>
      <c r="E183" s="1015"/>
      <c r="F183" s="1015"/>
      <c r="G183" s="1015"/>
      <c r="H183" s="1015"/>
      <c r="I183" s="1015"/>
      <c r="J183" s="1015"/>
      <c r="K183" s="1015"/>
      <c r="L183" s="1015"/>
      <c r="M183" s="1015"/>
      <c r="N183" s="1015"/>
      <c r="O183" s="1015"/>
      <c r="P183" s="1015"/>
    </row>
  </sheetData>
  <mergeCells count="7">
    <mergeCell ref="A181:P181"/>
    <mergeCell ref="A183:P183"/>
    <mergeCell ref="A167:F167"/>
    <mergeCell ref="A163:P165"/>
    <mergeCell ref="A169:P170"/>
    <mergeCell ref="A172:P174"/>
    <mergeCell ref="A176:P179"/>
  </mergeCells>
  <phoneticPr fontId="2" type="noConversion"/>
  <pageMargins left="0.59055118110236227" right="0.59055118110236227" top="0.59055118110236227" bottom="0.59055118110236227" header="0.39370078740157483" footer="0.39370078740157483"/>
  <pageSetup paperSize="9" scale="48" firstPageNumber="34" fitToHeight="0" orientation="landscape" useFirstPageNumber="1" r:id="rId1"/>
  <headerFooter alignWithMargins="0">
    <oddHeader>&amp;R&amp;12Les finances des communes en 2024</oddHeader>
    <oddFooter>&amp;L&amp;12Direction Générale des Collectivités Locales / DESL&amp;C&amp;12&amp;P&amp;R&amp;12Mise en ligne : janvier 2026</oddFooter>
  </headerFooter>
  <rowBreaks count="3" manualBreakCount="3">
    <brk id="60" max="15" man="1"/>
    <brk id="106" max="15" man="1"/>
    <brk id="161" max="15" man="1"/>
  </rowBreaks>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81"/>
  <sheetViews>
    <sheetView view="pageBreakPreview" topLeftCell="A70" zoomScale="70" zoomScaleNormal="85" zoomScaleSheetLayoutView="70" zoomScalePageLayoutView="85" workbookViewId="0">
      <selection activeCell="P112" sqref="P112:P152"/>
    </sheetView>
  </sheetViews>
  <sheetFormatPr baseColWidth="10" defaultRowHeight="12.75" x14ac:dyDescent="0.2"/>
  <cols>
    <col min="1" max="1" width="91.140625" customWidth="1"/>
    <col min="13" max="14" width="15.5703125" customWidth="1"/>
    <col min="15" max="15" width="14.28515625" customWidth="1"/>
    <col min="16" max="16" width="18.85546875" customWidth="1"/>
  </cols>
  <sheetData>
    <row r="1" spans="1:16" ht="21" x14ac:dyDescent="0.2">
      <c r="A1" s="46" t="s">
        <v>921</v>
      </c>
    </row>
    <row r="2" spans="1:16" ht="18" x14ac:dyDescent="0.2">
      <c r="A2" s="46"/>
    </row>
    <row r="3" spans="1:16" ht="13.5" thickBot="1" x14ac:dyDescent="0.25">
      <c r="A3" s="13"/>
      <c r="P3" s="259" t="s">
        <v>213</v>
      </c>
    </row>
    <row r="4" spans="1:16" ht="12.7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231</v>
      </c>
      <c r="O4" s="257" t="s">
        <v>77</v>
      </c>
      <c r="P4" s="281" t="s">
        <v>220</v>
      </c>
    </row>
    <row r="5" spans="1:16"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ht="12.75" customHeight="1" x14ac:dyDescent="0.2">
      <c r="A7" s="227"/>
    </row>
    <row r="8" spans="1:16" ht="15.75" customHeight="1" x14ac:dyDescent="0.25">
      <c r="A8" s="474" t="s">
        <v>160</v>
      </c>
      <c r="B8" s="466">
        <v>839.893538175</v>
      </c>
      <c r="C8" s="466">
        <v>719.68614018000005</v>
      </c>
      <c r="D8" s="466">
        <v>748.34264516600001</v>
      </c>
      <c r="E8" s="466">
        <v>783.32377170899997</v>
      </c>
      <c r="F8" s="466">
        <v>965.22015499500003</v>
      </c>
      <c r="G8" s="466">
        <v>1130.0840689189999</v>
      </c>
      <c r="H8" s="466">
        <v>1086.9710814780001</v>
      </c>
      <c r="I8" s="466">
        <v>1278.169785969</v>
      </c>
      <c r="J8" s="466">
        <v>1302.6668085419999</v>
      </c>
      <c r="K8" s="466" t="s">
        <v>102</v>
      </c>
      <c r="L8" s="570" t="s">
        <v>102</v>
      </c>
      <c r="M8" s="479">
        <v>964.17676806300005</v>
      </c>
      <c r="N8" s="479">
        <v>1285.688564241</v>
      </c>
      <c r="O8" s="479">
        <v>1034.670873967</v>
      </c>
      <c r="P8" s="466">
        <v>1132.2923975839999</v>
      </c>
    </row>
    <row r="9" spans="1:16" ht="15.75" customHeight="1" x14ac:dyDescent="0.2">
      <c r="A9" s="465" t="s">
        <v>161</v>
      </c>
      <c r="B9" s="467">
        <v>250.57346368699999</v>
      </c>
      <c r="C9" s="467">
        <v>269.96003514300003</v>
      </c>
      <c r="D9" s="467">
        <v>249.31895792399999</v>
      </c>
      <c r="E9" s="467">
        <v>269.23707426599998</v>
      </c>
      <c r="F9" s="467">
        <v>303.736208433</v>
      </c>
      <c r="G9" s="467">
        <v>347.59883654200002</v>
      </c>
      <c r="H9" s="467">
        <v>310.17168087900001</v>
      </c>
      <c r="I9" s="467">
        <v>334.35842574600002</v>
      </c>
      <c r="J9" s="467">
        <v>379.47376396700002</v>
      </c>
      <c r="K9" s="467" t="s">
        <v>102</v>
      </c>
      <c r="L9" s="467" t="s">
        <v>102</v>
      </c>
      <c r="M9" s="480">
        <v>300.26629761999999</v>
      </c>
      <c r="N9" s="480">
        <v>348.20550547800002</v>
      </c>
      <c r="O9" s="480">
        <v>310.777363267</v>
      </c>
      <c r="P9" s="467">
        <v>298.70578327599998</v>
      </c>
    </row>
    <row r="10" spans="1:16" ht="15.75" customHeight="1" x14ac:dyDescent="0.2">
      <c r="A10" s="465" t="s">
        <v>162</v>
      </c>
      <c r="B10" s="467">
        <v>282.47791433899999</v>
      </c>
      <c r="C10" s="467">
        <v>203.97639008199999</v>
      </c>
      <c r="D10" s="467">
        <v>310.60584863499997</v>
      </c>
      <c r="E10" s="467">
        <v>363.80892840899998</v>
      </c>
      <c r="F10" s="467">
        <v>507.49175864900002</v>
      </c>
      <c r="G10" s="467">
        <v>614.15405296699998</v>
      </c>
      <c r="H10" s="467">
        <v>617.02579833200002</v>
      </c>
      <c r="I10" s="467">
        <v>745.81187596500001</v>
      </c>
      <c r="J10" s="467">
        <v>665.11374089499998</v>
      </c>
      <c r="K10" s="467" t="s">
        <v>102</v>
      </c>
      <c r="L10" s="467" t="s">
        <v>102</v>
      </c>
      <c r="M10" s="480">
        <v>505.39398537599999</v>
      </c>
      <c r="N10" s="480">
        <v>721.04350328800001</v>
      </c>
      <c r="O10" s="480">
        <v>552.676916001</v>
      </c>
      <c r="P10" s="467">
        <v>606.408680506</v>
      </c>
    </row>
    <row r="11" spans="1:16" ht="15.75" customHeight="1" x14ac:dyDescent="0.2">
      <c r="A11" s="465" t="s">
        <v>163</v>
      </c>
      <c r="B11" s="467">
        <v>15.072327746999999</v>
      </c>
      <c r="C11" s="467">
        <v>15.329757906999999</v>
      </c>
      <c r="D11" s="467">
        <v>14.489645640000001</v>
      </c>
      <c r="E11" s="467">
        <v>14.576168336</v>
      </c>
      <c r="F11" s="467">
        <v>18.525588452000001</v>
      </c>
      <c r="G11" s="467">
        <v>18.871336110000001</v>
      </c>
      <c r="H11" s="467">
        <v>18.265175964000001</v>
      </c>
      <c r="I11" s="467">
        <v>15.060008732</v>
      </c>
      <c r="J11" s="467">
        <v>45.463793746</v>
      </c>
      <c r="K11" s="467" t="s">
        <v>102</v>
      </c>
      <c r="L11" s="467" t="s">
        <v>102</v>
      </c>
      <c r="M11" s="480">
        <v>17.237806475999999</v>
      </c>
      <c r="N11" s="480">
        <v>24.391727208999999</v>
      </c>
      <c r="O11" s="480">
        <v>18.806362442000001</v>
      </c>
      <c r="P11" s="467">
        <v>23.645549684999999</v>
      </c>
    </row>
    <row r="12" spans="1:16" ht="15.75" customHeight="1" x14ac:dyDescent="0.2">
      <c r="A12" s="465" t="s">
        <v>164</v>
      </c>
      <c r="B12" s="467">
        <v>90.246443202999998</v>
      </c>
      <c r="C12" s="467">
        <v>112.72575751700001</v>
      </c>
      <c r="D12" s="467">
        <v>93.828727216999994</v>
      </c>
      <c r="E12" s="467">
        <v>75.992302276999993</v>
      </c>
      <c r="F12" s="467">
        <v>86.077702126999995</v>
      </c>
      <c r="G12" s="467">
        <v>95.980481022000006</v>
      </c>
      <c r="H12" s="467">
        <v>108.350766527</v>
      </c>
      <c r="I12" s="467">
        <v>140.420787929</v>
      </c>
      <c r="J12" s="467">
        <v>156.93182832799999</v>
      </c>
      <c r="K12" s="467" t="s">
        <v>102</v>
      </c>
      <c r="L12" s="467" t="s">
        <v>102</v>
      </c>
      <c r="M12" s="480">
        <v>91.459410095999999</v>
      </c>
      <c r="N12" s="480">
        <v>145.48845896700001</v>
      </c>
      <c r="O12" s="480">
        <v>103.305723477</v>
      </c>
      <c r="P12" s="467">
        <v>158.370302571</v>
      </c>
    </row>
    <row r="13" spans="1:16" ht="15.75" customHeight="1" x14ac:dyDescent="0.2">
      <c r="A13" s="465" t="s">
        <v>165</v>
      </c>
      <c r="B13" s="467">
        <v>201.52338919900001</v>
      </c>
      <c r="C13" s="467">
        <v>117.694199531</v>
      </c>
      <c r="D13" s="467">
        <v>80.099465749999993</v>
      </c>
      <c r="E13" s="467">
        <v>59.709298420000003</v>
      </c>
      <c r="F13" s="467">
        <v>49.388897333999999</v>
      </c>
      <c r="G13" s="467">
        <v>53.479362279</v>
      </c>
      <c r="H13" s="467">
        <v>33.157659776000003</v>
      </c>
      <c r="I13" s="467">
        <v>42.518687597000003</v>
      </c>
      <c r="J13" s="467">
        <v>55.683681604999997</v>
      </c>
      <c r="K13" s="467" t="s">
        <v>102</v>
      </c>
      <c r="L13" s="467" t="s">
        <v>102</v>
      </c>
      <c r="M13" s="480">
        <v>49.819268493999999</v>
      </c>
      <c r="N13" s="480">
        <v>46.5593693</v>
      </c>
      <c r="O13" s="480">
        <v>49.104508782000003</v>
      </c>
      <c r="P13" s="467">
        <v>45.162081544999999</v>
      </c>
    </row>
    <row r="14" spans="1:16" ht="15.75" customHeight="1" x14ac:dyDescent="0.25">
      <c r="A14" s="474" t="s">
        <v>166</v>
      </c>
      <c r="B14" s="466">
        <v>1130.7895716949999</v>
      </c>
      <c r="C14" s="466">
        <v>929.28607770400004</v>
      </c>
      <c r="D14" s="466">
        <v>940.668473135</v>
      </c>
      <c r="E14" s="466">
        <v>975.89511160999996</v>
      </c>
      <c r="F14" s="466">
        <v>1180.7281424769999</v>
      </c>
      <c r="G14" s="466">
        <v>1426.0153771319999</v>
      </c>
      <c r="H14" s="466">
        <v>1297.159701908</v>
      </c>
      <c r="I14" s="466">
        <v>1493.0785321369999</v>
      </c>
      <c r="J14" s="466">
        <v>1562.6634017890001</v>
      </c>
      <c r="K14" s="466" t="s">
        <v>102</v>
      </c>
      <c r="L14" s="466" t="s">
        <v>102</v>
      </c>
      <c r="M14" s="479">
        <v>1182.805072223</v>
      </c>
      <c r="N14" s="479">
        <v>1514.43595239</v>
      </c>
      <c r="O14" s="479">
        <v>1255.517870526</v>
      </c>
      <c r="P14" s="466">
        <v>1329.451253362</v>
      </c>
    </row>
    <row r="15" spans="1:16" ht="15.75" customHeight="1" x14ac:dyDescent="0.2">
      <c r="A15" s="465" t="s">
        <v>79</v>
      </c>
      <c r="B15" s="467">
        <v>489.88137802599999</v>
      </c>
      <c r="C15" s="467">
        <v>417.56080827800002</v>
      </c>
      <c r="D15" s="467">
        <v>510.44928484299999</v>
      </c>
      <c r="E15" s="467">
        <v>551.20185521600001</v>
      </c>
      <c r="F15" s="467">
        <v>751.85941606599999</v>
      </c>
      <c r="G15" s="467">
        <v>956.65822349699999</v>
      </c>
      <c r="H15" s="467">
        <v>925.31941363099997</v>
      </c>
      <c r="I15" s="467">
        <v>1052.639153499</v>
      </c>
      <c r="J15" s="467">
        <v>1041.5030575860001</v>
      </c>
      <c r="K15" s="467" t="s">
        <v>102</v>
      </c>
      <c r="L15" s="467" t="s">
        <v>102</v>
      </c>
      <c r="M15" s="480">
        <v>764.67181680399995</v>
      </c>
      <c r="N15" s="480">
        <v>1049.2211937960001</v>
      </c>
      <c r="O15" s="480">
        <v>827.061608267</v>
      </c>
      <c r="P15" s="467">
        <v>882.91849873499996</v>
      </c>
    </row>
    <row r="16" spans="1:16" ht="15.75" customHeight="1" x14ac:dyDescent="0.2">
      <c r="A16" s="465" t="s">
        <v>167</v>
      </c>
      <c r="B16" s="467">
        <v>403.89297951600003</v>
      </c>
      <c r="C16" s="467">
        <v>347.50496095300002</v>
      </c>
      <c r="D16" s="467">
        <v>422.35777051299999</v>
      </c>
      <c r="E16" s="467">
        <v>471.18190447699999</v>
      </c>
      <c r="F16" s="467">
        <v>663.50546577800003</v>
      </c>
      <c r="G16" s="467">
        <v>806.31876581500001</v>
      </c>
      <c r="H16" s="467">
        <v>818.45015165200005</v>
      </c>
      <c r="I16" s="467">
        <v>916.85235422400001</v>
      </c>
      <c r="J16" s="467">
        <v>923.12776603299994</v>
      </c>
      <c r="K16" s="467" t="s">
        <v>102</v>
      </c>
      <c r="L16" s="467" t="s">
        <v>102</v>
      </c>
      <c r="M16" s="480">
        <v>664.39350144000002</v>
      </c>
      <c r="N16" s="480">
        <v>918.77844258100004</v>
      </c>
      <c r="O16" s="480">
        <v>720.16949222599999</v>
      </c>
      <c r="P16" s="467">
        <v>762.76738347100002</v>
      </c>
    </row>
    <row r="17" spans="1:16" ht="15.75" customHeight="1" x14ac:dyDescent="0.2">
      <c r="A17" s="465" t="s">
        <v>199</v>
      </c>
      <c r="B17" s="467">
        <v>0.122029795</v>
      </c>
      <c r="C17" s="467">
        <v>38.741977743</v>
      </c>
      <c r="D17" s="467">
        <v>74.674771664999994</v>
      </c>
      <c r="E17" s="467">
        <v>71.062121337999997</v>
      </c>
      <c r="F17" s="467">
        <v>127.363392668</v>
      </c>
      <c r="G17" s="467">
        <v>162.82741304499999</v>
      </c>
      <c r="H17" s="467">
        <v>136.43352094400001</v>
      </c>
      <c r="I17" s="467">
        <v>258.966759653</v>
      </c>
      <c r="J17" s="467">
        <v>109.554492079</v>
      </c>
      <c r="K17" s="467" t="s">
        <v>102</v>
      </c>
      <c r="L17" s="467" t="s">
        <v>102</v>
      </c>
      <c r="M17" s="480">
        <v>116.989101836</v>
      </c>
      <c r="N17" s="480">
        <v>213.10821877500001</v>
      </c>
      <c r="O17" s="480">
        <v>138.064008852</v>
      </c>
      <c r="P17" s="467">
        <v>153.50214644100001</v>
      </c>
    </row>
    <row r="18" spans="1:16" ht="15.75" customHeight="1" x14ac:dyDescent="0.2">
      <c r="A18" s="465" t="s">
        <v>168</v>
      </c>
      <c r="B18" s="467">
        <v>85.988398509999996</v>
      </c>
      <c r="C18" s="467">
        <v>70.055847325000002</v>
      </c>
      <c r="D18" s="467">
        <v>88.091514329999995</v>
      </c>
      <c r="E18" s="467">
        <v>80.019950739999999</v>
      </c>
      <c r="F18" s="467">
        <v>88.353950287999993</v>
      </c>
      <c r="G18" s="467">
        <v>150.33945768199999</v>
      </c>
      <c r="H18" s="467">
        <v>106.869261979</v>
      </c>
      <c r="I18" s="467">
        <v>135.78679927499999</v>
      </c>
      <c r="J18" s="467">
        <v>118.375291553</v>
      </c>
      <c r="K18" s="467" t="s">
        <v>102</v>
      </c>
      <c r="L18" s="467" t="s">
        <v>102</v>
      </c>
      <c r="M18" s="480">
        <v>100.27831536399999</v>
      </c>
      <c r="N18" s="480">
        <v>130.442751216</v>
      </c>
      <c r="O18" s="480">
        <v>106.892116042</v>
      </c>
      <c r="P18" s="467">
        <v>120.151115265</v>
      </c>
    </row>
    <row r="19" spans="1:16" ht="15.75" customHeight="1" x14ac:dyDescent="0.2">
      <c r="A19" s="465" t="s">
        <v>169</v>
      </c>
      <c r="B19" s="467">
        <v>408.53895716900001</v>
      </c>
      <c r="C19" s="467">
        <v>268.782541976</v>
      </c>
      <c r="D19" s="467">
        <v>206.58641947300001</v>
      </c>
      <c r="E19" s="467">
        <v>214.12809337600001</v>
      </c>
      <c r="F19" s="467">
        <v>227.11889696200001</v>
      </c>
      <c r="G19" s="467">
        <v>207.77259772100001</v>
      </c>
      <c r="H19" s="467">
        <v>173.02849919799999</v>
      </c>
      <c r="I19" s="467">
        <v>155.27303825600001</v>
      </c>
      <c r="J19" s="467">
        <v>270.91532763700002</v>
      </c>
      <c r="K19" s="467" t="s">
        <v>102</v>
      </c>
      <c r="L19" s="467" t="s">
        <v>102</v>
      </c>
      <c r="M19" s="480">
        <v>204.935934868</v>
      </c>
      <c r="N19" s="480">
        <v>190.766687746</v>
      </c>
      <c r="O19" s="480">
        <v>201.82921088699999</v>
      </c>
      <c r="P19" s="467">
        <v>220.77711797399999</v>
      </c>
    </row>
    <row r="20" spans="1:16" ht="15.75" customHeight="1" x14ac:dyDescent="0.2">
      <c r="A20" s="465" t="s">
        <v>170</v>
      </c>
      <c r="B20" s="467">
        <v>261.16387337100002</v>
      </c>
      <c r="C20" s="467">
        <v>195.47657165199999</v>
      </c>
      <c r="D20" s="467">
        <v>157.516063758</v>
      </c>
      <c r="E20" s="467">
        <v>177.99626871500001</v>
      </c>
      <c r="F20" s="467">
        <v>163.781535284</v>
      </c>
      <c r="G20" s="467">
        <v>135.21577996100001</v>
      </c>
      <c r="H20" s="467">
        <v>137.29530831299999</v>
      </c>
      <c r="I20" s="467">
        <v>116.051658489</v>
      </c>
      <c r="J20" s="467">
        <v>229.303464835</v>
      </c>
      <c r="K20" s="467" t="s">
        <v>102</v>
      </c>
      <c r="L20" s="467" t="s">
        <v>102</v>
      </c>
      <c r="M20" s="480">
        <v>156.07329298499999</v>
      </c>
      <c r="N20" s="480">
        <v>150.81160608299999</v>
      </c>
      <c r="O20" s="480">
        <v>154.919624852</v>
      </c>
      <c r="P20" s="467">
        <v>168.82118193599999</v>
      </c>
    </row>
    <row r="21" spans="1:16" ht="15.75" customHeight="1" x14ac:dyDescent="0.2">
      <c r="A21" s="465" t="s">
        <v>171</v>
      </c>
      <c r="B21" s="467">
        <v>72.883612662999994</v>
      </c>
      <c r="C21" s="467">
        <v>34.372350644000001</v>
      </c>
      <c r="D21" s="467">
        <v>14.452542855000001</v>
      </c>
      <c r="E21" s="467">
        <v>4.017280392</v>
      </c>
      <c r="F21" s="467">
        <v>2.9429177609999999</v>
      </c>
      <c r="G21" s="467">
        <v>3.1659217289999999</v>
      </c>
      <c r="H21" s="467">
        <v>2.9487671550000001</v>
      </c>
      <c r="I21" s="467">
        <v>1.999006713</v>
      </c>
      <c r="J21" s="467">
        <v>10.501405519</v>
      </c>
      <c r="K21" s="467" t="s">
        <v>102</v>
      </c>
      <c r="L21" s="467" t="s">
        <v>102</v>
      </c>
      <c r="M21" s="480">
        <v>3.9005986560000001</v>
      </c>
      <c r="N21" s="480">
        <v>4.6086157459999999</v>
      </c>
      <c r="O21" s="480">
        <v>4.0558372269999996</v>
      </c>
      <c r="P21" s="467">
        <v>5.985235318</v>
      </c>
    </row>
    <row r="22" spans="1:16" ht="15.75" customHeight="1" x14ac:dyDescent="0.2">
      <c r="A22" s="687" t="s">
        <v>607</v>
      </c>
      <c r="B22" s="467">
        <v>74.491471136000001</v>
      </c>
      <c r="C22" s="467">
        <v>38.93361968</v>
      </c>
      <c r="D22" s="467">
        <v>34.617812860000001</v>
      </c>
      <c r="E22" s="467">
        <v>32.114544268000003</v>
      </c>
      <c r="F22" s="467">
        <v>60.394443916999997</v>
      </c>
      <c r="G22" s="467">
        <v>69.390896030999997</v>
      </c>
      <c r="H22" s="467">
        <v>32.78442373</v>
      </c>
      <c r="I22" s="467">
        <v>37.222373054999998</v>
      </c>
      <c r="J22" s="467">
        <v>31.110457282999999</v>
      </c>
      <c r="K22" s="467" t="s">
        <v>102</v>
      </c>
      <c r="L22" s="467" t="s">
        <v>102</v>
      </c>
      <c r="M22" s="480">
        <v>44.962043225999999</v>
      </c>
      <c r="N22" s="480">
        <v>35.346465917000003</v>
      </c>
      <c r="O22" s="480">
        <v>42.853748807999999</v>
      </c>
      <c r="P22" s="467">
        <v>45.970700719</v>
      </c>
    </row>
    <row r="23" spans="1:16" ht="15.75" customHeight="1" x14ac:dyDescent="0.2">
      <c r="A23" s="465" t="s">
        <v>172</v>
      </c>
      <c r="B23" s="845">
        <v>2.2738919929999999</v>
      </c>
      <c r="C23" s="467">
        <v>20.153951581000001</v>
      </c>
      <c r="D23" s="467">
        <v>14.179798766999999</v>
      </c>
      <c r="E23" s="467">
        <v>24.638266386000002</v>
      </c>
      <c r="F23" s="467">
        <v>46.838683842999998</v>
      </c>
      <c r="G23" s="467">
        <v>48.944012024000003</v>
      </c>
      <c r="H23" s="467">
        <v>44.320669688000002</v>
      </c>
      <c r="I23" s="467">
        <v>75.236787215999996</v>
      </c>
      <c r="J23" s="467">
        <v>20.696699217999999</v>
      </c>
      <c r="K23" s="467" t="s">
        <v>102</v>
      </c>
      <c r="L23" s="467" t="s">
        <v>102</v>
      </c>
      <c r="M23" s="480">
        <v>38.916721154999998</v>
      </c>
      <c r="N23" s="480">
        <v>58.497004763</v>
      </c>
      <c r="O23" s="480">
        <v>43.209859393999999</v>
      </c>
      <c r="P23" s="467">
        <v>56.726830266999997</v>
      </c>
    </row>
    <row r="24" spans="1:16" ht="15.75" customHeight="1" x14ac:dyDescent="0.2">
      <c r="A24" s="465" t="s">
        <v>173</v>
      </c>
      <c r="B24" s="467">
        <v>63.485232775</v>
      </c>
      <c r="C24" s="467">
        <v>76.117163216999998</v>
      </c>
      <c r="D24" s="467">
        <v>112.25799546</v>
      </c>
      <c r="E24" s="467">
        <v>105.29524766500001</v>
      </c>
      <c r="F24" s="467">
        <v>94.286212251999999</v>
      </c>
      <c r="G24" s="467">
        <v>112.929177839</v>
      </c>
      <c r="H24" s="467">
        <v>100.18212809800001</v>
      </c>
      <c r="I24" s="467">
        <v>149.65098509000001</v>
      </c>
      <c r="J24" s="467">
        <v>126.06627842100001</v>
      </c>
      <c r="K24" s="467" t="s">
        <v>102</v>
      </c>
      <c r="L24" s="467" t="s">
        <v>102</v>
      </c>
      <c r="M24" s="480">
        <v>102.27246892399999</v>
      </c>
      <c r="N24" s="480">
        <v>142.41222047900001</v>
      </c>
      <c r="O24" s="480">
        <v>111.07343962100001</v>
      </c>
      <c r="P24" s="467">
        <v>108.30397019900001</v>
      </c>
    </row>
    <row r="25" spans="1:16" ht="15.75" customHeight="1" x14ac:dyDescent="0.2">
      <c r="A25" s="475" t="s">
        <v>174</v>
      </c>
      <c r="B25" s="468">
        <v>166.61011173200001</v>
      </c>
      <c r="C25" s="468">
        <v>146.671612651</v>
      </c>
      <c r="D25" s="468">
        <v>97.194974591999994</v>
      </c>
      <c r="E25" s="468">
        <v>80.631648966</v>
      </c>
      <c r="F25" s="468">
        <v>60.624933353999999</v>
      </c>
      <c r="G25" s="468">
        <v>99.711366050999999</v>
      </c>
      <c r="H25" s="468">
        <v>54.308991292999998</v>
      </c>
      <c r="I25" s="468">
        <v>60.278568077000003</v>
      </c>
      <c r="J25" s="468">
        <v>103.482038927</v>
      </c>
      <c r="K25" s="468" t="s">
        <v>102</v>
      </c>
      <c r="L25" s="468" t="s">
        <v>102</v>
      </c>
      <c r="M25" s="481">
        <v>72.008130472999994</v>
      </c>
      <c r="N25" s="481">
        <v>73.538845604000002</v>
      </c>
      <c r="O25" s="481">
        <v>72.343752355999996</v>
      </c>
      <c r="P25" s="468">
        <v>60.724836185999997</v>
      </c>
    </row>
    <row r="26" spans="1:16" ht="15.75" customHeight="1" x14ac:dyDescent="0.25">
      <c r="A26" s="474" t="s">
        <v>175</v>
      </c>
      <c r="B26" s="466">
        <v>290.89603352</v>
      </c>
      <c r="C26" s="466">
        <v>209.59993752400001</v>
      </c>
      <c r="D26" s="466">
        <v>192.32582796899999</v>
      </c>
      <c r="E26" s="466">
        <v>192.57133990099999</v>
      </c>
      <c r="F26" s="466">
        <v>215.50798748099999</v>
      </c>
      <c r="G26" s="466">
        <v>295.93130821199998</v>
      </c>
      <c r="H26" s="466">
        <v>210.18862042999999</v>
      </c>
      <c r="I26" s="466">
        <v>214.90874616799999</v>
      </c>
      <c r="J26" s="466">
        <v>259.99659324700002</v>
      </c>
      <c r="K26" s="466" t="s">
        <v>102</v>
      </c>
      <c r="L26" s="466" t="s">
        <v>102</v>
      </c>
      <c r="M26" s="479">
        <v>218.62830416</v>
      </c>
      <c r="N26" s="479">
        <v>228.747388148</v>
      </c>
      <c r="O26" s="479">
        <v>220.84699655899999</v>
      </c>
      <c r="P26" s="466">
        <v>197.158855778</v>
      </c>
    </row>
    <row r="27" spans="1:16" ht="15.75" customHeight="1" x14ac:dyDescent="0.25">
      <c r="A27" s="476" t="s">
        <v>176</v>
      </c>
      <c r="B27" s="469">
        <v>245.755158287</v>
      </c>
      <c r="C27" s="469">
        <v>126.077579071</v>
      </c>
      <c r="D27" s="469">
        <v>80.114326851000001</v>
      </c>
      <c r="E27" s="469">
        <v>106.42525101</v>
      </c>
      <c r="F27" s="469">
        <v>121.65971473899999</v>
      </c>
      <c r="G27" s="469">
        <v>216.07047992099999</v>
      </c>
      <c r="H27" s="469">
        <v>132.08247668600001</v>
      </c>
      <c r="I27" s="469">
        <v>130.162989248</v>
      </c>
      <c r="J27" s="469">
        <v>108.60684623500001</v>
      </c>
      <c r="K27" s="469" t="s">
        <v>102</v>
      </c>
      <c r="L27" s="469" t="s">
        <v>102</v>
      </c>
      <c r="M27" s="482">
        <v>132.92895804899999</v>
      </c>
      <c r="N27" s="482">
        <v>123.54684399</v>
      </c>
      <c r="O27" s="482">
        <v>130.87185236900001</v>
      </c>
      <c r="P27" s="469">
        <v>108.187236056</v>
      </c>
    </row>
    <row r="28" spans="1:16" ht="15.75" customHeight="1" x14ac:dyDescent="0.25">
      <c r="A28" s="474" t="s">
        <v>177</v>
      </c>
      <c r="B28" s="466">
        <v>155.065791434</v>
      </c>
      <c r="C28" s="466">
        <v>301.03775283099998</v>
      </c>
      <c r="D28" s="466">
        <v>328.39308794599998</v>
      </c>
      <c r="E28" s="466">
        <v>406.06816703999999</v>
      </c>
      <c r="F28" s="466">
        <v>512.22722661600005</v>
      </c>
      <c r="G28" s="466">
        <v>453.08713202400003</v>
      </c>
      <c r="H28" s="466">
        <v>478.74320269399999</v>
      </c>
      <c r="I28" s="466">
        <v>481.47028531500001</v>
      </c>
      <c r="J28" s="466">
        <v>637.671858509</v>
      </c>
      <c r="K28" s="466" t="s">
        <v>102</v>
      </c>
      <c r="L28" s="466" t="s">
        <v>102</v>
      </c>
      <c r="M28" s="479">
        <v>456.546289608</v>
      </c>
      <c r="N28" s="479">
        <v>529.41264203000003</v>
      </c>
      <c r="O28" s="479">
        <v>472.52283673800002</v>
      </c>
      <c r="P28" s="466">
        <v>411.49686769099998</v>
      </c>
    </row>
    <row r="29" spans="1:16" ht="15.75" customHeight="1" x14ac:dyDescent="0.2">
      <c r="A29" s="465" t="s">
        <v>178</v>
      </c>
      <c r="B29" s="467">
        <v>143.37245810100001</v>
      </c>
      <c r="C29" s="467">
        <v>217.21893986699999</v>
      </c>
      <c r="D29" s="467">
        <v>310.24634189300002</v>
      </c>
      <c r="E29" s="467">
        <v>376.008106672</v>
      </c>
      <c r="F29" s="467">
        <v>482.89617285200001</v>
      </c>
      <c r="G29" s="467">
        <v>419.54356605100003</v>
      </c>
      <c r="H29" s="467">
        <v>448.30064248500003</v>
      </c>
      <c r="I29" s="467">
        <v>426.35679523599998</v>
      </c>
      <c r="J29" s="467">
        <v>600.083405814</v>
      </c>
      <c r="K29" s="467" t="s">
        <v>102</v>
      </c>
      <c r="L29" s="467" t="s">
        <v>102</v>
      </c>
      <c r="M29" s="480">
        <v>426.14571502400003</v>
      </c>
      <c r="N29" s="480">
        <v>479.67804523900003</v>
      </c>
      <c r="O29" s="480">
        <v>437.88311875300002</v>
      </c>
      <c r="P29" s="467">
        <v>374.27712931899998</v>
      </c>
    </row>
    <row r="30" spans="1:16" ht="15.75" customHeight="1" x14ac:dyDescent="0.2">
      <c r="A30" s="465" t="s">
        <v>179</v>
      </c>
      <c r="B30" s="467">
        <v>11.693333333</v>
      </c>
      <c r="C30" s="467">
        <v>28.553496680999999</v>
      </c>
      <c r="D30" s="467">
        <v>4.9278196349999996</v>
      </c>
      <c r="E30" s="467">
        <v>12.24201105</v>
      </c>
      <c r="F30" s="467">
        <v>9.5697306209999997</v>
      </c>
      <c r="G30" s="467">
        <v>12.699020118</v>
      </c>
      <c r="H30" s="467">
        <v>11.587797135000001</v>
      </c>
      <c r="I30" s="467">
        <v>15.130822027000001</v>
      </c>
      <c r="J30" s="467">
        <v>18.830580692000002</v>
      </c>
      <c r="K30" s="467" t="s">
        <v>102</v>
      </c>
      <c r="L30" s="467" t="s">
        <v>102</v>
      </c>
      <c r="M30" s="480">
        <v>11.306715976</v>
      </c>
      <c r="N30" s="480">
        <v>16.266374928000001</v>
      </c>
      <c r="O30" s="480">
        <v>12.394161996999999</v>
      </c>
      <c r="P30" s="467">
        <v>23.810771989999999</v>
      </c>
    </row>
    <row r="31" spans="1:16" ht="15.75" customHeight="1" x14ac:dyDescent="0.2">
      <c r="A31" s="465" t="s">
        <v>180</v>
      </c>
      <c r="B31" s="467">
        <v>0</v>
      </c>
      <c r="C31" s="467">
        <v>55.265316282999997</v>
      </c>
      <c r="D31" s="467">
        <v>13.218926418000001</v>
      </c>
      <c r="E31" s="467">
        <v>17.818049318</v>
      </c>
      <c r="F31" s="467">
        <v>19.761323142999998</v>
      </c>
      <c r="G31" s="467">
        <v>20.844545855</v>
      </c>
      <c r="H31" s="467">
        <v>18.854763074000001</v>
      </c>
      <c r="I31" s="467">
        <v>39.982668052999998</v>
      </c>
      <c r="J31" s="467">
        <v>18.757872003999999</v>
      </c>
      <c r="K31" s="467" t="s">
        <v>102</v>
      </c>
      <c r="L31" s="467" t="s">
        <v>102</v>
      </c>
      <c r="M31" s="480">
        <v>19.093858608000001</v>
      </c>
      <c r="N31" s="480">
        <v>33.468221862999997</v>
      </c>
      <c r="O31" s="480">
        <v>22.245555988</v>
      </c>
      <c r="P31" s="467">
        <v>13.408966381999999</v>
      </c>
    </row>
    <row r="32" spans="1:16" ht="15.75" customHeight="1" x14ac:dyDescent="0.25">
      <c r="A32" s="474" t="s">
        <v>181</v>
      </c>
      <c r="B32" s="466">
        <v>100.42618249500001</v>
      </c>
      <c r="C32" s="466">
        <v>186.18796368599999</v>
      </c>
      <c r="D32" s="466">
        <v>226.19157700400001</v>
      </c>
      <c r="E32" s="466">
        <v>237.99997770300001</v>
      </c>
      <c r="F32" s="466">
        <v>258.501812906</v>
      </c>
      <c r="G32" s="466">
        <v>187.234454145</v>
      </c>
      <c r="H32" s="466">
        <v>242.36419588499999</v>
      </c>
      <c r="I32" s="466">
        <v>229.28819181399999</v>
      </c>
      <c r="J32" s="466">
        <v>311.90128801200001</v>
      </c>
      <c r="K32" s="466" t="s">
        <v>102</v>
      </c>
      <c r="L32" s="466" t="s">
        <v>102</v>
      </c>
      <c r="M32" s="479">
        <v>236.064495593</v>
      </c>
      <c r="N32" s="479">
        <v>254.64431625099999</v>
      </c>
      <c r="O32" s="479">
        <v>240.13827410100001</v>
      </c>
      <c r="P32" s="466">
        <v>177.39971704600001</v>
      </c>
    </row>
    <row r="33" spans="1:16" ht="15.75" customHeight="1" x14ac:dyDescent="0.2">
      <c r="A33" s="465" t="s">
        <v>182</v>
      </c>
      <c r="B33" s="467">
        <v>33.394618250000001</v>
      </c>
      <c r="C33" s="467">
        <v>48.067212026999997</v>
      </c>
      <c r="D33" s="467">
        <v>50.122220679000002</v>
      </c>
      <c r="E33" s="467">
        <v>43.811965299000001</v>
      </c>
      <c r="F33" s="467">
        <v>56.498299242000002</v>
      </c>
      <c r="G33" s="467">
        <v>45.389268997999999</v>
      </c>
      <c r="H33" s="467">
        <v>60.483497446999998</v>
      </c>
      <c r="I33" s="467">
        <v>38.848594867999999</v>
      </c>
      <c r="J33" s="467">
        <v>65.922577231000005</v>
      </c>
      <c r="K33" s="467" t="s">
        <v>102</v>
      </c>
      <c r="L33" s="467" t="s">
        <v>102</v>
      </c>
      <c r="M33" s="480">
        <v>52.161070938000002</v>
      </c>
      <c r="N33" s="480">
        <v>47.158309639000002</v>
      </c>
      <c r="O33" s="480">
        <v>51.064174373</v>
      </c>
      <c r="P33" s="467">
        <v>43.657640358999998</v>
      </c>
    </row>
    <row r="34" spans="1:16" ht="15.75" customHeight="1" x14ac:dyDescent="0.2">
      <c r="A34" s="465" t="s">
        <v>183</v>
      </c>
      <c r="B34" s="467">
        <v>67.031564246000002</v>
      </c>
      <c r="C34" s="467">
        <v>81.042360406</v>
      </c>
      <c r="D34" s="467">
        <v>153.168925401</v>
      </c>
      <c r="E34" s="467">
        <v>141.93628073100001</v>
      </c>
      <c r="F34" s="467">
        <v>154.36098348499999</v>
      </c>
      <c r="G34" s="467">
        <v>101.27871112</v>
      </c>
      <c r="H34" s="467">
        <v>161.05735264399999</v>
      </c>
      <c r="I34" s="467">
        <v>99.122319532000006</v>
      </c>
      <c r="J34" s="467">
        <v>148.94228373300001</v>
      </c>
      <c r="K34" s="467" t="s">
        <v>102</v>
      </c>
      <c r="L34" s="467" t="s">
        <v>102</v>
      </c>
      <c r="M34" s="480">
        <v>144.44407437000001</v>
      </c>
      <c r="N34" s="480">
        <v>114.41337228099999</v>
      </c>
      <c r="O34" s="480">
        <v>137.85959592</v>
      </c>
      <c r="P34" s="467">
        <v>99.615302452999998</v>
      </c>
    </row>
    <row r="35" spans="1:16" ht="15.75" customHeight="1" x14ac:dyDescent="0.2">
      <c r="A35" s="475" t="s">
        <v>184</v>
      </c>
      <c r="B35" s="468">
        <v>0</v>
      </c>
      <c r="C35" s="468">
        <v>57.078391252999999</v>
      </c>
      <c r="D35" s="468">
        <v>22.900430923999998</v>
      </c>
      <c r="E35" s="468">
        <v>52.251731673000002</v>
      </c>
      <c r="F35" s="468">
        <v>47.642530178999998</v>
      </c>
      <c r="G35" s="468">
        <v>40.566474028000002</v>
      </c>
      <c r="H35" s="468">
        <v>20.823345795000002</v>
      </c>
      <c r="I35" s="468">
        <v>91.317277415000007</v>
      </c>
      <c r="J35" s="468">
        <v>97.036427047999993</v>
      </c>
      <c r="K35" s="468" t="s">
        <v>102</v>
      </c>
      <c r="L35" s="468" t="s">
        <v>102</v>
      </c>
      <c r="M35" s="481">
        <v>39.459350284999999</v>
      </c>
      <c r="N35" s="481">
        <v>93.072634331000003</v>
      </c>
      <c r="O35" s="481">
        <v>51.214503808000003</v>
      </c>
      <c r="P35" s="468">
        <v>34.126774234000003</v>
      </c>
    </row>
    <row r="36" spans="1:16" ht="15.75" customHeight="1" x14ac:dyDescent="0.25">
      <c r="A36" s="477" t="s">
        <v>185</v>
      </c>
      <c r="B36" s="466">
        <v>994.95932960899995</v>
      </c>
      <c r="C36" s="466">
        <v>1020.723893011</v>
      </c>
      <c r="D36" s="466">
        <v>1076.7357331119999</v>
      </c>
      <c r="E36" s="466">
        <v>1189.391938749</v>
      </c>
      <c r="F36" s="466">
        <v>1477.4473816110001</v>
      </c>
      <c r="G36" s="466">
        <v>1583.171200943</v>
      </c>
      <c r="H36" s="466">
        <v>1565.7142841729999</v>
      </c>
      <c r="I36" s="466">
        <v>1759.640071284</v>
      </c>
      <c r="J36" s="466">
        <v>1940.3386670509999</v>
      </c>
      <c r="K36" s="466" t="s">
        <v>102</v>
      </c>
      <c r="L36" s="466" t="s">
        <v>102</v>
      </c>
      <c r="M36" s="479">
        <v>1420.7230576710001</v>
      </c>
      <c r="N36" s="479">
        <v>1815.1012062709999</v>
      </c>
      <c r="O36" s="479">
        <v>1507.1937107050001</v>
      </c>
      <c r="P36" s="466">
        <v>1543.7892652749999</v>
      </c>
    </row>
    <row r="37" spans="1:16" ht="15.75" customHeight="1" x14ac:dyDescent="0.25">
      <c r="A37" s="477" t="s">
        <v>186</v>
      </c>
      <c r="B37" s="466">
        <v>1231.2157541900001</v>
      </c>
      <c r="C37" s="466">
        <v>1115.4740413899999</v>
      </c>
      <c r="D37" s="466">
        <v>1166.8600501389999</v>
      </c>
      <c r="E37" s="466">
        <v>1213.895089313</v>
      </c>
      <c r="F37" s="466">
        <v>1439.2299553830001</v>
      </c>
      <c r="G37" s="466">
        <v>1613.2498312770001</v>
      </c>
      <c r="H37" s="466">
        <v>1539.523897794</v>
      </c>
      <c r="I37" s="466">
        <v>1722.366723952</v>
      </c>
      <c r="J37" s="466">
        <v>1874.564689801</v>
      </c>
      <c r="K37" s="466" t="s">
        <v>102</v>
      </c>
      <c r="L37" s="466" t="s">
        <v>102</v>
      </c>
      <c r="M37" s="479">
        <v>1418.869567816</v>
      </c>
      <c r="N37" s="479">
        <v>1769.080268641</v>
      </c>
      <c r="O37" s="479">
        <v>1495.656144627</v>
      </c>
      <c r="P37" s="466">
        <v>1506.850970408</v>
      </c>
    </row>
    <row r="38" spans="1:16" ht="15.75" customHeight="1" x14ac:dyDescent="0.25">
      <c r="A38" s="476" t="s">
        <v>187</v>
      </c>
      <c r="B38" s="469">
        <v>236.256424581</v>
      </c>
      <c r="C38" s="469">
        <v>94.750148379999999</v>
      </c>
      <c r="D38" s="469">
        <v>90.124317027000004</v>
      </c>
      <c r="E38" s="469">
        <v>24.503150563999998</v>
      </c>
      <c r="F38" s="469">
        <v>-38.217426228000001</v>
      </c>
      <c r="G38" s="469">
        <v>30.078630334</v>
      </c>
      <c r="H38" s="469">
        <v>-26.190386379</v>
      </c>
      <c r="I38" s="469">
        <v>-37.273347332999997</v>
      </c>
      <c r="J38" s="469">
        <v>-65.773977250000002</v>
      </c>
      <c r="K38" s="469" t="s">
        <v>102</v>
      </c>
      <c r="L38" s="469" t="s">
        <v>102</v>
      </c>
      <c r="M38" s="482">
        <v>-1.8534898550000001</v>
      </c>
      <c r="N38" s="482">
        <v>-46.020937629999999</v>
      </c>
      <c r="O38" s="482">
        <v>-11.537566077999999</v>
      </c>
      <c r="P38" s="469">
        <v>-36.938294867000003</v>
      </c>
    </row>
    <row r="39" spans="1:16" ht="15.75" customHeight="1" x14ac:dyDescent="0.2">
      <c r="A39" s="465" t="s">
        <v>188</v>
      </c>
      <c r="B39" s="467">
        <v>45.140875233000003</v>
      </c>
      <c r="C39" s="467">
        <v>83.522358453999999</v>
      </c>
      <c r="D39" s="467">
        <v>112.211501118</v>
      </c>
      <c r="E39" s="467">
        <v>86.146088891999995</v>
      </c>
      <c r="F39" s="467">
        <v>93.848272742000006</v>
      </c>
      <c r="G39" s="467">
        <v>79.860828291000004</v>
      </c>
      <c r="H39" s="467">
        <v>78.106143743999993</v>
      </c>
      <c r="I39" s="467">
        <v>84.745756920999995</v>
      </c>
      <c r="J39" s="467">
        <v>151.38974701199999</v>
      </c>
      <c r="K39" s="467" t="s">
        <v>102</v>
      </c>
      <c r="L39" s="467" t="s">
        <v>102</v>
      </c>
      <c r="M39" s="480">
        <v>85.699346110999997</v>
      </c>
      <c r="N39" s="480">
        <v>105.200544158</v>
      </c>
      <c r="O39" s="480">
        <v>89.975144189999995</v>
      </c>
      <c r="P39" s="467">
        <v>88.971619723000003</v>
      </c>
    </row>
    <row r="40" spans="1:16" ht="15.75" customHeight="1" x14ac:dyDescent="0.2">
      <c r="A40" s="465" t="s">
        <v>189</v>
      </c>
      <c r="B40" s="467">
        <v>0.57728119200000005</v>
      </c>
      <c r="C40" s="467">
        <v>7.0840589610000002</v>
      </c>
      <c r="D40" s="467">
        <v>42.571586490000001</v>
      </c>
      <c r="E40" s="467">
        <v>68.624915517999995</v>
      </c>
      <c r="F40" s="467">
        <v>71.510325312999996</v>
      </c>
      <c r="G40" s="467">
        <v>90.919277641999997</v>
      </c>
      <c r="H40" s="467">
        <v>121.863621407</v>
      </c>
      <c r="I40" s="467">
        <v>66.573058216000007</v>
      </c>
      <c r="J40" s="467">
        <v>241.471968906</v>
      </c>
      <c r="K40" s="467" t="s">
        <v>102</v>
      </c>
      <c r="L40" s="467" t="s">
        <v>102</v>
      </c>
      <c r="M40" s="480">
        <v>86.441241017999999</v>
      </c>
      <c r="N40" s="480">
        <v>120.25411784800001</v>
      </c>
      <c r="O40" s="480">
        <v>93.854992390000007</v>
      </c>
      <c r="P40" s="467">
        <v>101.995484976</v>
      </c>
    </row>
    <row r="41" spans="1:16" ht="15.75" customHeight="1" x14ac:dyDescent="0.2">
      <c r="A41" s="475" t="s">
        <v>190</v>
      </c>
      <c r="B41" s="468">
        <v>-44.563594041000002</v>
      </c>
      <c r="C41" s="468">
        <v>-76.438299491999999</v>
      </c>
      <c r="D41" s="468">
        <v>-69.639914628</v>
      </c>
      <c r="E41" s="468">
        <v>-17.521173374</v>
      </c>
      <c r="F41" s="468">
        <v>-22.337947428</v>
      </c>
      <c r="G41" s="468">
        <v>11.058449352</v>
      </c>
      <c r="H41" s="468">
        <v>43.757477663000003</v>
      </c>
      <c r="I41" s="468">
        <v>-18.172698704999998</v>
      </c>
      <c r="J41" s="468">
        <v>90.082221894</v>
      </c>
      <c r="K41" s="468" t="s">
        <v>102</v>
      </c>
      <c r="L41" s="468" t="s">
        <v>102</v>
      </c>
      <c r="M41" s="481">
        <v>0.74189490700000005</v>
      </c>
      <c r="N41" s="481">
        <v>15.05357369</v>
      </c>
      <c r="O41" s="481">
        <v>3.8798482000000001</v>
      </c>
      <c r="P41" s="468">
        <v>13.023865253</v>
      </c>
    </row>
    <row r="42" spans="1:16" ht="15.75" customHeight="1" x14ac:dyDescent="0.25">
      <c r="A42" s="477" t="s">
        <v>191</v>
      </c>
      <c r="B42" s="466">
        <v>1040.100204842</v>
      </c>
      <c r="C42" s="466">
        <v>1104.2462514639999</v>
      </c>
      <c r="D42" s="466">
        <v>1188.94723423</v>
      </c>
      <c r="E42" s="466">
        <v>1275.5380276400001</v>
      </c>
      <c r="F42" s="466">
        <v>1571.2956543529999</v>
      </c>
      <c r="G42" s="466">
        <v>1663.032029234</v>
      </c>
      <c r="H42" s="466">
        <v>1643.820427916</v>
      </c>
      <c r="I42" s="466">
        <v>1844.3858282050001</v>
      </c>
      <c r="J42" s="466">
        <v>2091.7284140629999</v>
      </c>
      <c r="K42" s="466" t="s">
        <v>102</v>
      </c>
      <c r="L42" s="466" t="s">
        <v>102</v>
      </c>
      <c r="M42" s="479">
        <v>1506.4224037819999</v>
      </c>
      <c r="N42" s="479">
        <v>1920.3017504290001</v>
      </c>
      <c r="O42" s="479">
        <v>1597.1688548950001</v>
      </c>
      <c r="P42" s="466">
        <v>1632.7608849979999</v>
      </c>
    </row>
    <row r="43" spans="1:16" ht="15.75" customHeight="1" x14ac:dyDescent="0.25">
      <c r="A43" s="477" t="s">
        <v>192</v>
      </c>
      <c r="B43" s="466">
        <v>1231.793035382</v>
      </c>
      <c r="C43" s="466">
        <v>1122.5581003509999</v>
      </c>
      <c r="D43" s="466">
        <v>1209.431636628</v>
      </c>
      <c r="E43" s="466">
        <v>1282.5200048310001</v>
      </c>
      <c r="F43" s="466">
        <v>1510.7402806959999</v>
      </c>
      <c r="G43" s="466">
        <v>1704.1691089190001</v>
      </c>
      <c r="H43" s="466">
        <v>1661.387519201</v>
      </c>
      <c r="I43" s="466">
        <v>1788.939782167</v>
      </c>
      <c r="J43" s="466">
        <v>2116.0366587079998</v>
      </c>
      <c r="K43" s="466" t="s">
        <v>102</v>
      </c>
      <c r="L43" s="466" t="s">
        <v>102</v>
      </c>
      <c r="M43" s="479">
        <v>1505.310808834</v>
      </c>
      <c r="N43" s="479">
        <v>1889.3343864890001</v>
      </c>
      <c r="O43" s="479">
        <v>1589.511137017</v>
      </c>
      <c r="P43" s="466">
        <v>1608.8464553839999</v>
      </c>
    </row>
    <row r="44" spans="1:16" ht="15.75" customHeight="1" x14ac:dyDescent="0.2">
      <c r="A44" s="475" t="s">
        <v>193</v>
      </c>
      <c r="B44" s="468">
        <v>191.69283053999999</v>
      </c>
      <c r="C44" s="468">
        <v>18.311848887</v>
      </c>
      <c r="D44" s="468">
        <v>20.484402399</v>
      </c>
      <c r="E44" s="468">
        <v>6.9819771910000004</v>
      </c>
      <c r="F44" s="468">
        <v>-60.555373656</v>
      </c>
      <c r="G44" s="468">
        <v>41.137079686</v>
      </c>
      <c r="H44" s="468">
        <v>17.567091284</v>
      </c>
      <c r="I44" s="468">
        <v>-55.446046037999999</v>
      </c>
      <c r="J44" s="468">
        <v>24.308244643999998</v>
      </c>
      <c r="K44" s="468" t="s">
        <v>102</v>
      </c>
      <c r="L44" s="468" t="s">
        <v>102</v>
      </c>
      <c r="M44" s="481">
        <v>-1.111594948</v>
      </c>
      <c r="N44" s="481">
        <v>-30.967363939999998</v>
      </c>
      <c r="O44" s="481">
        <v>-7.6577178779999997</v>
      </c>
      <c r="P44" s="468">
        <v>-23.914429613999999</v>
      </c>
    </row>
    <row r="45" spans="1:16" s="8" customFormat="1" ht="15.75" customHeight="1" x14ac:dyDescent="0.25">
      <c r="A45" s="478" t="s">
        <v>283</v>
      </c>
      <c r="B45" s="469">
        <v>394.16070763499999</v>
      </c>
      <c r="C45" s="469">
        <v>505.64554275699999</v>
      </c>
      <c r="D45" s="469">
        <v>550.25183752299995</v>
      </c>
      <c r="E45" s="469">
        <v>611.94661613999995</v>
      </c>
      <c r="F45" s="469">
        <v>736.06214641700001</v>
      </c>
      <c r="G45" s="469">
        <v>805.995466169</v>
      </c>
      <c r="H45" s="469">
        <v>782.92910763899999</v>
      </c>
      <c r="I45" s="469">
        <v>702.256901212</v>
      </c>
      <c r="J45" s="469">
        <v>1699.2196305790001</v>
      </c>
      <c r="K45" s="469" t="s">
        <v>102</v>
      </c>
      <c r="L45" s="469" t="s">
        <v>102</v>
      </c>
      <c r="M45" s="482">
        <v>716.98528285199995</v>
      </c>
      <c r="N45" s="482">
        <v>1008.250892342</v>
      </c>
      <c r="O45" s="482">
        <v>780.84766353500004</v>
      </c>
      <c r="P45" s="469">
        <v>922.65384219600003</v>
      </c>
    </row>
    <row r="46" spans="1:16" ht="15.75" customHeight="1" x14ac:dyDescent="0.25">
      <c r="A46" s="474" t="s">
        <v>442</v>
      </c>
      <c r="B46" s="467"/>
      <c r="C46" s="467"/>
      <c r="D46" s="467"/>
      <c r="E46" s="467"/>
      <c r="F46" s="467"/>
      <c r="G46" s="467"/>
      <c r="H46" s="467"/>
      <c r="I46" s="467"/>
      <c r="J46" s="467"/>
      <c r="K46" s="467"/>
      <c r="L46" s="467"/>
      <c r="M46" s="483"/>
      <c r="N46" s="483"/>
      <c r="O46" s="483"/>
      <c r="P46" s="470"/>
    </row>
    <row r="47" spans="1:16" ht="15.75" customHeight="1" x14ac:dyDescent="0.25">
      <c r="A47" s="465" t="s">
        <v>459</v>
      </c>
      <c r="B47" s="467">
        <v>839.893538175</v>
      </c>
      <c r="C47" s="467">
        <v>719.68614018000005</v>
      </c>
      <c r="D47" s="467">
        <v>748.04357713900004</v>
      </c>
      <c r="E47" s="467">
        <v>781.645873682</v>
      </c>
      <c r="F47" s="467">
        <v>961.56342075099997</v>
      </c>
      <c r="G47" s="467">
        <v>1125.27426169</v>
      </c>
      <c r="H47" s="467">
        <v>1082.8772187469999</v>
      </c>
      <c r="I47" s="467">
        <v>1274.960079601</v>
      </c>
      <c r="J47" s="467">
        <v>1284.5802622440001</v>
      </c>
      <c r="K47" s="467" t="s">
        <v>102</v>
      </c>
      <c r="L47" s="467" t="s">
        <v>102</v>
      </c>
      <c r="M47" s="480">
        <v>960.91889850400003</v>
      </c>
      <c r="N47" s="480">
        <v>1277.9127657900001</v>
      </c>
      <c r="O47" s="480">
        <v>1030.4224113360001</v>
      </c>
      <c r="P47" s="467">
        <v>1129.889010739</v>
      </c>
    </row>
    <row r="48" spans="1:16" ht="15.75" customHeight="1" x14ac:dyDescent="0.25">
      <c r="A48" s="465" t="s">
        <v>410</v>
      </c>
      <c r="B48" s="467">
        <v>490.75418994400002</v>
      </c>
      <c r="C48" s="467">
        <v>347.26395939100001</v>
      </c>
      <c r="D48" s="467">
        <v>369.54821430999999</v>
      </c>
      <c r="E48" s="467">
        <v>415.246341594</v>
      </c>
      <c r="F48" s="467">
        <v>542.70366949799995</v>
      </c>
      <c r="G48" s="467">
        <v>629.33737524599997</v>
      </c>
      <c r="H48" s="467">
        <v>694.35427427699994</v>
      </c>
      <c r="I48" s="467">
        <v>665.69767732000003</v>
      </c>
      <c r="J48" s="467">
        <v>822.13840561200004</v>
      </c>
      <c r="K48" s="467" t="s">
        <v>102</v>
      </c>
      <c r="L48" s="467" t="s">
        <v>102</v>
      </c>
      <c r="M48" s="480">
        <v>555.71780023300005</v>
      </c>
      <c r="N48" s="480">
        <v>713.71343700199998</v>
      </c>
      <c r="O48" s="480">
        <v>590.35964318599997</v>
      </c>
      <c r="P48" s="467">
        <v>625.13532775199997</v>
      </c>
    </row>
    <row r="49" spans="1:25" ht="15.75" customHeight="1" x14ac:dyDescent="0.25">
      <c r="A49" s="465" t="s">
        <v>411</v>
      </c>
      <c r="B49" s="467">
        <v>403.89297951600003</v>
      </c>
      <c r="C49" s="467">
        <v>347.50496095300002</v>
      </c>
      <c r="D49" s="467">
        <v>422.35777051299999</v>
      </c>
      <c r="E49" s="467">
        <v>471.18190447699999</v>
      </c>
      <c r="F49" s="467">
        <v>663.50546577800003</v>
      </c>
      <c r="G49" s="467">
        <v>806.31876581500001</v>
      </c>
      <c r="H49" s="467">
        <v>818.45015165200005</v>
      </c>
      <c r="I49" s="467">
        <v>916.85235422400001</v>
      </c>
      <c r="J49" s="467">
        <v>923.12776603299994</v>
      </c>
      <c r="K49" s="467" t="s">
        <v>102</v>
      </c>
      <c r="L49" s="467" t="s">
        <v>102</v>
      </c>
      <c r="M49" s="480">
        <v>664.39350144000002</v>
      </c>
      <c r="N49" s="480">
        <v>918.77844258100004</v>
      </c>
      <c r="O49" s="480">
        <v>720.16949222599999</v>
      </c>
      <c r="P49" s="467">
        <v>762.76738347100002</v>
      </c>
    </row>
    <row r="50" spans="1:25" ht="15.75" customHeight="1" x14ac:dyDescent="0.25">
      <c r="A50" s="465" t="s">
        <v>412</v>
      </c>
      <c r="B50" s="467">
        <v>1130.7895716949999</v>
      </c>
      <c r="C50" s="467">
        <v>929.28607770400004</v>
      </c>
      <c r="D50" s="467">
        <v>940.668473135</v>
      </c>
      <c r="E50" s="467">
        <v>975.89511160999996</v>
      </c>
      <c r="F50" s="467">
        <v>1180.7281424769999</v>
      </c>
      <c r="G50" s="467">
        <v>1426.0153771319999</v>
      </c>
      <c r="H50" s="467">
        <v>1297.159701908</v>
      </c>
      <c r="I50" s="467">
        <v>1493.0785321369999</v>
      </c>
      <c r="J50" s="467">
        <v>1562.6634017890001</v>
      </c>
      <c r="K50" s="467" t="s">
        <v>102</v>
      </c>
      <c r="L50" s="467" t="s">
        <v>102</v>
      </c>
      <c r="M50" s="480">
        <v>1182.805072223</v>
      </c>
      <c r="N50" s="480">
        <v>1514.43595239</v>
      </c>
      <c r="O50" s="480">
        <v>1255.517870526</v>
      </c>
      <c r="P50" s="467">
        <v>1329.451253362</v>
      </c>
    </row>
    <row r="51" spans="1:25" ht="15.75" customHeight="1" x14ac:dyDescent="0.25">
      <c r="A51" s="465" t="s">
        <v>460</v>
      </c>
      <c r="B51" s="467">
        <v>143.37245810100001</v>
      </c>
      <c r="C51" s="467">
        <v>272.02595275300001</v>
      </c>
      <c r="D51" s="467">
        <v>313.511480791</v>
      </c>
      <c r="E51" s="467">
        <v>381.83772836100002</v>
      </c>
      <c r="F51" s="467">
        <v>494.535121183</v>
      </c>
      <c r="G51" s="467">
        <v>427.50053453800001</v>
      </c>
      <c r="H51" s="467">
        <v>454.20196712000001</v>
      </c>
      <c r="I51" s="467">
        <v>467.43014904400002</v>
      </c>
      <c r="J51" s="467">
        <v>618.16995211200003</v>
      </c>
      <c r="K51" s="467" t="s">
        <v>102</v>
      </c>
      <c r="L51" s="467" t="s">
        <v>102</v>
      </c>
      <c r="M51" s="480">
        <v>433.94981553700001</v>
      </c>
      <c r="N51" s="480">
        <v>513.69614535899996</v>
      </c>
      <c r="O51" s="480">
        <v>451.43485430300001</v>
      </c>
      <c r="P51" s="467">
        <v>381.33041176900002</v>
      </c>
    </row>
    <row r="52" spans="1:25" ht="15.75" customHeight="1" x14ac:dyDescent="0.25">
      <c r="A52" s="465" t="s">
        <v>413</v>
      </c>
      <c r="B52" s="467">
        <v>394.16070763499999</v>
      </c>
      <c r="C52" s="467">
        <v>505.64554275699999</v>
      </c>
      <c r="D52" s="467">
        <v>550.25183752299995</v>
      </c>
      <c r="E52" s="467">
        <v>611.94661613999995</v>
      </c>
      <c r="F52" s="467">
        <v>736.06214641700001</v>
      </c>
      <c r="G52" s="467">
        <v>805.995466169</v>
      </c>
      <c r="H52" s="467">
        <v>782.92910763899999</v>
      </c>
      <c r="I52" s="467">
        <v>702.256901212</v>
      </c>
      <c r="J52" s="467">
        <v>1699.2196305790001</v>
      </c>
      <c r="K52" s="467" t="s">
        <v>102</v>
      </c>
      <c r="L52" s="467" t="s">
        <v>102</v>
      </c>
      <c r="M52" s="480">
        <v>716.98528285199995</v>
      </c>
      <c r="N52" s="480">
        <v>1008.250892342</v>
      </c>
      <c r="O52" s="480">
        <v>780.84766353500004</v>
      </c>
      <c r="P52" s="467">
        <v>922.65384219600003</v>
      </c>
    </row>
    <row r="53" spans="1:25" ht="15.75" customHeight="1" x14ac:dyDescent="0.25">
      <c r="A53" s="465" t="s">
        <v>414</v>
      </c>
      <c r="B53" s="467">
        <v>261.16387337100002</v>
      </c>
      <c r="C53" s="467">
        <v>195.47657165199999</v>
      </c>
      <c r="D53" s="467">
        <v>157.516063758</v>
      </c>
      <c r="E53" s="467">
        <v>177.99626871500001</v>
      </c>
      <c r="F53" s="467">
        <v>163.781535284</v>
      </c>
      <c r="G53" s="467">
        <v>135.21577996100001</v>
      </c>
      <c r="H53" s="467">
        <v>137.29530831299999</v>
      </c>
      <c r="I53" s="467">
        <v>116.051658489</v>
      </c>
      <c r="J53" s="467">
        <v>229.303464835</v>
      </c>
      <c r="K53" s="467" t="s">
        <v>102</v>
      </c>
      <c r="L53" s="467" t="s">
        <v>102</v>
      </c>
      <c r="M53" s="480">
        <v>156.07329298499999</v>
      </c>
      <c r="N53" s="480">
        <v>150.81160608299999</v>
      </c>
      <c r="O53" s="480">
        <v>154.919624852</v>
      </c>
      <c r="P53" s="467">
        <v>168.82118193599999</v>
      </c>
    </row>
    <row r="54" spans="1:25" ht="12.75" customHeight="1" x14ac:dyDescent="0.2">
      <c r="A54" s="235" t="s">
        <v>899</v>
      </c>
      <c r="B54" s="473"/>
      <c r="C54" s="473"/>
      <c r="D54" s="473"/>
      <c r="E54" s="473"/>
      <c r="F54" s="473"/>
      <c r="G54" s="473"/>
      <c r="H54" s="473"/>
      <c r="I54" s="473"/>
      <c r="J54" s="473"/>
      <c r="K54" s="473"/>
      <c r="L54" s="473"/>
      <c r="M54" s="569"/>
      <c r="N54" s="486"/>
      <c r="O54" s="714"/>
      <c r="P54" s="715"/>
      <c r="Q54" s="13"/>
      <c r="R54" s="13"/>
      <c r="S54" s="13"/>
      <c r="T54" s="13"/>
      <c r="U54" s="13"/>
      <c r="V54" s="215"/>
      <c r="W54" s="215"/>
      <c r="X54" s="215"/>
      <c r="Y54" s="39"/>
    </row>
    <row r="55" spans="1:25" x14ac:dyDescent="0.2">
      <c r="A55" s="255" t="s">
        <v>357</v>
      </c>
      <c r="B55" s="13"/>
      <c r="C55" s="13"/>
      <c r="D55" s="13"/>
      <c r="E55" s="13"/>
      <c r="F55" s="13"/>
      <c r="G55" s="13"/>
      <c r="H55" s="13"/>
      <c r="I55" s="13"/>
      <c r="J55" s="13"/>
      <c r="K55" s="13"/>
      <c r="L55" s="13"/>
      <c r="M55" s="215"/>
      <c r="N55" s="215"/>
      <c r="O55" s="215"/>
      <c r="P55" s="39"/>
    </row>
    <row r="56" spans="1:25" x14ac:dyDescent="0.2">
      <c r="A56" s="37" t="s">
        <v>461</v>
      </c>
      <c r="B56" s="13"/>
      <c r="C56" s="13"/>
      <c r="D56" s="13"/>
      <c r="E56" s="13"/>
      <c r="F56" s="13"/>
      <c r="G56" s="13"/>
      <c r="H56" s="13"/>
      <c r="I56" s="13"/>
      <c r="J56" s="13"/>
      <c r="K56" s="13"/>
      <c r="L56" s="13"/>
      <c r="M56" s="215"/>
      <c r="N56" s="215"/>
      <c r="O56" s="215"/>
      <c r="P56" s="39"/>
    </row>
    <row r="57" spans="1:25" x14ac:dyDescent="0.2">
      <c r="A57" s="168" t="s">
        <v>557</v>
      </c>
      <c r="B57" s="13"/>
      <c r="C57" s="13"/>
      <c r="D57" s="13"/>
      <c r="E57" s="13"/>
      <c r="F57" s="13"/>
      <c r="G57" s="13"/>
      <c r="H57" s="13"/>
      <c r="I57" s="13"/>
      <c r="J57" s="13"/>
      <c r="K57" s="13"/>
      <c r="L57" s="13"/>
      <c r="M57" s="215"/>
      <c r="N57" s="215"/>
      <c r="O57" s="215"/>
      <c r="P57" s="39"/>
    </row>
    <row r="58" spans="1:25" x14ac:dyDescent="0.2">
      <c r="A58" s="255" t="s">
        <v>981</v>
      </c>
      <c r="B58" s="3"/>
      <c r="C58" s="3"/>
      <c r="D58" s="3"/>
      <c r="G58" s="185"/>
      <c r="J58" s="185"/>
      <c r="M58" s="215"/>
      <c r="N58" s="215"/>
      <c r="O58" s="215"/>
    </row>
    <row r="59" spans="1:25" x14ac:dyDescent="0.2">
      <c r="A59" s="286" t="s">
        <v>916</v>
      </c>
      <c r="B59" s="3"/>
      <c r="C59" s="3"/>
      <c r="D59" s="3"/>
      <c r="G59" s="185"/>
      <c r="J59" s="185"/>
    </row>
    <row r="60" spans="1:25" ht="18" x14ac:dyDescent="0.2">
      <c r="A60" s="46"/>
    </row>
    <row r="61" spans="1:25" ht="21" x14ac:dyDescent="0.2">
      <c r="A61" s="46" t="s">
        <v>922</v>
      </c>
    </row>
    <row r="62" spans="1:25" ht="15" customHeight="1" thickBot="1" x14ac:dyDescent="0.25">
      <c r="A62" s="13"/>
    </row>
    <row r="63" spans="1:25" ht="15" customHeight="1" x14ac:dyDescent="0.2">
      <c r="A63" s="41"/>
      <c r="B63" s="42" t="s">
        <v>35</v>
      </c>
      <c r="C63" s="42" t="s">
        <v>121</v>
      </c>
      <c r="D63" s="42" t="s">
        <v>123</v>
      </c>
      <c r="E63" s="42" t="s">
        <v>36</v>
      </c>
      <c r="F63" s="42" t="s">
        <v>37</v>
      </c>
      <c r="G63" s="42" t="s">
        <v>38</v>
      </c>
      <c r="H63" s="42" t="s">
        <v>39</v>
      </c>
      <c r="I63" s="42" t="s">
        <v>125</v>
      </c>
      <c r="J63" s="42" t="s">
        <v>126</v>
      </c>
      <c r="K63" s="42" t="s">
        <v>127</v>
      </c>
      <c r="L63" s="252">
        <v>100000</v>
      </c>
      <c r="M63" s="250" t="s">
        <v>231</v>
      </c>
      <c r="N63" s="250" t="s">
        <v>231</v>
      </c>
      <c r="O63" s="257" t="s">
        <v>77</v>
      </c>
      <c r="P63" s="281" t="s">
        <v>220</v>
      </c>
    </row>
    <row r="64" spans="1:25" ht="15" customHeight="1" x14ac:dyDescent="0.2">
      <c r="A64" s="566" t="s">
        <v>81</v>
      </c>
      <c r="B64" s="43" t="s">
        <v>120</v>
      </c>
      <c r="C64" s="43" t="s">
        <v>40</v>
      </c>
      <c r="D64" s="43" t="s">
        <v>40</v>
      </c>
      <c r="E64" s="43" t="s">
        <v>40</v>
      </c>
      <c r="F64" s="43" t="s">
        <v>40</v>
      </c>
      <c r="G64" s="43" t="s">
        <v>40</v>
      </c>
      <c r="H64" s="43" t="s">
        <v>40</v>
      </c>
      <c r="I64" s="43" t="s">
        <v>40</v>
      </c>
      <c r="J64" s="43" t="s">
        <v>40</v>
      </c>
      <c r="K64" s="43" t="s">
        <v>40</v>
      </c>
      <c r="L64" s="43" t="s">
        <v>43</v>
      </c>
      <c r="M64" s="239" t="s">
        <v>230</v>
      </c>
      <c r="N64" s="239" t="s">
        <v>138</v>
      </c>
      <c r="O64" s="256" t="s">
        <v>137</v>
      </c>
      <c r="P64" s="282" t="s">
        <v>284</v>
      </c>
    </row>
    <row r="65" spans="1:16" ht="15" customHeight="1" thickBot="1" x14ac:dyDescent="0.25">
      <c r="A65" s="423" t="s">
        <v>99</v>
      </c>
      <c r="B65" s="44" t="s">
        <v>43</v>
      </c>
      <c r="C65" s="44" t="s">
        <v>122</v>
      </c>
      <c r="D65" s="44" t="s">
        <v>124</v>
      </c>
      <c r="E65" s="44" t="s">
        <v>44</v>
      </c>
      <c r="F65" s="44" t="s">
        <v>45</v>
      </c>
      <c r="G65" s="44" t="s">
        <v>46</v>
      </c>
      <c r="H65" s="44" t="s">
        <v>42</v>
      </c>
      <c r="I65" s="44" t="s">
        <v>128</v>
      </c>
      <c r="J65" s="44" t="s">
        <v>129</v>
      </c>
      <c r="K65" s="44" t="s">
        <v>130</v>
      </c>
      <c r="L65" s="44" t="s">
        <v>131</v>
      </c>
      <c r="M65" s="251" t="s">
        <v>138</v>
      </c>
      <c r="N65" s="251" t="s">
        <v>131</v>
      </c>
      <c r="O65" s="258" t="s">
        <v>41</v>
      </c>
      <c r="P65" s="283" t="s">
        <v>239</v>
      </c>
    </row>
    <row r="66" spans="1:16" ht="15" customHeight="1" x14ac:dyDescent="0.25">
      <c r="A66" s="544" t="s">
        <v>200</v>
      </c>
      <c r="B66" s="192"/>
      <c r="C66" s="192"/>
      <c r="D66" s="192"/>
      <c r="E66" s="192"/>
      <c r="F66" s="192"/>
      <c r="G66" s="192"/>
      <c r="H66" s="192"/>
      <c r="I66" s="192"/>
      <c r="J66" s="192"/>
      <c r="K66" s="192"/>
      <c r="L66" s="192"/>
      <c r="M66" s="192"/>
      <c r="N66" s="192"/>
      <c r="O66" s="192"/>
    </row>
    <row r="67" spans="1:16" s="465" customFormat="1" ht="15.75" customHeight="1" x14ac:dyDescent="0.25">
      <c r="A67" s="487" t="s">
        <v>291</v>
      </c>
      <c r="B67" s="488">
        <f>B8/B$8</f>
        <v>1</v>
      </c>
      <c r="C67" s="488">
        <f t="shared" ref="C67:J67" si="0">C8/C$8</f>
        <v>1</v>
      </c>
      <c r="D67" s="488">
        <f t="shared" si="0"/>
        <v>1</v>
      </c>
      <c r="E67" s="488">
        <f t="shared" si="0"/>
        <v>1</v>
      </c>
      <c r="F67" s="488">
        <f t="shared" si="0"/>
        <v>1</v>
      </c>
      <c r="G67" s="488">
        <f t="shared" si="0"/>
        <v>1</v>
      </c>
      <c r="H67" s="488">
        <f t="shared" si="0"/>
        <v>1</v>
      </c>
      <c r="I67" s="488">
        <f t="shared" si="0"/>
        <v>1</v>
      </c>
      <c r="J67" s="488">
        <f t="shared" si="0"/>
        <v>1</v>
      </c>
      <c r="K67" s="488" t="s">
        <v>102</v>
      </c>
      <c r="L67" s="488" t="s">
        <v>102</v>
      </c>
      <c r="M67" s="489">
        <f t="shared" ref="M67:P67" si="1">M8/M$8</f>
        <v>1</v>
      </c>
      <c r="N67" s="489">
        <f t="shared" si="1"/>
        <v>1</v>
      </c>
      <c r="O67" s="489">
        <f t="shared" si="1"/>
        <v>1</v>
      </c>
      <c r="P67" s="488">
        <f t="shared" si="1"/>
        <v>1</v>
      </c>
    </row>
    <row r="68" spans="1:16" s="465" customFormat="1" ht="15.75" customHeight="1" x14ac:dyDescent="0.2">
      <c r="A68" s="490" t="s">
        <v>161</v>
      </c>
      <c r="B68" s="491">
        <f t="shared" ref="B68:J72" si="2">B9/B$8</f>
        <v>0.29833955411952529</v>
      </c>
      <c r="C68" s="491">
        <f t="shared" si="2"/>
        <v>0.37510800899330998</v>
      </c>
      <c r="D68" s="491">
        <f t="shared" si="2"/>
        <v>0.33316149966128844</v>
      </c>
      <c r="E68" s="491">
        <f t="shared" si="2"/>
        <v>0.34371109876902844</v>
      </c>
      <c r="F68" s="491">
        <f t="shared" si="2"/>
        <v>0.3146807563654464</v>
      </c>
      <c r="G68" s="491">
        <f t="shared" si="2"/>
        <v>0.30758670624788231</v>
      </c>
      <c r="H68" s="491">
        <f t="shared" si="2"/>
        <v>0.28535412410167027</v>
      </c>
      <c r="I68" s="491">
        <f t="shared" si="2"/>
        <v>0.26159155803586592</v>
      </c>
      <c r="J68" s="491">
        <f t="shared" si="2"/>
        <v>0.29130531420519051</v>
      </c>
      <c r="K68" s="491" t="s">
        <v>102</v>
      </c>
      <c r="L68" s="491" t="s">
        <v>102</v>
      </c>
      <c r="M68" s="484">
        <f t="shared" ref="M68:P68" si="3">M9/M$8</f>
        <v>0.31142245650994604</v>
      </c>
      <c r="N68" s="484">
        <f t="shared" si="3"/>
        <v>0.27083192241315568</v>
      </c>
      <c r="O68" s="484">
        <f t="shared" si="3"/>
        <v>0.30036349827405306</v>
      </c>
      <c r="P68" s="491">
        <f t="shared" si="3"/>
        <v>0.26380622524125025</v>
      </c>
    </row>
    <row r="69" spans="1:16" s="465" customFormat="1" ht="15.75" customHeight="1" x14ac:dyDescent="0.2">
      <c r="A69" s="492" t="s">
        <v>162</v>
      </c>
      <c r="B69" s="493">
        <f t="shared" si="2"/>
        <v>0.33632585738520465</v>
      </c>
      <c r="C69" s="493">
        <f t="shared" si="2"/>
        <v>0.28342409099469895</v>
      </c>
      <c r="D69" s="493">
        <f t="shared" si="2"/>
        <v>0.4150583300863474</v>
      </c>
      <c r="E69" s="493">
        <f t="shared" si="2"/>
        <v>0.46444259902296542</v>
      </c>
      <c r="F69" s="493">
        <f t="shared" si="2"/>
        <v>0.52577824449970056</v>
      </c>
      <c r="G69" s="493">
        <f t="shared" si="2"/>
        <v>0.5434587300699486</v>
      </c>
      <c r="H69" s="493">
        <f t="shared" si="2"/>
        <v>0.56765613073441124</v>
      </c>
      <c r="I69" s="493">
        <f t="shared" si="2"/>
        <v>0.58349984810475597</v>
      </c>
      <c r="J69" s="493">
        <f t="shared" si="2"/>
        <v>0.51057855818052478</v>
      </c>
      <c r="K69" s="493" t="s">
        <v>102</v>
      </c>
      <c r="L69" s="493" t="s">
        <v>102</v>
      </c>
      <c r="M69" s="494">
        <f t="shared" ref="M69:P69" si="4">M10/M$8</f>
        <v>0.52417150269169022</v>
      </c>
      <c r="N69" s="494">
        <f t="shared" si="4"/>
        <v>0.56082283326029625</v>
      </c>
      <c r="O69" s="494">
        <f t="shared" si="4"/>
        <v>0.53415721840317998</v>
      </c>
      <c r="P69" s="493">
        <f t="shared" si="4"/>
        <v>0.5355583785600867</v>
      </c>
    </row>
    <row r="70" spans="1:16" s="465" customFormat="1" ht="15.75" customHeight="1" x14ac:dyDescent="0.2">
      <c r="A70" s="490" t="s">
        <v>163</v>
      </c>
      <c r="B70" s="491">
        <f t="shared" si="2"/>
        <v>1.7945521738089065E-2</v>
      </c>
      <c r="C70" s="491">
        <f t="shared" si="2"/>
        <v>2.1300615714463931E-2</v>
      </c>
      <c r="D70" s="491">
        <f t="shared" si="2"/>
        <v>1.9362314487350721E-2</v>
      </c>
      <c r="E70" s="491">
        <f t="shared" si="2"/>
        <v>1.8608101608098469E-2</v>
      </c>
      <c r="F70" s="491">
        <f t="shared" si="2"/>
        <v>1.9193122269702257E-2</v>
      </c>
      <c r="G70" s="491">
        <f t="shared" si="2"/>
        <v>1.6699055078310838E-2</v>
      </c>
      <c r="H70" s="491">
        <f t="shared" si="2"/>
        <v>1.6803736801501726E-2</v>
      </c>
      <c r="I70" s="491">
        <f t="shared" si="2"/>
        <v>1.1782479055067616E-2</v>
      </c>
      <c r="J70" s="491">
        <f t="shared" si="2"/>
        <v>3.4900554345807744E-2</v>
      </c>
      <c r="K70" s="491" t="s">
        <v>102</v>
      </c>
      <c r="L70" s="491" t="s">
        <v>102</v>
      </c>
      <c r="M70" s="484">
        <f t="shared" ref="M70:P70" si="5">M11/M$8</f>
        <v>1.7878263661787033E-2</v>
      </c>
      <c r="N70" s="484">
        <f t="shared" si="5"/>
        <v>1.8971722925294539E-2</v>
      </c>
      <c r="O70" s="484">
        <f t="shared" si="5"/>
        <v>1.8176178449766447E-2</v>
      </c>
      <c r="P70" s="491">
        <f t="shared" si="5"/>
        <v>2.0882900684887656E-2</v>
      </c>
    </row>
    <row r="71" spans="1:16" s="465" customFormat="1" ht="15.75" customHeight="1" x14ac:dyDescent="0.2">
      <c r="A71" s="492" t="s">
        <v>164</v>
      </c>
      <c r="B71" s="493">
        <f t="shared" si="2"/>
        <v>0.10744986013238772</v>
      </c>
      <c r="C71" s="493">
        <f t="shared" si="2"/>
        <v>0.15663183049322899</v>
      </c>
      <c r="D71" s="493">
        <f t="shared" si="2"/>
        <v>0.12538203966204087</v>
      </c>
      <c r="E71" s="493">
        <f t="shared" si="2"/>
        <v>9.7012633883439295E-2</v>
      </c>
      <c r="F71" s="493">
        <f t="shared" si="2"/>
        <v>8.9179345957032863E-2</v>
      </c>
      <c r="G71" s="493">
        <f t="shared" si="2"/>
        <v>8.4932160059394232E-2</v>
      </c>
      <c r="H71" s="493">
        <f t="shared" si="2"/>
        <v>9.968136997690033E-2</v>
      </c>
      <c r="I71" s="493">
        <f t="shared" si="2"/>
        <v>0.10986082558863247</v>
      </c>
      <c r="J71" s="493">
        <f t="shared" si="2"/>
        <v>0.12046966062154049</v>
      </c>
      <c r="K71" s="493" t="s">
        <v>102</v>
      </c>
      <c r="L71" s="493" t="s">
        <v>102</v>
      </c>
      <c r="M71" s="494">
        <f t="shared" ref="M71:P71" si="6">M12/M$8</f>
        <v>9.4857512777184003E-2</v>
      </c>
      <c r="N71" s="494">
        <f t="shared" si="6"/>
        <v>0.11315995413935133</v>
      </c>
      <c r="O71" s="494">
        <f t="shared" si="6"/>
        <v>9.9844043237555025E-2</v>
      </c>
      <c r="P71" s="493">
        <f t="shared" si="6"/>
        <v>0.13986696626146974</v>
      </c>
    </row>
    <row r="72" spans="1:16" s="465" customFormat="1" ht="15.75" customHeight="1" x14ac:dyDescent="0.2">
      <c r="A72" s="495" t="s">
        <v>165</v>
      </c>
      <c r="B72" s="496">
        <f t="shared" si="2"/>
        <v>0.23993920662479326</v>
      </c>
      <c r="C72" s="496">
        <f t="shared" si="2"/>
        <v>0.1635354538042981</v>
      </c>
      <c r="D72" s="496">
        <f t="shared" si="2"/>
        <v>0.10703581610297251</v>
      </c>
      <c r="E72" s="496">
        <f t="shared" si="2"/>
        <v>7.6225566715191748E-2</v>
      </c>
      <c r="F72" s="496">
        <f t="shared" si="2"/>
        <v>5.116853090811789E-2</v>
      </c>
      <c r="G72" s="496">
        <f t="shared" si="2"/>
        <v>4.7323348545348969E-2</v>
      </c>
      <c r="H72" s="496">
        <f t="shared" si="2"/>
        <v>3.0504638385516331E-2</v>
      </c>
      <c r="I72" s="496">
        <f t="shared" si="2"/>
        <v>3.3265289215677979E-2</v>
      </c>
      <c r="J72" s="496">
        <f t="shared" si="2"/>
        <v>4.2745912646168935E-2</v>
      </c>
      <c r="K72" s="496" t="s">
        <v>102</v>
      </c>
      <c r="L72" s="496" t="s">
        <v>102</v>
      </c>
      <c r="M72" s="497">
        <f t="shared" ref="M72:P72" si="7">M13/M$8</f>
        <v>5.1670264358355471E-2</v>
      </c>
      <c r="N72" s="497">
        <f t="shared" si="7"/>
        <v>3.6213567262680053E-2</v>
      </c>
      <c r="O72" s="497">
        <f t="shared" si="7"/>
        <v>4.7459061637378369E-2</v>
      </c>
      <c r="P72" s="496">
        <f t="shared" si="7"/>
        <v>3.9885529251422552E-2</v>
      </c>
    </row>
    <row r="73" spans="1:16" s="465" customFormat="1" ht="15.75" customHeight="1" x14ac:dyDescent="0.25">
      <c r="A73" s="498" t="s">
        <v>287</v>
      </c>
      <c r="B73" s="499">
        <f>B14/B$14</f>
        <v>1</v>
      </c>
      <c r="C73" s="499">
        <f t="shared" ref="C73:J73" si="8">C14/C$14</f>
        <v>1</v>
      </c>
      <c r="D73" s="499">
        <f t="shared" si="8"/>
        <v>1</v>
      </c>
      <c r="E73" s="499">
        <f t="shared" si="8"/>
        <v>1</v>
      </c>
      <c r="F73" s="499">
        <f t="shared" si="8"/>
        <v>1</v>
      </c>
      <c r="G73" s="499">
        <f t="shared" si="8"/>
        <v>1</v>
      </c>
      <c r="H73" s="499">
        <f t="shared" si="8"/>
        <v>1</v>
      </c>
      <c r="I73" s="499">
        <f t="shared" si="8"/>
        <v>1</v>
      </c>
      <c r="J73" s="499">
        <f t="shared" si="8"/>
        <v>1</v>
      </c>
      <c r="K73" s="499" t="s">
        <v>102</v>
      </c>
      <c r="L73" s="499" t="s">
        <v>102</v>
      </c>
      <c r="M73" s="500">
        <f t="shared" ref="M73:P73" si="9">M14/M$14</f>
        <v>1</v>
      </c>
      <c r="N73" s="500">
        <f t="shared" si="9"/>
        <v>1</v>
      </c>
      <c r="O73" s="500">
        <f t="shared" si="9"/>
        <v>1</v>
      </c>
      <c r="P73" s="499">
        <f t="shared" si="9"/>
        <v>1</v>
      </c>
    </row>
    <row r="74" spans="1:16" s="465" customFormat="1" ht="15.75" customHeight="1" x14ac:dyDescent="0.2">
      <c r="A74" s="490" t="s">
        <v>79</v>
      </c>
      <c r="B74" s="491">
        <f t="shared" ref="B74:J84" si="10">B15/B$14</f>
        <v>0.43322063652540677</v>
      </c>
      <c r="C74" s="491">
        <f t="shared" si="10"/>
        <v>0.44933505224749876</v>
      </c>
      <c r="D74" s="491">
        <f t="shared" si="10"/>
        <v>0.54264525645449468</v>
      </c>
      <c r="E74" s="491">
        <f t="shared" si="10"/>
        <v>0.56481669869894635</v>
      </c>
      <c r="F74" s="491">
        <f t="shared" si="10"/>
        <v>0.63677606132831366</v>
      </c>
      <c r="G74" s="491">
        <f t="shared" si="10"/>
        <v>0.6708610852577408</v>
      </c>
      <c r="H74" s="491">
        <f t="shared" si="10"/>
        <v>0.71334270735510985</v>
      </c>
      <c r="I74" s="491">
        <f t="shared" si="10"/>
        <v>0.70501258362638719</v>
      </c>
      <c r="J74" s="491">
        <f t="shared" si="10"/>
        <v>0.66649225699766523</v>
      </c>
      <c r="K74" s="491" t="s">
        <v>102</v>
      </c>
      <c r="L74" s="491" t="s">
        <v>102</v>
      </c>
      <c r="M74" s="484">
        <f t="shared" ref="M74:P74" si="11">M15/M$14</f>
        <v>0.64649014005904826</v>
      </c>
      <c r="N74" s="484">
        <f t="shared" si="11"/>
        <v>0.69281318377325662</v>
      </c>
      <c r="O74" s="484">
        <f t="shared" si="11"/>
        <v>0.65874140677942083</v>
      </c>
      <c r="P74" s="491">
        <f t="shared" si="11"/>
        <v>0.66412250656217753</v>
      </c>
    </row>
    <row r="75" spans="1:16" s="465" customFormat="1" ht="15.75" customHeight="1" x14ac:dyDescent="0.2">
      <c r="A75" s="492" t="s">
        <v>167</v>
      </c>
      <c r="B75" s="493">
        <f t="shared" si="10"/>
        <v>0.35717784247920115</v>
      </c>
      <c r="C75" s="493">
        <f t="shared" si="10"/>
        <v>0.3739483128936843</v>
      </c>
      <c r="D75" s="493">
        <f t="shared" si="10"/>
        <v>0.4489974763429595</v>
      </c>
      <c r="E75" s="493">
        <f t="shared" si="10"/>
        <v>0.48282023228875431</v>
      </c>
      <c r="F75" s="493">
        <f t="shared" si="10"/>
        <v>0.5619460076441134</v>
      </c>
      <c r="G75" s="493">
        <f t="shared" si="10"/>
        <v>0.56543483243263981</v>
      </c>
      <c r="H75" s="493">
        <f t="shared" si="10"/>
        <v>0.63095557967776583</v>
      </c>
      <c r="I75" s="493">
        <f t="shared" si="10"/>
        <v>0.6140684059744238</v>
      </c>
      <c r="J75" s="493">
        <f t="shared" si="10"/>
        <v>0.5907399923593053</v>
      </c>
      <c r="K75" s="493" t="s">
        <v>102</v>
      </c>
      <c r="L75" s="493" t="s">
        <v>102</v>
      </c>
      <c r="M75" s="494">
        <f t="shared" ref="M75:P75" si="12">M16/M$14</f>
        <v>0.56171005438057398</v>
      </c>
      <c r="N75" s="494">
        <f t="shared" si="12"/>
        <v>0.60668028986701894</v>
      </c>
      <c r="O75" s="494">
        <f t="shared" si="12"/>
        <v>0.5736035377372084</v>
      </c>
      <c r="P75" s="493">
        <f t="shared" si="12"/>
        <v>0.573746033592481</v>
      </c>
    </row>
    <row r="76" spans="1:16" s="465" customFormat="1" ht="15.75" customHeight="1" x14ac:dyDescent="0.2">
      <c r="A76" s="490" t="s">
        <v>322</v>
      </c>
      <c r="B76" s="491">
        <f t="shared" si="10"/>
        <v>1.0791556453521508E-4</v>
      </c>
      <c r="C76" s="491">
        <f t="shared" si="10"/>
        <v>4.1690044295853802E-2</v>
      </c>
      <c r="D76" s="491">
        <f t="shared" si="10"/>
        <v>7.9384792621069428E-2</v>
      </c>
      <c r="E76" s="491">
        <f t="shared" si="10"/>
        <v>7.2817376060798203E-2</v>
      </c>
      <c r="F76" s="491">
        <f t="shared" si="10"/>
        <v>0.10786851611820626</v>
      </c>
      <c r="G76" s="491">
        <f t="shared" si="10"/>
        <v>0.11418349034389674</v>
      </c>
      <c r="H76" s="491">
        <f t="shared" si="10"/>
        <v>0.10517866130386191</v>
      </c>
      <c r="I76" s="491">
        <f t="shared" si="10"/>
        <v>0.17344483500298433</v>
      </c>
      <c r="J76" s="491">
        <f t="shared" si="10"/>
        <v>7.0107543283843207E-2</v>
      </c>
      <c r="K76" s="491" t="s">
        <v>102</v>
      </c>
      <c r="L76" s="491" t="s">
        <v>102</v>
      </c>
      <c r="M76" s="484">
        <f t="shared" ref="M76:P76" si="13">M17/M$14</f>
        <v>9.8908184098439073E-2</v>
      </c>
      <c r="N76" s="484">
        <f t="shared" si="13"/>
        <v>0.14071788142554612</v>
      </c>
      <c r="O76" s="484">
        <f t="shared" si="13"/>
        <v>0.1099657855082206</v>
      </c>
      <c r="P76" s="491">
        <f t="shared" si="13"/>
        <v>0.11546278665939358</v>
      </c>
    </row>
    <row r="77" spans="1:16" s="465" customFormat="1" ht="15.75" customHeight="1" x14ac:dyDescent="0.2">
      <c r="A77" s="492" t="s">
        <v>168</v>
      </c>
      <c r="B77" s="493">
        <f t="shared" si="10"/>
        <v>7.6042794046205661E-2</v>
      </c>
      <c r="C77" s="493">
        <f t="shared" si="10"/>
        <v>7.5386739353814444E-2</v>
      </c>
      <c r="D77" s="493">
        <f t="shared" si="10"/>
        <v>9.3647780111535156E-2</v>
      </c>
      <c r="E77" s="493">
        <f t="shared" si="10"/>
        <v>8.1996466411216773E-2</v>
      </c>
      <c r="F77" s="493">
        <f t="shared" si="10"/>
        <v>7.4830053684200287E-2</v>
      </c>
      <c r="G77" s="493">
        <f t="shared" si="10"/>
        <v>0.10542625282510101</v>
      </c>
      <c r="H77" s="493">
        <f t="shared" si="10"/>
        <v>8.2387127677344088E-2</v>
      </c>
      <c r="I77" s="493">
        <f t="shared" si="10"/>
        <v>9.0944177651963345E-2</v>
      </c>
      <c r="J77" s="493">
        <f t="shared" si="10"/>
        <v>7.5752264638359865E-2</v>
      </c>
      <c r="K77" s="493" t="s">
        <v>102</v>
      </c>
      <c r="L77" s="493" t="s">
        <v>102</v>
      </c>
      <c r="M77" s="494">
        <f t="shared" ref="M77:P77" si="14">M18/M$14</f>
        <v>8.4780085678474365E-2</v>
      </c>
      <c r="N77" s="494">
        <f t="shared" si="14"/>
        <v>8.6132893906898073E-2</v>
      </c>
      <c r="O77" s="494">
        <f t="shared" si="14"/>
        <v>8.5137869043008907E-2</v>
      </c>
      <c r="P77" s="493">
        <f t="shared" si="14"/>
        <v>9.0376472970448749E-2</v>
      </c>
    </row>
    <row r="78" spans="1:16" s="465" customFormat="1" ht="15.75" customHeight="1" x14ac:dyDescent="0.2">
      <c r="A78" s="490" t="s">
        <v>169</v>
      </c>
      <c r="B78" s="491">
        <f t="shared" si="10"/>
        <v>0.36128645629143846</v>
      </c>
      <c r="C78" s="491">
        <f t="shared" si="10"/>
        <v>0.28923552006728082</v>
      </c>
      <c r="D78" s="491">
        <f t="shared" si="10"/>
        <v>0.21961660816004808</v>
      </c>
      <c r="E78" s="491">
        <f t="shared" si="10"/>
        <v>0.2194171185289969</v>
      </c>
      <c r="F78" s="491">
        <f t="shared" si="10"/>
        <v>0.19235494504733056</v>
      </c>
      <c r="G78" s="491">
        <f t="shared" si="10"/>
        <v>0.14570151279775956</v>
      </c>
      <c r="H78" s="491">
        <f t="shared" si="10"/>
        <v>0.13339028258701788</v>
      </c>
      <c r="I78" s="491">
        <f t="shared" si="10"/>
        <v>0.10399522524361945</v>
      </c>
      <c r="J78" s="491">
        <f t="shared" si="10"/>
        <v>0.17336767939074096</v>
      </c>
      <c r="K78" s="491" t="s">
        <v>102</v>
      </c>
      <c r="L78" s="491" t="s">
        <v>102</v>
      </c>
      <c r="M78" s="484">
        <f t="shared" ref="M78:P78" si="15">M19/M$14</f>
        <v>0.17326264460705865</v>
      </c>
      <c r="N78" s="484">
        <f t="shared" si="15"/>
        <v>0.12596550382004762</v>
      </c>
      <c r="O78" s="484">
        <f t="shared" si="15"/>
        <v>0.16075375398873734</v>
      </c>
      <c r="P78" s="491">
        <f t="shared" si="15"/>
        <v>0.1660663506207429</v>
      </c>
    </row>
    <row r="79" spans="1:16" s="465" customFormat="1" ht="15.75" customHeight="1" x14ac:dyDescent="0.2">
      <c r="A79" s="492" t="s">
        <v>170</v>
      </c>
      <c r="B79" s="493">
        <f t="shared" si="10"/>
        <v>0.23095709397065606</v>
      </c>
      <c r="C79" s="493">
        <f t="shared" si="10"/>
        <v>0.21035133996085109</v>
      </c>
      <c r="D79" s="493">
        <f t="shared" si="10"/>
        <v>0.16745119907446296</v>
      </c>
      <c r="E79" s="493">
        <f t="shared" si="10"/>
        <v>0.18239282746416013</v>
      </c>
      <c r="F79" s="493">
        <f t="shared" si="10"/>
        <v>0.13871231606321299</v>
      </c>
      <c r="G79" s="493">
        <f t="shared" si="10"/>
        <v>9.482070258803646E-2</v>
      </c>
      <c r="H79" s="493">
        <f t="shared" si="10"/>
        <v>0.10584302619874138</v>
      </c>
      <c r="I79" s="493">
        <f t="shared" si="10"/>
        <v>7.772642630049649E-2</v>
      </c>
      <c r="J79" s="493">
        <f t="shared" si="10"/>
        <v>0.14673887196211555</v>
      </c>
      <c r="K79" s="493" t="s">
        <v>102</v>
      </c>
      <c r="L79" s="493" t="s">
        <v>102</v>
      </c>
      <c r="M79" s="494">
        <f t="shared" ref="M79:P79" si="16">M20/M$14</f>
        <v>0.1319518292998787</v>
      </c>
      <c r="N79" s="494">
        <f t="shared" si="16"/>
        <v>9.9582690073487329E-2</v>
      </c>
      <c r="O79" s="494">
        <f t="shared" si="16"/>
        <v>0.12339101536411928</v>
      </c>
      <c r="P79" s="493">
        <f t="shared" si="16"/>
        <v>0.12698561267972358</v>
      </c>
    </row>
    <row r="80" spans="1:16" s="465" customFormat="1" ht="15.75" customHeight="1" x14ac:dyDescent="0.2">
      <c r="A80" s="490" t="s">
        <v>171</v>
      </c>
      <c r="B80" s="491">
        <f t="shared" si="10"/>
        <v>6.44537361215234E-2</v>
      </c>
      <c r="C80" s="491">
        <f t="shared" si="10"/>
        <v>3.6987910901370914E-2</v>
      </c>
      <c r="D80" s="491">
        <f t="shared" si="10"/>
        <v>1.5364119525376975E-2</v>
      </c>
      <c r="E80" s="491">
        <f t="shared" si="10"/>
        <v>4.1165083667366893E-3</v>
      </c>
      <c r="F80" s="491">
        <f t="shared" si="10"/>
        <v>2.4924600804603308E-3</v>
      </c>
      <c r="G80" s="491">
        <f t="shared" si="10"/>
        <v>2.2201175245159677E-3</v>
      </c>
      <c r="H80" s="491">
        <f t="shared" si="10"/>
        <v>2.2732491231901831E-3</v>
      </c>
      <c r="I80" s="491">
        <f t="shared" si="10"/>
        <v>1.3388490089257929E-3</v>
      </c>
      <c r="J80" s="491">
        <f t="shared" si="10"/>
        <v>6.7201967531699842E-3</v>
      </c>
      <c r="K80" s="491" t="s">
        <v>102</v>
      </c>
      <c r="L80" s="491" t="s">
        <v>102</v>
      </c>
      <c r="M80" s="484">
        <f t="shared" ref="M80:P80" si="17">M21/M$14</f>
        <v>3.2977527300158561E-3</v>
      </c>
      <c r="N80" s="484">
        <f t="shared" si="17"/>
        <v>3.0431235726588071E-3</v>
      </c>
      <c r="O80" s="484">
        <f t="shared" si="17"/>
        <v>3.2304097952033164E-3</v>
      </c>
      <c r="P80" s="491">
        <f t="shared" si="17"/>
        <v>4.5020344317733803E-3</v>
      </c>
    </row>
    <row r="81" spans="1:16" s="465" customFormat="1" ht="15.75" customHeight="1" x14ac:dyDescent="0.2">
      <c r="A81" s="693" t="s">
        <v>607</v>
      </c>
      <c r="B81" s="493">
        <f t="shared" si="10"/>
        <v>6.5875626200143339E-2</v>
      </c>
      <c r="C81" s="493">
        <f t="shared" si="10"/>
        <v>4.1896269205058824E-2</v>
      </c>
      <c r="D81" s="493">
        <f t="shared" si="10"/>
        <v>3.6801289560208131E-2</v>
      </c>
      <c r="E81" s="493">
        <f t="shared" si="10"/>
        <v>3.290778269707538E-2</v>
      </c>
      <c r="F81" s="493">
        <f t="shared" si="10"/>
        <v>5.1150168903657221E-2</v>
      </c>
      <c r="G81" s="493">
        <f t="shared" si="10"/>
        <v>4.8660692685207133E-2</v>
      </c>
      <c r="H81" s="493">
        <f t="shared" si="10"/>
        <v>2.5274007265086322E-2</v>
      </c>
      <c r="I81" s="493">
        <f t="shared" si="10"/>
        <v>2.492994993486692E-2</v>
      </c>
      <c r="J81" s="493">
        <f t="shared" si="10"/>
        <v>1.9908610675455438E-2</v>
      </c>
      <c r="K81" s="493" t="s">
        <v>102</v>
      </c>
      <c r="L81" s="493" t="s">
        <v>102</v>
      </c>
      <c r="M81" s="494">
        <f t="shared" ref="M81:P81" si="18">M22/M$14</f>
        <v>3.8013062576318646E-2</v>
      </c>
      <c r="N81" s="494">
        <f t="shared" si="18"/>
        <v>2.3339690173901473E-2</v>
      </c>
      <c r="O81" s="494">
        <f t="shared" si="18"/>
        <v>3.4132328829414742E-2</v>
      </c>
      <c r="P81" s="493">
        <f t="shared" si="18"/>
        <v>3.4578703508493749E-2</v>
      </c>
    </row>
    <row r="82" spans="1:16" s="465" customFormat="1" ht="15.75" customHeight="1" x14ac:dyDescent="0.2">
      <c r="A82" s="490" t="s">
        <v>172</v>
      </c>
      <c r="B82" s="493">
        <f t="shared" si="10"/>
        <v>2.0108887187485673E-3</v>
      </c>
      <c r="C82" s="491">
        <f t="shared" si="10"/>
        <v>2.1687564319046559E-2</v>
      </c>
      <c r="D82" s="491">
        <f t="shared" si="10"/>
        <v>1.507417243371883E-2</v>
      </c>
      <c r="E82" s="491">
        <f t="shared" si="10"/>
        <v>2.5246838612965887E-2</v>
      </c>
      <c r="F82" s="491">
        <f t="shared" si="10"/>
        <v>3.9669321123098747E-2</v>
      </c>
      <c r="G82" s="491">
        <f t="shared" si="10"/>
        <v>3.4322218966836196E-2</v>
      </c>
      <c r="H82" s="491">
        <f t="shared" si="10"/>
        <v>3.4167473459750922E-2</v>
      </c>
      <c r="I82" s="491">
        <f t="shared" si="10"/>
        <v>5.0390375051683159E-2</v>
      </c>
      <c r="J82" s="491">
        <f t="shared" si="10"/>
        <v>1.3244502427269739E-2</v>
      </c>
      <c r="K82" s="491" t="s">
        <v>102</v>
      </c>
      <c r="L82" s="491" t="s">
        <v>102</v>
      </c>
      <c r="M82" s="484">
        <f t="shared" ref="M82:P82" si="19">M23/M$14</f>
        <v>3.2902058055820409E-2</v>
      </c>
      <c r="N82" s="484">
        <f t="shared" si="19"/>
        <v>3.8626265224807443E-2</v>
      </c>
      <c r="O82" s="484">
        <f t="shared" si="19"/>
        <v>3.4415965243009404E-2</v>
      </c>
      <c r="P82" s="491">
        <f t="shared" si="19"/>
        <v>4.2669357092669342E-2</v>
      </c>
    </row>
    <row r="83" spans="1:16" s="465" customFormat="1" ht="15.75" customHeight="1" x14ac:dyDescent="0.2">
      <c r="A83" s="492" t="s">
        <v>173</v>
      </c>
      <c r="B83" s="493">
        <f t="shared" si="10"/>
        <v>5.6142393212769592E-2</v>
      </c>
      <c r="C83" s="493">
        <f t="shared" si="10"/>
        <v>8.1909290414706015E-2</v>
      </c>
      <c r="D83" s="493">
        <f t="shared" si="10"/>
        <v>0.11933853282642046</v>
      </c>
      <c r="E83" s="493">
        <f t="shared" si="10"/>
        <v>0.10789607039970447</v>
      </c>
      <c r="F83" s="493">
        <f t="shared" si="10"/>
        <v>7.9854294024195041E-2</v>
      </c>
      <c r="G83" s="493">
        <f t="shared" si="10"/>
        <v>7.919211787612207E-2</v>
      </c>
      <c r="H83" s="493">
        <f t="shared" si="10"/>
        <v>7.7231915199525172E-2</v>
      </c>
      <c r="I83" s="493">
        <f t="shared" si="10"/>
        <v>0.10022981502239464</v>
      </c>
      <c r="J83" s="493">
        <f t="shared" si="10"/>
        <v>8.0673981534778533E-2</v>
      </c>
      <c r="K83" s="493" t="s">
        <v>102</v>
      </c>
      <c r="L83" s="493" t="s">
        <v>102</v>
      </c>
      <c r="M83" s="494">
        <f t="shared" ref="M83:P83" si="20">M24/M$14</f>
        <v>8.6466038509444329E-2</v>
      </c>
      <c r="N83" s="494">
        <f t="shared" si="20"/>
        <v>9.4036476256557977E-2</v>
      </c>
      <c r="O83" s="494">
        <f t="shared" si="20"/>
        <v>8.8468226720234355E-2</v>
      </c>
      <c r="P83" s="493">
        <f t="shared" si="20"/>
        <v>8.1465168373126964E-2</v>
      </c>
    </row>
    <row r="84" spans="1:16" s="465" customFormat="1" ht="15.75" customHeight="1" x14ac:dyDescent="0.2">
      <c r="A84" s="495" t="s">
        <v>174</v>
      </c>
      <c r="B84" s="496">
        <f t="shared" si="10"/>
        <v>0.14733962525163666</v>
      </c>
      <c r="C84" s="496">
        <f t="shared" si="10"/>
        <v>0.15783257295039174</v>
      </c>
      <c r="D84" s="496">
        <f t="shared" si="10"/>
        <v>0.10332543012531797</v>
      </c>
      <c r="E84" s="496">
        <f t="shared" si="10"/>
        <v>8.2623273758361732E-2</v>
      </c>
      <c r="F84" s="496">
        <f t="shared" si="10"/>
        <v>5.1345378477062047E-2</v>
      </c>
      <c r="G84" s="496">
        <f t="shared" si="10"/>
        <v>6.9923065101541435E-2</v>
      </c>
      <c r="H84" s="496">
        <f t="shared" si="10"/>
        <v>4.1867621398596164E-2</v>
      </c>
      <c r="I84" s="496">
        <f t="shared" si="10"/>
        <v>4.0372001056585442E-2</v>
      </c>
      <c r="J84" s="496">
        <f t="shared" si="10"/>
        <v>6.6221579649545503E-2</v>
      </c>
      <c r="K84" s="496" t="s">
        <v>102</v>
      </c>
      <c r="L84" s="496" t="s">
        <v>102</v>
      </c>
      <c r="M84" s="497">
        <f t="shared" ref="M84:P84" si="21">M25/M$14</f>
        <v>6.0879118769473752E-2</v>
      </c>
      <c r="N84" s="497">
        <f t="shared" si="21"/>
        <v>4.8558570924009704E-2</v>
      </c>
      <c r="O84" s="497">
        <f t="shared" si="21"/>
        <v>5.7620647267801563E-2</v>
      </c>
      <c r="P84" s="496">
        <f t="shared" si="21"/>
        <v>4.5676617350531065E-2</v>
      </c>
    </row>
    <row r="85" spans="1:16" s="465" customFormat="1" ht="15.75" customHeight="1" x14ac:dyDescent="0.25">
      <c r="A85" s="501" t="s">
        <v>201</v>
      </c>
      <c r="B85" s="502"/>
      <c r="C85" s="502"/>
      <c r="D85" s="502"/>
      <c r="E85" s="502"/>
      <c r="F85" s="502"/>
      <c r="G85" s="502"/>
      <c r="H85" s="502"/>
      <c r="I85" s="502"/>
      <c r="J85" s="502"/>
      <c r="K85" s="502"/>
      <c r="L85" s="502"/>
      <c r="M85" s="503"/>
      <c r="N85" s="503"/>
      <c r="O85" s="503"/>
      <c r="P85" s="557"/>
    </row>
    <row r="86" spans="1:16" s="465" customFormat="1" ht="15.75" customHeight="1" x14ac:dyDescent="0.25">
      <c r="A86" s="498" t="s">
        <v>288</v>
      </c>
      <c r="B86" s="499">
        <f>B28/B$28</f>
        <v>1</v>
      </c>
      <c r="C86" s="499">
        <f t="shared" ref="C86:J86" si="22">C28/C$28</f>
        <v>1</v>
      </c>
      <c r="D86" s="499">
        <f t="shared" si="22"/>
        <v>1</v>
      </c>
      <c r="E86" s="499">
        <f t="shared" si="22"/>
        <v>1</v>
      </c>
      <c r="F86" s="499">
        <f t="shared" si="22"/>
        <v>1</v>
      </c>
      <c r="G86" s="499">
        <f t="shared" si="22"/>
        <v>1</v>
      </c>
      <c r="H86" s="499">
        <f t="shared" si="22"/>
        <v>1</v>
      </c>
      <c r="I86" s="499">
        <f t="shared" si="22"/>
        <v>1</v>
      </c>
      <c r="J86" s="499">
        <f t="shared" si="22"/>
        <v>1</v>
      </c>
      <c r="K86" s="499" t="s">
        <v>102</v>
      </c>
      <c r="L86" s="499" t="s">
        <v>102</v>
      </c>
      <c r="M86" s="500">
        <f t="shared" ref="M86:P86" si="23">M28/M$28</f>
        <v>1</v>
      </c>
      <c r="N86" s="500">
        <f t="shared" si="23"/>
        <v>1</v>
      </c>
      <c r="O86" s="500">
        <f t="shared" si="23"/>
        <v>1</v>
      </c>
      <c r="P86" s="499">
        <f t="shared" si="23"/>
        <v>1</v>
      </c>
    </row>
    <row r="87" spans="1:16" s="465" customFormat="1" ht="15.75" customHeight="1" x14ac:dyDescent="0.2">
      <c r="A87" s="490" t="s">
        <v>178</v>
      </c>
      <c r="B87" s="491">
        <f t="shared" ref="B87:J89" si="24">B29/B$28</f>
        <v>0.92459114789365404</v>
      </c>
      <c r="C87" s="491">
        <f t="shared" si="24"/>
        <v>0.72156710520273137</v>
      </c>
      <c r="D87" s="491">
        <f t="shared" si="24"/>
        <v>0.94474077951365421</v>
      </c>
      <c r="E87" s="491">
        <f t="shared" si="24"/>
        <v>0.92597287153257968</v>
      </c>
      <c r="F87" s="491">
        <f t="shared" si="24"/>
        <v>0.94273819851831386</v>
      </c>
      <c r="G87" s="491">
        <f t="shared" si="24"/>
        <v>0.92596663290092462</v>
      </c>
      <c r="H87" s="491">
        <f t="shared" si="24"/>
        <v>0.93641150404289286</v>
      </c>
      <c r="I87" s="491">
        <f t="shared" si="24"/>
        <v>0.88553085878821736</v>
      </c>
      <c r="J87" s="491">
        <f t="shared" si="24"/>
        <v>0.94105361214639605</v>
      </c>
      <c r="K87" s="491" t="s">
        <v>102</v>
      </c>
      <c r="L87" s="491" t="s">
        <v>102</v>
      </c>
      <c r="M87" s="484">
        <f t="shared" ref="M87:P87" si="25">M29/M$28</f>
        <v>0.9334118461238563</v>
      </c>
      <c r="N87" s="484">
        <f t="shared" si="25"/>
        <v>0.90605702840737656</v>
      </c>
      <c r="O87" s="484">
        <f t="shared" si="25"/>
        <v>0.92669197064816844</v>
      </c>
      <c r="P87" s="491">
        <f t="shared" si="25"/>
        <v>0.90955037256820892</v>
      </c>
    </row>
    <row r="88" spans="1:16" s="465" customFormat="1" ht="15.75" customHeight="1" x14ac:dyDescent="0.2">
      <c r="A88" s="492" t="s">
        <v>179</v>
      </c>
      <c r="B88" s="493" t="s">
        <v>102</v>
      </c>
      <c r="C88" s="493">
        <f t="shared" si="24"/>
        <v>9.4850218660214647E-2</v>
      </c>
      <c r="D88" s="493">
        <f t="shared" si="24"/>
        <v>1.5005856748758111E-2</v>
      </c>
      <c r="E88" s="493">
        <f t="shared" si="24"/>
        <v>3.0147674808486263E-2</v>
      </c>
      <c r="F88" s="493">
        <f t="shared" si="24"/>
        <v>1.8682588749180475E-2</v>
      </c>
      <c r="G88" s="493">
        <f t="shared" si="24"/>
        <v>2.8027766008872954E-2</v>
      </c>
      <c r="H88" s="493">
        <f t="shared" si="24"/>
        <v>2.4204619657872437E-2</v>
      </c>
      <c r="I88" s="493">
        <f t="shared" si="24"/>
        <v>3.1426284214197603E-2</v>
      </c>
      <c r="J88" s="493">
        <f t="shared" si="24"/>
        <v>2.9530204980394676E-2</v>
      </c>
      <c r="K88" s="493" t="s">
        <v>102</v>
      </c>
      <c r="L88" s="493" t="s">
        <v>102</v>
      </c>
      <c r="M88" s="494">
        <f t="shared" ref="M88:P88" si="26">M30/M$28</f>
        <v>2.4765760303754034E-2</v>
      </c>
      <c r="N88" s="494">
        <f t="shared" si="26"/>
        <v>3.0725323946983192E-2</v>
      </c>
      <c r="O88" s="494">
        <f t="shared" si="26"/>
        <v>2.6229762951906169E-2</v>
      </c>
      <c r="P88" s="493">
        <f t="shared" si="26"/>
        <v>5.7863798875572275E-2</v>
      </c>
    </row>
    <row r="89" spans="1:16" s="465" customFormat="1" ht="15.75" customHeight="1" x14ac:dyDescent="0.2">
      <c r="A89" s="495" t="s">
        <v>180</v>
      </c>
      <c r="B89" s="496">
        <f t="shared" si="24"/>
        <v>0</v>
      </c>
      <c r="C89" s="496">
        <f t="shared" si="24"/>
        <v>0.18358267613705406</v>
      </c>
      <c r="D89" s="496">
        <f t="shared" si="24"/>
        <v>4.0253363737587811E-2</v>
      </c>
      <c r="E89" s="496">
        <f t="shared" si="24"/>
        <v>4.3879453658934121E-2</v>
      </c>
      <c r="F89" s="496">
        <f t="shared" si="24"/>
        <v>3.8579212732505558E-2</v>
      </c>
      <c r="G89" s="496">
        <f t="shared" si="24"/>
        <v>4.6005601090202367E-2</v>
      </c>
      <c r="H89" s="496">
        <f t="shared" si="24"/>
        <v>3.938387629923483E-2</v>
      </c>
      <c r="I89" s="496">
        <f t="shared" si="24"/>
        <v>8.3042856999661976E-2</v>
      </c>
      <c r="J89" s="496">
        <f t="shared" si="24"/>
        <v>2.941618287477752E-2</v>
      </c>
      <c r="K89" s="496" t="s">
        <v>102</v>
      </c>
      <c r="L89" s="496" t="s">
        <v>102</v>
      </c>
      <c r="M89" s="497">
        <f t="shared" ref="M89:P89" si="27">M31/M$28</f>
        <v>4.1822393572389732E-2</v>
      </c>
      <c r="N89" s="497">
        <f t="shared" si="27"/>
        <v>6.321764764564021E-2</v>
      </c>
      <c r="O89" s="497">
        <f t="shared" si="27"/>
        <v>4.707826639992535E-2</v>
      </c>
      <c r="P89" s="496">
        <f t="shared" si="27"/>
        <v>3.2585828556218853E-2</v>
      </c>
    </row>
    <row r="90" spans="1:16" s="465" customFormat="1" ht="15.75" customHeight="1" x14ac:dyDescent="0.25">
      <c r="A90" s="498" t="s">
        <v>289</v>
      </c>
      <c r="B90" s="499">
        <f>B32/B$32</f>
        <v>1</v>
      </c>
      <c r="C90" s="499">
        <f t="shared" ref="C90:J90" si="28">C32/C$32</f>
        <v>1</v>
      </c>
      <c r="D90" s="499">
        <f t="shared" si="28"/>
        <v>1</v>
      </c>
      <c r="E90" s="499">
        <f t="shared" si="28"/>
        <v>1</v>
      </c>
      <c r="F90" s="499">
        <f t="shared" si="28"/>
        <v>1</v>
      </c>
      <c r="G90" s="499">
        <f t="shared" si="28"/>
        <v>1</v>
      </c>
      <c r="H90" s="499">
        <f t="shared" si="28"/>
        <v>1</v>
      </c>
      <c r="I90" s="499">
        <f t="shared" si="28"/>
        <v>1</v>
      </c>
      <c r="J90" s="499">
        <f t="shared" si="28"/>
        <v>1</v>
      </c>
      <c r="K90" s="499" t="s">
        <v>102</v>
      </c>
      <c r="L90" s="499" t="s">
        <v>102</v>
      </c>
      <c r="M90" s="500">
        <f t="shared" ref="M90:P90" si="29">M32/M$32</f>
        <v>1</v>
      </c>
      <c r="N90" s="500">
        <f t="shared" si="29"/>
        <v>1</v>
      </c>
      <c r="O90" s="500">
        <f t="shared" si="29"/>
        <v>1</v>
      </c>
      <c r="P90" s="499">
        <f t="shared" si="29"/>
        <v>1</v>
      </c>
    </row>
    <row r="91" spans="1:16" s="465" customFormat="1" ht="15.75" customHeight="1" x14ac:dyDescent="0.2">
      <c r="A91" s="490" t="s">
        <v>182</v>
      </c>
      <c r="B91" s="491">
        <f t="shared" ref="B91:J93" si="30">B33/B$32</f>
        <v>0.33252900210224207</v>
      </c>
      <c r="C91" s="491">
        <f t="shared" si="30"/>
        <v>0.25816498056804471</v>
      </c>
      <c r="D91" s="491">
        <f t="shared" si="30"/>
        <v>0.221591897200105</v>
      </c>
      <c r="E91" s="491">
        <f t="shared" si="30"/>
        <v>0.18408390505680181</v>
      </c>
      <c r="F91" s="491">
        <f t="shared" si="30"/>
        <v>0.21856055323892329</v>
      </c>
      <c r="G91" s="491">
        <f t="shared" si="30"/>
        <v>0.24241942651670928</v>
      </c>
      <c r="H91" s="491">
        <f t="shared" si="30"/>
        <v>0.24955624004668978</v>
      </c>
      <c r="I91" s="491">
        <f t="shared" si="30"/>
        <v>0.16943129325872228</v>
      </c>
      <c r="J91" s="491">
        <f t="shared" si="30"/>
        <v>0.21135718179036092</v>
      </c>
      <c r="K91" s="491" t="s">
        <v>102</v>
      </c>
      <c r="L91" s="491" t="s">
        <v>102</v>
      </c>
      <c r="M91" s="484">
        <f t="shared" ref="M91:P91" si="31">M33/M$32</f>
        <v>0.22096110135905897</v>
      </c>
      <c r="N91" s="484">
        <f t="shared" si="31"/>
        <v>0.1851928616875807</v>
      </c>
      <c r="O91" s="484">
        <f t="shared" si="31"/>
        <v>0.21264487955602973</v>
      </c>
      <c r="P91" s="491">
        <f t="shared" si="31"/>
        <v>0.24609757606140661</v>
      </c>
    </row>
    <row r="92" spans="1:16" s="465" customFormat="1" ht="15.75" customHeight="1" x14ac:dyDescent="0.2">
      <c r="A92" s="492" t="s">
        <v>183</v>
      </c>
      <c r="B92" s="493">
        <f t="shared" si="30"/>
        <v>0.66747099790771547</v>
      </c>
      <c r="C92" s="493">
        <f t="shared" si="30"/>
        <v>0.43527174797762619</v>
      </c>
      <c r="D92" s="493">
        <f t="shared" si="30"/>
        <v>0.67716458512640076</v>
      </c>
      <c r="E92" s="493">
        <f t="shared" si="30"/>
        <v>0.59637098331211691</v>
      </c>
      <c r="F92" s="493">
        <f t="shared" si="30"/>
        <v>0.59713694751197299</v>
      </c>
      <c r="G92" s="493">
        <f t="shared" si="30"/>
        <v>0.54091919984751691</v>
      </c>
      <c r="H92" s="493">
        <f t="shared" si="30"/>
        <v>0.66452617745741827</v>
      </c>
      <c r="I92" s="493">
        <f t="shared" si="30"/>
        <v>0.43230451052799374</v>
      </c>
      <c r="J92" s="493">
        <f t="shared" si="30"/>
        <v>0.47753019771841931</v>
      </c>
      <c r="K92" s="493" t="s">
        <v>102</v>
      </c>
      <c r="L92" s="493" t="s">
        <v>102</v>
      </c>
      <c r="M92" s="494">
        <f t="shared" ref="M92:P92" si="32">M34/M$32</f>
        <v>0.61188394301799953</v>
      </c>
      <c r="N92" s="494">
        <f t="shared" si="32"/>
        <v>0.44930660132317285</v>
      </c>
      <c r="O92" s="494">
        <f t="shared" si="32"/>
        <v>0.57408422891395272</v>
      </c>
      <c r="P92" s="493">
        <f t="shared" si="32"/>
        <v>0.56153022175999079</v>
      </c>
    </row>
    <row r="93" spans="1:16" s="465" customFormat="1" ht="15.75" customHeight="1" x14ac:dyDescent="0.2">
      <c r="A93" s="490" t="s">
        <v>184</v>
      </c>
      <c r="B93" s="496">
        <f t="shared" si="30"/>
        <v>0</v>
      </c>
      <c r="C93" s="496">
        <f t="shared" si="30"/>
        <v>0.30656327145432921</v>
      </c>
      <c r="D93" s="496">
        <f t="shared" si="30"/>
        <v>0.1012435176734942</v>
      </c>
      <c r="E93" s="496">
        <f t="shared" si="30"/>
        <v>0.21954511163108131</v>
      </c>
      <c r="F93" s="496">
        <f t="shared" si="30"/>
        <v>0.18430249924910366</v>
      </c>
      <c r="G93" s="496">
        <f t="shared" si="30"/>
        <v>0.21666137364111471</v>
      </c>
      <c r="H93" s="496">
        <f t="shared" si="30"/>
        <v>8.5917582500017964E-2</v>
      </c>
      <c r="I93" s="496">
        <f t="shared" si="30"/>
        <v>0.39826419621764542</v>
      </c>
      <c r="J93" s="496">
        <f t="shared" si="30"/>
        <v>0.31111262049121979</v>
      </c>
      <c r="K93" s="496" t="s">
        <v>102</v>
      </c>
      <c r="L93" s="496" t="s">
        <v>102</v>
      </c>
      <c r="M93" s="497">
        <f t="shared" ref="M93:P93" si="33">M35/M$32</f>
        <v>0.16715495562294155</v>
      </c>
      <c r="N93" s="497">
        <f t="shared" si="33"/>
        <v>0.36550053698924651</v>
      </c>
      <c r="O93" s="497">
        <f t="shared" si="33"/>
        <v>0.21327089153001758</v>
      </c>
      <c r="P93" s="496">
        <f t="shared" si="33"/>
        <v>0.19237220217860257</v>
      </c>
    </row>
    <row r="94" spans="1:16" s="465" customFormat="1" ht="15.75" customHeight="1" x14ac:dyDescent="0.25">
      <c r="A94" s="544" t="s">
        <v>226</v>
      </c>
      <c r="B94" s="558"/>
      <c r="C94" s="558"/>
      <c r="D94" s="558"/>
      <c r="E94" s="558"/>
      <c r="F94" s="558"/>
      <c r="G94" s="558"/>
      <c r="H94" s="558"/>
      <c r="I94" s="558"/>
      <c r="J94" s="558"/>
      <c r="K94" s="558"/>
      <c r="L94" s="558"/>
      <c r="M94" s="559"/>
      <c r="N94" s="559"/>
      <c r="O94" s="559"/>
      <c r="P94" s="471"/>
    </row>
    <row r="95" spans="1:16" s="465" customFormat="1" ht="15.75" customHeight="1" x14ac:dyDescent="0.25">
      <c r="A95" s="550" t="s">
        <v>787</v>
      </c>
      <c r="B95" s="560">
        <v>0.25725036800000001</v>
      </c>
      <c r="C95" s="560">
        <v>0.225549422</v>
      </c>
      <c r="D95" s="560">
        <v>0.20445654699999999</v>
      </c>
      <c r="E95" s="560">
        <v>0.197327907</v>
      </c>
      <c r="F95" s="560">
        <v>0.18252125899999999</v>
      </c>
      <c r="G95" s="560">
        <v>0.20752322400000001</v>
      </c>
      <c r="H95" s="560">
        <v>0.16203758100000001</v>
      </c>
      <c r="I95" s="560">
        <v>0.14393666599999999</v>
      </c>
      <c r="J95" s="560">
        <v>0.16638042</v>
      </c>
      <c r="K95" s="560" t="s">
        <v>102</v>
      </c>
      <c r="L95" s="560" t="s">
        <v>102</v>
      </c>
      <c r="M95" s="561">
        <v>0.18483882900000001</v>
      </c>
      <c r="N95" s="561">
        <v>0.15104461</v>
      </c>
      <c r="O95" s="561">
        <v>0.175901118</v>
      </c>
      <c r="P95" s="735">
        <v>0.148300929</v>
      </c>
    </row>
    <row r="96" spans="1:16" s="571" customFormat="1" ht="15.75" customHeight="1" x14ac:dyDescent="0.2">
      <c r="A96" s="562" t="s">
        <v>407</v>
      </c>
      <c r="B96" s="568">
        <v>0.33632585700000001</v>
      </c>
      <c r="C96" s="568">
        <v>0.28342409099999999</v>
      </c>
      <c r="D96" s="568">
        <v>0.41505832999999998</v>
      </c>
      <c r="E96" s="568">
        <v>0.46444259900000001</v>
      </c>
      <c r="F96" s="568">
        <v>0.52577824399999995</v>
      </c>
      <c r="G96" s="568">
        <v>0.54345873</v>
      </c>
      <c r="H96" s="568">
        <v>0.56765613100000001</v>
      </c>
      <c r="I96" s="568">
        <v>0.58349984799999999</v>
      </c>
      <c r="J96" s="568">
        <v>0.51057855799999996</v>
      </c>
      <c r="K96" s="491" t="s">
        <v>102</v>
      </c>
      <c r="L96" s="491" t="s">
        <v>102</v>
      </c>
      <c r="M96" s="569">
        <v>0.52417150300000004</v>
      </c>
      <c r="N96" s="569">
        <v>0.56082283300000002</v>
      </c>
      <c r="O96" s="569">
        <v>0.53415721800000004</v>
      </c>
      <c r="P96" s="721">
        <v>0.53555837900000003</v>
      </c>
    </row>
    <row r="97" spans="1:16" s="465" customFormat="1" ht="15.75" customHeight="1" x14ac:dyDescent="0.25">
      <c r="A97" s="546" t="s">
        <v>420</v>
      </c>
      <c r="B97" s="563">
        <v>0.78266941599999995</v>
      </c>
      <c r="C97" s="563">
        <v>0.864328561</v>
      </c>
      <c r="D97" s="563">
        <v>0.91451462699999997</v>
      </c>
      <c r="E97" s="563">
        <v>0.88922667200000005</v>
      </c>
      <c r="F97" s="563">
        <v>0.89386511199999996</v>
      </c>
      <c r="G97" s="563">
        <v>0.84510665799999996</v>
      </c>
      <c r="H97" s="563">
        <v>0.89501960400000002</v>
      </c>
      <c r="I97" s="563">
        <v>0.91067268499999998</v>
      </c>
      <c r="J97" s="563">
        <v>0.91892470699999995</v>
      </c>
      <c r="K97" s="563" t="s">
        <v>102</v>
      </c>
      <c r="L97" s="563" t="s">
        <v>102</v>
      </c>
      <c r="M97" s="564">
        <v>0.88486114000000005</v>
      </c>
      <c r="N97" s="564">
        <v>0.91328610300000002</v>
      </c>
      <c r="O97" s="564">
        <v>0.89237882000000002</v>
      </c>
      <c r="P97" s="723">
        <v>0.91681483399999997</v>
      </c>
    </row>
    <row r="98" spans="1:16" s="465" customFormat="1" ht="16.5" customHeight="1" x14ac:dyDescent="0.2">
      <c r="A98" s="562" t="s">
        <v>462</v>
      </c>
      <c r="B98" s="491">
        <v>0.12678968900000001</v>
      </c>
      <c r="C98" s="491">
        <v>0.29272573800000001</v>
      </c>
      <c r="D98" s="491">
        <v>0.333285838</v>
      </c>
      <c r="E98" s="491">
        <v>0.391269229</v>
      </c>
      <c r="F98" s="491">
        <v>0.41883910699999999</v>
      </c>
      <c r="G98" s="491">
        <v>0.29978676300000001</v>
      </c>
      <c r="H98" s="491">
        <v>0.35015115400000002</v>
      </c>
      <c r="I98" s="491">
        <v>0.31306467700000001</v>
      </c>
      <c r="J98" s="491">
        <v>0.39558739999999998</v>
      </c>
      <c r="K98" s="491" t="s">
        <v>102</v>
      </c>
      <c r="L98" s="491" t="s">
        <v>102</v>
      </c>
      <c r="M98" s="484">
        <v>0.36688193699999999</v>
      </c>
      <c r="N98" s="484">
        <v>0.33919965000000002</v>
      </c>
      <c r="O98" s="484">
        <v>0.35956067600000002</v>
      </c>
      <c r="P98" s="721">
        <v>0.28683293999999998</v>
      </c>
    </row>
    <row r="99" spans="1:16" s="465" customFormat="1" ht="15.75" customHeight="1" x14ac:dyDescent="0.25">
      <c r="A99" s="492" t="s">
        <v>409</v>
      </c>
      <c r="B99" s="493">
        <v>0.34857122600000001</v>
      </c>
      <c r="C99" s="493">
        <v>0.54412258499999999</v>
      </c>
      <c r="D99" s="493">
        <v>0.58495830699999996</v>
      </c>
      <c r="E99" s="493">
        <v>0.62706187300000005</v>
      </c>
      <c r="F99" s="493">
        <v>0.62339680099999994</v>
      </c>
      <c r="G99" s="493">
        <v>0.56520811699999995</v>
      </c>
      <c r="H99" s="493">
        <v>0.60357187099999998</v>
      </c>
      <c r="I99" s="493">
        <v>0.47034156999999999</v>
      </c>
      <c r="J99" s="493">
        <v>1.087386848</v>
      </c>
      <c r="K99" s="493" t="s">
        <v>102</v>
      </c>
      <c r="L99" s="493" t="s">
        <v>102</v>
      </c>
      <c r="M99" s="494">
        <v>0.60617366299999997</v>
      </c>
      <c r="N99" s="494">
        <v>0.66576000800000001</v>
      </c>
      <c r="O99" s="494">
        <v>0.62193273500000001</v>
      </c>
      <c r="P99" s="737">
        <v>0.69401103600000003</v>
      </c>
    </row>
    <row r="100" spans="1:16" s="465" customFormat="1" ht="15.75" customHeight="1" x14ac:dyDescent="0.2">
      <c r="A100" s="495" t="s">
        <v>790</v>
      </c>
      <c r="B100" s="712">
        <v>1.354988251</v>
      </c>
      <c r="C100" s="712">
        <v>2.412431744</v>
      </c>
      <c r="D100" s="712">
        <v>2.8610397440000002</v>
      </c>
      <c r="E100" s="712">
        <v>3.17776579</v>
      </c>
      <c r="F100" s="712">
        <v>3.415475013</v>
      </c>
      <c r="G100" s="712">
        <v>2.7235897109999998</v>
      </c>
      <c r="H100" s="712">
        <v>3.7248881790000001</v>
      </c>
      <c r="I100" s="712">
        <v>3.267698099</v>
      </c>
      <c r="J100" s="712">
        <v>6.535545752</v>
      </c>
      <c r="K100" s="712" t="s">
        <v>102</v>
      </c>
      <c r="L100" s="712" t="s">
        <v>102</v>
      </c>
      <c r="M100" s="713">
        <v>3.2794714549999999</v>
      </c>
      <c r="N100" s="713">
        <v>4.4077045010000004</v>
      </c>
      <c r="O100" s="713">
        <v>3.5356951900000002</v>
      </c>
      <c r="P100" s="739">
        <v>4.6797484120000004</v>
      </c>
    </row>
    <row r="101" spans="1:16" ht="15" customHeight="1" x14ac:dyDescent="0.2">
      <c r="A101" s="255" t="s">
        <v>285</v>
      </c>
      <c r="B101" s="13"/>
      <c r="C101" s="13"/>
      <c r="D101" s="13"/>
      <c r="E101" s="13"/>
      <c r="F101" s="13"/>
      <c r="G101" s="13"/>
      <c r="H101" s="13"/>
      <c r="I101" s="13"/>
      <c r="J101" s="13"/>
      <c r="K101" s="13"/>
      <c r="L101" s="13"/>
      <c r="M101" s="215"/>
      <c r="N101" s="215"/>
      <c r="O101" s="215"/>
      <c r="P101" s="39"/>
    </row>
    <row r="102" spans="1:16" ht="15" customHeight="1" x14ac:dyDescent="0.2">
      <c r="A102" s="168" t="s">
        <v>616</v>
      </c>
      <c r="B102" s="13"/>
      <c r="C102" s="13"/>
      <c r="D102" s="13"/>
      <c r="E102" s="13"/>
      <c r="F102" s="13"/>
      <c r="G102" s="13"/>
      <c r="H102" s="13"/>
      <c r="I102" s="13"/>
      <c r="J102" s="13"/>
      <c r="K102" s="13"/>
      <c r="L102" s="13"/>
      <c r="M102" s="215"/>
      <c r="N102" s="215"/>
      <c r="O102" s="215"/>
      <c r="P102" s="39"/>
    </row>
    <row r="103" spans="1:16" ht="15" customHeight="1" x14ac:dyDescent="0.2">
      <c r="A103" s="255" t="s">
        <v>982</v>
      </c>
      <c r="B103" s="3"/>
      <c r="C103" s="3"/>
      <c r="D103" s="3"/>
      <c r="G103" s="185"/>
      <c r="J103" s="185"/>
      <c r="M103" s="215"/>
      <c r="N103" s="215"/>
      <c r="O103" s="215"/>
    </row>
    <row r="104" spans="1:16" ht="15" customHeight="1" x14ac:dyDescent="0.2">
      <c r="A104" s="286" t="s">
        <v>916</v>
      </c>
      <c r="B104" s="3"/>
      <c r="C104" s="3"/>
      <c r="D104" s="3"/>
      <c r="G104" s="185"/>
      <c r="J104" s="185"/>
      <c r="M104" s="215"/>
      <c r="N104" s="215"/>
      <c r="O104" s="215"/>
    </row>
    <row r="105" spans="1:16" x14ac:dyDescent="0.2">
      <c r="A105" s="13"/>
      <c r="B105" s="13"/>
      <c r="C105" s="13"/>
      <c r="D105" s="13"/>
      <c r="E105" s="13"/>
      <c r="F105" s="13"/>
      <c r="G105" s="13"/>
      <c r="H105" s="13"/>
      <c r="I105" s="13"/>
      <c r="J105" s="13"/>
      <c r="K105" s="13"/>
      <c r="L105" s="13"/>
      <c r="M105" s="215"/>
      <c r="N105" s="215"/>
      <c r="O105" s="215"/>
      <c r="P105" s="39"/>
    </row>
    <row r="106" spans="1:16" ht="21" x14ac:dyDescent="0.25">
      <c r="A106" s="280" t="s">
        <v>923</v>
      </c>
      <c r="B106" s="13"/>
      <c r="C106" s="13"/>
      <c r="D106" s="13"/>
      <c r="E106" s="13"/>
      <c r="F106" s="13"/>
      <c r="G106" s="13"/>
      <c r="H106" s="13"/>
      <c r="I106" s="13"/>
      <c r="J106" s="13"/>
      <c r="K106" s="13"/>
      <c r="L106" s="13"/>
      <c r="M106" s="215"/>
      <c r="N106" s="215"/>
      <c r="O106" s="215"/>
      <c r="P106" s="39"/>
    </row>
    <row r="107" spans="1:16" ht="13.5" thickBot="1" x14ac:dyDescent="0.25">
      <c r="A107" s="13"/>
      <c r="B107" s="13"/>
      <c r="C107" s="13"/>
      <c r="D107" s="13"/>
      <c r="E107" s="13"/>
      <c r="F107" s="13"/>
      <c r="G107" s="13"/>
      <c r="H107" s="13"/>
      <c r="I107" s="13"/>
      <c r="J107" s="13"/>
      <c r="K107" s="13"/>
      <c r="L107" s="13"/>
      <c r="M107" s="215"/>
      <c r="N107" s="215"/>
      <c r="O107" s="215"/>
      <c r="P107" s="285" t="s">
        <v>23</v>
      </c>
    </row>
    <row r="108" spans="1:16" x14ac:dyDescent="0.2">
      <c r="A108" s="565" t="s">
        <v>81</v>
      </c>
      <c r="B108" s="42" t="s">
        <v>35</v>
      </c>
      <c r="C108" s="42" t="s">
        <v>121</v>
      </c>
      <c r="D108" s="42" t="s">
        <v>123</v>
      </c>
      <c r="E108" s="42" t="s">
        <v>36</v>
      </c>
      <c r="F108" s="42" t="s">
        <v>37</v>
      </c>
      <c r="G108" s="42" t="s">
        <v>38</v>
      </c>
      <c r="H108" s="42" t="s">
        <v>39</v>
      </c>
      <c r="I108" s="42" t="s">
        <v>125</v>
      </c>
      <c r="J108" s="42" t="s">
        <v>126</v>
      </c>
      <c r="K108" s="42" t="s">
        <v>127</v>
      </c>
      <c r="L108" s="252">
        <v>100000</v>
      </c>
      <c r="M108" s="250" t="s">
        <v>231</v>
      </c>
      <c r="N108" s="250" t="s">
        <v>229</v>
      </c>
      <c r="O108" s="257" t="s">
        <v>77</v>
      </c>
      <c r="P108" s="281" t="s">
        <v>220</v>
      </c>
    </row>
    <row r="109" spans="1:16" x14ac:dyDescent="0.2">
      <c r="A109" s="229" t="s">
        <v>225</v>
      </c>
      <c r="B109" s="43" t="s">
        <v>120</v>
      </c>
      <c r="C109" s="43" t="s">
        <v>40</v>
      </c>
      <c r="D109" s="43" t="s">
        <v>40</v>
      </c>
      <c r="E109" s="43" t="s">
        <v>40</v>
      </c>
      <c r="F109" s="43" t="s">
        <v>40</v>
      </c>
      <c r="G109" s="43" t="s">
        <v>40</v>
      </c>
      <c r="H109" s="43" t="s">
        <v>40</v>
      </c>
      <c r="I109" s="43" t="s">
        <v>40</v>
      </c>
      <c r="J109" s="43" t="s">
        <v>40</v>
      </c>
      <c r="K109" s="43" t="s">
        <v>40</v>
      </c>
      <c r="L109" s="43" t="s">
        <v>43</v>
      </c>
      <c r="M109" s="239" t="s">
        <v>230</v>
      </c>
      <c r="N109" s="239" t="s">
        <v>138</v>
      </c>
      <c r="O109" s="256" t="s">
        <v>137</v>
      </c>
      <c r="P109" s="282" t="s">
        <v>284</v>
      </c>
    </row>
    <row r="110" spans="1:16" ht="15.75" customHeight="1" thickBot="1" x14ac:dyDescent="0.25">
      <c r="A110" s="423" t="s">
        <v>82</v>
      </c>
      <c r="B110" s="44" t="s">
        <v>43</v>
      </c>
      <c r="C110" s="44" t="s">
        <v>122</v>
      </c>
      <c r="D110" s="44" t="s">
        <v>124</v>
      </c>
      <c r="E110" s="44" t="s">
        <v>44</v>
      </c>
      <c r="F110" s="44" t="s">
        <v>45</v>
      </c>
      <c r="G110" s="44" t="s">
        <v>46</v>
      </c>
      <c r="H110" s="44" t="s">
        <v>42</v>
      </c>
      <c r="I110" s="44" t="s">
        <v>128</v>
      </c>
      <c r="J110" s="44" t="s">
        <v>129</v>
      </c>
      <c r="K110" s="44" t="s">
        <v>130</v>
      </c>
      <c r="L110" s="44" t="s">
        <v>131</v>
      </c>
      <c r="M110" s="251" t="s">
        <v>138</v>
      </c>
      <c r="N110" s="251" t="s">
        <v>131</v>
      </c>
      <c r="O110" s="258" t="s">
        <v>41</v>
      </c>
      <c r="P110" s="283" t="s">
        <v>239</v>
      </c>
    </row>
    <row r="111" spans="1:16" ht="15" x14ac:dyDescent="0.25">
      <c r="A111" s="544" t="s">
        <v>223</v>
      </c>
      <c r="B111" s="192"/>
      <c r="C111" s="192"/>
      <c r="D111" s="192"/>
      <c r="E111" s="192"/>
      <c r="F111" s="192"/>
      <c r="G111" s="192"/>
      <c r="H111" s="192"/>
      <c r="I111" s="192"/>
      <c r="J111" s="192"/>
      <c r="K111" s="192"/>
      <c r="L111" s="192"/>
      <c r="M111" s="253"/>
      <c r="N111" s="253"/>
      <c r="O111" s="253"/>
    </row>
    <row r="112" spans="1:16" s="465" customFormat="1" ht="15.75" customHeight="1" x14ac:dyDescent="0.25">
      <c r="A112" s="487" t="s">
        <v>286</v>
      </c>
      <c r="B112" s="572">
        <v>3.230455316</v>
      </c>
      <c r="C112" s="572">
        <v>12.980220909</v>
      </c>
      <c r="D112" s="572">
        <v>6.1725072279999997</v>
      </c>
      <c r="E112" s="572">
        <v>4.73093816</v>
      </c>
      <c r="F112" s="572">
        <v>4.6157155660000004</v>
      </c>
      <c r="G112" s="572">
        <v>4.2103718929999996</v>
      </c>
      <c r="H112" s="572">
        <v>4.1616079350000001</v>
      </c>
      <c r="I112" s="572">
        <v>3.6600321189999998</v>
      </c>
      <c r="J112" s="572">
        <v>0.79445105100000002</v>
      </c>
      <c r="K112" s="572" t="s">
        <v>102</v>
      </c>
      <c r="L112" s="572" t="s">
        <v>102</v>
      </c>
      <c r="M112" s="573">
        <v>4.499981418</v>
      </c>
      <c r="N112" s="573">
        <v>2.7515922669999999</v>
      </c>
      <c r="O112" s="573">
        <v>4.0177600050000004</v>
      </c>
      <c r="P112" s="572">
        <v>4.1179418459999999</v>
      </c>
    </row>
    <row r="113" spans="1:16" s="465" customFormat="1" ht="15.75" customHeight="1" x14ac:dyDescent="0.2">
      <c r="A113" s="490" t="s">
        <v>161</v>
      </c>
      <c r="B113" s="574">
        <v>5.5589693819999999</v>
      </c>
      <c r="C113" s="574">
        <v>22.843993913999999</v>
      </c>
      <c r="D113" s="574">
        <v>8.5087646810000006</v>
      </c>
      <c r="E113" s="574">
        <v>6.9362999600000004</v>
      </c>
      <c r="F113" s="574">
        <v>4.1014864380000002</v>
      </c>
      <c r="G113" s="574">
        <v>1.513701591</v>
      </c>
      <c r="H113" s="574">
        <v>1.635101884</v>
      </c>
      <c r="I113" s="574">
        <v>4.4194752660000001</v>
      </c>
      <c r="J113" s="574">
        <v>-3.3474071680000002</v>
      </c>
      <c r="K113" s="574" t="s">
        <v>102</v>
      </c>
      <c r="L113" s="574" t="s">
        <v>102</v>
      </c>
      <c r="M113" s="575">
        <v>3.807436826</v>
      </c>
      <c r="N113" s="575">
        <v>1.6862492389999999</v>
      </c>
      <c r="O113" s="575">
        <v>3.2781786570000002</v>
      </c>
      <c r="P113" s="574">
        <v>4.0108692530000001</v>
      </c>
    </row>
    <row r="114" spans="1:16" s="465" customFormat="1" ht="15.75" customHeight="1" x14ac:dyDescent="0.2">
      <c r="A114" s="492" t="s">
        <v>162</v>
      </c>
      <c r="B114" s="576">
        <v>11.134413902</v>
      </c>
      <c r="C114" s="577">
        <v>7.7902115170000004</v>
      </c>
      <c r="D114" s="576">
        <v>4.9669927610000002</v>
      </c>
      <c r="E114" s="576">
        <v>5.1917521410000003</v>
      </c>
      <c r="F114" s="576">
        <v>4.765298198</v>
      </c>
      <c r="G114" s="576">
        <v>4.8018489759999996</v>
      </c>
      <c r="H114" s="576">
        <v>5.5395769819999998</v>
      </c>
      <c r="I114" s="576">
        <v>3.47268884</v>
      </c>
      <c r="J114" s="576">
        <v>2.4873241689999999</v>
      </c>
      <c r="K114" s="576" t="s">
        <v>102</v>
      </c>
      <c r="L114" s="576" t="s">
        <v>102</v>
      </c>
      <c r="M114" s="578">
        <v>5.1385255589999996</v>
      </c>
      <c r="N114" s="578">
        <v>3.1917961529999999</v>
      </c>
      <c r="O114" s="578">
        <v>4.5741983389999996</v>
      </c>
      <c r="P114" s="576">
        <v>4.3575204349999996</v>
      </c>
    </row>
    <row r="115" spans="1:16" s="465" customFormat="1" ht="15.75" customHeight="1" x14ac:dyDescent="0.2">
      <c r="A115" s="490" t="s">
        <v>163</v>
      </c>
      <c r="B115" s="574">
        <v>-10.816495859</v>
      </c>
      <c r="C115" s="574">
        <v>-3.4855879889999999</v>
      </c>
      <c r="D115" s="574">
        <v>16.848574696</v>
      </c>
      <c r="E115" s="574">
        <v>4.5886124759999998</v>
      </c>
      <c r="F115" s="574">
        <v>4.2114164130000002</v>
      </c>
      <c r="G115" s="574">
        <v>6.2190608210000002</v>
      </c>
      <c r="H115" s="574">
        <v>11.975827081</v>
      </c>
      <c r="I115" s="574">
        <v>-0.241197577</v>
      </c>
      <c r="J115" s="574">
        <v>5.7969890880000001</v>
      </c>
      <c r="K115" s="574" t="s">
        <v>102</v>
      </c>
      <c r="L115" s="574" t="s">
        <v>102</v>
      </c>
      <c r="M115" s="575">
        <v>7.1417578239999999</v>
      </c>
      <c r="N115" s="575">
        <v>3.1259189940000001</v>
      </c>
      <c r="O115" s="575">
        <v>5.968271745</v>
      </c>
      <c r="P115" s="574">
        <v>9.3167023919999998</v>
      </c>
    </row>
    <row r="116" spans="1:16" s="465" customFormat="1" ht="15.75" customHeight="1" x14ac:dyDescent="0.2">
      <c r="A116" s="492" t="s">
        <v>164</v>
      </c>
      <c r="B116" s="576">
        <v>-9.2233841709999993</v>
      </c>
      <c r="C116" s="576">
        <v>21.975663611000002</v>
      </c>
      <c r="D116" s="576">
        <v>1.976592718</v>
      </c>
      <c r="E116" s="576">
        <v>3.4799566350000002</v>
      </c>
      <c r="F116" s="576">
        <v>5.6959809740000003</v>
      </c>
      <c r="G116" s="576">
        <v>8.4890954559999994</v>
      </c>
      <c r="H116" s="576">
        <v>11.599765218</v>
      </c>
      <c r="I116" s="576">
        <v>6.2189399349999999</v>
      </c>
      <c r="J116" s="576">
        <v>-2.6893735570000001</v>
      </c>
      <c r="K116" s="576" t="s">
        <v>102</v>
      </c>
      <c r="L116" s="576" t="s">
        <v>102</v>
      </c>
      <c r="M116" s="578">
        <v>7.4564564320000004</v>
      </c>
      <c r="N116" s="578">
        <v>3.094395215</v>
      </c>
      <c r="O116" s="578">
        <v>6.0706203490000004</v>
      </c>
      <c r="P116" s="576">
        <v>4.601181585</v>
      </c>
    </row>
    <row r="117" spans="1:16" s="465" customFormat="1" ht="15.75" customHeight="1" x14ac:dyDescent="0.2">
      <c r="A117" s="495" t="s">
        <v>165</v>
      </c>
      <c r="B117" s="579">
        <v>-2.0491926060000001</v>
      </c>
      <c r="C117" s="579">
        <v>-1.682965131</v>
      </c>
      <c r="D117" s="579">
        <v>7.1571611710000003</v>
      </c>
      <c r="E117" s="579">
        <v>-5.1320976800000002</v>
      </c>
      <c r="F117" s="579">
        <v>4.5477386739999996</v>
      </c>
      <c r="G117" s="579">
        <v>7.476951305</v>
      </c>
      <c r="H117" s="579">
        <v>-17.766987410999999</v>
      </c>
      <c r="I117" s="579">
        <v>-4.998853929</v>
      </c>
      <c r="J117" s="579">
        <v>19.570459722999999</v>
      </c>
      <c r="K117" s="579" t="s">
        <v>102</v>
      </c>
      <c r="L117" s="579" t="s">
        <v>102</v>
      </c>
      <c r="M117" s="580">
        <v>-3.2804225250000001</v>
      </c>
      <c r="N117" s="580">
        <v>2.75131835</v>
      </c>
      <c r="O117" s="580">
        <v>-2.0854884450000002</v>
      </c>
      <c r="P117" s="579">
        <v>-2.2468260189999998</v>
      </c>
    </row>
    <row r="118" spans="1:16" s="465" customFormat="1" ht="15.75" customHeight="1" x14ac:dyDescent="0.25">
      <c r="A118" s="498" t="s">
        <v>287</v>
      </c>
      <c r="B118" s="581">
        <v>5.2551260810000002</v>
      </c>
      <c r="C118" s="581">
        <v>4.2102209410000002</v>
      </c>
      <c r="D118" s="581">
        <v>3.783690864</v>
      </c>
      <c r="E118" s="581">
        <v>4.0222003300000004</v>
      </c>
      <c r="F118" s="581">
        <v>4.6049831499999998</v>
      </c>
      <c r="G118" s="581">
        <v>9.3773045140000004</v>
      </c>
      <c r="H118" s="581">
        <v>3.5003021649999999</v>
      </c>
      <c r="I118" s="581">
        <v>4.3862699599999999</v>
      </c>
      <c r="J118" s="581">
        <v>-0.18492325800000001</v>
      </c>
      <c r="K118" s="581" t="s">
        <v>102</v>
      </c>
      <c r="L118" s="581" t="s">
        <v>102</v>
      </c>
      <c r="M118" s="582">
        <v>4.9084851650000001</v>
      </c>
      <c r="N118" s="582">
        <v>2.8939167019999998</v>
      </c>
      <c r="O118" s="582">
        <v>4.3680497420000002</v>
      </c>
      <c r="P118" s="581">
        <v>2.9986089869999999</v>
      </c>
    </row>
    <row r="119" spans="1:16" s="465" customFormat="1" ht="15.75" customHeight="1" x14ac:dyDescent="0.2">
      <c r="A119" s="490" t="s">
        <v>79</v>
      </c>
      <c r="B119" s="574">
        <v>-1.3970761890000001</v>
      </c>
      <c r="C119" s="574">
        <v>-1.60163225</v>
      </c>
      <c r="D119" s="574">
        <v>3.4839993109999998</v>
      </c>
      <c r="E119" s="574">
        <v>3.3275094639999998</v>
      </c>
      <c r="F119" s="574">
        <v>3.4802155739999998</v>
      </c>
      <c r="G119" s="574">
        <v>8.3172302469999995</v>
      </c>
      <c r="H119" s="574">
        <v>3.7077582979999999</v>
      </c>
      <c r="I119" s="574">
        <v>3.4715889739999999</v>
      </c>
      <c r="J119" s="574">
        <v>0.26073115499999999</v>
      </c>
      <c r="K119" s="574" t="s">
        <v>102</v>
      </c>
      <c r="L119" s="574" t="s">
        <v>102</v>
      </c>
      <c r="M119" s="575">
        <v>4.366226245</v>
      </c>
      <c r="N119" s="575">
        <v>2.4717687659999998</v>
      </c>
      <c r="O119" s="575">
        <v>3.8322793019999999</v>
      </c>
      <c r="P119" s="574">
        <v>2.5542567570000001</v>
      </c>
    </row>
    <row r="120" spans="1:16" s="465" customFormat="1" ht="15.75" customHeight="1" x14ac:dyDescent="0.2">
      <c r="A120" s="492" t="s">
        <v>167</v>
      </c>
      <c r="B120" s="576">
        <v>4.2890692250000004</v>
      </c>
      <c r="C120" s="576">
        <v>1.6087171659999999</v>
      </c>
      <c r="D120" s="576">
        <v>5.6716213949999998</v>
      </c>
      <c r="E120" s="576">
        <v>5.3790781609999998</v>
      </c>
      <c r="F120" s="576">
        <v>4.7789838639999997</v>
      </c>
      <c r="G120" s="576">
        <v>10.564073752000001</v>
      </c>
      <c r="H120" s="576">
        <v>5.7634138080000001</v>
      </c>
      <c r="I120" s="576">
        <v>4.2948528829999999</v>
      </c>
      <c r="J120" s="576">
        <v>2.7048409289999999</v>
      </c>
      <c r="K120" s="576" t="s">
        <v>102</v>
      </c>
      <c r="L120" s="576" t="s">
        <v>102</v>
      </c>
      <c r="M120" s="578">
        <v>6.2466751699999996</v>
      </c>
      <c r="N120" s="578">
        <v>3.799301265</v>
      </c>
      <c r="O120" s="578">
        <v>5.550532435</v>
      </c>
      <c r="P120" s="576">
        <v>4.3767579660000004</v>
      </c>
    </row>
    <row r="121" spans="1:16" s="465" customFormat="1" ht="15.75" customHeight="1" x14ac:dyDescent="0.2">
      <c r="A121" s="490" t="s">
        <v>322</v>
      </c>
      <c r="B121" s="574">
        <v>-99.164747315</v>
      </c>
      <c r="C121" s="574">
        <v>-16.264091393000001</v>
      </c>
      <c r="D121" s="574">
        <v>-3.1208152240000002</v>
      </c>
      <c r="E121" s="574">
        <v>-1.6663238220000001</v>
      </c>
      <c r="F121" s="574">
        <v>-1.463343504</v>
      </c>
      <c r="G121" s="574">
        <v>4.090945359</v>
      </c>
      <c r="H121" s="574">
        <v>-0.491737802</v>
      </c>
      <c r="I121" s="574">
        <v>2.2503563080000002</v>
      </c>
      <c r="J121" s="574">
        <v>-2.8461328340000001</v>
      </c>
      <c r="K121" s="574" t="s">
        <v>102</v>
      </c>
      <c r="L121" s="574" t="s">
        <v>102</v>
      </c>
      <c r="M121" s="575">
        <v>-0.16411065699999999</v>
      </c>
      <c r="N121" s="575">
        <v>1.41097377</v>
      </c>
      <c r="O121" s="575">
        <v>0.36344716799999999</v>
      </c>
      <c r="P121" s="574">
        <v>0.87048807299999997</v>
      </c>
    </row>
    <row r="122" spans="1:16" s="465" customFormat="1" ht="15.75" customHeight="1" x14ac:dyDescent="0.2">
      <c r="A122" s="492" t="s">
        <v>168</v>
      </c>
      <c r="B122" s="576">
        <v>-21.500591265000001</v>
      </c>
      <c r="C122" s="576">
        <v>-14.933646542</v>
      </c>
      <c r="D122" s="576">
        <v>-5.8600339950000002</v>
      </c>
      <c r="E122" s="576">
        <v>-7.2993463649999999</v>
      </c>
      <c r="F122" s="576">
        <v>-5.3318907879999999</v>
      </c>
      <c r="G122" s="576">
        <v>-2.3281680250000001</v>
      </c>
      <c r="H122" s="576">
        <v>-9.7292167379999999</v>
      </c>
      <c r="I122" s="576">
        <v>-1.764265309</v>
      </c>
      <c r="J122" s="576">
        <v>-15.433160373</v>
      </c>
      <c r="K122" s="576" t="s">
        <v>102</v>
      </c>
      <c r="L122" s="576" t="s">
        <v>102</v>
      </c>
      <c r="M122" s="578">
        <v>-6.5876727529999997</v>
      </c>
      <c r="N122" s="578">
        <v>-5.9963384590000004</v>
      </c>
      <c r="O122" s="578">
        <v>-6.4301822939999997</v>
      </c>
      <c r="P122" s="576">
        <v>-7.6748749969999999</v>
      </c>
    </row>
    <row r="123" spans="1:16" s="465" customFormat="1" ht="15.75" customHeight="1" x14ac:dyDescent="0.2">
      <c r="A123" s="490" t="s">
        <v>169</v>
      </c>
      <c r="B123" s="574">
        <v>16.955144988000001</v>
      </c>
      <c r="C123" s="574">
        <v>2.2185387259999998</v>
      </c>
      <c r="D123" s="574">
        <v>8.9452796229999993</v>
      </c>
      <c r="E123" s="574">
        <v>3.4299869140000001</v>
      </c>
      <c r="F123" s="574">
        <v>4.9225575729999997</v>
      </c>
      <c r="G123" s="574">
        <v>2.7727236899999999</v>
      </c>
      <c r="H123" s="574">
        <v>3.5804491070000002</v>
      </c>
      <c r="I123" s="574">
        <v>3.020033449</v>
      </c>
      <c r="J123" s="574">
        <v>3.641165666</v>
      </c>
      <c r="K123" s="574" t="s">
        <v>102</v>
      </c>
      <c r="L123" s="574" t="s">
        <v>102</v>
      </c>
      <c r="M123" s="575">
        <v>3.9602781939999998</v>
      </c>
      <c r="N123" s="575">
        <v>3.2898536379999999</v>
      </c>
      <c r="O123" s="575">
        <v>3.8206251830000002</v>
      </c>
      <c r="P123" s="574">
        <v>3.1945914609999999</v>
      </c>
    </row>
    <row r="124" spans="1:16" s="465" customFormat="1" ht="15.75" customHeight="1" x14ac:dyDescent="0.2">
      <c r="A124" s="492" t="s">
        <v>170</v>
      </c>
      <c r="B124" s="576">
        <v>0.25377082000000001</v>
      </c>
      <c r="C124" s="576">
        <v>-2.5884479630000001</v>
      </c>
      <c r="D124" s="576">
        <v>3.2660064719999999</v>
      </c>
      <c r="E124" s="576">
        <v>0.88229601800000002</v>
      </c>
      <c r="F124" s="576">
        <v>2.1053797360000002</v>
      </c>
      <c r="G124" s="576">
        <v>0.54940357399999995</v>
      </c>
      <c r="H124" s="576">
        <v>1.032871206</v>
      </c>
      <c r="I124" s="576">
        <v>1.754165838</v>
      </c>
      <c r="J124" s="576">
        <v>0.66797338799999995</v>
      </c>
      <c r="K124" s="576" t="s">
        <v>102</v>
      </c>
      <c r="L124" s="576" t="s">
        <v>102</v>
      </c>
      <c r="M124" s="578">
        <v>1.2462979890000001</v>
      </c>
      <c r="N124" s="578">
        <v>1.244370142</v>
      </c>
      <c r="O124" s="578">
        <v>1.2458864949999999</v>
      </c>
      <c r="P124" s="576">
        <v>1.9501974019999999</v>
      </c>
    </row>
    <row r="125" spans="1:16" s="465" customFormat="1" ht="15.75" customHeight="1" x14ac:dyDescent="0.2">
      <c r="A125" s="490" t="s">
        <v>171</v>
      </c>
      <c r="B125" s="574">
        <v>42.700831590999996</v>
      </c>
      <c r="C125" s="574">
        <v>37.712894310999999</v>
      </c>
      <c r="D125" s="574">
        <v>16.551265175000001</v>
      </c>
      <c r="E125" s="574">
        <v>9.1140911029999998</v>
      </c>
      <c r="F125" s="574">
        <v>-3.5932478849999998</v>
      </c>
      <c r="G125" s="585">
        <v>18.263934978000002</v>
      </c>
      <c r="H125" s="574">
        <v>20.025061703999999</v>
      </c>
      <c r="I125" s="574">
        <v>-8.7441379149999996</v>
      </c>
      <c r="J125" s="574">
        <v>83.696328691000005</v>
      </c>
      <c r="K125" s="574" t="s">
        <v>102</v>
      </c>
      <c r="L125" s="574" t="s">
        <v>102</v>
      </c>
      <c r="M125" s="575">
        <v>11.99226065</v>
      </c>
      <c r="N125" s="575">
        <v>40.814600984999998</v>
      </c>
      <c r="O125" s="575">
        <v>18.010187884</v>
      </c>
      <c r="P125" s="574">
        <v>4.6835640789999999</v>
      </c>
    </row>
    <row r="126" spans="1:16" s="465" customFormat="1" ht="15.75" customHeight="1" x14ac:dyDescent="0.2">
      <c r="A126" s="693" t="s">
        <v>607</v>
      </c>
      <c r="B126" s="576">
        <v>97.405232764000004</v>
      </c>
      <c r="C126" s="576">
        <v>4.3274892720000002</v>
      </c>
      <c r="D126" s="576">
        <v>40.212256551000003</v>
      </c>
      <c r="E126" s="576">
        <v>19.359112127</v>
      </c>
      <c r="F126" s="576">
        <v>13.938141576</v>
      </c>
      <c r="G126" s="576">
        <v>6.7337003620000004</v>
      </c>
      <c r="H126" s="576">
        <v>14.235678462999999</v>
      </c>
      <c r="I126" s="576">
        <v>7.954641326</v>
      </c>
      <c r="J126" s="576">
        <v>11.512002495999999</v>
      </c>
      <c r="K126" s="576" t="s">
        <v>102</v>
      </c>
      <c r="L126" s="576" t="s">
        <v>102</v>
      </c>
      <c r="M126" s="578">
        <v>13.845081666</v>
      </c>
      <c r="N126" s="578">
        <v>8.8930693250000008</v>
      </c>
      <c r="O126" s="578">
        <v>12.916432442</v>
      </c>
      <c r="P126" s="576">
        <v>7.8328566080000002</v>
      </c>
    </row>
    <row r="127" spans="1:16" s="465" customFormat="1" ht="15.75" customHeight="1" x14ac:dyDescent="0.2">
      <c r="A127" s="490" t="s">
        <v>172</v>
      </c>
      <c r="B127" s="574">
        <v>-94.635034924999999</v>
      </c>
      <c r="C127" s="574">
        <v>36.785677941000003</v>
      </c>
      <c r="D127" s="574">
        <v>-31.988477539000002</v>
      </c>
      <c r="E127" s="574">
        <v>-7.2089416999999996</v>
      </c>
      <c r="F127" s="574">
        <v>-1.6379012070000001</v>
      </c>
      <c r="G127" s="574">
        <v>0.73372738500000001</v>
      </c>
      <c r="H127" s="574">
        <v>-7.742229429</v>
      </c>
      <c r="I127" s="574">
        <v>6.5394832940000001</v>
      </c>
      <c r="J127" s="574">
        <v>-18.651838955999999</v>
      </c>
      <c r="K127" s="574" t="s">
        <v>102</v>
      </c>
      <c r="L127" s="574" t="s">
        <v>102</v>
      </c>
      <c r="M127" s="575">
        <v>-4.7800237040000004</v>
      </c>
      <c r="N127" s="575">
        <v>3.0733052989999998</v>
      </c>
      <c r="O127" s="575">
        <v>-2.576706283</v>
      </c>
      <c r="P127" s="574">
        <v>-0.97563886200000005</v>
      </c>
    </row>
    <row r="128" spans="1:16" s="465" customFormat="1" ht="15.75" customHeight="1" x14ac:dyDescent="0.2">
      <c r="A128" s="492" t="s">
        <v>173</v>
      </c>
      <c r="B128" s="576">
        <v>39.551515428999998</v>
      </c>
      <c r="C128" s="576">
        <v>7.8266179930000002</v>
      </c>
      <c r="D128" s="576">
        <v>8.2400622329999997</v>
      </c>
      <c r="E128" s="576">
        <v>13.172808024</v>
      </c>
      <c r="F128" s="576">
        <v>8.776090709</v>
      </c>
      <c r="G128" s="576">
        <v>-0.13064426000000001</v>
      </c>
      <c r="H128" s="576">
        <v>2.4224327269999999</v>
      </c>
      <c r="I128" s="576">
        <v>10.086789841</v>
      </c>
      <c r="J128" s="576">
        <v>-0.111699432</v>
      </c>
      <c r="K128" s="576" t="s">
        <v>102</v>
      </c>
      <c r="L128" s="576" t="s">
        <v>102</v>
      </c>
      <c r="M128" s="578">
        <v>6.572073949</v>
      </c>
      <c r="N128" s="578">
        <v>7.1154056690000003</v>
      </c>
      <c r="O128" s="578">
        <v>6.7242580209999998</v>
      </c>
      <c r="P128" s="576">
        <v>5.9018008740000001</v>
      </c>
    </row>
    <row r="129" spans="1:16" s="465" customFormat="1" ht="15.75" customHeight="1" x14ac:dyDescent="0.2">
      <c r="A129" s="495" t="s">
        <v>174</v>
      </c>
      <c r="B129" s="579">
        <v>18.735180436</v>
      </c>
      <c r="C129" s="579">
        <v>23.140394444999998</v>
      </c>
      <c r="D129" s="579">
        <v>-1.748743854</v>
      </c>
      <c r="E129" s="579">
        <v>3.2543106879999999</v>
      </c>
      <c r="F129" s="579">
        <v>17.912579474000001</v>
      </c>
      <c r="G129" s="579">
        <v>75.776801379000005</v>
      </c>
      <c r="H129" s="579">
        <v>12.783856949</v>
      </c>
      <c r="I129" s="579">
        <v>8.1442316479999999</v>
      </c>
      <c r="J129" s="579">
        <v>-9.0004576170000004</v>
      </c>
      <c r="K129" s="579" t="s">
        <v>102</v>
      </c>
      <c r="L129" s="579" t="s">
        <v>102</v>
      </c>
      <c r="M129" s="580">
        <v>18.400462249</v>
      </c>
      <c r="N129" s="580">
        <v>6.5447379999999996E-3</v>
      </c>
      <c r="O129" s="580">
        <v>13.737920149000001</v>
      </c>
      <c r="P129" s="579">
        <v>7.8138926639999999</v>
      </c>
    </row>
    <row r="130" spans="1:16" s="465" customFormat="1" ht="15.75" customHeight="1" x14ac:dyDescent="0.25">
      <c r="A130" s="544" t="s">
        <v>224</v>
      </c>
      <c r="B130" s="583"/>
      <c r="C130" s="583"/>
      <c r="D130" s="583"/>
      <c r="E130" s="583"/>
      <c r="F130" s="583"/>
      <c r="G130" s="583"/>
      <c r="H130" s="583"/>
      <c r="I130" s="583"/>
      <c r="J130" s="583"/>
      <c r="K130" s="583"/>
      <c r="L130" s="583"/>
      <c r="M130" s="584"/>
      <c r="N130" s="584"/>
      <c r="O130" s="584"/>
      <c r="P130" s="583"/>
    </row>
    <row r="131" spans="1:16" s="465" customFormat="1" ht="15.75" customHeight="1" x14ac:dyDescent="0.25">
      <c r="A131" s="487" t="s">
        <v>288</v>
      </c>
      <c r="B131" s="572">
        <v>-47.786889588999998</v>
      </c>
      <c r="C131" s="572">
        <v>7.2895811630000003</v>
      </c>
      <c r="D131" s="572">
        <v>-19.949390033</v>
      </c>
      <c r="E131" s="572">
        <v>12.662969435000001</v>
      </c>
      <c r="F131" s="572">
        <v>20.427925207000001</v>
      </c>
      <c r="G131" s="572">
        <v>18.683577270000001</v>
      </c>
      <c r="H131" s="572">
        <v>9.5031891089999991</v>
      </c>
      <c r="I131" s="572">
        <v>28.736955674000001</v>
      </c>
      <c r="J131" s="572">
        <v>36.999673700000002</v>
      </c>
      <c r="K131" s="572" t="s">
        <v>102</v>
      </c>
      <c r="L131" s="572" t="s">
        <v>102</v>
      </c>
      <c r="M131" s="573">
        <v>13.381178973999999</v>
      </c>
      <c r="N131" s="573">
        <v>31.672823272999999</v>
      </c>
      <c r="O131" s="573">
        <v>17.387119007999999</v>
      </c>
      <c r="P131" s="572">
        <v>10.163335259</v>
      </c>
    </row>
    <row r="132" spans="1:16" s="465" customFormat="1" ht="15.75" customHeight="1" x14ac:dyDescent="0.2">
      <c r="A132" s="545" t="s">
        <v>178</v>
      </c>
      <c r="B132" s="585">
        <v>-45.294659957999997</v>
      </c>
      <c r="C132" s="585">
        <v>-7.0906781350000001</v>
      </c>
      <c r="D132" s="585">
        <v>-21.403980827000002</v>
      </c>
      <c r="E132" s="585">
        <v>11.007882281000001</v>
      </c>
      <c r="F132" s="585">
        <v>23.550258012</v>
      </c>
      <c r="G132" s="585">
        <v>16.625354131999998</v>
      </c>
      <c r="H132" s="585">
        <v>9.7173837209999991</v>
      </c>
      <c r="I132" s="585">
        <v>31.102237857999999</v>
      </c>
      <c r="J132" s="585">
        <v>38.254095870999997</v>
      </c>
      <c r="K132" s="585" t="s">
        <v>102</v>
      </c>
      <c r="L132" s="585" t="s">
        <v>102</v>
      </c>
      <c r="M132" s="586">
        <v>13.385899740999999</v>
      </c>
      <c r="N132" s="586">
        <v>33.759043489</v>
      </c>
      <c r="O132" s="586">
        <v>17.691436408000001</v>
      </c>
      <c r="P132" s="585">
        <v>10.725448594</v>
      </c>
    </row>
    <row r="133" spans="1:16" s="465" customFormat="1" ht="15.75" customHeight="1" x14ac:dyDescent="0.2">
      <c r="A133" s="546" t="s">
        <v>179</v>
      </c>
      <c r="B133" s="587">
        <v>18.791524782</v>
      </c>
      <c r="C133" s="587">
        <v>136.33960077399999</v>
      </c>
      <c r="D133" s="587">
        <v>-43.264056238000002</v>
      </c>
      <c r="E133" s="587">
        <v>40.812176710999999</v>
      </c>
      <c r="F133" s="587">
        <v>-49.67154171</v>
      </c>
      <c r="G133" s="587">
        <v>-12.161319632</v>
      </c>
      <c r="H133" s="587">
        <v>-13.260612906</v>
      </c>
      <c r="I133" s="587">
        <v>97.556698796999996</v>
      </c>
      <c r="J133" s="587">
        <v>102.834974442</v>
      </c>
      <c r="K133" s="587" t="s">
        <v>102</v>
      </c>
      <c r="L133" s="587" t="s">
        <v>102</v>
      </c>
      <c r="M133" s="588">
        <v>-15.929877533000001</v>
      </c>
      <c r="N133" s="588">
        <v>99.400364096999994</v>
      </c>
      <c r="O133" s="588">
        <v>0.856206315</v>
      </c>
      <c r="P133" s="587">
        <v>2.2363989449999999</v>
      </c>
    </row>
    <row r="134" spans="1:16" s="465" customFormat="1" ht="15.75" customHeight="1" x14ac:dyDescent="0.2">
      <c r="A134" s="545" t="s">
        <v>180</v>
      </c>
      <c r="B134" s="585">
        <v>-100</v>
      </c>
      <c r="C134" s="585">
        <v>59.238213307999999</v>
      </c>
      <c r="D134" s="585">
        <v>94.085909053999998</v>
      </c>
      <c r="E134" s="585">
        <v>36.940636808000001</v>
      </c>
      <c r="F134" s="585">
        <v>27.700839473999999</v>
      </c>
      <c r="G134" s="585">
        <v>175.45797678900001</v>
      </c>
      <c r="H134" s="585">
        <v>23.714641442000001</v>
      </c>
      <c r="I134" s="585">
        <v>-2.7824870050000001</v>
      </c>
      <c r="J134" s="585">
        <v>-15.228124953</v>
      </c>
      <c r="K134" s="585" t="s">
        <v>102</v>
      </c>
      <c r="L134" s="585" t="s">
        <v>102</v>
      </c>
      <c r="M134" s="586">
        <v>42.712831444999999</v>
      </c>
      <c r="N134" s="586">
        <v>-5.177251536</v>
      </c>
      <c r="O134" s="586">
        <v>22.332140849000002</v>
      </c>
      <c r="P134" s="585">
        <v>9.7225327549999996</v>
      </c>
    </row>
    <row r="135" spans="1:16" s="465" customFormat="1" ht="15.75" customHeight="1" x14ac:dyDescent="0.25">
      <c r="A135" s="547" t="s">
        <v>289</v>
      </c>
      <c r="B135" s="589">
        <v>-53.913035229999998</v>
      </c>
      <c r="C135" s="589">
        <v>-13.441714556000001</v>
      </c>
      <c r="D135" s="589">
        <v>9.2207303799999991</v>
      </c>
      <c r="E135" s="589">
        <v>26.276191753999999</v>
      </c>
      <c r="F135" s="589">
        <v>22.917004968000001</v>
      </c>
      <c r="G135" s="589">
        <v>9.6504011950000006</v>
      </c>
      <c r="H135" s="589">
        <v>34.817441872000003</v>
      </c>
      <c r="I135" s="589">
        <v>16.616820549</v>
      </c>
      <c r="J135" s="589">
        <v>18.303267948999999</v>
      </c>
      <c r="K135" s="589" t="s">
        <v>102</v>
      </c>
      <c r="L135" s="589" t="s">
        <v>102</v>
      </c>
      <c r="M135" s="590">
        <v>24.487902101</v>
      </c>
      <c r="N135" s="590">
        <v>17.245150997</v>
      </c>
      <c r="O135" s="590">
        <v>22.725232034000001</v>
      </c>
      <c r="P135" s="589">
        <v>4.5805366169999999</v>
      </c>
    </row>
    <row r="136" spans="1:16" s="465" customFormat="1" ht="15.75" customHeight="1" x14ac:dyDescent="0.2">
      <c r="A136" s="545" t="s">
        <v>182</v>
      </c>
      <c r="B136" s="585">
        <v>-35.753903938000001</v>
      </c>
      <c r="C136" s="585">
        <v>84.687778963</v>
      </c>
      <c r="D136" s="585">
        <v>21.519552567000002</v>
      </c>
      <c r="E136" s="585">
        <v>21.306070219999999</v>
      </c>
      <c r="F136" s="585">
        <v>4.9549552480000001</v>
      </c>
      <c r="G136" s="585">
        <v>4.7190541660000003</v>
      </c>
      <c r="H136" s="585">
        <v>40.337525403000001</v>
      </c>
      <c r="I136" s="585">
        <v>32.923657986000002</v>
      </c>
      <c r="J136" s="585">
        <v>-1.58070336</v>
      </c>
      <c r="K136" s="585" t="s">
        <v>102</v>
      </c>
      <c r="L136" s="585" t="s">
        <v>102</v>
      </c>
      <c r="M136" s="586">
        <v>19.401907665</v>
      </c>
      <c r="N136" s="586">
        <v>15.543657977000001</v>
      </c>
      <c r="O136" s="586">
        <v>18.599995687</v>
      </c>
      <c r="P136" s="585">
        <v>10.330488277000001</v>
      </c>
    </row>
    <row r="137" spans="1:16" s="465" customFormat="1" ht="15.75" customHeight="1" x14ac:dyDescent="0.2">
      <c r="A137" s="548" t="s">
        <v>183</v>
      </c>
      <c r="B137" s="587">
        <v>-59.601679367999999</v>
      </c>
      <c r="C137" s="587">
        <v>-39.269366382999998</v>
      </c>
      <c r="D137" s="587">
        <v>8.4252312620000005</v>
      </c>
      <c r="E137" s="587">
        <v>13.097138291</v>
      </c>
      <c r="F137" s="587">
        <v>26.199041292</v>
      </c>
      <c r="G137" s="587">
        <v>-3.3059182140000001</v>
      </c>
      <c r="H137" s="587">
        <v>32.103917387000003</v>
      </c>
      <c r="I137" s="587">
        <v>0.19322656699999999</v>
      </c>
      <c r="J137" s="587">
        <v>-7.1350357109999996</v>
      </c>
      <c r="K137" s="587" t="s">
        <v>102</v>
      </c>
      <c r="L137" s="587" t="s">
        <v>102</v>
      </c>
      <c r="M137" s="588">
        <v>19.131017716999999</v>
      </c>
      <c r="N137" s="588">
        <v>-2.8693065600000001</v>
      </c>
      <c r="O137" s="588">
        <v>14.415252275</v>
      </c>
      <c r="P137" s="587">
        <v>5.9774797599999996</v>
      </c>
    </row>
    <row r="138" spans="1:16" s="465" customFormat="1" ht="15.75" customHeight="1" x14ac:dyDescent="0.2">
      <c r="A138" s="545" t="s">
        <v>184</v>
      </c>
      <c r="B138" s="585" t="s">
        <v>102</v>
      </c>
      <c r="C138" s="585">
        <v>2.6046164780000001</v>
      </c>
      <c r="D138" s="585">
        <v>-6.8434743899999999</v>
      </c>
      <c r="E138" s="585">
        <v>94.53789854</v>
      </c>
      <c r="F138" s="585">
        <v>39.470858546999999</v>
      </c>
      <c r="G138" s="585">
        <v>78.938633887999998</v>
      </c>
      <c r="H138" s="585">
        <v>41.114202874999997</v>
      </c>
      <c r="I138" s="585">
        <v>33.389076756000001</v>
      </c>
      <c r="J138" s="585">
        <v>167.47779073300001</v>
      </c>
      <c r="K138" s="585" t="s">
        <v>102</v>
      </c>
      <c r="L138" s="585" t="s">
        <v>102</v>
      </c>
      <c r="M138" s="586">
        <v>59.786219000000003</v>
      </c>
      <c r="N138" s="586">
        <v>58.875451321</v>
      </c>
      <c r="O138" s="586">
        <v>59.422065760999999</v>
      </c>
      <c r="P138" s="585">
        <v>-5.3640444059999997</v>
      </c>
    </row>
    <row r="139" spans="1:16" s="465" customFormat="1" ht="15.75" customHeight="1" x14ac:dyDescent="0.25">
      <c r="A139" s="549" t="s">
        <v>226</v>
      </c>
      <c r="B139" s="591"/>
      <c r="C139" s="591"/>
      <c r="D139" s="591"/>
      <c r="E139" s="591"/>
      <c r="F139" s="591"/>
      <c r="G139" s="591"/>
      <c r="H139" s="591"/>
      <c r="I139" s="591"/>
      <c r="J139" s="591"/>
      <c r="K139" s="591"/>
      <c r="L139" s="591"/>
      <c r="M139" s="592"/>
      <c r="N139" s="592"/>
      <c r="O139" s="592"/>
      <c r="P139" s="591"/>
    </row>
    <row r="140" spans="1:16" s="465" customFormat="1" ht="15.75" customHeight="1" x14ac:dyDescent="0.25">
      <c r="A140" s="550" t="s">
        <v>458</v>
      </c>
      <c r="B140" s="593">
        <v>2.2692778919999999</v>
      </c>
      <c r="C140" s="593">
        <v>13.323660950000001</v>
      </c>
      <c r="D140" s="593">
        <v>5.7697625080000003</v>
      </c>
      <c r="E140" s="593">
        <v>4.8286039540000001</v>
      </c>
      <c r="F140" s="593">
        <v>4.4990848220000004</v>
      </c>
      <c r="G140" s="593">
        <v>4.1681120070000004</v>
      </c>
      <c r="H140" s="593">
        <v>3.5575842010000001</v>
      </c>
      <c r="I140" s="593">
        <v>3.050909629</v>
      </c>
      <c r="J140" s="593">
        <v>-0.32014942600000001</v>
      </c>
      <c r="K140" s="593" t="s">
        <v>102</v>
      </c>
      <c r="L140" s="593" t="s">
        <v>102</v>
      </c>
      <c r="M140" s="594">
        <v>4.3100381250000002</v>
      </c>
      <c r="N140" s="594">
        <v>1.989985288</v>
      </c>
      <c r="O140" s="594">
        <v>3.6952914049999999</v>
      </c>
      <c r="P140" s="593">
        <v>3.761913233</v>
      </c>
    </row>
    <row r="141" spans="1:16" s="465" customFormat="1" ht="15.75" customHeight="1" x14ac:dyDescent="0.2">
      <c r="A141" s="551" t="s">
        <v>402</v>
      </c>
      <c r="B141" s="595">
        <v>3.3735331469999998</v>
      </c>
      <c r="C141" s="595">
        <v>4.0953399939999997</v>
      </c>
      <c r="D141" s="595">
        <v>7.9301386919999999</v>
      </c>
      <c r="E141" s="595">
        <v>6.7445354069999999</v>
      </c>
      <c r="F141" s="595">
        <v>6.3891591219999997</v>
      </c>
      <c r="G141" s="595">
        <v>12.253536299</v>
      </c>
      <c r="H141" s="595">
        <v>6.6299879150000001</v>
      </c>
      <c r="I141" s="595">
        <v>5.4110312739999999</v>
      </c>
      <c r="J141" s="595">
        <v>2.5904379400000002</v>
      </c>
      <c r="K141" s="595" t="s">
        <v>102</v>
      </c>
      <c r="L141" s="595" t="s">
        <v>102</v>
      </c>
      <c r="M141" s="596">
        <v>7.5643773559999996</v>
      </c>
      <c r="N141" s="596">
        <v>4.4161219799999998</v>
      </c>
      <c r="O141" s="596">
        <v>6.7361786610000003</v>
      </c>
      <c r="P141" s="595">
        <v>4.845576178</v>
      </c>
    </row>
    <row r="142" spans="1:16" s="465" customFormat="1" ht="15.75" customHeight="1" x14ac:dyDescent="0.25">
      <c r="A142" s="552" t="s">
        <v>403</v>
      </c>
      <c r="B142" s="597">
        <v>3.3180350609999998</v>
      </c>
      <c r="C142" s="597">
        <v>1.8864450150000001</v>
      </c>
      <c r="D142" s="597">
        <v>5.1024165769999996</v>
      </c>
      <c r="E142" s="597">
        <v>5.4674082300000002</v>
      </c>
      <c r="F142" s="597">
        <v>4.5867163120000001</v>
      </c>
      <c r="G142" s="597">
        <v>10.529318837</v>
      </c>
      <c r="H142" s="597">
        <v>5.0441457569999999</v>
      </c>
      <c r="I142" s="597">
        <v>3.696988245</v>
      </c>
      <c r="J142" s="597">
        <v>1.7487293829999999</v>
      </c>
      <c r="K142" s="597" t="s">
        <v>102</v>
      </c>
      <c r="L142" s="597" t="s">
        <v>102</v>
      </c>
      <c r="M142" s="598">
        <v>5.9947209480000003</v>
      </c>
      <c r="N142" s="598">
        <v>3.0903229219999999</v>
      </c>
      <c r="O142" s="598">
        <v>5.1970381589999999</v>
      </c>
      <c r="P142" s="597">
        <v>3.9967386170000001</v>
      </c>
    </row>
    <row r="143" spans="1:16" s="465" customFormat="1" ht="15.75" customHeight="1" x14ac:dyDescent="0.25">
      <c r="A143" s="553" t="s">
        <v>404</v>
      </c>
      <c r="B143" s="595">
        <v>4.2750969740000002</v>
      </c>
      <c r="C143" s="595">
        <v>4.4950594989999999</v>
      </c>
      <c r="D143" s="595">
        <v>3.2246554669999998</v>
      </c>
      <c r="E143" s="595">
        <v>4.1093930470000002</v>
      </c>
      <c r="F143" s="595">
        <v>4.4130348870000002</v>
      </c>
      <c r="G143" s="595">
        <v>9.3429226510000003</v>
      </c>
      <c r="H143" s="595">
        <v>2.796424917</v>
      </c>
      <c r="I143" s="595">
        <v>3.787881279</v>
      </c>
      <c r="J143" s="595">
        <v>-1.114133083</v>
      </c>
      <c r="K143" s="595" t="s">
        <v>102</v>
      </c>
      <c r="L143" s="595" t="s">
        <v>102</v>
      </c>
      <c r="M143" s="596">
        <v>4.6597043380000001</v>
      </c>
      <c r="N143" s="596">
        <v>2.1911223889999998</v>
      </c>
      <c r="O143" s="596">
        <v>4.0185156620000004</v>
      </c>
      <c r="P143" s="595">
        <v>2.6236072610000001</v>
      </c>
    </row>
    <row r="144" spans="1:16" s="465" customFormat="1" ht="15.75" customHeight="1" x14ac:dyDescent="0.25">
      <c r="A144" s="548" t="s">
        <v>649</v>
      </c>
      <c r="B144" s="599">
        <v>-45.804020666</v>
      </c>
      <c r="C144" s="599">
        <v>1.5276855620000001</v>
      </c>
      <c r="D144" s="599">
        <v>-22.248525791999999</v>
      </c>
      <c r="E144" s="599">
        <v>10.367071007</v>
      </c>
      <c r="F144" s="599">
        <v>23.080698473999998</v>
      </c>
      <c r="G144" s="599">
        <v>16.825699824000001</v>
      </c>
      <c r="H144" s="599">
        <v>7.8268464560000002</v>
      </c>
      <c r="I144" s="599">
        <v>35.497196533999997</v>
      </c>
      <c r="J144" s="599">
        <v>36.166590956999997</v>
      </c>
      <c r="K144" s="599" t="s">
        <v>102</v>
      </c>
      <c r="L144" s="599" t="s">
        <v>102</v>
      </c>
      <c r="M144" s="600">
        <v>12.571703291</v>
      </c>
      <c r="N144" s="600">
        <v>35.773630249</v>
      </c>
      <c r="O144" s="600">
        <v>17.583376572999999</v>
      </c>
      <c r="P144" s="599">
        <v>10.323270634</v>
      </c>
    </row>
    <row r="145" spans="1:17" s="465" customFormat="1" ht="15.75" customHeight="1" x14ac:dyDescent="0.25">
      <c r="A145" s="554" t="s">
        <v>405</v>
      </c>
      <c r="B145" s="595">
        <v>-10.994061434000001</v>
      </c>
      <c r="C145" s="595">
        <v>-12.894399292999999</v>
      </c>
      <c r="D145" s="595">
        <v>-11.593245251999999</v>
      </c>
      <c r="E145" s="595">
        <v>-2.9695597880000002</v>
      </c>
      <c r="F145" s="595">
        <v>-2.858693728</v>
      </c>
      <c r="G145" s="595">
        <v>1.2870308479999999</v>
      </c>
      <c r="H145" s="595">
        <v>6.3360731039999996</v>
      </c>
      <c r="I145" s="595">
        <v>-3.0812654890000002</v>
      </c>
      <c r="J145" s="595">
        <v>3.1159978779999999</v>
      </c>
      <c r="K145" s="595" t="s">
        <v>102</v>
      </c>
      <c r="L145" s="595" t="s">
        <v>102</v>
      </c>
      <c r="M145" s="596">
        <v>0.17607230300000001</v>
      </c>
      <c r="N145" s="596">
        <v>9.8633022000000001E-2</v>
      </c>
      <c r="O145" s="596">
        <v>0.182825981</v>
      </c>
      <c r="P145" s="595">
        <v>1.1807607760000001</v>
      </c>
    </row>
    <row r="146" spans="1:17" s="465" customFormat="1" ht="15.75" customHeight="1" x14ac:dyDescent="0.25">
      <c r="A146" s="546" t="s">
        <v>406</v>
      </c>
      <c r="B146" s="601">
        <v>-0.67969073300000005</v>
      </c>
      <c r="C146" s="601">
        <v>-2.3221922560000001</v>
      </c>
      <c r="D146" s="601">
        <v>2.7097596039999998</v>
      </c>
      <c r="E146" s="601">
        <v>0.96685682799999995</v>
      </c>
      <c r="F146" s="601">
        <v>1.9180181999999999</v>
      </c>
      <c r="G146" s="601">
        <v>0.51779668899999998</v>
      </c>
      <c r="H146" s="601">
        <v>0.34577428199999999</v>
      </c>
      <c r="I146" s="601">
        <v>1.170865552</v>
      </c>
      <c r="J146" s="601">
        <v>-0.269176319</v>
      </c>
      <c r="K146" s="601" t="s">
        <v>102</v>
      </c>
      <c r="L146" s="601" t="s">
        <v>102</v>
      </c>
      <c r="M146" s="602">
        <v>1.006201702</v>
      </c>
      <c r="N146" s="602">
        <v>0.55284269500000005</v>
      </c>
      <c r="O146" s="602">
        <v>0.90680870400000002</v>
      </c>
      <c r="P146" s="601">
        <v>1.5790127780000001</v>
      </c>
    </row>
    <row r="147" spans="1:17" s="465" customFormat="1" ht="15.75" customHeight="1" x14ac:dyDescent="0.2">
      <c r="A147" s="551" t="s">
        <v>417</v>
      </c>
      <c r="B147" s="595">
        <v>2.3919734269999999</v>
      </c>
      <c r="C147" s="595">
        <v>-1.364663519</v>
      </c>
      <c r="D147" s="595">
        <v>-0.47668205800000002</v>
      </c>
      <c r="E147" s="595">
        <v>0.203458578</v>
      </c>
      <c r="F147" s="595">
        <v>7.5069985000000006E-2</v>
      </c>
      <c r="G147" s="595">
        <v>0.30671537500000001</v>
      </c>
      <c r="H147" s="595">
        <v>0.74115568799999998</v>
      </c>
      <c r="I147" s="595">
        <v>-0.10564601699999999</v>
      </c>
      <c r="J147" s="595">
        <v>0.84336743400000003</v>
      </c>
      <c r="K147" s="595" t="s">
        <v>102</v>
      </c>
      <c r="L147" s="595" t="s">
        <v>102</v>
      </c>
      <c r="M147" s="596">
        <v>0.31834823600000001</v>
      </c>
      <c r="N147" s="596">
        <v>0.239240327</v>
      </c>
      <c r="O147" s="596">
        <v>0.28422455800000002</v>
      </c>
      <c r="P147" s="595">
        <v>0.122944939</v>
      </c>
    </row>
    <row r="148" spans="1:17" s="465" customFormat="1" ht="15.75" customHeight="1" x14ac:dyDescent="0.2">
      <c r="A148" s="552" t="s">
        <v>791</v>
      </c>
      <c r="B148" s="597">
        <v>1.4567633760000001</v>
      </c>
      <c r="C148" s="597">
        <v>-6.0116111400000003</v>
      </c>
      <c r="D148" s="597">
        <v>-1.789924029</v>
      </c>
      <c r="E148" s="597">
        <v>-0.54318627100000005</v>
      </c>
      <c r="F148" s="597">
        <v>-8.3864279999999996E-3</v>
      </c>
      <c r="G148" s="597">
        <v>3.9292385510000001</v>
      </c>
      <c r="H148" s="597">
        <v>-0.53200924400000005</v>
      </c>
      <c r="I148" s="597">
        <v>0.59975438400000003</v>
      </c>
      <c r="J148" s="597">
        <v>-0.80999062099999997</v>
      </c>
      <c r="K148" s="597" t="s">
        <v>102</v>
      </c>
      <c r="L148" s="597" t="s">
        <v>102</v>
      </c>
      <c r="M148" s="598">
        <v>0.31865689200000002</v>
      </c>
      <c r="N148" s="598">
        <v>0.117591459</v>
      </c>
      <c r="O148" s="598">
        <v>0.27752316599999999</v>
      </c>
      <c r="P148" s="597">
        <v>-0.91563832599999995</v>
      </c>
    </row>
    <row r="149" spans="1:17" s="517" customFormat="1" ht="15.75" customHeight="1" x14ac:dyDescent="0.25">
      <c r="A149" s="553" t="s">
        <v>418</v>
      </c>
      <c r="B149" s="595">
        <v>-1.8436800149999999</v>
      </c>
      <c r="C149" s="595">
        <v>7.7658392440000004</v>
      </c>
      <c r="D149" s="595">
        <v>6.0977016810000002</v>
      </c>
      <c r="E149" s="595">
        <v>0.20136459400000001</v>
      </c>
      <c r="F149" s="595">
        <v>8.9402118000000003E-2</v>
      </c>
      <c r="G149" s="595">
        <v>-3.923940666</v>
      </c>
      <c r="H149" s="595">
        <v>-0.35294693799999999</v>
      </c>
      <c r="I149" s="595">
        <v>-1.2790344929999999</v>
      </c>
      <c r="J149" s="595">
        <v>1.264846975</v>
      </c>
      <c r="K149" s="595" t="s">
        <v>102</v>
      </c>
      <c r="L149" s="595" t="s">
        <v>102</v>
      </c>
      <c r="M149" s="596">
        <v>-0.54271810700000001</v>
      </c>
      <c r="N149" s="596">
        <v>-0.45659704600000001</v>
      </c>
      <c r="O149" s="596">
        <v>-0.53038533399999999</v>
      </c>
      <c r="P149" s="595">
        <v>0.65463221599999999</v>
      </c>
      <c r="Q149" s="465"/>
    </row>
    <row r="150" spans="1:17" s="465" customFormat="1" ht="15.75" customHeight="1" x14ac:dyDescent="0.25">
      <c r="A150" s="548" t="s">
        <v>463</v>
      </c>
      <c r="B150" s="599">
        <v>-11.715842814</v>
      </c>
      <c r="C150" s="599">
        <v>-0.85555651200000005</v>
      </c>
      <c r="D150" s="599">
        <v>-10.919214923</v>
      </c>
      <c r="E150" s="599">
        <v>2.2184486830000001</v>
      </c>
      <c r="F150" s="599">
        <v>6.3525375220000004</v>
      </c>
      <c r="G150" s="599">
        <v>1.920157597</v>
      </c>
      <c r="H150" s="599">
        <v>1.63355228</v>
      </c>
      <c r="I150" s="599">
        <v>7.3263999589999997</v>
      </c>
      <c r="J150" s="599">
        <v>10.830692453999999</v>
      </c>
      <c r="K150" s="599" t="s">
        <v>102</v>
      </c>
      <c r="L150" s="599" t="s">
        <v>102</v>
      </c>
      <c r="M150" s="600">
        <v>2.5785960530000001</v>
      </c>
      <c r="N150" s="600">
        <v>8.3898286429999995</v>
      </c>
      <c r="O150" s="600">
        <v>4.1480272989999998</v>
      </c>
      <c r="P150" s="599">
        <v>2.0024005030000001</v>
      </c>
    </row>
    <row r="151" spans="1:17" s="465" customFormat="1" ht="15.75" customHeight="1" x14ac:dyDescent="0.25">
      <c r="A151" s="554" t="s">
        <v>419</v>
      </c>
      <c r="B151" s="595">
        <v>-5.9798136570000002</v>
      </c>
      <c r="C151" s="595">
        <v>-10.862673802</v>
      </c>
      <c r="D151" s="595">
        <v>-9.8045156650000003</v>
      </c>
      <c r="E151" s="595">
        <v>-4.5747926229999996</v>
      </c>
      <c r="F151" s="595">
        <v>-4.6665754530000001</v>
      </c>
      <c r="G151" s="595">
        <v>-4.4953982740000002</v>
      </c>
      <c r="H151" s="595">
        <v>2.0091320050000001</v>
      </c>
      <c r="I151" s="595">
        <v>-3.3335611460000001</v>
      </c>
      <c r="J151" s="595">
        <v>4.46079063</v>
      </c>
      <c r="K151" s="595" t="s">
        <v>102</v>
      </c>
      <c r="L151" s="595" t="s">
        <v>102</v>
      </c>
      <c r="M151" s="596">
        <v>-2.713082666</v>
      </c>
      <c r="N151" s="596">
        <v>-1.3917230410000001</v>
      </c>
      <c r="O151" s="596">
        <v>-2.381187546</v>
      </c>
      <c r="P151" s="595">
        <v>-0.98957892700000005</v>
      </c>
    </row>
    <row r="152" spans="1:17" s="465" customFormat="1" ht="15.75" customHeight="1" x14ac:dyDescent="0.2">
      <c r="A152" s="555" t="s">
        <v>792</v>
      </c>
      <c r="B152" s="603">
        <v>-0.327741112</v>
      </c>
      <c r="C152" s="603">
        <v>0.127419213</v>
      </c>
      <c r="D152" s="603">
        <v>-0.21062963700000001</v>
      </c>
      <c r="E152" s="603">
        <v>-0.140495024</v>
      </c>
      <c r="F152" s="603">
        <v>-0.25398694900000002</v>
      </c>
      <c r="G152" s="603">
        <v>-0.90334400800000003</v>
      </c>
      <c r="H152" s="603">
        <v>0.238459753</v>
      </c>
      <c r="I152" s="603">
        <v>-0.38374735999999998</v>
      </c>
      <c r="J152" s="603">
        <v>0.55906139099999996</v>
      </c>
      <c r="K152" s="603" t="s">
        <v>102</v>
      </c>
      <c r="L152" s="603" t="s">
        <v>102</v>
      </c>
      <c r="M152" s="604">
        <v>-0.20688478399999999</v>
      </c>
      <c r="N152" s="604">
        <v>-0.12744699200000001</v>
      </c>
      <c r="O152" s="604">
        <v>-0.19421849299999999</v>
      </c>
      <c r="P152" s="603">
        <v>0.209288696</v>
      </c>
    </row>
    <row r="153" spans="1:17" x14ac:dyDescent="0.2">
      <c r="A153" s="255" t="s">
        <v>909</v>
      </c>
      <c r="B153" s="13"/>
      <c r="C153" s="13"/>
      <c r="D153" s="13"/>
      <c r="E153" s="13"/>
      <c r="F153" s="13"/>
      <c r="G153" s="13"/>
      <c r="H153" s="13"/>
      <c r="I153" s="13"/>
      <c r="J153" s="13"/>
      <c r="K153" s="13"/>
      <c r="L153" s="13"/>
      <c r="M153" s="13"/>
      <c r="N153" s="13"/>
      <c r="O153" s="13"/>
      <c r="P153" s="39"/>
    </row>
    <row r="154" spans="1:17" x14ac:dyDescent="0.2">
      <c r="A154" s="255" t="s">
        <v>357</v>
      </c>
      <c r="B154" s="13"/>
      <c r="C154" s="13"/>
      <c r="D154" s="13"/>
      <c r="E154" s="13"/>
      <c r="F154" s="13"/>
      <c r="G154" s="13"/>
      <c r="H154" s="13"/>
      <c r="I154" s="13"/>
      <c r="J154" s="13"/>
      <c r="K154" s="13"/>
      <c r="L154" s="13"/>
      <c r="M154" s="13"/>
      <c r="N154" s="13"/>
      <c r="O154" s="13"/>
      <c r="P154" s="39"/>
    </row>
    <row r="155" spans="1:17" x14ac:dyDescent="0.2">
      <c r="A155" s="286" t="s">
        <v>904</v>
      </c>
      <c r="B155" s="13"/>
      <c r="C155" s="13"/>
      <c r="D155" s="13"/>
      <c r="E155" s="13"/>
      <c r="F155" s="13"/>
      <c r="G155" s="13"/>
      <c r="H155" s="13"/>
      <c r="I155" s="13"/>
      <c r="J155" s="13"/>
      <c r="K155" s="13"/>
      <c r="L155" s="13"/>
      <c r="M155" s="13"/>
      <c r="N155" s="13"/>
      <c r="O155" s="13"/>
      <c r="P155" s="39"/>
    </row>
    <row r="156" spans="1:17" x14ac:dyDescent="0.2">
      <c r="A156" s="37" t="s">
        <v>557</v>
      </c>
      <c r="B156" s="13"/>
      <c r="C156" s="13"/>
      <c r="D156" s="13"/>
      <c r="E156" s="13"/>
      <c r="F156" s="13"/>
      <c r="G156" s="13"/>
      <c r="H156" s="13"/>
      <c r="I156" s="13"/>
      <c r="J156" s="13"/>
      <c r="K156" s="13"/>
      <c r="L156" s="13"/>
      <c r="M156" s="13"/>
      <c r="N156" s="13"/>
      <c r="O156" s="13"/>
      <c r="P156" s="39"/>
    </row>
    <row r="157" spans="1:17" x14ac:dyDescent="0.2">
      <c r="A157" s="286" t="s">
        <v>905</v>
      </c>
      <c r="B157" s="13"/>
      <c r="C157" s="13"/>
      <c r="D157" s="13"/>
      <c r="E157" s="13"/>
      <c r="F157" s="13"/>
      <c r="G157" s="13"/>
      <c r="H157" s="13"/>
      <c r="I157" s="13"/>
      <c r="J157" s="13"/>
      <c r="K157" s="13"/>
      <c r="L157" s="13"/>
      <c r="M157" s="13"/>
      <c r="N157" s="13"/>
      <c r="O157" s="13"/>
      <c r="P157" s="39"/>
    </row>
    <row r="158" spans="1:17" x14ac:dyDescent="0.2">
      <c r="A158" s="255" t="s">
        <v>983</v>
      </c>
      <c r="B158" s="13"/>
      <c r="C158" s="13"/>
      <c r="D158" s="13"/>
      <c r="E158" s="13"/>
      <c r="F158" s="13"/>
      <c r="G158" s="13"/>
      <c r="H158" s="13"/>
      <c r="I158" s="13"/>
      <c r="J158" s="13"/>
      <c r="K158" s="13"/>
      <c r="L158" s="13"/>
      <c r="M158" s="13"/>
      <c r="N158" s="13"/>
      <c r="O158" s="13"/>
      <c r="P158" s="39"/>
    </row>
    <row r="159" spans="1:17" x14ac:dyDescent="0.2">
      <c r="A159" s="286" t="s">
        <v>916</v>
      </c>
      <c r="B159" s="13"/>
      <c r="C159" s="13"/>
      <c r="D159" s="13"/>
      <c r="E159" s="13"/>
      <c r="F159" s="13"/>
      <c r="G159" s="13"/>
      <c r="H159" s="13"/>
      <c r="I159" s="13"/>
      <c r="J159" s="13"/>
      <c r="K159" s="13"/>
      <c r="L159" s="13"/>
      <c r="M159" s="13"/>
      <c r="N159" s="13"/>
      <c r="O159" s="13"/>
      <c r="P159" s="39"/>
    </row>
    <row r="161" spans="1:16" ht="12.75" customHeight="1" x14ac:dyDescent="0.2">
      <c r="A161" s="1015" t="s">
        <v>679</v>
      </c>
      <c r="B161" s="1015"/>
      <c r="C161" s="1015"/>
      <c r="D161" s="1015"/>
      <c r="E161" s="1015"/>
      <c r="F161" s="1015"/>
      <c r="G161" s="1015"/>
      <c r="H161" s="1015"/>
      <c r="I161" s="1015"/>
      <c r="J161" s="1015"/>
      <c r="K161" s="1015"/>
      <c r="L161" s="1015"/>
      <c r="M161" s="1015"/>
      <c r="N161" s="1015"/>
      <c r="O161" s="1015"/>
      <c r="P161" s="1015"/>
    </row>
    <row r="162" spans="1:16" ht="13.5" customHeight="1" x14ac:dyDescent="0.2">
      <c r="A162" s="1015"/>
      <c r="B162" s="1015"/>
      <c r="C162" s="1015"/>
      <c r="D162" s="1015"/>
      <c r="E162" s="1015"/>
      <c r="F162" s="1015"/>
      <c r="G162" s="1015"/>
      <c r="H162" s="1015"/>
      <c r="I162" s="1015"/>
      <c r="J162" s="1015"/>
      <c r="K162" s="1015"/>
      <c r="L162" s="1015"/>
      <c r="M162" s="1015"/>
      <c r="N162" s="1015"/>
      <c r="O162" s="1015"/>
      <c r="P162" s="1015"/>
    </row>
    <row r="163" spans="1:16" x14ac:dyDescent="0.2">
      <c r="A163" s="1015"/>
      <c r="B163" s="1015"/>
      <c r="C163" s="1015"/>
      <c r="D163" s="1015"/>
      <c r="E163" s="1015"/>
      <c r="F163" s="1015"/>
      <c r="G163" s="1015"/>
      <c r="H163" s="1015"/>
      <c r="I163" s="1015"/>
      <c r="J163" s="1015"/>
      <c r="K163" s="1015"/>
      <c r="L163" s="1015"/>
      <c r="M163" s="1015"/>
      <c r="N163" s="1015"/>
      <c r="O163" s="1015"/>
      <c r="P163" s="1015"/>
    </row>
    <row r="164" spans="1:16" x14ac:dyDescent="0.2">
      <c r="A164" s="303"/>
      <c r="B164" s="303"/>
      <c r="C164" s="303"/>
      <c r="D164" s="303"/>
      <c r="E164" s="303"/>
      <c r="F164" s="303"/>
      <c r="G164" s="306"/>
      <c r="H164" s="306"/>
      <c r="I164" s="306"/>
      <c r="J164" s="306"/>
      <c r="K164" s="306"/>
      <c r="L164" s="306"/>
      <c r="M164" s="306"/>
      <c r="N164" s="306"/>
      <c r="O164" s="306"/>
      <c r="P164" s="306"/>
    </row>
    <row r="165" spans="1:16" x14ac:dyDescent="0.2">
      <c r="A165" s="1024" t="s">
        <v>324</v>
      </c>
      <c r="B165" s="1024"/>
      <c r="C165" s="1024"/>
      <c r="D165" s="1024"/>
      <c r="E165" s="1024"/>
      <c r="F165" s="1024"/>
      <c r="G165" s="306"/>
      <c r="H165" s="306"/>
      <c r="I165" s="306"/>
      <c r="J165" s="306"/>
      <c r="K165" s="306"/>
      <c r="L165" s="306"/>
      <c r="M165" s="306"/>
      <c r="N165" s="306"/>
      <c r="O165" s="306"/>
      <c r="P165" s="306"/>
    </row>
    <row r="166" spans="1:16" x14ac:dyDescent="0.2">
      <c r="A166" s="303"/>
      <c r="B166" s="303"/>
      <c r="C166" s="303"/>
      <c r="D166" s="303"/>
      <c r="E166" s="303"/>
      <c r="F166" s="303"/>
      <c r="G166" s="306"/>
      <c r="H166" s="306"/>
      <c r="I166" s="306"/>
      <c r="J166" s="306"/>
      <c r="K166" s="306"/>
      <c r="L166" s="306"/>
      <c r="M166" s="306"/>
      <c r="N166" s="306"/>
      <c r="O166" s="306"/>
      <c r="P166" s="306"/>
    </row>
    <row r="167" spans="1:16" ht="12.75" customHeight="1" x14ac:dyDescent="0.2">
      <c r="A167" s="1015" t="s">
        <v>325</v>
      </c>
      <c r="B167" s="1015"/>
      <c r="C167" s="1015"/>
      <c r="D167" s="1015"/>
      <c r="E167" s="1015"/>
      <c r="F167" s="1015"/>
      <c r="G167" s="1015"/>
      <c r="H167" s="1015"/>
      <c r="I167" s="1015"/>
      <c r="J167" s="1015"/>
      <c r="K167" s="1015"/>
      <c r="L167" s="1015"/>
      <c r="M167" s="1015"/>
      <c r="N167" s="1015"/>
      <c r="O167" s="1015"/>
      <c r="P167" s="1015"/>
    </row>
    <row r="168" spans="1:16" x14ac:dyDescent="0.2">
      <c r="A168" s="1015"/>
      <c r="B168" s="1015"/>
      <c r="C168" s="1015"/>
      <c r="D168" s="1015"/>
      <c r="E168" s="1015"/>
      <c r="F168" s="1015"/>
      <c r="G168" s="1015"/>
      <c r="H168" s="1015"/>
      <c r="I168" s="1015"/>
      <c r="J168" s="1015"/>
      <c r="K168" s="1015"/>
      <c r="L168" s="1015"/>
      <c r="M168" s="1015"/>
      <c r="N168" s="1015"/>
      <c r="O168" s="1015"/>
      <c r="P168" s="1015"/>
    </row>
    <row r="169" spans="1:16" x14ac:dyDescent="0.2">
      <c r="A169" s="303"/>
      <c r="B169" s="303"/>
      <c r="C169" s="303"/>
      <c r="D169" s="303"/>
      <c r="E169" s="303"/>
      <c r="F169" s="303"/>
      <c r="G169" s="306"/>
      <c r="H169" s="306"/>
      <c r="I169" s="306"/>
      <c r="J169" s="306"/>
      <c r="K169" s="306"/>
      <c r="L169" s="306"/>
      <c r="M169" s="306"/>
      <c r="N169" s="306"/>
      <c r="O169" s="306"/>
      <c r="P169" s="306"/>
    </row>
    <row r="170" spans="1:16" ht="12.75" customHeight="1" x14ac:dyDescent="0.2">
      <c r="A170" s="1015" t="s">
        <v>326</v>
      </c>
      <c r="B170" s="1015"/>
      <c r="C170" s="1015"/>
      <c r="D170" s="1015"/>
      <c r="E170" s="1015"/>
      <c r="F170" s="1015"/>
      <c r="G170" s="1015"/>
      <c r="H170" s="1015"/>
      <c r="I170" s="1015"/>
      <c r="J170" s="1015"/>
      <c r="K170" s="1015"/>
      <c r="L170" s="1015"/>
      <c r="M170" s="1015"/>
      <c r="N170" s="1015"/>
      <c r="O170" s="1015"/>
      <c r="P170" s="1015"/>
    </row>
    <row r="171" spans="1:16" x14ac:dyDescent="0.2">
      <c r="A171" s="1015"/>
      <c r="B171" s="1015"/>
      <c r="C171" s="1015"/>
      <c r="D171" s="1015"/>
      <c r="E171" s="1015"/>
      <c r="F171" s="1015"/>
      <c r="G171" s="1015"/>
      <c r="H171" s="1015"/>
      <c r="I171" s="1015"/>
      <c r="J171" s="1015"/>
      <c r="K171" s="1015"/>
      <c r="L171" s="1015"/>
      <c r="M171" s="1015"/>
      <c r="N171" s="1015"/>
      <c r="O171" s="1015"/>
      <c r="P171" s="1015"/>
    </row>
    <row r="172" spans="1:16" x14ac:dyDescent="0.2">
      <c r="A172" s="1015"/>
      <c r="B172" s="1015"/>
      <c r="C172" s="1015"/>
      <c r="D172" s="1015"/>
      <c r="E172" s="1015"/>
      <c r="F172" s="1015"/>
      <c r="G172" s="1015"/>
      <c r="H172" s="1015"/>
      <c r="I172" s="1015"/>
      <c r="J172" s="1015"/>
      <c r="K172" s="1015"/>
      <c r="L172" s="1015"/>
      <c r="M172" s="1015"/>
      <c r="N172" s="1015"/>
      <c r="O172" s="1015"/>
      <c r="P172" s="1015"/>
    </row>
    <row r="173" spans="1:16" x14ac:dyDescent="0.2">
      <c r="A173" s="303"/>
      <c r="B173" s="303"/>
      <c r="C173" s="303"/>
      <c r="D173" s="303"/>
      <c r="E173" s="303"/>
      <c r="F173" s="303"/>
      <c r="G173" s="306"/>
      <c r="H173" s="306"/>
      <c r="I173" s="306"/>
      <c r="J173" s="306"/>
      <c r="K173" s="306"/>
      <c r="L173" s="306"/>
      <c r="M173" s="306"/>
      <c r="N173" s="306"/>
      <c r="O173" s="306"/>
      <c r="P173" s="306"/>
    </row>
    <row r="174" spans="1:16" ht="12.75" customHeight="1" x14ac:dyDescent="0.2">
      <c r="A174" s="1015" t="s">
        <v>327</v>
      </c>
      <c r="B174" s="1015"/>
      <c r="C174" s="1015"/>
      <c r="D174" s="1015"/>
      <c r="E174" s="1015"/>
      <c r="F174" s="1015"/>
      <c r="G174" s="1015"/>
      <c r="H174" s="1015"/>
      <c r="I174" s="1015"/>
      <c r="J174" s="1015"/>
      <c r="K174" s="1015"/>
      <c r="L174" s="1015"/>
      <c r="M174" s="1015"/>
      <c r="N174" s="1015"/>
      <c r="O174" s="1015"/>
      <c r="P174" s="1015"/>
    </row>
    <row r="175" spans="1:16" x14ac:dyDescent="0.2">
      <c r="A175" s="1015"/>
      <c r="B175" s="1015"/>
      <c r="C175" s="1015"/>
      <c r="D175" s="1015"/>
      <c r="E175" s="1015"/>
      <c r="F175" s="1015"/>
      <c r="G175" s="1015"/>
      <c r="H175" s="1015"/>
      <c r="I175" s="1015"/>
      <c r="J175" s="1015"/>
      <c r="K175" s="1015"/>
      <c r="L175" s="1015"/>
      <c r="M175" s="1015"/>
      <c r="N175" s="1015"/>
      <c r="O175" s="1015"/>
      <c r="P175" s="1015"/>
    </row>
    <row r="176" spans="1:16" ht="10.5" customHeight="1" x14ac:dyDescent="0.2">
      <c r="A176" s="1015"/>
      <c r="B176" s="1015"/>
      <c r="C176" s="1015"/>
      <c r="D176" s="1015"/>
      <c r="E176" s="1015"/>
      <c r="F176" s="1015"/>
      <c r="G176" s="1015"/>
      <c r="H176" s="1015"/>
      <c r="I176" s="1015"/>
      <c r="J176" s="1015"/>
      <c r="K176" s="1015"/>
      <c r="L176" s="1015"/>
      <c r="M176" s="1015"/>
      <c r="N176" s="1015"/>
      <c r="O176" s="1015"/>
      <c r="P176" s="1015"/>
    </row>
    <row r="177" spans="1:16" x14ac:dyDescent="0.2">
      <c r="A177" s="1015"/>
      <c r="B177" s="1015"/>
      <c r="C177" s="1015"/>
      <c r="D177" s="1015"/>
      <c r="E177" s="1015"/>
      <c r="F177" s="1015"/>
      <c r="G177" s="1015"/>
      <c r="H177" s="1015"/>
      <c r="I177" s="1015"/>
      <c r="J177" s="1015"/>
      <c r="K177" s="1015"/>
      <c r="L177" s="1015"/>
      <c r="M177" s="1015"/>
      <c r="N177" s="1015"/>
      <c r="O177" s="1015"/>
      <c r="P177" s="1015"/>
    </row>
    <row r="178" spans="1:16" ht="12.75" customHeight="1" x14ac:dyDescent="0.2">
      <c r="A178" s="303"/>
      <c r="B178" s="303"/>
      <c r="C178" s="303"/>
      <c r="D178" s="303"/>
      <c r="E178" s="303"/>
      <c r="F178" s="303"/>
      <c r="G178" s="306"/>
      <c r="H178" s="306"/>
      <c r="I178" s="306"/>
      <c r="J178" s="306"/>
      <c r="K178" s="306"/>
      <c r="L178" s="306"/>
      <c r="M178" s="306"/>
      <c r="N178" s="306"/>
      <c r="O178" s="306"/>
      <c r="P178" s="306"/>
    </row>
    <row r="179" spans="1:16" ht="60.75" customHeight="1" x14ac:dyDescent="0.2">
      <c r="A179" s="1015" t="s">
        <v>680</v>
      </c>
      <c r="B179" s="1015"/>
      <c r="C179" s="1015"/>
      <c r="D179" s="1015"/>
      <c r="E179" s="1015"/>
      <c r="F179" s="1015"/>
      <c r="G179" s="1015"/>
      <c r="H179" s="1015"/>
      <c r="I179" s="1015"/>
      <c r="J179" s="1015"/>
      <c r="K179" s="1015"/>
      <c r="L179" s="1015"/>
      <c r="M179" s="1015"/>
      <c r="N179" s="1015"/>
      <c r="O179" s="1015"/>
      <c r="P179" s="1015"/>
    </row>
    <row r="180" spans="1:16" ht="12.75" customHeight="1" x14ac:dyDescent="0.2">
      <c r="A180" s="303"/>
      <c r="B180" s="303"/>
      <c r="C180" s="303"/>
      <c r="D180" s="303"/>
      <c r="E180" s="303"/>
      <c r="F180" s="303"/>
      <c r="G180" s="306"/>
      <c r="H180" s="306"/>
      <c r="I180" s="306"/>
      <c r="J180" s="306"/>
      <c r="K180" s="306"/>
      <c r="L180" s="306"/>
      <c r="M180" s="306"/>
      <c r="N180" s="306"/>
      <c r="O180" s="306"/>
      <c r="P180" s="306"/>
    </row>
    <row r="181" spans="1:16" ht="157.5" customHeight="1" x14ac:dyDescent="0.2">
      <c r="A181" s="1015" t="s">
        <v>681</v>
      </c>
      <c r="B181" s="1015"/>
      <c r="C181" s="1015"/>
      <c r="D181" s="1015"/>
      <c r="E181" s="1015"/>
      <c r="F181" s="1015"/>
      <c r="G181" s="1015"/>
      <c r="H181" s="1015"/>
      <c r="I181" s="1015"/>
      <c r="J181" s="1015"/>
      <c r="K181" s="1015"/>
      <c r="L181" s="1015"/>
      <c r="M181" s="1015"/>
      <c r="N181" s="1015"/>
      <c r="O181" s="1015"/>
      <c r="P181" s="1015"/>
    </row>
  </sheetData>
  <mergeCells count="7">
    <mergeCell ref="A179:P179"/>
    <mergeCell ref="A181:P181"/>
    <mergeCell ref="A165:F165"/>
    <mergeCell ref="A161:P163"/>
    <mergeCell ref="A167:P168"/>
    <mergeCell ref="A170:P172"/>
    <mergeCell ref="A174:P177"/>
  </mergeCells>
  <phoneticPr fontId="2" type="noConversion"/>
  <pageMargins left="0.59055118110236227" right="0.59055118110236227" top="0.59055118110236227" bottom="0.59055118110236227" header="0.39370078740157483" footer="0.39370078740157483"/>
  <pageSetup paperSize="9" scale="48" firstPageNumber="38" fitToHeight="0" orientation="landscape" useFirstPageNumber="1" r:id="rId1"/>
  <headerFooter alignWithMargins="0">
    <oddHeader>&amp;R&amp;12Les finances des communes en 2024</oddHeader>
    <oddFooter>&amp;L&amp;12Direction Générale des Collectivités Locales / DESL&amp;C&amp;12&amp;P&amp;R&amp;12Mise en ligne : janvier 2026</oddFooter>
  </headerFooter>
  <rowBreaks count="3" manualBreakCount="3">
    <brk id="59" max="15" man="1"/>
    <brk id="104" max="15" man="1"/>
    <brk id="159" max="15" man="1"/>
  </rowBreaks>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Y163"/>
  <sheetViews>
    <sheetView view="pageBreakPreview" zoomScale="60" zoomScaleNormal="85" zoomScalePageLayoutView="85" workbookViewId="0">
      <selection activeCell="P8" sqref="P8"/>
    </sheetView>
  </sheetViews>
  <sheetFormatPr baseColWidth="10" defaultRowHeight="12.75" x14ac:dyDescent="0.2"/>
  <cols>
    <col min="1" max="1" width="90.85546875" customWidth="1"/>
    <col min="13" max="14" width="15.5703125" customWidth="1"/>
    <col min="15" max="15" width="14.28515625" customWidth="1"/>
    <col min="16" max="16" width="19.28515625" customWidth="1"/>
  </cols>
  <sheetData>
    <row r="1" spans="1:16" ht="21" x14ac:dyDescent="0.2">
      <c r="A1" s="46" t="s">
        <v>924</v>
      </c>
    </row>
    <row r="2" spans="1:16" ht="18" x14ac:dyDescent="0.2">
      <c r="A2" s="46"/>
    </row>
    <row r="3" spans="1:16" ht="13.5" thickBot="1" x14ac:dyDescent="0.25">
      <c r="A3" s="13"/>
      <c r="P3" s="259" t="s">
        <v>213</v>
      </c>
    </row>
    <row r="4" spans="1:16" ht="12.7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231</v>
      </c>
      <c r="O4" s="257" t="s">
        <v>77</v>
      </c>
      <c r="P4" s="281" t="s">
        <v>220</v>
      </c>
    </row>
    <row r="5" spans="1:16" ht="25.5"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294</v>
      </c>
    </row>
    <row r="6" spans="1:16" ht="1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295</v>
      </c>
    </row>
    <row r="7" spans="1:16" ht="12.75" customHeight="1" x14ac:dyDescent="0.2">
      <c r="A7" s="227"/>
    </row>
    <row r="8" spans="1:16" ht="15.75" customHeight="1" x14ac:dyDescent="0.25">
      <c r="A8" s="474" t="s">
        <v>160</v>
      </c>
      <c r="B8" s="466">
        <v>874.84448232299997</v>
      </c>
      <c r="C8" s="466">
        <v>707.57286896200003</v>
      </c>
      <c r="D8" s="466">
        <v>650.55877728999997</v>
      </c>
      <c r="E8" s="466">
        <v>704.41895086600005</v>
      </c>
      <c r="F8" s="466">
        <v>826.94073579200005</v>
      </c>
      <c r="G8" s="466">
        <v>918.44120962299996</v>
      </c>
      <c r="H8" s="466">
        <v>968.55604428499998</v>
      </c>
      <c r="I8" s="466">
        <v>1073.84715828</v>
      </c>
      <c r="J8" s="466">
        <v>871.33286897599999</v>
      </c>
      <c r="K8" s="570" t="s">
        <v>102</v>
      </c>
      <c r="L8" s="466" t="s">
        <v>102</v>
      </c>
      <c r="M8" s="479">
        <v>765.21721759399998</v>
      </c>
      <c r="N8" s="479">
        <v>1017.904384355</v>
      </c>
      <c r="O8" s="479">
        <v>768.73220553600004</v>
      </c>
      <c r="P8" s="466">
        <v>1141.413068289</v>
      </c>
    </row>
    <row r="9" spans="1:16" ht="15.75" customHeight="1" x14ac:dyDescent="0.2">
      <c r="A9" s="465" t="s">
        <v>161</v>
      </c>
      <c r="B9" s="467">
        <v>352.75147954800002</v>
      </c>
      <c r="C9" s="467">
        <v>273.367412882</v>
      </c>
      <c r="D9" s="467">
        <v>236.09066433699999</v>
      </c>
      <c r="E9" s="467">
        <v>242.82074272400001</v>
      </c>
      <c r="F9" s="467">
        <v>274.64869719000001</v>
      </c>
      <c r="G9" s="467">
        <v>286.60678247999999</v>
      </c>
      <c r="H9" s="467">
        <v>278.73311010899999</v>
      </c>
      <c r="I9" s="467">
        <v>303.56312799300002</v>
      </c>
      <c r="J9" s="467">
        <v>243.144758612</v>
      </c>
      <c r="K9" s="467" t="s">
        <v>102</v>
      </c>
      <c r="L9" s="467" t="s">
        <v>102</v>
      </c>
      <c r="M9" s="480">
        <v>257.551055018</v>
      </c>
      <c r="N9" s="480">
        <v>286.87309001699998</v>
      </c>
      <c r="O9" s="480">
        <v>257.95893722599999</v>
      </c>
      <c r="P9" s="467">
        <v>297.49293474000001</v>
      </c>
    </row>
    <row r="10" spans="1:16" ht="15.75" customHeight="1" x14ac:dyDescent="0.2">
      <c r="A10" s="465" t="s">
        <v>162</v>
      </c>
      <c r="B10" s="467">
        <v>199.88637994699999</v>
      </c>
      <c r="C10" s="467">
        <v>197.82745741599999</v>
      </c>
      <c r="D10" s="467">
        <v>226.70857447700001</v>
      </c>
      <c r="E10" s="467">
        <v>310.56988751400002</v>
      </c>
      <c r="F10" s="467">
        <v>412.31174397900003</v>
      </c>
      <c r="G10" s="467">
        <v>484.44576171099999</v>
      </c>
      <c r="H10" s="467">
        <v>538.20725593600002</v>
      </c>
      <c r="I10" s="467">
        <v>597.32710411799997</v>
      </c>
      <c r="J10" s="467">
        <v>428.804064568</v>
      </c>
      <c r="K10" s="467" t="s">
        <v>102</v>
      </c>
      <c r="L10" s="467" t="s">
        <v>102</v>
      </c>
      <c r="M10" s="480">
        <v>348.60326622399998</v>
      </c>
      <c r="N10" s="480">
        <v>550.77411106700004</v>
      </c>
      <c r="O10" s="480">
        <v>351.41555024600001</v>
      </c>
      <c r="P10" s="467">
        <v>615.66499173900002</v>
      </c>
    </row>
    <row r="11" spans="1:16" ht="15.75" customHeight="1" x14ac:dyDescent="0.2">
      <c r="A11" s="465" t="s">
        <v>163</v>
      </c>
      <c r="B11" s="467">
        <v>12.749989405000001</v>
      </c>
      <c r="C11" s="467">
        <v>11.812234929000001</v>
      </c>
      <c r="D11" s="467">
        <v>11.273089948999999</v>
      </c>
      <c r="E11" s="467">
        <v>13.666050744</v>
      </c>
      <c r="F11" s="467">
        <v>16.624949835999999</v>
      </c>
      <c r="G11" s="467">
        <v>18.017194973999999</v>
      </c>
      <c r="H11" s="467">
        <v>18.462661562000001</v>
      </c>
      <c r="I11" s="467">
        <v>14.177630679</v>
      </c>
      <c r="J11" s="467">
        <v>12.75414093</v>
      </c>
      <c r="K11" s="467" t="s">
        <v>102</v>
      </c>
      <c r="L11" s="467" t="s">
        <v>102</v>
      </c>
      <c r="M11" s="480">
        <v>14.633366609999999</v>
      </c>
      <c r="N11" s="480">
        <v>13.784404277</v>
      </c>
      <c r="O11" s="480">
        <v>14.621557177</v>
      </c>
      <c r="P11" s="467">
        <v>23.650636513999999</v>
      </c>
    </row>
    <row r="12" spans="1:16" ht="15.75" customHeight="1" x14ac:dyDescent="0.2">
      <c r="A12" s="465" t="s">
        <v>164</v>
      </c>
      <c r="B12" s="467">
        <v>109.39383644500001</v>
      </c>
      <c r="C12" s="467">
        <v>98.203610204</v>
      </c>
      <c r="D12" s="467">
        <v>99.772655591000003</v>
      </c>
      <c r="E12" s="467">
        <v>77.495864678000004</v>
      </c>
      <c r="F12" s="467">
        <v>77.243679263000004</v>
      </c>
      <c r="G12" s="467">
        <v>85.615249677999998</v>
      </c>
      <c r="H12" s="467">
        <v>94.729464367999995</v>
      </c>
      <c r="I12" s="467">
        <v>119.815877622</v>
      </c>
      <c r="J12" s="467">
        <v>154.26100808199999</v>
      </c>
      <c r="K12" s="467" t="s">
        <v>102</v>
      </c>
      <c r="L12" s="467" t="s">
        <v>102</v>
      </c>
      <c r="M12" s="480">
        <v>84.019508098000003</v>
      </c>
      <c r="N12" s="480">
        <v>129.33103901000001</v>
      </c>
      <c r="O12" s="480">
        <v>84.649811119999995</v>
      </c>
      <c r="P12" s="467">
        <v>159.73923350699999</v>
      </c>
    </row>
    <row r="13" spans="1:16" ht="15.75" customHeight="1" x14ac:dyDescent="0.2">
      <c r="A13" s="465" t="s">
        <v>165</v>
      </c>
      <c r="B13" s="467">
        <v>200.06279697799999</v>
      </c>
      <c r="C13" s="467">
        <v>126.362153531</v>
      </c>
      <c r="D13" s="467">
        <v>76.713792936999994</v>
      </c>
      <c r="E13" s="467">
        <v>59.866405207</v>
      </c>
      <c r="F13" s="467">
        <v>46.111665524000003</v>
      </c>
      <c r="G13" s="467">
        <v>43.75622078</v>
      </c>
      <c r="H13" s="467">
        <v>38.423552309999998</v>
      </c>
      <c r="I13" s="467">
        <v>38.963417868999997</v>
      </c>
      <c r="J13" s="467">
        <v>32.368896784</v>
      </c>
      <c r="K13" s="467" t="s">
        <v>102</v>
      </c>
      <c r="L13" s="467" t="s">
        <v>102</v>
      </c>
      <c r="M13" s="480">
        <v>60.410021643999997</v>
      </c>
      <c r="N13" s="480">
        <v>37.141739983999997</v>
      </c>
      <c r="O13" s="480">
        <v>60.086349767000002</v>
      </c>
      <c r="P13" s="467">
        <v>44.865271788999998</v>
      </c>
    </row>
    <row r="14" spans="1:16" ht="15.75" customHeight="1" x14ac:dyDescent="0.25">
      <c r="A14" s="474" t="s">
        <v>166</v>
      </c>
      <c r="B14" s="466">
        <v>1212.6857996050001</v>
      </c>
      <c r="C14" s="466">
        <v>946.93912142900001</v>
      </c>
      <c r="D14" s="466">
        <v>838.785060832</v>
      </c>
      <c r="E14" s="466">
        <v>882.43660015299997</v>
      </c>
      <c r="F14" s="466">
        <v>1027.3747751339999</v>
      </c>
      <c r="G14" s="466">
        <v>1130.067309604</v>
      </c>
      <c r="H14" s="466">
        <v>1172.1637746900001</v>
      </c>
      <c r="I14" s="466">
        <v>1274.0967324329999</v>
      </c>
      <c r="J14" s="466">
        <v>1073.557045435</v>
      </c>
      <c r="K14" s="466" t="s">
        <v>102</v>
      </c>
      <c r="L14" s="466" t="s">
        <v>102</v>
      </c>
      <c r="M14" s="479">
        <v>958.47311953899998</v>
      </c>
      <c r="N14" s="479">
        <v>1218.6994248589999</v>
      </c>
      <c r="O14" s="479">
        <v>962.09298016399998</v>
      </c>
      <c r="P14" s="466">
        <v>1337.286135224</v>
      </c>
    </row>
    <row r="15" spans="1:16" ht="15.75" customHeight="1" x14ac:dyDescent="0.2">
      <c r="A15" s="465" t="s">
        <v>79</v>
      </c>
      <c r="B15" s="467">
        <v>518.08440170899996</v>
      </c>
      <c r="C15" s="467">
        <v>437.59756947300002</v>
      </c>
      <c r="D15" s="467">
        <v>426.20767891600002</v>
      </c>
      <c r="E15" s="467">
        <v>497.85739130899998</v>
      </c>
      <c r="F15" s="467">
        <v>615.00598773399997</v>
      </c>
      <c r="G15" s="467">
        <v>698.78787901800001</v>
      </c>
      <c r="H15" s="467">
        <v>740.78119132300003</v>
      </c>
      <c r="I15" s="467">
        <v>711.69311358200002</v>
      </c>
      <c r="J15" s="467">
        <v>631.484752673</v>
      </c>
      <c r="K15" s="467" t="s">
        <v>102</v>
      </c>
      <c r="L15" s="467" t="s">
        <v>102</v>
      </c>
      <c r="M15" s="480">
        <v>547.94293668800003</v>
      </c>
      <c r="N15" s="480">
        <v>689.53626619800002</v>
      </c>
      <c r="O15" s="480">
        <v>549.91256123300002</v>
      </c>
      <c r="P15" s="467">
        <v>890.55939961900003</v>
      </c>
    </row>
    <row r="16" spans="1:16" ht="15.75" customHeight="1" x14ac:dyDescent="0.2">
      <c r="A16" s="465" t="s">
        <v>167</v>
      </c>
      <c r="B16" s="467">
        <v>357.52592085999999</v>
      </c>
      <c r="C16" s="467">
        <v>336.252528375</v>
      </c>
      <c r="D16" s="467">
        <v>352.38348943800003</v>
      </c>
      <c r="E16" s="467">
        <v>438.746825973</v>
      </c>
      <c r="F16" s="467">
        <v>549.90134762100001</v>
      </c>
      <c r="G16" s="467">
        <v>615.29896053100003</v>
      </c>
      <c r="H16" s="467">
        <v>627.42194034700003</v>
      </c>
      <c r="I16" s="467">
        <v>553.80626015500002</v>
      </c>
      <c r="J16" s="467">
        <v>594.425857479</v>
      </c>
      <c r="K16" s="467" t="s">
        <v>102</v>
      </c>
      <c r="L16" s="467" t="s">
        <v>102</v>
      </c>
      <c r="M16" s="480">
        <v>475.86473580900002</v>
      </c>
      <c r="N16" s="480">
        <v>565.02706318000003</v>
      </c>
      <c r="O16" s="480">
        <v>477.10502240300002</v>
      </c>
      <c r="P16" s="467">
        <v>755.39570033300004</v>
      </c>
    </row>
    <row r="17" spans="1:16" ht="15.75" customHeight="1" x14ac:dyDescent="0.2">
      <c r="A17" s="465" t="s">
        <v>199</v>
      </c>
      <c r="B17" s="467">
        <v>58.043375245999997</v>
      </c>
      <c r="C17" s="467">
        <v>41.243703570000001</v>
      </c>
      <c r="D17" s="467">
        <v>41.450492294</v>
      </c>
      <c r="E17" s="467">
        <v>67.742968688999994</v>
      </c>
      <c r="F17" s="467">
        <v>96.917364226999993</v>
      </c>
      <c r="G17" s="467">
        <v>109.29555117300001</v>
      </c>
      <c r="H17" s="467">
        <v>112.42540340399999</v>
      </c>
      <c r="I17" s="467">
        <v>100.409004643</v>
      </c>
      <c r="J17" s="467">
        <v>96.163957768000003</v>
      </c>
      <c r="K17" s="467" t="s">
        <v>102</v>
      </c>
      <c r="L17" s="467" t="s">
        <v>102</v>
      </c>
      <c r="M17" s="480">
        <v>76.219704538000002</v>
      </c>
      <c r="N17" s="480">
        <v>99.236348143000001</v>
      </c>
      <c r="O17" s="480">
        <v>76.539876019999994</v>
      </c>
      <c r="P17" s="467">
        <v>150.80652623500001</v>
      </c>
    </row>
    <row r="18" spans="1:16" ht="15.75" customHeight="1" x14ac:dyDescent="0.2">
      <c r="A18" s="465" t="s">
        <v>168</v>
      </c>
      <c r="B18" s="467">
        <v>160.55848084900001</v>
      </c>
      <c r="C18" s="467">
        <v>101.345041098</v>
      </c>
      <c r="D18" s="467">
        <v>73.824189478999998</v>
      </c>
      <c r="E18" s="467">
        <v>59.110565336000001</v>
      </c>
      <c r="F18" s="467">
        <v>65.104640113000002</v>
      </c>
      <c r="G18" s="467">
        <v>83.488918486000003</v>
      </c>
      <c r="H18" s="467">
        <v>113.359250976</v>
      </c>
      <c r="I18" s="467">
        <v>157.88685342700001</v>
      </c>
      <c r="J18" s="467">
        <v>37.058895192999998</v>
      </c>
      <c r="K18" s="467" t="s">
        <v>102</v>
      </c>
      <c r="L18" s="467" t="s">
        <v>102</v>
      </c>
      <c r="M18" s="480">
        <v>72.078200878999994</v>
      </c>
      <c r="N18" s="480">
        <v>124.50920301799999</v>
      </c>
      <c r="O18" s="480">
        <v>72.807538829999999</v>
      </c>
      <c r="P18" s="467">
        <v>135.163699286</v>
      </c>
    </row>
    <row r="19" spans="1:16" ht="15.75" customHeight="1" x14ac:dyDescent="0.2">
      <c r="A19" s="465" t="s">
        <v>169</v>
      </c>
      <c r="B19" s="467">
        <v>407.11077776600001</v>
      </c>
      <c r="C19" s="467">
        <v>287.87365976900003</v>
      </c>
      <c r="D19" s="467">
        <v>232.39902747599999</v>
      </c>
      <c r="E19" s="467">
        <v>218.08131250599999</v>
      </c>
      <c r="F19" s="467">
        <v>232.71387759800001</v>
      </c>
      <c r="G19" s="467">
        <v>244.32303758699999</v>
      </c>
      <c r="H19" s="467">
        <v>252.02938872999999</v>
      </c>
      <c r="I19" s="467">
        <v>369.00578467999998</v>
      </c>
      <c r="J19" s="467">
        <v>315.27198529999998</v>
      </c>
      <c r="K19" s="467" t="s">
        <v>102</v>
      </c>
      <c r="L19" s="467" t="s">
        <v>102</v>
      </c>
      <c r="M19" s="480">
        <v>233.08041279700001</v>
      </c>
      <c r="N19" s="480">
        <v>354.16229980200001</v>
      </c>
      <c r="O19" s="480">
        <v>234.764714293</v>
      </c>
      <c r="P19" s="467">
        <v>223.756563726</v>
      </c>
    </row>
    <row r="20" spans="1:16" ht="15.75" customHeight="1" x14ac:dyDescent="0.2">
      <c r="A20" s="465" t="s">
        <v>170</v>
      </c>
      <c r="B20" s="467">
        <v>217.08632585800001</v>
      </c>
      <c r="C20" s="467">
        <v>182.955811673</v>
      </c>
      <c r="D20" s="467">
        <v>156.532882277</v>
      </c>
      <c r="E20" s="467">
        <v>159.04641770500001</v>
      </c>
      <c r="F20" s="467">
        <v>177.038065399</v>
      </c>
      <c r="G20" s="467">
        <v>184.599172958</v>
      </c>
      <c r="H20" s="467">
        <v>199.99557488299999</v>
      </c>
      <c r="I20" s="467">
        <v>248.38484518499999</v>
      </c>
      <c r="J20" s="467">
        <v>258.04747157600002</v>
      </c>
      <c r="K20" s="467" t="s">
        <v>102</v>
      </c>
      <c r="L20" s="467" t="s">
        <v>102</v>
      </c>
      <c r="M20" s="480">
        <v>169.57492159200001</v>
      </c>
      <c r="N20" s="480">
        <v>251.05405991399999</v>
      </c>
      <c r="O20" s="480">
        <v>170.70833169900001</v>
      </c>
      <c r="P20" s="467">
        <v>171.628101289</v>
      </c>
    </row>
    <row r="21" spans="1:16" ht="15.75" customHeight="1" x14ac:dyDescent="0.2">
      <c r="A21" s="465" t="s">
        <v>171</v>
      </c>
      <c r="B21" s="467">
        <v>85.859722146999999</v>
      </c>
      <c r="C21" s="467">
        <v>43.333622290999998</v>
      </c>
      <c r="D21" s="467">
        <v>18.262326890000001</v>
      </c>
      <c r="E21" s="467">
        <v>5.3963496749999997</v>
      </c>
      <c r="F21" s="467">
        <v>3.181986974</v>
      </c>
      <c r="G21" s="467">
        <v>2.8625732639999999</v>
      </c>
      <c r="H21" s="467">
        <v>2.8703898240000001</v>
      </c>
      <c r="I21" s="467">
        <v>4.0279028239999999</v>
      </c>
      <c r="J21" s="467">
        <v>5.1272054770000004</v>
      </c>
      <c r="K21" s="467" t="s">
        <v>102</v>
      </c>
      <c r="L21" s="467" t="s">
        <v>102</v>
      </c>
      <c r="M21" s="480">
        <v>8.6878239570000009</v>
      </c>
      <c r="N21" s="480">
        <v>4.331575419</v>
      </c>
      <c r="O21" s="480">
        <v>8.6272266529999992</v>
      </c>
      <c r="P21" s="467">
        <v>5.9509146089999998</v>
      </c>
    </row>
    <row r="22" spans="1:16" ht="15.75" customHeight="1" x14ac:dyDescent="0.2">
      <c r="A22" s="687" t="s">
        <v>607</v>
      </c>
      <c r="B22" s="467">
        <v>104.16472976</v>
      </c>
      <c r="C22" s="467">
        <v>61.584225805000003</v>
      </c>
      <c r="D22" s="467">
        <v>57.603818310000001</v>
      </c>
      <c r="E22" s="467">
        <v>53.638545125999997</v>
      </c>
      <c r="F22" s="467">
        <v>52.493825225000002</v>
      </c>
      <c r="G22" s="467">
        <v>56.861291364000003</v>
      </c>
      <c r="H22" s="467">
        <v>49.163424024000001</v>
      </c>
      <c r="I22" s="467">
        <v>116.59303667099999</v>
      </c>
      <c r="J22" s="467">
        <v>52.097308247000001</v>
      </c>
      <c r="K22" s="467" t="s">
        <v>102</v>
      </c>
      <c r="L22" s="467" t="s">
        <v>102</v>
      </c>
      <c r="M22" s="480">
        <v>54.817667247999999</v>
      </c>
      <c r="N22" s="480">
        <v>98.776664468999996</v>
      </c>
      <c r="O22" s="480">
        <v>55.429155940000001</v>
      </c>
      <c r="P22" s="467">
        <v>46.177547828000002</v>
      </c>
    </row>
    <row r="23" spans="1:16" ht="15.75" customHeight="1" x14ac:dyDescent="0.2">
      <c r="A23" s="465" t="s">
        <v>172</v>
      </c>
      <c r="B23" s="467">
        <v>25.320248214999999</v>
      </c>
      <c r="C23" s="467">
        <v>20.055677457000002</v>
      </c>
      <c r="D23" s="467">
        <v>18.788621041999999</v>
      </c>
      <c r="E23" s="467">
        <v>24.718221203999999</v>
      </c>
      <c r="F23" s="467">
        <v>34.547263956999998</v>
      </c>
      <c r="G23" s="467">
        <v>43.227398567999998</v>
      </c>
      <c r="H23" s="467">
        <v>49.635635063000002</v>
      </c>
      <c r="I23" s="467">
        <v>56.309087384000001</v>
      </c>
      <c r="J23" s="467">
        <v>24.818757317999999</v>
      </c>
      <c r="K23" s="467" t="s">
        <v>102</v>
      </c>
      <c r="L23" s="467" t="s">
        <v>102</v>
      </c>
      <c r="M23" s="480">
        <v>29.485276063000001</v>
      </c>
      <c r="N23" s="480">
        <v>47.610163362999998</v>
      </c>
      <c r="O23" s="480">
        <v>29.737401095999999</v>
      </c>
      <c r="P23" s="467">
        <v>57.147190319000003</v>
      </c>
    </row>
    <row r="24" spans="1:16" ht="15.75" customHeight="1" x14ac:dyDescent="0.2">
      <c r="A24" s="465" t="s">
        <v>173</v>
      </c>
      <c r="B24" s="467">
        <v>119.317743205</v>
      </c>
      <c r="C24" s="467">
        <v>87.364004277000006</v>
      </c>
      <c r="D24" s="467">
        <v>70.355014510999993</v>
      </c>
      <c r="E24" s="467">
        <v>72.765511298000007</v>
      </c>
      <c r="F24" s="467">
        <v>79.973893267999998</v>
      </c>
      <c r="G24" s="467">
        <v>91.790012911000005</v>
      </c>
      <c r="H24" s="467">
        <v>88.450007209999995</v>
      </c>
      <c r="I24" s="467">
        <v>94.568712783999999</v>
      </c>
      <c r="J24" s="467">
        <v>70.352242703000002</v>
      </c>
      <c r="K24" s="467" t="s">
        <v>102</v>
      </c>
      <c r="L24" s="467" t="s">
        <v>102</v>
      </c>
      <c r="M24" s="480">
        <v>78.087285645999998</v>
      </c>
      <c r="N24" s="480">
        <v>87.879127987000004</v>
      </c>
      <c r="O24" s="480">
        <v>78.223494414000001</v>
      </c>
      <c r="P24" s="467">
        <v>105.989010733</v>
      </c>
    </row>
    <row r="25" spans="1:16" ht="15.75" customHeight="1" x14ac:dyDescent="0.2">
      <c r="A25" s="475" t="s">
        <v>174</v>
      </c>
      <c r="B25" s="468">
        <v>142.85262871099999</v>
      </c>
      <c r="C25" s="468">
        <v>114.048210454</v>
      </c>
      <c r="D25" s="468">
        <v>91.034718886999997</v>
      </c>
      <c r="E25" s="468">
        <v>69.014163835999994</v>
      </c>
      <c r="F25" s="468">
        <v>65.133752576999996</v>
      </c>
      <c r="G25" s="468">
        <v>51.938981519999999</v>
      </c>
      <c r="H25" s="468">
        <v>41.267552363</v>
      </c>
      <c r="I25" s="468">
        <v>42.520034002999999</v>
      </c>
      <c r="J25" s="468">
        <v>31.629307441000002</v>
      </c>
      <c r="K25" s="468" t="s">
        <v>102</v>
      </c>
      <c r="L25" s="468" t="s">
        <v>102</v>
      </c>
      <c r="M25" s="481">
        <v>69.877208345</v>
      </c>
      <c r="N25" s="481">
        <v>39.511567509000002</v>
      </c>
      <c r="O25" s="481">
        <v>69.454809127999994</v>
      </c>
      <c r="P25" s="468">
        <v>59.833970825999998</v>
      </c>
    </row>
    <row r="26" spans="1:16" ht="15.75" customHeight="1" x14ac:dyDescent="0.25">
      <c r="A26" s="474" t="s">
        <v>175</v>
      </c>
      <c r="B26" s="466">
        <v>337.84131728199998</v>
      </c>
      <c r="C26" s="466">
        <v>239.36625246700001</v>
      </c>
      <c r="D26" s="466">
        <v>188.226283542</v>
      </c>
      <c r="E26" s="466">
        <v>178.01764928700001</v>
      </c>
      <c r="F26" s="466">
        <v>200.43403934299999</v>
      </c>
      <c r="G26" s="466">
        <v>211.626099982</v>
      </c>
      <c r="H26" s="466">
        <v>203.60773040500001</v>
      </c>
      <c r="I26" s="466">
        <v>200.249574153</v>
      </c>
      <c r="J26" s="466">
        <v>202.22417645900001</v>
      </c>
      <c r="K26" s="466" t="s">
        <v>102</v>
      </c>
      <c r="L26" s="466" t="s">
        <v>102</v>
      </c>
      <c r="M26" s="479">
        <v>193.25590194399999</v>
      </c>
      <c r="N26" s="479">
        <v>200.79504050400001</v>
      </c>
      <c r="O26" s="479">
        <v>193.36077462700001</v>
      </c>
      <c r="P26" s="466">
        <v>195.873066935</v>
      </c>
    </row>
    <row r="27" spans="1:16" ht="15.75" customHeight="1" x14ac:dyDescent="0.25">
      <c r="A27" s="476" t="s">
        <v>176</v>
      </c>
      <c r="B27" s="469">
        <v>241.49787461099999</v>
      </c>
      <c r="C27" s="469">
        <v>158.34563708100001</v>
      </c>
      <c r="D27" s="469">
        <v>118.263059181</v>
      </c>
      <c r="E27" s="469">
        <v>106.37809455999999</v>
      </c>
      <c r="F27" s="469">
        <v>128.62148455600001</v>
      </c>
      <c r="G27" s="469">
        <v>137.384016127</v>
      </c>
      <c r="H27" s="469">
        <v>128.85012703199999</v>
      </c>
      <c r="I27" s="469">
        <v>127.18893716300001</v>
      </c>
      <c r="J27" s="469">
        <v>141.26372878800001</v>
      </c>
      <c r="K27" s="469" t="s">
        <v>102</v>
      </c>
      <c r="L27" s="469" t="s">
        <v>102</v>
      </c>
      <c r="M27" s="482">
        <v>120.65546240899999</v>
      </c>
      <c r="N27" s="482">
        <v>131.07697335399999</v>
      </c>
      <c r="O27" s="482">
        <v>120.80043014</v>
      </c>
      <c r="P27" s="469">
        <v>106.97364605</v>
      </c>
    </row>
    <row r="28" spans="1:16" ht="15.75" customHeight="1" x14ac:dyDescent="0.25">
      <c r="A28" s="474" t="s">
        <v>177</v>
      </c>
      <c r="B28" s="466">
        <v>583.88796041199998</v>
      </c>
      <c r="C28" s="466">
        <v>442.13017583099997</v>
      </c>
      <c r="D28" s="466">
        <v>362.53681431400003</v>
      </c>
      <c r="E28" s="466">
        <v>370.78153098199999</v>
      </c>
      <c r="F28" s="466">
        <v>410.46628914000001</v>
      </c>
      <c r="G28" s="466">
        <v>415.039709319</v>
      </c>
      <c r="H28" s="466">
        <v>415.04195440699999</v>
      </c>
      <c r="I28" s="466">
        <v>388.66536486400003</v>
      </c>
      <c r="J28" s="466">
        <v>352.06692262000001</v>
      </c>
      <c r="K28" s="466" t="s">
        <v>102</v>
      </c>
      <c r="L28" s="466" t="s">
        <v>102</v>
      </c>
      <c r="M28" s="479">
        <v>390.18040560899999</v>
      </c>
      <c r="N28" s="479">
        <v>378.555370219</v>
      </c>
      <c r="O28" s="479">
        <v>390.018696331</v>
      </c>
      <c r="P28" s="466">
        <v>411.54952290799997</v>
      </c>
    </row>
    <row r="29" spans="1:16" ht="15.75" customHeight="1" x14ac:dyDescent="0.2">
      <c r="A29" s="465" t="s">
        <v>178</v>
      </c>
      <c r="B29" s="467">
        <v>557.70836000099996</v>
      </c>
      <c r="C29" s="467">
        <v>419.774453171</v>
      </c>
      <c r="D29" s="467">
        <v>340.69390446900002</v>
      </c>
      <c r="E29" s="467">
        <v>350.630856833</v>
      </c>
      <c r="F29" s="467">
        <v>385.73038759000002</v>
      </c>
      <c r="G29" s="467">
        <v>387.62513982600001</v>
      </c>
      <c r="H29" s="467">
        <v>392.70627464099999</v>
      </c>
      <c r="I29" s="467">
        <v>357.534217668</v>
      </c>
      <c r="J29" s="467">
        <v>322.562487379</v>
      </c>
      <c r="K29" s="467" t="s">
        <v>102</v>
      </c>
      <c r="L29" s="467" t="s">
        <v>102</v>
      </c>
      <c r="M29" s="480">
        <v>367.87771983300001</v>
      </c>
      <c r="N29" s="480">
        <v>347.87358775400003</v>
      </c>
      <c r="O29" s="480">
        <v>367.59945369100001</v>
      </c>
      <c r="P29" s="467">
        <v>374.69078205099999</v>
      </c>
    </row>
    <row r="30" spans="1:16" ht="15.75" customHeight="1" x14ac:dyDescent="0.2">
      <c r="A30" s="465" t="s">
        <v>179</v>
      </c>
      <c r="B30" s="467">
        <v>16.531629441</v>
      </c>
      <c r="C30" s="467">
        <v>15.279332066</v>
      </c>
      <c r="D30" s="467">
        <v>12.541932167000001</v>
      </c>
      <c r="E30" s="467">
        <v>11.324191247</v>
      </c>
      <c r="F30" s="467">
        <v>13.003633972999999</v>
      </c>
      <c r="G30" s="467">
        <v>16.003843280000002</v>
      </c>
      <c r="H30" s="467">
        <v>13.484217019000001</v>
      </c>
      <c r="I30" s="467">
        <v>24.628610005999999</v>
      </c>
      <c r="J30" s="467">
        <v>24.954856290999999</v>
      </c>
      <c r="K30" s="467" t="s">
        <v>102</v>
      </c>
      <c r="L30" s="467" t="s">
        <v>102</v>
      </c>
      <c r="M30" s="480">
        <v>12.673496096999999</v>
      </c>
      <c r="N30" s="480">
        <v>24.718732644999999</v>
      </c>
      <c r="O30" s="480">
        <v>12.841050554000001</v>
      </c>
      <c r="P30" s="467">
        <v>23.295835604000001</v>
      </c>
    </row>
    <row r="31" spans="1:16" ht="15.75" customHeight="1" x14ac:dyDescent="0.2">
      <c r="A31" s="465" t="s">
        <v>180</v>
      </c>
      <c r="B31" s="467">
        <v>9.6479709699999994</v>
      </c>
      <c r="C31" s="467">
        <v>7.0763905930000002</v>
      </c>
      <c r="D31" s="467">
        <v>9.3009776780000006</v>
      </c>
      <c r="E31" s="467">
        <v>8.8264829030000005</v>
      </c>
      <c r="F31" s="467">
        <v>11.732267577</v>
      </c>
      <c r="G31" s="467">
        <v>11.410726213</v>
      </c>
      <c r="H31" s="467">
        <v>8.8514627469999994</v>
      </c>
      <c r="I31" s="467">
        <v>6.502537191</v>
      </c>
      <c r="J31" s="467">
        <v>4.5495789499999999</v>
      </c>
      <c r="K31" s="467" t="s">
        <v>102</v>
      </c>
      <c r="L31" s="467" t="s">
        <v>102</v>
      </c>
      <c r="M31" s="480">
        <v>9.6291896779999995</v>
      </c>
      <c r="N31" s="480">
        <v>5.9630498210000003</v>
      </c>
      <c r="O31" s="480">
        <v>9.5781920849999995</v>
      </c>
      <c r="P31" s="467">
        <v>13.562905252</v>
      </c>
    </row>
    <row r="32" spans="1:16" ht="15.75" customHeight="1" x14ac:dyDescent="0.25">
      <c r="A32" s="474" t="s">
        <v>181</v>
      </c>
      <c r="B32" s="466">
        <v>323.157093696</v>
      </c>
      <c r="C32" s="466">
        <v>238.87064867300001</v>
      </c>
      <c r="D32" s="466">
        <v>191.84476713999999</v>
      </c>
      <c r="E32" s="466">
        <v>189.469321678</v>
      </c>
      <c r="F32" s="466">
        <v>214.99109760499999</v>
      </c>
      <c r="G32" s="466">
        <v>196.30237071299999</v>
      </c>
      <c r="H32" s="466">
        <v>194.83398220999999</v>
      </c>
      <c r="I32" s="466">
        <v>231.64952958500001</v>
      </c>
      <c r="J32" s="466">
        <v>98.231174275000001</v>
      </c>
      <c r="K32" s="466" t="s">
        <v>102</v>
      </c>
      <c r="L32" s="466" t="s">
        <v>102</v>
      </c>
      <c r="M32" s="479">
        <v>198.95243320700001</v>
      </c>
      <c r="N32" s="479">
        <v>194.79389379599999</v>
      </c>
      <c r="O32" s="479">
        <v>198.89458612300001</v>
      </c>
      <c r="P32" s="466">
        <v>180.92937767199999</v>
      </c>
    </row>
    <row r="33" spans="1:16" ht="15.75" customHeight="1" x14ac:dyDescent="0.2">
      <c r="A33" s="465" t="s">
        <v>182</v>
      </c>
      <c r="B33" s="467">
        <v>72.460264848999998</v>
      </c>
      <c r="C33" s="467">
        <v>50.878118465999997</v>
      </c>
      <c r="D33" s="467">
        <v>40.374915231000003</v>
      </c>
      <c r="E33" s="467">
        <v>41.775073196999998</v>
      </c>
      <c r="F33" s="467">
        <v>46.169059173000001</v>
      </c>
      <c r="G33" s="467">
        <v>49.139342913</v>
      </c>
      <c r="H33" s="467">
        <v>47.825362992999999</v>
      </c>
      <c r="I33" s="467">
        <v>47.916619656000002</v>
      </c>
      <c r="J33" s="467">
        <v>48.371418102</v>
      </c>
      <c r="K33" s="467" t="s">
        <v>102</v>
      </c>
      <c r="L33" s="467" t="s">
        <v>102</v>
      </c>
      <c r="M33" s="480">
        <v>44.330723161999998</v>
      </c>
      <c r="N33" s="480">
        <v>48.042253688000002</v>
      </c>
      <c r="O33" s="480">
        <v>44.382352159</v>
      </c>
      <c r="P33" s="467">
        <v>43.864144127000003</v>
      </c>
    </row>
    <row r="34" spans="1:16" ht="15.75" customHeight="1" x14ac:dyDescent="0.2">
      <c r="A34" s="465" t="s">
        <v>183</v>
      </c>
      <c r="B34" s="467">
        <v>231.64747013100001</v>
      </c>
      <c r="C34" s="467">
        <v>167.27698079199999</v>
      </c>
      <c r="D34" s="467">
        <v>129.58926828400001</v>
      </c>
      <c r="E34" s="467">
        <v>123.12873773699999</v>
      </c>
      <c r="F34" s="467">
        <v>122.307306728</v>
      </c>
      <c r="G34" s="467">
        <v>114.737785284</v>
      </c>
      <c r="H34" s="467">
        <v>111.927303068</v>
      </c>
      <c r="I34" s="467">
        <v>163.01486562700001</v>
      </c>
      <c r="J34" s="467">
        <v>35.324527510999999</v>
      </c>
      <c r="K34" s="467" t="s">
        <v>102</v>
      </c>
      <c r="L34" s="467" t="s">
        <v>102</v>
      </c>
      <c r="M34" s="480">
        <v>124.988971745</v>
      </c>
      <c r="N34" s="480">
        <v>127.74154371900001</v>
      </c>
      <c r="O34" s="480">
        <v>125.02726121400001</v>
      </c>
      <c r="P34" s="467">
        <v>103.369711626</v>
      </c>
    </row>
    <row r="35" spans="1:16" ht="15.75" customHeight="1" x14ac:dyDescent="0.2">
      <c r="A35" s="475" t="s">
        <v>184</v>
      </c>
      <c r="B35" s="468">
        <v>19.049358716</v>
      </c>
      <c r="C35" s="468">
        <v>20.715549414000002</v>
      </c>
      <c r="D35" s="468">
        <v>21.880583625</v>
      </c>
      <c r="E35" s="468">
        <v>24.565510743000001</v>
      </c>
      <c r="F35" s="468">
        <v>46.514731703999999</v>
      </c>
      <c r="G35" s="468">
        <v>32.425242515999997</v>
      </c>
      <c r="H35" s="468">
        <v>35.081316147999999</v>
      </c>
      <c r="I35" s="468">
        <v>20.718044300999999</v>
      </c>
      <c r="J35" s="468">
        <v>14.535228661</v>
      </c>
      <c r="K35" s="468" t="s">
        <v>102</v>
      </c>
      <c r="L35" s="468" t="s">
        <v>102</v>
      </c>
      <c r="M35" s="481">
        <v>29.6327383</v>
      </c>
      <c r="N35" s="481">
        <v>19.010096389000001</v>
      </c>
      <c r="O35" s="481">
        <v>29.484972750000001</v>
      </c>
      <c r="P35" s="468">
        <v>33.695521917999997</v>
      </c>
    </row>
    <row r="36" spans="1:16" ht="15.75" customHeight="1" x14ac:dyDescent="0.25">
      <c r="A36" s="477" t="s">
        <v>185</v>
      </c>
      <c r="B36" s="466">
        <v>1458.7324427349999</v>
      </c>
      <c r="C36" s="466">
        <v>1149.7030447929999</v>
      </c>
      <c r="D36" s="466">
        <v>1013.095591605</v>
      </c>
      <c r="E36" s="466">
        <v>1075.200481849</v>
      </c>
      <c r="F36" s="466">
        <v>1237.407024931</v>
      </c>
      <c r="G36" s="466">
        <v>1333.480918942</v>
      </c>
      <c r="H36" s="466">
        <v>1383.5979986919999</v>
      </c>
      <c r="I36" s="466">
        <v>1462.5125231439999</v>
      </c>
      <c r="J36" s="466">
        <v>1223.3997915959999</v>
      </c>
      <c r="K36" s="466" t="s">
        <v>102</v>
      </c>
      <c r="L36" s="466" t="s">
        <v>102</v>
      </c>
      <c r="M36" s="479">
        <v>1155.397623203</v>
      </c>
      <c r="N36" s="479">
        <v>1396.459754574</v>
      </c>
      <c r="O36" s="479">
        <v>1158.750901867</v>
      </c>
      <c r="P36" s="466">
        <v>1552.9625911959999</v>
      </c>
    </row>
    <row r="37" spans="1:16" ht="15.75" customHeight="1" x14ac:dyDescent="0.25">
      <c r="A37" s="477" t="s">
        <v>186</v>
      </c>
      <c r="B37" s="466">
        <v>1535.842893301</v>
      </c>
      <c r="C37" s="466">
        <v>1185.8097701019999</v>
      </c>
      <c r="D37" s="466">
        <v>1030.6298279719999</v>
      </c>
      <c r="E37" s="466">
        <v>1071.9059218309999</v>
      </c>
      <c r="F37" s="466">
        <v>1242.36587274</v>
      </c>
      <c r="G37" s="466">
        <v>1326.3696803170001</v>
      </c>
      <c r="H37" s="466">
        <v>1366.9977569</v>
      </c>
      <c r="I37" s="466">
        <v>1505.7462620169999</v>
      </c>
      <c r="J37" s="466">
        <v>1171.78821971</v>
      </c>
      <c r="K37" s="466" t="s">
        <v>102</v>
      </c>
      <c r="L37" s="466" t="s">
        <v>102</v>
      </c>
      <c r="M37" s="479">
        <v>1157.425552746</v>
      </c>
      <c r="N37" s="479">
        <v>1413.4933186549999</v>
      </c>
      <c r="O37" s="479">
        <v>1160.9875662859999</v>
      </c>
      <c r="P37" s="466">
        <v>1518.2155128950001</v>
      </c>
    </row>
    <row r="38" spans="1:16" ht="15.75" customHeight="1" x14ac:dyDescent="0.25">
      <c r="A38" s="476" t="s">
        <v>187</v>
      </c>
      <c r="B38" s="469">
        <v>77.110450565999997</v>
      </c>
      <c r="C38" s="469">
        <v>36.106725308999998</v>
      </c>
      <c r="D38" s="469">
        <v>17.534236366999998</v>
      </c>
      <c r="E38" s="469">
        <v>-3.2945600179999999</v>
      </c>
      <c r="F38" s="469">
        <v>4.9588478079999998</v>
      </c>
      <c r="G38" s="469">
        <v>-7.1112386250000004</v>
      </c>
      <c r="H38" s="469">
        <v>-16.600241792999999</v>
      </c>
      <c r="I38" s="469">
        <v>43.233738873</v>
      </c>
      <c r="J38" s="469">
        <v>-51.611571886</v>
      </c>
      <c r="K38" s="469" t="s">
        <v>102</v>
      </c>
      <c r="L38" s="469" t="s">
        <v>102</v>
      </c>
      <c r="M38" s="482">
        <v>2.0279295429999999</v>
      </c>
      <c r="N38" s="482">
        <v>17.033564081000002</v>
      </c>
      <c r="O38" s="482">
        <v>2.2366644189999998</v>
      </c>
      <c r="P38" s="469">
        <v>-34.747078301000002</v>
      </c>
    </row>
    <row r="39" spans="1:16" ht="15.75" customHeight="1" x14ac:dyDescent="0.2">
      <c r="A39" s="465" t="s">
        <v>188</v>
      </c>
      <c r="B39" s="467">
        <v>96.343442671999995</v>
      </c>
      <c r="C39" s="467">
        <v>81.020615384999999</v>
      </c>
      <c r="D39" s="467">
        <v>69.963224361000002</v>
      </c>
      <c r="E39" s="467">
        <v>71.639554727000004</v>
      </c>
      <c r="F39" s="467">
        <v>71.812554786999996</v>
      </c>
      <c r="G39" s="467">
        <v>74.242083855000004</v>
      </c>
      <c r="H39" s="467">
        <v>74.757603372000005</v>
      </c>
      <c r="I39" s="467">
        <v>73.060636990000006</v>
      </c>
      <c r="J39" s="467">
        <v>60.960447670999997</v>
      </c>
      <c r="K39" s="467" t="s">
        <v>102</v>
      </c>
      <c r="L39" s="467" t="s">
        <v>102</v>
      </c>
      <c r="M39" s="480">
        <v>72.600439535999996</v>
      </c>
      <c r="N39" s="480">
        <v>69.718067149999996</v>
      </c>
      <c r="O39" s="480">
        <v>72.560344486999995</v>
      </c>
      <c r="P39" s="467">
        <v>88.899420884999998</v>
      </c>
    </row>
    <row r="40" spans="1:16" ht="15.75" customHeight="1" x14ac:dyDescent="0.2">
      <c r="A40" s="465" t="s">
        <v>189</v>
      </c>
      <c r="B40" s="467">
        <v>77.306573592000007</v>
      </c>
      <c r="C40" s="467">
        <v>63.076748631999997</v>
      </c>
      <c r="D40" s="467">
        <v>53.154589264000002</v>
      </c>
      <c r="E40" s="467">
        <v>58.168379999000003</v>
      </c>
      <c r="F40" s="467">
        <v>63.903837934999999</v>
      </c>
      <c r="G40" s="467">
        <v>69.390569580999994</v>
      </c>
      <c r="H40" s="467">
        <v>60.329678841000003</v>
      </c>
      <c r="I40" s="467">
        <v>28.608798883999999</v>
      </c>
      <c r="J40" s="467">
        <v>37.149342863999998</v>
      </c>
      <c r="K40" s="467" t="s">
        <v>102</v>
      </c>
      <c r="L40" s="467" t="s">
        <v>102</v>
      </c>
      <c r="M40" s="480">
        <v>60.241253854</v>
      </c>
      <c r="N40" s="480">
        <v>30.968048312000001</v>
      </c>
      <c r="O40" s="480">
        <v>59.834050885000003</v>
      </c>
      <c r="P40" s="467">
        <v>100.91901103399999</v>
      </c>
    </row>
    <row r="41" spans="1:16" ht="15.75" customHeight="1" x14ac:dyDescent="0.2">
      <c r="A41" s="475" t="s">
        <v>190</v>
      </c>
      <c r="B41" s="468">
        <v>-19.036869078999999</v>
      </c>
      <c r="C41" s="468">
        <v>-17.943866753999998</v>
      </c>
      <c r="D41" s="468">
        <v>-16.808635097</v>
      </c>
      <c r="E41" s="468">
        <v>-13.471174726999999</v>
      </c>
      <c r="F41" s="468">
        <v>-7.9087168520000004</v>
      </c>
      <c r="G41" s="468">
        <v>-4.8515142730000003</v>
      </c>
      <c r="H41" s="468">
        <v>-14.427924531</v>
      </c>
      <c r="I41" s="468">
        <v>-44.451838105</v>
      </c>
      <c r="J41" s="468">
        <v>-23.811104807</v>
      </c>
      <c r="K41" s="468" t="s">
        <v>102</v>
      </c>
      <c r="L41" s="468" t="s">
        <v>102</v>
      </c>
      <c r="M41" s="481">
        <v>-12.359185682</v>
      </c>
      <c r="N41" s="481">
        <v>-38.750018838000003</v>
      </c>
      <c r="O41" s="481">
        <v>-12.726293602</v>
      </c>
      <c r="P41" s="468">
        <v>12.019590150000001</v>
      </c>
    </row>
    <row r="42" spans="1:16" ht="15.75" customHeight="1" x14ac:dyDescent="0.25">
      <c r="A42" s="477" t="s">
        <v>191</v>
      </c>
      <c r="B42" s="466">
        <v>1555.075885406</v>
      </c>
      <c r="C42" s="466">
        <v>1230.723660178</v>
      </c>
      <c r="D42" s="466">
        <v>1083.0588159660001</v>
      </c>
      <c r="E42" s="466">
        <v>1146.8400365750001</v>
      </c>
      <c r="F42" s="466">
        <v>1309.219579718</v>
      </c>
      <c r="G42" s="466">
        <v>1407.7230027959999</v>
      </c>
      <c r="H42" s="466">
        <v>1458.3556020640001</v>
      </c>
      <c r="I42" s="466">
        <v>1535.5731601340001</v>
      </c>
      <c r="J42" s="466">
        <v>1284.360239267</v>
      </c>
      <c r="K42" s="466" t="s">
        <v>102</v>
      </c>
      <c r="L42" s="466" t="s">
        <v>102</v>
      </c>
      <c r="M42" s="479">
        <v>1227.998062739</v>
      </c>
      <c r="N42" s="479">
        <v>1466.1778217240001</v>
      </c>
      <c r="O42" s="479">
        <v>1231.3112463540001</v>
      </c>
      <c r="P42" s="466">
        <v>1641.8620120810001</v>
      </c>
    </row>
    <row r="43" spans="1:16" ht="15.75" customHeight="1" x14ac:dyDescent="0.25">
      <c r="A43" s="477" t="s">
        <v>192</v>
      </c>
      <c r="B43" s="466">
        <v>1613.149466893</v>
      </c>
      <c r="C43" s="466">
        <v>1248.886518734</v>
      </c>
      <c r="D43" s="466">
        <v>1083.7844172360001</v>
      </c>
      <c r="E43" s="466">
        <v>1130.07430183</v>
      </c>
      <c r="F43" s="466">
        <v>1306.269710674</v>
      </c>
      <c r="G43" s="466">
        <v>1395.760249898</v>
      </c>
      <c r="H43" s="466">
        <v>1427.327435741</v>
      </c>
      <c r="I43" s="466">
        <v>1534.3550609020001</v>
      </c>
      <c r="J43" s="466">
        <v>1208.9375625739999</v>
      </c>
      <c r="K43" s="466" t="s">
        <v>102</v>
      </c>
      <c r="L43" s="466" t="s">
        <v>102</v>
      </c>
      <c r="M43" s="479">
        <v>1217.6668066</v>
      </c>
      <c r="N43" s="479">
        <v>1444.461366967</v>
      </c>
      <c r="O43" s="479">
        <v>1220.8216171710001</v>
      </c>
      <c r="P43" s="466">
        <v>1619.1345239299999</v>
      </c>
    </row>
    <row r="44" spans="1:16" ht="15.75" customHeight="1" x14ac:dyDescent="0.2">
      <c r="A44" s="475" t="s">
        <v>193</v>
      </c>
      <c r="B44" s="468">
        <v>58.073581486999998</v>
      </c>
      <c r="C44" s="468">
        <v>18.162858556</v>
      </c>
      <c r="D44" s="468">
        <v>0.72560127100000005</v>
      </c>
      <c r="E44" s="468">
        <v>-16.765734745</v>
      </c>
      <c r="F44" s="468">
        <v>-2.9498690440000002</v>
      </c>
      <c r="G44" s="468">
        <v>-11.962752898</v>
      </c>
      <c r="H44" s="468">
        <v>-31.028166324000001</v>
      </c>
      <c r="I44" s="468">
        <v>-1.2180992319999999</v>
      </c>
      <c r="J44" s="468">
        <v>-75.422676693</v>
      </c>
      <c r="K44" s="468" t="s">
        <v>102</v>
      </c>
      <c r="L44" s="468" t="s">
        <v>102</v>
      </c>
      <c r="M44" s="481">
        <v>-10.331256139000001</v>
      </c>
      <c r="N44" s="481">
        <v>-21.716454757000001</v>
      </c>
      <c r="O44" s="481">
        <v>-10.489629183</v>
      </c>
      <c r="P44" s="468">
        <v>-22.727488151999999</v>
      </c>
    </row>
    <row r="45" spans="1:16" s="8" customFormat="1" ht="15.75" customHeight="1" x14ac:dyDescent="0.25">
      <c r="A45" s="478" t="s">
        <v>283</v>
      </c>
      <c r="B45" s="469">
        <v>510.46211598000002</v>
      </c>
      <c r="C45" s="469">
        <v>496.13201237800001</v>
      </c>
      <c r="D45" s="469">
        <v>456.58682516599998</v>
      </c>
      <c r="E45" s="469">
        <v>535.53228348699997</v>
      </c>
      <c r="F45" s="469">
        <v>629.96115937299999</v>
      </c>
      <c r="G45" s="469">
        <v>697.27409685400005</v>
      </c>
      <c r="H45" s="469">
        <v>699.38285972400001</v>
      </c>
      <c r="I45" s="469">
        <v>619.21150499700002</v>
      </c>
      <c r="J45" s="469">
        <v>445.18612973</v>
      </c>
      <c r="K45" s="469" t="s">
        <v>102</v>
      </c>
      <c r="L45" s="469" t="s">
        <v>102</v>
      </c>
      <c r="M45" s="482">
        <v>570.11331233999999</v>
      </c>
      <c r="N45" s="482">
        <v>571.13854057000003</v>
      </c>
      <c r="O45" s="482">
        <v>570.12757370899999</v>
      </c>
      <c r="P45" s="469">
        <v>917.13344096100002</v>
      </c>
    </row>
    <row r="46" spans="1:16" ht="15.75" customHeight="1" x14ac:dyDescent="0.25">
      <c r="A46" s="474" t="s">
        <v>442</v>
      </c>
      <c r="B46" s="467"/>
      <c r="C46" s="467"/>
      <c r="D46" s="467"/>
      <c r="E46" s="467"/>
      <c r="F46" s="467"/>
      <c r="G46" s="467"/>
      <c r="H46" s="467"/>
      <c r="I46" s="467"/>
      <c r="J46" s="467"/>
      <c r="K46" s="467"/>
      <c r="L46" s="467"/>
      <c r="M46" s="483"/>
      <c r="N46" s="483"/>
      <c r="O46" s="483"/>
      <c r="P46" s="470"/>
    </row>
    <row r="47" spans="1:16" ht="15.75" customHeight="1" x14ac:dyDescent="0.25">
      <c r="A47" s="465" t="s">
        <v>459</v>
      </c>
      <c r="B47" s="467">
        <v>874.23863251900002</v>
      </c>
      <c r="C47" s="467">
        <v>707.28577004800002</v>
      </c>
      <c r="D47" s="467">
        <v>650.09093928200002</v>
      </c>
      <c r="E47" s="467">
        <v>703.47135077600001</v>
      </c>
      <c r="F47" s="467">
        <v>824.45828407299996</v>
      </c>
      <c r="G47" s="467">
        <v>913.72994135600004</v>
      </c>
      <c r="H47" s="467">
        <v>961.02517755300005</v>
      </c>
      <c r="I47" s="467">
        <v>1072.1499285130001</v>
      </c>
      <c r="J47" s="467">
        <v>868.70058819799999</v>
      </c>
      <c r="K47" s="467" t="s">
        <v>102</v>
      </c>
      <c r="L47" s="467" t="s">
        <v>102</v>
      </c>
      <c r="M47" s="480">
        <v>763.14899656900002</v>
      </c>
      <c r="N47" s="480">
        <v>1015.94885505</v>
      </c>
      <c r="O47" s="480">
        <v>766.66555210199999</v>
      </c>
      <c r="P47" s="467">
        <v>1138.787617529</v>
      </c>
    </row>
    <row r="48" spans="1:16" ht="15.75" customHeight="1" x14ac:dyDescent="0.25">
      <c r="A48" s="465" t="s">
        <v>410</v>
      </c>
      <c r="B48" s="467">
        <v>347.11160376700002</v>
      </c>
      <c r="C48" s="467">
        <v>319.26932118500002</v>
      </c>
      <c r="D48" s="467">
        <v>337.92346066900001</v>
      </c>
      <c r="E48" s="467">
        <v>386.26834180700001</v>
      </c>
      <c r="F48" s="467">
        <v>451.74813820700001</v>
      </c>
      <c r="G48" s="467">
        <v>501.19205623099998</v>
      </c>
      <c r="H48" s="467">
        <v>510.16880127399997</v>
      </c>
      <c r="I48" s="467">
        <v>466.927573602</v>
      </c>
      <c r="J48" s="467">
        <v>496.50182419800001</v>
      </c>
      <c r="K48" s="467" t="s">
        <v>102</v>
      </c>
      <c r="L48" s="467" t="s">
        <v>102</v>
      </c>
      <c r="M48" s="480">
        <v>410.53034048299997</v>
      </c>
      <c r="N48" s="480">
        <v>475.09719768500003</v>
      </c>
      <c r="O48" s="480">
        <v>411.42849343400002</v>
      </c>
      <c r="P48" s="467">
        <v>619.88173328200003</v>
      </c>
    </row>
    <row r="49" spans="1:25" ht="15.75" customHeight="1" x14ac:dyDescent="0.25">
      <c r="A49" s="465" t="s">
        <v>411</v>
      </c>
      <c r="B49" s="467">
        <v>357.52592085999999</v>
      </c>
      <c r="C49" s="467">
        <v>336.252528375</v>
      </c>
      <c r="D49" s="467">
        <v>352.38348943800003</v>
      </c>
      <c r="E49" s="467">
        <v>438.746825973</v>
      </c>
      <c r="F49" s="467">
        <v>549.90134762100001</v>
      </c>
      <c r="G49" s="467">
        <v>615.29896053100003</v>
      </c>
      <c r="H49" s="467">
        <v>627.42194034700003</v>
      </c>
      <c r="I49" s="467">
        <v>553.80626015500002</v>
      </c>
      <c r="J49" s="467">
        <v>594.425857479</v>
      </c>
      <c r="K49" s="467" t="s">
        <v>102</v>
      </c>
      <c r="L49" s="467" t="s">
        <v>102</v>
      </c>
      <c r="M49" s="480">
        <v>475.86473580900002</v>
      </c>
      <c r="N49" s="480">
        <v>565.02706318000003</v>
      </c>
      <c r="O49" s="480">
        <v>477.10502240300002</v>
      </c>
      <c r="P49" s="467">
        <v>755.39570033300004</v>
      </c>
    </row>
    <row r="50" spans="1:25" ht="15.75" customHeight="1" x14ac:dyDescent="0.25">
      <c r="A50" s="465" t="s">
        <v>412</v>
      </c>
      <c r="B50" s="467">
        <v>1212.6857996050001</v>
      </c>
      <c r="C50" s="467">
        <v>946.93912142900001</v>
      </c>
      <c r="D50" s="467">
        <v>838.785060832</v>
      </c>
      <c r="E50" s="467">
        <v>882.43660015299997</v>
      </c>
      <c r="F50" s="467">
        <v>1027.3747751339999</v>
      </c>
      <c r="G50" s="467">
        <v>1130.067309604</v>
      </c>
      <c r="H50" s="467">
        <v>1172.1637746900001</v>
      </c>
      <c r="I50" s="467">
        <v>1274.0967324329999</v>
      </c>
      <c r="J50" s="467">
        <v>1073.557045435</v>
      </c>
      <c r="K50" s="467" t="s">
        <v>102</v>
      </c>
      <c r="L50" s="467" t="s">
        <v>102</v>
      </c>
      <c r="M50" s="480">
        <v>958.47311953899998</v>
      </c>
      <c r="N50" s="480">
        <v>1218.6994248589999</v>
      </c>
      <c r="O50" s="480">
        <v>962.09298016399998</v>
      </c>
      <c r="P50" s="467">
        <v>1337.286135224</v>
      </c>
    </row>
    <row r="51" spans="1:25" ht="15.75" customHeight="1" x14ac:dyDescent="0.25">
      <c r="A51" s="465" t="s">
        <v>460</v>
      </c>
      <c r="B51" s="467">
        <v>560.17660893499999</v>
      </c>
      <c r="C51" s="467">
        <v>422.57159358199999</v>
      </c>
      <c r="D51" s="467">
        <v>344.32216092300001</v>
      </c>
      <c r="E51" s="467">
        <v>353.908650045</v>
      </c>
      <c r="F51" s="467">
        <v>391.80768631199999</v>
      </c>
      <c r="G51" s="467">
        <v>398.13960132</v>
      </c>
      <c r="H51" s="467">
        <v>404.14886495000002</v>
      </c>
      <c r="I51" s="467">
        <v>362.42168412000001</v>
      </c>
      <c r="J51" s="467">
        <v>325.9217577</v>
      </c>
      <c r="K51" s="467" t="s">
        <v>102</v>
      </c>
      <c r="L51" s="467" t="s">
        <v>102</v>
      </c>
      <c r="M51" s="480">
        <v>373.11461515799999</v>
      </c>
      <c r="N51" s="480">
        <v>352.33890359600002</v>
      </c>
      <c r="O51" s="480">
        <v>372.82561601100002</v>
      </c>
      <c r="P51" s="467">
        <v>381.883677546</v>
      </c>
    </row>
    <row r="52" spans="1:25" ht="15.75" customHeight="1" x14ac:dyDescent="0.25">
      <c r="A52" s="465" t="s">
        <v>413</v>
      </c>
      <c r="B52" s="467">
        <v>510.46211598000002</v>
      </c>
      <c r="C52" s="467">
        <v>496.13201237800001</v>
      </c>
      <c r="D52" s="467">
        <v>456.58682516599998</v>
      </c>
      <c r="E52" s="467">
        <v>535.53228348699997</v>
      </c>
      <c r="F52" s="467">
        <v>629.96115937299999</v>
      </c>
      <c r="G52" s="467">
        <v>697.27409685400005</v>
      </c>
      <c r="H52" s="467">
        <v>699.38285972400001</v>
      </c>
      <c r="I52" s="467">
        <v>619.21150499700002</v>
      </c>
      <c r="J52" s="467">
        <v>445.18612973</v>
      </c>
      <c r="K52" s="467" t="s">
        <v>102</v>
      </c>
      <c r="L52" s="467" t="s">
        <v>102</v>
      </c>
      <c r="M52" s="480">
        <v>570.11331233999999</v>
      </c>
      <c r="N52" s="480">
        <v>571.13854057000003</v>
      </c>
      <c r="O52" s="480">
        <v>570.12757370899999</v>
      </c>
      <c r="P52" s="467">
        <v>917.13344096100002</v>
      </c>
    </row>
    <row r="53" spans="1:25" ht="15.75" customHeight="1" x14ac:dyDescent="0.25">
      <c r="A53" s="465" t="s">
        <v>414</v>
      </c>
      <c r="B53" s="467">
        <v>217.08632585800001</v>
      </c>
      <c r="C53" s="467">
        <v>182.955811673</v>
      </c>
      <c r="D53" s="467">
        <v>156.532882277</v>
      </c>
      <c r="E53" s="467">
        <v>159.04641770500001</v>
      </c>
      <c r="F53" s="467">
        <v>177.038065399</v>
      </c>
      <c r="G53" s="467">
        <v>184.599172958</v>
      </c>
      <c r="H53" s="467">
        <v>199.99557488299999</v>
      </c>
      <c r="I53" s="467">
        <v>248.38484518499999</v>
      </c>
      <c r="J53" s="467">
        <v>258.04747157600002</v>
      </c>
      <c r="K53" s="467" t="s">
        <v>102</v>
      </c>
      <c r="L53" s="467" t="s">
        <v>102</v>
      </c>
      <c r="M53" s="480">
        <v>169.57492159200001</v>
      </c>
      <c r="N53" s="480">
        <v>251.05405991399999</v>
      </c>
      <c r="O53" s="480">
        <v>170.70833169900001</v>
      </c>
      <c r="P53" s="467">
        <v>171.628101289</v>
      </c>
    </row>
    <row r="54" spans="1:25" ht="12.75" customHeight="1" x14ac:dyDescent="0.2">
      <c r="A54" s="235" t="s">
        <v>899</v>
      </c>
      <c r="B54" s="473"/>
      <c r="C54" s="473"/>
      <c r="D54" s="473"/>
      <c r="E54" s="473"/>
      <c r="F54" s="473"/>
      <c r="G54" s="473"/>
      <c r="H54" s="473"/>
      <c r="I54" s="473"/>
      <c r="J54" s="473"/>
      <c r="K54" s="473"/>
      <c r="L54" s="473"/>
      <c r="M54" s="569"/>
      <c r="N54" s="486"/>
      <c r="O54" s="714"/>
      <c r="P54" s="715"/>
      <c r="Q54" s="13"/>
      <c r="R54" s="13"/>
      <c r="S54" s="13"/>
      <c r="T54" s="13"/>
      <c r="U54" s="13"/>
      <c r="V54" s="215"/>
      <c r="W54" s="215"/>
      <c r="X54" s="215"/>
      <c r="Y54" s="39"/>
    </row>
    <row r="55" spans="1:25" x14ac:dyDescent="0.2">
      <c r="A55" s="255" t="s">
        <v>653</v>
      </c>
      <c r="B55" s="13"/>
      <c r="C55" s="13"/>
      <c r="D55" s="13"/>
      <c r="E55" s="13"/>
      <c r="F55" s="13"/>
      <c r="G55" s="13"/>
      <c r="H55" s="13"/>
      <c r="I55" s="13"/>
      <c r="J55" s="13"/>
      <c r="K55" s="13"/>
      <c r="L55" s="13"/>
      <c r="M55" s="215"/>
      <c r="N55" s="215"/>
      <c r="O55" s="215"/>
      <c r="P55" s="39"/>
    </row>
    <row r="56" spans="1:25" x14ac:dyDescent="0.2">
      <c r="A56" s="37" t="s">
        <v>461</v>
      </c>
      <c r="B56" s="13"/>
      <c r="C56" s="13"/>
      <c r="D56" s="13"/>
      <c r="E56" s="13"/>
      <c r="F56" s="13"/>
      <c r="G56" s="13"/>
      <c r="H56" s="13"/>
      <c r="I56" s="13"/>
      <c r="J56" s="13"/>
      <c r="K56" s="13"/>
      <c r="L56" s="13"/>
      <c r="M56" s="215"/>
      <c r="N56" s="215"/>
      <c r="O56" s="215"/>
      <c r="P56" s="39"/>
    </row>
    <row r="57" spans="1:25" x14ac:dyDescent="0.2">
      <c r="A57" s="168" t="s">
        <v>557</v>
      </c>
      <c r="B57" s="13"/>
      <c r="C57" s="13"/>
      <c r="D57" s="13"/>
      <c r="E57" s="13"/>
      <c r="F57" s="13"/>
      <c r="G57" s="13"/>
      <c r="H57" s="13"/>
      <c r="I57" s="13"/>
      <c r="J57" s="13"/>
      <c r="K57" s="13"/>
      <c r="L57" s="13"/>
      <c r="M57" s="215"/>
      <c r="N57" s="215"/>
      <c r="O57" s="215"/>
      <c r="P57" s="39"/>
    </row>
    <row r="58" spans="1:25" x14ac:dyDescent="0.2">
      <c r="A58" s="255" t="s">
        <v>985</v>
      </c>
      <c r="B58" s="3"/>
      <c r="C58" s="3"/>
      <c r="D58" s="3"/>
      <c r="G58" s="185"/>
      <c r="J58" s="185"/>
      <c r="M58" s="215"/>
      <c r="N58" s="215"/>
      <c r="O58" s="215"/>
    </row>
    <row r="59" spans="1:25" x14ac:dyDescent="0.2">
      <c r="A59" s="286" t="s">
        <v>916</v>
      </c>
      <c r="B59" s="3"/>
      <c r="C59" s="3"/>
      <c r="D59" s="3"/>
      <c r="G59" s="185"/>
      <c r="J59" s="185"/>
    </row>
    <row r="60" spans="1:25" ht="18" x14ac:dyDescent="0.2">
      <c r="A60" s="46"/>
    </row>
    <row r="61" spans="1:25" ht="21" x14ac:dyDescent="0.2">
      <c r="A61" s="46" t="s">
        <v>925</v>
      </c>
    </row>
    <row r="62" spans="1:25" ht="15" customHeight="1" thickBot="1" x14ac:dyDescent="0.25">
      <c r="P62" s="421"/>
    </row>
    <row r="63" spans="1:25" ht="15.95" customHeight="1" x14ac:dyDescent="0.2">
      <c r="A63" s="41"/>
      <c r="B63" s="42" t="s">
        <v>35</v>
      </c>
      <c r="C63" s="42" t="s">
        <v>121</v>
      </c>
      <c r="D63" s="42" t="s">
        <v>123</v>
      </c>
      <c r="E63" s="42" t="s">
        <v>36</v>
      </c>
      <c r="F63" s="42" t="s">
        <v>37</v>
      </c>
      <c r="G63" s="42" t="s">
        <v>38</v>
      </c>
      <c r="H63" s="42" t="s">
        <v>39</v>
      </c>
      <c r="I63" s="42" t="s">
        <v>125</v>
      </c>
      <c r="J63" s="42" t="s">
        <v>126</v>
      </c>
      <c r="K63" s="42" t="s">
        <v>127</v>
      </c>
      <c r="L63" s="252">
        <v>100000</v>
      </c>
      <c r="M63" s="250" t="s">
        <v>231</v>
      </c>
      <c r="N63" s="250" t="s">
        <v>231</v>
      </c>
      <c r="O63" s="257" t="s">
        <v>77</v>
      </c>
      <c r="P63" s="281" t="s">
        <v>220</v>
      </c>
    </row>
    <row r="64" spans="1:25" ht="15.95" customHeight="1" x14ac:dyDescent="0.2">
      <c r="A64" s="566" t="s">
        <v>81</v>
      </c>
      <c r="B64" s="43" t="s">
        <v>120</v>
      </c>
      <c r="C64" s="43" t="s">
        <v>40</v>
      </c>
      <c r="D64" s="43" t="s">
        <v>40</v>
      </c>
      <c r="E64" s="43" t="s">
        <v>40</v>
      </c>
      <c r="F64" s="43" t="s">
        <v>40</v>
      </c>
      <c r="G64" s="43" t="s">
        <v>40</v>
      </c>
      <c r="H64" s="43" t="s">
        <v>40</v>
      </c>
      <c r="I64" s="43" t="s">
        <v>40</v>
      </c>
      <c r="J64" s="43" t="s">
        <v>40</v>
      </c>
      <c r="K64" s="43" t="s">
        <v>40</v>
      </c>
      <c r="L64" s="43" t="s">
        <v>43</v>
      </c>
      <c r="M64" s="239" t="s">
        <v>230</v>
      </c>
      <c r="N64" s="239" t="s">
        <v>138</v>
      </c>
      <c r="O64" s="256" t="s">
        <v>137</v>
      </c>
      <c r="P64" s="282" t="s">
        <v>294</v>
      </c>
    </row>
    <row r="65" spans="1:16" ht="15.95" customHeight="1" thickBot="1" x14ac:dyDescent="0.25">
      <c r="A65" s="423" t="s">
        <v>99</v>
      </c>
      <c r="B65" s="44" t="s">
        <v>43</v>
      </c>
      <c r="C65" s="44" t="s">
        <v>122</v>
      </c>
      <c r="D65" s="44" t="s">
        <v>124</v>
      </c>
      <c r="E65" s="44" t="s">
        <v>44</v>
      </c>
      <c r="F65" s="44" t="s">
        <v>45</v>
      </c>
      <c r="G65" s="44" t="s">
        <v>46</v>
      </c>
      <c r="H65" s="44" t="s">
        <v>42</v>
      </c>
      <c r="I65" s="44" t="s">
        <v>128</v>
      </c>
      <c r="J65" s="44" t="s">
        <v>129</v>
      </c>
      <c r="K65" s="44" t="s">
        <v>130</v>
      </c>
      <c r="L65" s="44" t="s">
        <v>131</v>
      </c>
      <c r="M65" s="251" t="s">
        <v>138</v>
      </c>
      <c r="N65" s="251" t="s">
        <v>131</v>
      </c>
      <c r="O65" s="258" t="s">
        <v>41</v>
      </c>
      <c r="P65" s="283" t="s">
        <v>295</v>
      </c>
    </row>
    <row r="66" spans="1:16" ht="15" customHeight="1" x14ac:dyDescent="0.25">
      <c r="A66" s="544" t="s">
        <v>200</v>
      </c>
      <c r="B66" s="192"/>
      <c r="C66" s="192"/>
      <c r="D66" s="192"/>
      <c r="E66" s="192"/>
      <c r="F66" s="192"/>
      <c r="G66" s="192"/>
      <c r="H66" s="192"/>
      <c r="I66" s="192"/>
      <c r="J66" s="192"/>
      <c r="K66" s="192"/>
      <c r="L66" s="192"/>
      <c r="M66" s="192"/>
      <c r="N66" s="192"/>
      <c r="O66" s="192"/>
    </row>
    <row r="67" spans="1:16" ht="15.75" customHeight="1" x14ac:dyDescent="0.25">
      <c r="A67" s="487" t="s">
        <v>286</v>
      </c>
      <c r="B67" s="488">
        <f>B8/B$8</f>
        <v>1</v>
      </c>
      <c r="C67" s="488">
        <f t="shared" ref="C67:H67" si="0">C8/C$8</f>
        <v>1</v>
      </c>
      <c r="D67" s="488">
        <f t="shared" si="0"/>
        <v>1</v>
      </c>
      <c r="E67" s="488">
        <f t="shared" si="0"/>
        <v>1</v>
      </c>
      <c r="F67" s="488">
        <f t="shared" si="0"/>
        <v>1</v>
      </c>
      <c r="G67" s="488">
        <f t="shared" si="0"/>
        <v>1</v>
      </c>
      <c r="H67" s="488">
        <f t="shared" si="0"/>
        <v>1</v>
      </c>
      <c r="I67" s="488">
        <f t="shared" ref="I67:J67" si="1">I8/I$8</f>
        <v>1</v>
      </c>
      <c r="J67" s="488">
        <f t="shared" si="1"/>
        <v>1</v>
      </c>
      <c r="K67" s="488" t="s">
        <v>102</v>
      </c>
      <c r="L67" s="488" t="s">
        <v>102</v>
      </c>
      <c r="M67" s="489">
        <f>M8/M$8</f>
        <v>1</v>
      </c>
      <c r="N67" s="489">
        <f>N8/N$8</f>
        <v>1</v>
      </c>
      <c r="O67" s="489">
        <f>O8/O$8</f>
        <v>1</v>
      </c>
      <c r="P67" s="488">
        <f>P8/P$8</f>
        <v>1</v>
      </c>
    </row>
    <row r="68" spans="1:16" ht="15.75" customHeight="1" x14ac:dyDescent="0.2">
      <c r="A68" s="490" t="s">
        <v>161</v>
      </c>
      <c r="B68" s="491">
        <f t="shared" ref="B68:H72" si="2">B9/B$8</f>
        <v>0.40321621348211373</v>
      </c>
      <c r="C68" s="491">
        <f t="shared" si="2"/>
        <v>0.38634524424746014</v>
      </c>
      <c r="D68" s="491">
        <f t="shared" si="2"/>
        <v>0.36290443320197913</v>
      </c>
      <c r="E68" s="491">
        <f t="shared" si="2"/>
        <v>0.34471069017305755</v>
      </c>
      <c r="F68" s="491">
        <f t="shared" si="2"/>
        <v>0.33212621570390533</v>
      </c>
      <c r="G68" s="491">
        <f t="shared" si="2"/>
        <v>0.31205784265456232</v>
      </c>
      <c r="H68" s="491">
        <f t="shared" si="2"/>
        <v>0.28778211829214717</v>
      </c>
      <c r="I68" s="491">
        <f t="shared" ref="I68:J68" si="3">I9/I$8</f>
        <v>0.28268746222620961</v>
      </c>
      <c r="J68" s="491">
        <f t="shared" si="3"/>
        <v>0.27904922133575244</v>
      </c>
      <c r="K68" s="491" t="s">
        <v>102</v>
      </c>
      <c r="L68" s="491" t="s">
        <v>102</v>
      </c>
      <c r="M68" s="484">
        <f t="shared" ref="M68:N68" si="4">M9/M$8</f>
        <v>0.33657247784856881</v>
      </c>
      <c r="N68" s="484">
        <f t="shared" si="4"/>
        <v>0.28182714842983853</v>
      </c>
      <c r="O68" s="484">
        <f t="shared" ref="O68:P68" si="5">O9/O$8</f>
        <v>0.33556410850009544</v>
      </c>
      <c r="P68" s="491">
        <f t="shared" si="5"/>
        <v>0.26063564804453099</v>
      </c>
    </row>
    <row r="69" spans="1:16" ht="15.75" customHeight="1" x14ac:dyDescent="0.2">
      <c r="A69" s="492" t="s">
        <v>162</v>
      </c>
      <c r="B69" s="493">
        <f t="shared" si="2"/>
        <v>0.22848218624667538</v>
      </c>
      <c r="C69" s="493">
        <f t="shared" si="2"/>
        <v>0.27958598484168878</v>
      </c>
      <c r="D69" s="493">
        <f t="shared" si="2"/>
        <v>0.34848284642532767</v>
      </c>
      <c r="E69" s="493">
        <f t="shared" si="2"/>
        <v>0.44088803563872175</v>
      </c>
      <c r="F69" s="493">
        <f t="shared" si="2"/>
        <v>0.49859890332299289</v>
      </c>
      <c r="G69" s="493">
        <f t="shared" si="2"/>
        <v>0.52746518409148302</v>
      </c>
      <c r="H69" s="493">
        <f t="shared" si="2"/>
        <v>0.55568003432709079</v>
      </c>
      <c r="I69" s="493">
        <f t="shared" ref="I69:J69" si="6">I10/I$8</f>
        <v>0.55624964829701584</v>
      </c>
      <c r="J69" s="493">
        <f t="shared" si="6"/>
        <v>0.49212428434145411</v>
      </c>
      <c r="K69" s="493" t="s">
        <v>102</v>
      </c>
      <c r="L69" s="493" t="s">
        <v>102</v>
      </c>
      <c r="M69" s="494">
        <f t="shared" ref="M69:N69" si="7">M10/M$8</f>
        <v>0.45556118995868938</v>
      </c>
      <c r="N69" s="494">
        <f t="shared" si="7"/>
        <v>0.54108629408841835</v>
      </c>
      <c r="O69" s="494">
        <f t="shared" ref="O69:P69" si="8">O10/O$8</f>
        <v>0.457136500481302</v>
      </c>
      <c r="P69" s="493">
        <f t="shared" si="8"/>
        <v>0.53938842023413458</v>
      </c>
    </row>
    <row r="70" spans="1:16" ht="15.75" customHeight="1" x14ac:dyDescent="0.2">
      <c r="A70" s="490" t="s">
        <v>163</v>
      </c>
      <c r="B70" s="491">
        <f t="shared" si="2"/>
        <v>1.4574006766487894E-2</v>
      </c>
      <c r="C70" s="491">
        <f t="shared" si="2"/>
        <v>1.6694019015071043E-2</v>
      </c>
      <c r="D70" s="491">
        <f t="shared" si="2"/>
        <v>1.7328318889124429E-2</v>
      </c>
      <c r="E70" s="491">
        <f t="shared" si="2"/>
        <v>1.9400458671929823E-2</v>
      </c>
      <c r="F70" s="491">
        <f t="shared" si="2"/>
        <v>2.0104161176771031E-2</v>
      </c>
      <c r="G70" s="491">
        <f t="shared" si="2"/>
        <v>1.9617145643318491E-2</v>
      </c>
      <c r="H70" s="491">
        <f t="shared" si="2"/>
        <v>1.9062047747200179E-2</v>
      </c>
      <c r="I70" s="491">
        <f t="shared" ref="I70:J70" si="9">I11/I$8</f>
        <v>1.3202652323174708E-2</v>
      </c>
      <c r="J70" s="491">
        <f t="shared" si="9"/>
        <v>1.4637506955279683E-2</v>
      </c>
      <c r="K70" s="491" t="s">
        <v>102</v>
      </c>
      <c r="L70" s="491" t="s">
        <v>102</v>
      </c>
      <c r="M70" s="484">
        <f t="shared" ref="M70:N70" si="10">M11/M$8</f>
        <v>1.9123153888264965E-2</v>
      </c>
      <c r="N70" s="484">
        <f t="shared" si="10"/>
        <v>1.3541944104833141E-2</v>
      </c>
      <c r="O70" s="484">
        <f t="shared" ref="O70:P70" si="11">O11/O$8</f>
        <v>1.9020352044188248E-2</v>
      </c>
      <c r="P70" s="491">
        <f t="shared" si="11"/>
        <v>2.0720488639097812E-2</v>
      </c>
    </row>
    <row r="71" spans="1:16" ht="15.75" customHeight="1" x14ac:dyDescent="0.2">
      <c r="A71" s="492" t="s">
        <v>164</v>
      </c>
      <c r="B71" s="493">
        <f t="shared" si="2"/>
        <v>0.12504375195294526</v>
      </c>
      <c r="C71" s="493">
        <f t="shared" si="2"/>
        <v>0.13878939472066446</v>
      </c>
      <c r="D71" s="493">
        <f t="shared" si="2"/>
        <v>0.15336455224940312</v>
      </c>
      <c r="E71" s="493">
        <f t="shared" si="2"/>
        <v>0.11001388390066448</v>
      </c>
      <c r="F71" s="493">
        <f t="shared" si="2"/>
        <v>9.3408966229024989E-2</v>
      </c>
      <c r="G71" s="493">
        <f t="shared" si="2"/>
        <v>9.321799673290268E-2</v>
      </c>
      <c r="H71" s="493">
        <f t="shared" si="2"/>
        <v>9.7804835277168142E-2</v>
      </c>
      <c r="I71" s="493">
        <f t="shared" ref="I71:J71" si="12">I12/I$8</f>
        <v>0.11157628597156341</v>
      </c>
      <c r="J71" s="493">
        <f t="shared" si="12"/>
        <v>0.17704027194944366</v>
      </c>
      <c r="K71" s="493" t="s">
        <v>102</v>
      </c>
      <c r="L71" s="493" t="s">
        <v>102</v>
      </c>
      <c r="M71" s="494">
        <f t="shared" ref="M71:N71" si="13">M12/M$8</f>
        <v>0.10979824573494908</v>
      </c>
      <c r="N71" s="494">
        <f t="shared" si="13"/>
        <v>0.12705617639317984</v>
      </c>
      <c r="O71" s="494">
        <f t="shared" ref="O71:P71" si="14">O12/O$8</f>
        <v>0.11011612432833844</v>
      </c>
      <c r="P71" s="493">
        <f t="shared" si="14"/>
        <v>0.13994866358631425</v>
      </c>
    </row>
    <row r="72" spans="1:16" ht="15.75" customHeight="1" x14ac:dyDescent="0.2">
      <c r="A72" s="495" t="s">
        <v>165</v>
      </c>
      <c r="B72" s="496">
        <f t="shared" si="2"/>
        <v>0.22868384155177779</v>
      </c>
      <c r="C72" s="496">
        <f t="shared" si="2"/>
        <v>0.17858535717511553</v>
      </c>
      <c r="D72" s="496">
        <f t="shared" si="2"/>
        <v>0.11791984923570287</v>
      </c>
      <c r="E72" s="496">
        <f t="shared" si="2"/>
        <v>8.4986931617045958E-2</v>
      </c>
      <c r="F72" s="496">
        <f t="shared" si="2"/>
        <v>5.5761753567305755E-2</v>
      </c>
      <c r="G72" s="496">
        <f t="shared" si="2"/>
        <v>4.7641830877733556E-2</v>
      </c>
      <c r="H72" s="496">
        <f t="shared" si="2"/>
        <v>3.9670964356393786E-2</v>
      </c>
      <c r="I72" s="496">
        <f t="shared" ref="I72:J72" si="15">I13/I$8</f>
        <v>3.6283951182967594E-2</v>
      </c>
      <c r="J72" s="496">
        <f t="shared" si="15"/>
        <v>3.7148715418070119E-2</v>
      </c>
      <c r="K72" s="496" t="s">
        <v>102</v>
      </c>
      <c r="L72" s="496" t="s">
        <v>102</v>
      </c>
      <c r="M72" s="497">
        <f t="shared" ref="M72:N72" si="16">M13/M$8</f>
        <v>7.8944932569527781E-2</v>
      </c>
      <c r="N72" s="497">
        <f t="shared" si="16"/>
        <v>3.6488436983730096E-2</v>
      </c>
      <c r="O72" s="497">
        <f t="shared" ref="O72:P72" si="17">O13/O$8</f>
        <v>7.8162914646075846E-2</v>
      </c>
      <c r="P72" s="496">
        <f t="shared" si="17"/>
        <v>3.9306779495922449E-2</v>
      </c>
    </row>
    <row r="73" spans="1:16" ht="15.75" customHeight="1" x14ac:dyDescent="0.25">
      <c r="A73" s="498" t="s">
        <v>287</v>
      </c>
      <c r="B73" s="499">
        <f>B14/B$14</f>
        <v>1</v>
      </c>
      <c r="C73" s="499">
        <f t="shared" ref="C73:H73" si="18">C14/C$14</f>
        <v>1</v>
      </c>
      <c r="D73" s="499">
        <f t="shared" si="18"/>
        <v>1</v>
      </c>
      <c r="E73" s="499">
        <f t="shared" si="18"/>
        <v>1</v>
      </c>
      <c r="F73" s="499">
        <f t="shared" si="18"/>
        <v>1</v>
      </c>
      <c r="G73" s="499">
        <f t="shared" si="18"/>
        <v>1</v>
      </c>
      <c r="H73" s="499">
        <f t="shared" si="18"/>
        <v>1</v>
      </c>
      <c r="I73" s="499">
        <f t="shared" ref="I73:J73" si="19">I14/I$14</f>
        <v>1</v>
      </c>
      <c r="J73" s="499">
        <f t="shared" si="19"/>
        <v>1</v>
      </c>
      <c r="K73" s="499" t="s">
        <v>102</v>
      </c>
      <c r="L73" s="499" t="s">
        <v>102</v>
      </c>
      <c r="M73" s="500">
        <f>M14/M$14</f>
        <v>1</v>
      </c>
      <c r="N73" s="500">
        <f>N14/N$14</f>
        <v>1</v>
      </c>
      <c r="O73" s="500">
        <f>O14/O$14</f>
        <v>1</v>
      </c>
      <c r="P73" s="499">
        <f>P14/P$14</f>
        <v>1</v>
      </c>
    </row>
    <row r="74" spans="1:16" ht="15.75" customHeight="1" x14ac:dyDescent="0.2">
      <c r="A74" s="490" t="s">
        <v>79</v>
      </c>
      <c r="B74" s="491">
        <f t="shared" ref="B74:I84" si="20">B15/B$14</f>
        <v>0.42722063858400261</v>
      </c>
      <c r="C74" s="491">
        <f t="shared" si="20"/>
        <v>0.46211795412215462</v>
      </c>
      <c r="D74" s="491">
        <f t="shared" si="20"/>
        <v>0.50812502370182888</v>
      </c>
      <c r="E74" s="491">
        <f t="shared" si="20"/>
        <v>0.56418488446952419</v>
      </c>
      <c r="F74" s="491">
        <f t="shared" si="20"/>
        <v>0.59861892915736137</v>
      </c>
      <c r="G74" s="491">
        <f t="shared" si="20"/>
        <v>0.6183595198969789</v>
      </c>
      <c r="H74" s="491">
        <f t="shared" si="20"/>
        <v>0.63197755067879746</v>
      </c>
      <c r="I74" s="491">
        <f t="shared" ref="I74:J74" si="21">I15/I$14</f>
        <v>0.55858640514912816</v>
      </c>
      <c r="J74" s="491">
        <f t="shared" si="21"/>
        <v>0.58821723108074386</v>
      </c>
      <c r="K74" s="491" t="s">
        <v>102</v>
      </c>
      <c r="L74" s="491" t="s">
        <v>102</v>
      </c>
      <c r="M74" s="484">
        <f t="shared" ref="M74:N74" si="22">M15/M$14</f>
        <v>0.57168315471543529</v>
      </c>
      <c r="N74" s="484">
        <f t="shared" si="22"/>
        <v>0.56579682580696833</v>
      </c>
      <c r="O74" s="484">
        <f t="shared" ref="O74:P74" si="23">O15/O$14</f>
        <v>0.57157943418240198</v>
      </c>
      <c r="P74" s="491">
        <f t="shared" si="23"/>
        <v>0.66594528737099956</v>
      </c>
    </row>
    <row r="75" spans="1:16" ht="15.75" customHeight="1" x14ac:dyDescent="0.2">
      <c r="A75" s="492" t="s">
        <v>167</v>
      </c>
      <c r="B75" s="493">
        <f t="shared" si="20"/>
        <v>0.29482156134462406</v>
      </c>
      <c r="C75" s="493">
        <f t="shared" si="20"/>
        <v>0.35509413516211102</v>
      </c>
      <c r="D75" s="493">
        <f t="shared" si="20"/>
        <v>0.42011178535829791</v>
      </c>
      <c r="E75" s="493">
        <f t="shared" si="20"/>
        <v>0.4971992615638659</v>
      </c>
      <c r="F75" s="493">
        <f t="shared" si="20"/>
        <v>0.53524902589639367</v>
      </c>
      <c r="G75" s="493">
        <f t="shared" si="20"/>
        <v>0.54447992194961736</v>
      </c>
      <c r="H75" s="493">
        <f t="shared" si="20"/>
        <v>0.53526815441206854</v>
      </c>
      <c r="I75" s="493">
        <f t="shared" ref="I75:J75" si="24">I16/I$14</f>
        <v>0.4346657879715759</v>
      </c>
      <c r="J75" s="493">
        <f t="shared" si="24"/>
        <v>0.5536975049501367</v>
      </c>
      <c r="K75" s="493" t="s">
        <v>102</v>
      </c>
      <c r="L75" s="493" t="s">
        <v>102</v>
      </c>
      <c r="M75" s="494">
        <f t="shared" ref="M75:N75" si="25">M16/M$14</f>
        <v>0.49648208813396694</v>
      </c>
      <c r="N75" s="494">
        <f t="shared" si="25"/>
        <v>0.46363118883507481</v>
      </c>
      <c r="O75" s="494">
        <f t="shared" ref="O75:P75" si="26">O16/O$14</f>
        <v>0.4959032362149362</v>
      </c>
      <c r="P75" s="493">
        <f t="shared" si="26"/>
        <v>0.56487215445965022</v>
      </c>
    </row>
    <row r="76" spans="1:16" ht="15.75" customHeight="1" x14ac:dyDescent="0.2">
      <c r="A76" s="490" t="s">
        <v>322</v>
      </c>
      <c r="B76" s="491">
        <f t="shared" si="20"/>
        <v>4.7863490497626074E-2</v>
      </c>
      <c r="C76" s="491">
        <f t="shared" si="20"/>
        <v>4.3554757255947193E-2</v>
      </c>
      <c r="D76" s="491">
        <f t="shared" si="20"/>
        <v>4.9417299174218492E-2</v>
      </c>
      <c r="E76" s="491">
        <f t="shared" si="20"/>
        <v>7.6768085862774144E-2</v>
      </c>
      <c r="F76" s="491">
        <f t="shared" si="20"/>
        <v>9.4334965752258332E-2</v>
      </c>
      <c r="G76" s="491">
        <f t="shared" si="20"/>
        <v>9.67159657165019E-2</v>
      </c>
      <c r="H76" s="491">
        <f t="shared" si="20"/>
        <v>9.5912709325736437E-2</v>
      </c>
      <c r="I76" s="491">
        <f t="shared" ref="I76:J76" si="27">I17/I$14</f>
        <v>7.8807991643821393E-2</v>
      </c>
      <c r="J76" s="491">
        <f t="shared" si="27"/>
        <v>8.9575079570210311E-2</v>
      </c>
      <c r="K76" s="491" t="s">
        <v>102</v>
      </c>
      <c r="L76" s="491" t="s">
        <v>102</v>
      </c>
      <c r="M76" s="484">
        <f t="shared" ref="M76:N76" si="28">M17/M$14</f>
        <v>7.9522005348109964E-2</v>
      </c>
      <c r="N76" s="484">
        <f t="shared" si="28"/>
        <v>8.1428074977947379E-2</v>
      </c>
      <c r="O76" s="484">
        <f t="shared" ref="O76:P76" si="29">O17/O$14</f>
        <v>7.9555591401314324E-2</v>
      </c>
      <c r="P76" s="491">
        <f t="shared" si="29"/>
        <v>0.11277057487008149</v>
      </c>
    </row>
    <row r="77" spans="1:16" ht="15.75" customHeight="1" x14ac:dyDescent="0.2">
      <c r="A77" s="492" t="s">
        <v>168</v>
      </c>
      <c r="B77" s="493">
        <f t="shared" si="20"/>
        <v>0.1323990772393786</v>
      </c>
      <c r="C77" s="493">
        <f t="shared" si="20"/>
        <v>0.10702381896004355</v>
      </c>
      <c r="D77" s="493">
        <f t="shared" si="20"/>
        <v>8.8013238344723244E-2</v>
      </c>
      <c r="E77" s="493">
        <f t="shared" si="20"/>
        <v>6.6985622905658265E-2</v>
      </c>
      <c r="F77" s="493">
        <f t="shared" si="20"/>
        <v>6.3369903260967683E-2</v>
      </c>
      <c r="G77" s="493">
        <f t="shared" si="20"/>
        <v>7.3879597946476583E-2</v>
      </c>
      <c r="H77" s="493">
        <f t="shared" si="20"/>
        <v>9.6709396266728948E-2</v>
      </c>
      <c r="I77" s="493">
        <f t="shared" ref="I77:J77" si="30">I18/I$14</f>
        <v>0.12392061717755225</v>
      </c>
      <c r="J77" s="493">
        <f t="shared" si="30"/>
        <v>3.4519726129675687E-2</v>
      </c>
      <c r="K77" s="493" t="s">
        <v>102</v>
      </c>
      <c r="L77" s="493" t="s">
        <v>102</v>
      </c>
      <c r="M77" s="494">
        <f t="shared" ref="M77:N77" si="31">M18/M$14</f>
        <v>7.5201066581468329E-2</v>
      </c>
      <c r="N77" s="494">
        <f t="shared" si="31"/>
        <v>0.1021656369718935</v>
      </c>
      <c r="O77" s="494">
        <f t="shared" ref="O77:P77" si="32">O18/O$14</f>
        <v>7.5676197967465789E-2</v>
      </c>
      <c r="P77" s="493">
        <f t="shared" si="32"/>
        <v>0.10107313291134931</v>
      </c>
    </row>
    <row r="78" spans="1:16" ht="15.75" customHeight="1" x14ac:dyDescent="0.2">
      <c r="A78" s="490" t="s">
        <v>169</v>
      </c>
      <c r="B78" s="491">
        <f t="shared" si="20"/>
        <v>0.33571002307325232</v>
      </c>
      <c r="C78" s="491">
        <f t="shared" si="20"/>
        <v>0.3040044003405179</v>
      </c>
      <c r="D78" s="491">
        <f t="shared" si="20"/>
        <v>0.27706624536860597</v>
      </c>
      <c r="E78" s="491">
        <f t="shared" si="20"/>
        <v>0.24713538906725796</v>
      </c>
      <c r="F78" s="491">
        <f t="shared" si="20"/>
        <v>0.22651313155673622</v>
      </c>
      <c r="G78" s="491">
        <f t="shared" si="20"/>
        <v>0.21620219920582967</v>
      </c>
      <c r="H78" s="491">
        <f t="shared" si="20"/>
        <v>0.21501209487270986</v>
      </c>
      <c r="I78" s="491">
        <f t="shared" ref="I78:J78" si="33">I19/I$14</f>
        <v>0.28962148264468973</v>
      </c>
      <c r="J78" s="491">
        <f t="shared" si="33"/>
        <v>0.29367045434670253</v>
      </c>
      <c r="K78" s="491" t="s">
        <v>102</v>
      </c>
      <c r="L78" s="491" t="s">
        <v>102</v>
      </c>
      <c r="M78" s="484">
        <f t="shared" ref="M78:N78" si="34">M19/M$14</f>
        <v>0.24317887277747077</v>
      </c>
      <c r="N78" s="484">
        <f t="shared" si="34"/>
        <v>0.29060676699915206</v>
      </c>
      <c r="O78" s="484">
        <f t="shared" ref="O78:P78" si="35">O19/O$14</f>
        <v>0.24401457981013602</v>
      </c>
      <c r="P78" s="491">
        <f t="shared" si="35"/>
        <v>0.1673213815893784</v>
      </c>
    </row>
    <row r="79" spans="1:16" ht="15.75" customHeight="1" x14ac:dyDescent="0.2">
      <c r="A79" s="492" t="s">
        <v>170</v>
      </c>
      <c r="B79" s="493">
        <f t="shared" si="20"/>
        <v>0.17901283739671897</v>
      </c>
      <c r="C79" s="493">
        <f t="shared" si="20"/>
        <v>0.19320757536863234</v>
      </c>
      <c r="D79" s="493">
        <f t="shared" si="20"/>
        <v>0.18661858631785042</v>
      </c>
      <c r="E79" s="493">
        <f t="shared" si="20"/>
        <v>0.18023551797083665</v>
      </c>
      <c r="F79" s="493">
        <f t="shared" si="20"/>
        <v>0.17232082165528059</v>
      </c>
      <c r="G79" s="493">
        <f t="shared" si="20"/>
        <v>0.16335236971210815</v>
      </c>
      <c r="H79" s="493">
        <f t="shared" si="20"/>
        <v>0.17062084599559685</v>
      </c>
      <c r="I79" s="493">
        <f t="shared" ref="I79:J79" si="36">I20/I$14</f>
        <v>0.19494975449053012</v>
      </c>
      <c r="J79" s="493">
        <f t="shared" si="36"/>
        <v>0.24036679995094296</v>
      </c>
      <c r="K79" s="493" t="s">
        <v>102</v>
      </c>
      <c r="L79" s="493" t="s">
        <v>102</v>
      </c>
      <c r="M79" s="494">
        <f t="shared" ref="M79:N79" si="37">M20/M$14</f>
        <v>0.17692193775195389</v>
      </c>
      <c r="N79" s="494">
        <f t="shared" si="37"/>
        <v>0.2060016233642239</v>
      </c>
      <c r="O79" s="494">
        <f t="shared" ref="O79:P79" si="38">O20/O$14</f>
        <v>0.17743433869551858</v>
      </c>
      <c r="P79" s="493">
        <f t="shared" si="38"/>
        <v>0.12834059725015523</v>
      </c>
    </row>
    <row r="80" spans="1:16" ht="15.75" customHeight="1" x14ac:dyDescent="0.2">
      <c r="A80" s="490" t="s">
        <v>171</v>
      </c>
      <c r="B80" s="491">
        <f t="shared" si="20"/>
        <v>7.0801292614267028E-2</v>
      </c>
      <c r="C80" s="491">
        <f t="shared" si="20"/>
        <v>4.5761782685254791E-2</v>
      </c>
      <c r="D80" s="491">
        <f t="shared" si="20"/>
        <v>2.1772355926183758E-2</v>
      </c>
      <c r="E80" s="491">
        <f t="shared" si="20"/>
        <v>6.1152831535595436E-3</v>
      </c>
      <c r="F80" s="491">
        <f t="shared" si="20"/>
        <v>3.0972017719482895E-3</v>
      </c>
      <c r="G80" s="491">
        <f t="shared" si="20"/>
        <v>2.5330997894303371E-3</v>
      </c>
      <c r="H80" s="491">
        <f t="shared" si="20"/>
        <v>2.4487958815815874E-3</v>
      </c>
      <c r="I80" s="491">
        <f t="shared" si="20"/>
        <v>3.161379133520235E-3</v>
      </c>
      <c r="J80" s="491">
        <f t="shared" ref="J80" si="39">J21/J$14</f>
        <v>4.7759040833479718E-3</v>
      </c>
      <c r="K80" s="491" t="s">
        <v>102</v>
      </c>
      <c r="L80" s="491" t="s">
        <v>102</v>
      </c>
      <c r="M80" s="484">
        <f t="shared" ref="M80:N80" si="40">M21/M$14</f>
        <v>9.0642332892743125E-3</v>
      </c>
      <c r="N80" s="484">
        <f t="shared" si="40"/>
        <v>3.5542606574226875E-3</v>
      </c>
      <c r="O80" s="484">
        <f t="shared" ref="O80:P80" si="41">O21/O$14</f>
        <v>8.967144372604598E-3</v>
      </c>
      <c r="P80" s="491">
        <f t="shared" si="41"/>
        <v>4.4499934997106671E-3</v>
      </c>
    </row>
    <row r="81" spans="1:16" ht="15.75" customHeight="1" x14ac:dyDescent="0.2">
      <c r="A81" s="693" t="s">
        <v>607</v>
      </c>
      <c r="B81" s="493">
        <f t="shared" si="20"/>
        <v>8.58958930614417E-2</v>
      </c>
      <c r="C81" s="493">
        <f t="shared" si="20"/>
        <v>6.5035042286630762E-2</v>
      </c>
      <c r="D81" s="493">
        <f t="shared" si="20"/>
        <v>6.8675303125764003E-2</v>
      </c>
      <c r="E81" s="493">
        <f t="shared" si="20"/>
        <v>6.0784587942861797E-2</v>
      </c>
      <c r="F81" s="493">
        <f t="shared" si="20"/>
        <v>5.1095108129507329E-2</v>
      </c>
      <c r="G81" s="493">
        <f t="shared" si="20"/>
        <v>5.0316729703406275E-2</v>
      </c>
      <c r="H81" s="493">
        <f t="shared" si="20"/>
        <v>4.1942452996384536E-2</v>
      </c>
      <c r="I81" s="493">
        <f t="shared" ref="I81:J81" si="42">I22/I$14</f>
        <v>9.151034902063937E-2</v>
      </c>
      <c r="J81" s="493">
        <f t="shared" si="42"/>
        <v>4.8527750312411605E-2</v>
      </c>
      <c r="K81" s="493" t="s">
        <v>102</v>
      </c>
      <c r="L81" s="493" t="s">
        <v>102</v>
      </c>
      <c r="M81" s="494">
        <f t="shared" ref="M81:N81" si="43">M22/M$14</f>
        <v>5.7192701736242572E-2</v>
      </c>
      <c r="N81" s="494">
        <f t="shared" si="43"/>
        <v>8.1050882977505442E-2</v>
      </c>
      <c r="O81" s="494">
        <f t="shared" ref="O81:P81" si="44">O22/O$14</f>
        <v>5.7613096740973473E-2</v>
      </c>
      <c r="P81" s="493">
        <f t="shared" si="44"/>
        <v>3.4530790839512521E-2</v>
      </c>
    </row>
    <row r="82" spans="1:16" ht="15.75" customHeight="1" x14ac:dyDescent="0.2">
      <c r="A82" s="490" t="s">
        <v>172</v>
      </c>
      <c r="B82" s="491">
        <f t="shared" si="20"/>
        <v>2.0879479435850071E-2</v>
      </c>
      <c r="C82" s="491">
        <f t="shared" si="20"/>
        <v>2.1179479232766859E-2</v>
      </c>
      <c r="D82" s="491">
        <f t="shared" si="20"/>
        <v>2.2399804096848556E-2</v>
      </c>
      <c r="E82" s="491">
        <f t="shared" si="20"/>
        <v>2.8011328178947095E-2</v>
      </c>
      <c r="F82" s="491">
        <f t="shared" si="20"/>
        <v>3.3626739524039821E-2</v>
      </c>
      <c r="G82" s="491">
        <f t="shared" si="20"/>
        <v>3.8252056493119697E-2</v>
      </c>
      <c r="H82" s="491">
        <f t="shared" si="20"/>
        <v>4.2345307144581436E-2</v>
      </c>
      <c r="I82" s="491">
        <f t="shared" ref="I82:J82" si="45">I23/I$14</f>
        <v>4.4195300051098035E-2</v>
      </c>
      <c r="J82" s="491">
        <f t="shared" si="45"/>
        <v>2.3118247347483582E-2</v>
      </c>
      <c r="K82" s="491" t="s">
        <v>102</v>
      </c>
      <c r="L82" s="491" t="s">
        <v>102</v>
      </c>
      <c r="M82" s="484">
        <f t="shared" ref="M82:N82" si="46">M23/M$14</f>
        <v>3.0762757412729148E-2</v>
      </c>
      <c r="N82" s="484">
        <f t="shared" si="46"/>
        <v>3.9066370584780047E-2</v>
      </c>
      <c r="O82" s="484">
        <f t="shared" ref="O82:P82" si="47">O23/O$14</f>
        <v>3.09090718975321E-2</v>
      </c>
      <c r="P82" s="491">
        <f t="shared" si="47"/>
        <v>4.2733704338770891E-2</v>
      </c>
    </row>
    <row r="83" spans="1:16" ht="15.75" customHeight="1" x14ac:dyDescent="0.2">
      <c r="A83" s="492" t="s">
        <v>173</v>
      </c>
      <c r="B83" s="493">
        <f t="shared" si="20"/>
        <v>9.8391308980334852E-2</v>
      </c>
      <c r="C83" s="493">
        <f t="shared" si="20"/>
        <v>9.2259367365835898E-2</v>
      </c>
      <c r="D83" s="493">
        <f t="shared" si="20"/>
        <v>8.3877286084726027E-2</v>
      </c>
      <c r="E83" s="493">
        <f t="shared" si="20"/>
        <v>8.2459761171945575E-2</v>
      </c>
      <c r="F83" s="493">
        <f t="shared" si="20"/>
        <v>7.7842959749103283E-2</v>
      </c>
      <c r="G83" s="493">
        <f t="shared" si="20"/>
        <v>8.1225261655578029E-2</v>
      </c>
      <c r="H83" s="493">
        <f t="shared" si="20"/>
        <v>7.5458744861307631E-2</v>
      </c>
      <c r="I83" s="493">
        <f t="shared" ref="I83:J83" si="48">I24/I$14</f>
        <v>7.4224123158539712E-2</v>
      </c>
      <c r="J83" s="493">
        <f t="shared" si="48"/>
        <v>6.5531909088718823E-2</v>
      </c>
      <c r="K83" s="493" t="s">
        <v>102</v>
      </c>
      <c r="L83" s="493" t="s">
        <v>102</v>
      </c>
      <c r="M83" s="494">
        <f t="shared" ref="M83:N83" si="49">M24/M$14</f>
        <v>8.1470501419547273E-2</v>
      </c>
      <c r="N83" s="494">
        <f t="shared" si="49"/>
        <v>7.2108943513424048E-2</v>
      </c>
      <c r="O83" s="494">
        <f t="shared" ref="O83:P83" si="50">O24/O$14</f>
        <v>8.1305545333742998E-2</v>
      </c>
      <c r="P83" s="493">
        <f t="shared" si="50"/>
        <v>7.9256793248100546E-2</v>
      </c>
    </row>
    <row r="84" spans="1:16" ht="15.75" customHeight="1" x14ac:dyDescent="0.2">
      <c r="A84" s="495" t="s">
        <v>174</v>
      </c>
      <c r="B84" s="496">
        <f t="shared" si="20"/>
        <v>0.11779854992738467</v>
      </c>
      <c r="C84" s="496">
        <f t="shared" si="20"/>
        <v>0.12043879893978079</v>
      </c>
      <c r="D84" s="496">
        <f t="shared" si="20"/>
        <v>0.10853164074799052</v>
      </c>
      <c r="E84" s="496">
        <f t="shared" si="20"/>
        <v>7.8208637112325202E-2</v>
      </c>
      <c r="F84" s="496">
        <f t="shared" si="20"/>
        <v>6.3398240012759344E-2</v>
      </c>
      <c r="G84" s="496">
        <f t="shared" si="20"/>
        <v>4.5960962748493754E-2</v>
      </c>
      <c r="H84" s="496">
        <f t="shared" si="20"/>
        <v>3.5206302441750471E-2</v>
      </c>
      <c r="I84" s="496">
        <f t="shared" ref="I84:J84" si="51">I25/I$14</f>
        <v>3.3372688996544435E-2</v>
      </c>
      <c r="J84" s="496">
        <f t="shared" si="51"/>
        <v>2.9462158136351259E-2</v>
      </c>
      <c r="K84" s="496" t="s">
        <v>102</v>
      </c>
      <c r="L84" s="496" t="s">
        <v>102</v>
      </c>
      <c r="M84" s="497">
        <f t="shared" ref="M84:N84" si="52">M25/M$14</f>
        <v>7.2904713674817587E-2</v>
      </c>
      <c r="N84" s="497">
        <f t="shared" si="52"/>
        <v>3.2421093095675646E-2</v>
      </c>
      <c r="O84" s="497">
        <f t="shared" ref="O84:P84" si="53">O25/O$14</f>
        <v>7.2191368776186898E-2</v>
      </c>
      <c r="P84" s="496">
        <f t="shared" si="53"/>
        <v>4.4742833452002854E-2</v>
      </c>
    </row>
    <row r="85" spans="1:16" ht="15.75" customHeight="1" x14ac:dyDescent="0.25">
      <c r="A85" s="501" t="s">
        <v>201</v>
      </c>
      <c r="B85" s="502"/>
      <c r="C85" s="502"/>
      <c r="D85" s="502"/>
      <c r="E85" s="502"/>
      <c r="F85" s="502"/>
      <c r="G85" s="502"/>
      <c r="H85" s="502"/>
      <c r="I85" s="502"/>
      <c r="J85" s="502"/>
      <c r="K85" s="502"/>
      <c r="L85" s="502"/>
      <c r="M85" s="503"/>
      <c r="N85" s="503"/>
      <c r="O85" s="503"/>
      <c r="P85" s="557"/>
    </row>
    <row r="86" spans="1:16" ht="15.75" customHeight="1" x14ac:dyDescent="0.25">
      <c r="A86" s="498" t="s">
        <v>288</v>
      </c>
      <c r="B86" s="499">
        <f>B28/B$28</f>
        <v>1</v>
      </c>
      <c r="C86" s="499">
        <f t="shared" ref="C86:H86" si="54">C28/C$28</f>
        <v>1</v>
      </c>
      <c r="D86" s="499">
        <f t="shared" si="54"/>
        <v>1</v>
      </c>
      <c r="E86" s="499">
        <f t="shared" si="54"/>
        <v>1</v>
      </c>
      <c r="F86" s="499">
        <f t="shared" si="54"/>
        <v>1</v>
      </c>
      <c r="G86" s="499">
        <f t="shared" si="54"/>
        <v>1</v>
      </c>
      <c r="H86" s="499">
        <f t="shared" si="54"/>
        <v>1</v>
      </c>
      <c r="I86" s="499">
        <f t="shared" ref="I86:J86" si="55">I28/I$28</f>
        <v>1</v>
      </c>
      <c r="J86" s="499">
        <f t="shared" si="55"/>
        <v>1</v>
      </c>
      <c r="K86" s="499" t="s">
        <v>102</v>
      </c>
      <c r="L86" s="499" t="s">
        <v>102</v>
      </c>
      <c r="M86" s="500">
        <f>M28/M$28</f>
        <v>1</v>
      </c>
      <c r="N86" s="500">
        <f>N28/N$28</f>
        <v>1</v>
      </c>
      <c r="O86" s="500">
        <f>O28/O$28</f>
        <v>1</v>
      </c>
      <c r="P86" s="499">
        <f>P28/P$28</f>
        <v>1</v>
      </c>
    </row>
    <row r="87" spans="1:16" ht="15.75" customHeight="1" x14ac:dyDescent="0.2">
      <c r="A87" s="490" t="s">
        <v>178</v>
      </c>
      <c r="B87" s="491">
        <f t="shared" ref="B87:H89" si="56">B29/B$28</f>
        <v>0.95516331524882392</v>
      </c>
      <c r="C87" s="491">
        <f t="shared" si="56"/>
        <v>0.94943633372686775</v>
      </c>
      <c r="D87" s="491">
        <f t="shared" si="56"/>
        <v>0.93974981579089667</v>
      </c>
      <c r="E87" s="491">
        <f t="shared" si="56"/>
        <v>0.94565351166323808</v>
      </c>
      <c r="F87" s="491">
        <f t="shared" si="56"/>
        <v>0.93973706926864542</v>
      </c>
      <c r="G87" s="491">
        <f t="shared" si="56"/>
        <v>0.93394711667955344</v>
      </c>
      <c r="H87" s="491">
        <f t="shared" si="56"/>
        <v>0.946184525374278</v>
      </c>
      <c r="I87" s="491">
        <f t="shared" ref="I87:J87" si="57">I29/I$28</f>
        <v>0.9199024404788595</v>
      </c>
      <c r="J87" s="491">
        <f t="shared" si="57"/>
        <v>0.91619651451083539</v>
      </c>
      <c r="K87" s="491" t="s">
        <v>102</v>
      </c>
      <c r="L87" s="491" t="s">
        <v>102</v>
      </c>
      <c r="M87" s="484">
        <f t="shared" ref="M87:N87" si="58">M29/M$28</f>
        <v>0.94284006717049362</v>
      </c>
      <c r="N87" s="484">
        <f t="shared" si="58"/>
        <v>0.91895034418016552</v>
      </c>
      <c r="O87" s="484">
        <f t="shared" ref="O87:P87" si="59">O29/O$28</f>
        <v>0.94251751813207107</v>
      </c>
      <c r="P87" s="491">
        <f t="shared" si="59"/>
        <v>0.91043911168561942</v>
      </c>
    </row>
    <row r="88" spans="1:16" ht="15.75" customHeight="1" x14ac:dyDescent="0.2">
      <c r="A88" s="492" t="s">
        <v>179</v>
      </c>
      <c r="B88" s="493">
        <f t="shared" si="56"/>
        <v>2.8313016472090016E-2</v>
      </c>
      <c r="C88" s="493">
        <f t="shared" si="56"/>
        <v>3.4558446587098321E-2</v>
      </c>
      <c r="D88" s="493">
        <f t="shared" si="56"/>
        <v>3.4594920217225704E-2</v>
      </c>
      <c r="E88" s="493">
        <f t="shared" si="56"/>
        <v>3.0541411318434158E-2</v>
      </c>
      <c r="F88" s="493">
        <f t="shared" si="56"/>
        <v>3.1680150884607183E-2</v>
      </c>
      <c r="G88" s="493">
        <f t="shared" si="56"/>
        <v>3.8559788185711721E-2</v>
      </c>
      <c r="H88" s="493">
        <f t="shared" si="56"/>
        <v>3.2488804748102784E-2</v>
      </c>
      <c r="I88" s="493">
        <f t="shared" ref="I88:J88" si="60">I30/I$28</f>
        <v>6.3367133355497027E-2</v>
      </c>
      <c r="J88" s="493">
        <f t="shared" si="60"/>
        <v>7.0881002126788203E-2</v>
      </c>
      <c r="K88" s="493" t="s">
        <v>102</v>
      </c>
      <c r="L88" s="493" t="s">
        <v>102</v>
      </c>
      <c r="M88" s="494">
        <f t="shared" ref="M88:N88" si="61">M30/M$28</f>
        <v>3.2481118771761484E-2</v>
      </c>
      <c r="N88" s="494">
        <f t="shared" si="61"/>
        <v>6.5297535287109618E-2</v>
      </c>
      <c r="O88" s="494">
        <f t="shared" ref="O88:P88" si="62">O30/O$28</f>
        <v>3.2924192288213007E-2</v>
      </c>
      <c r="P88" s="493">
        <f t="shared" si="62"/>
        <v>5.6605181897410872E-2</v>
      </c>
    </row>
    <row r="89" spans="1:16" ht="15.75" customHeight="1" x14ac:dyDescent="0.2">
      <c r="A89" s="495" t="s">
        <v>180</v>
      </c>
      <c r="B89" s="496">
        <f t="shared" si="56"/>
        <v>1.6523668279086023E-2</v>
      </c>
      <c r="C89" s="496">
        <f t="shared" si="56"/>
        <v>1.6005219683772234E-2</v>
      </c>
      <c r="D89" s="496">
        <f t="shared" si="56"/>
        <v>2.5655263991877654E-2</v>
      </c>
      <c r="E89" s="496">
        <f t="shared" si="56"/>
        <v>2.3805077021024794E-2</v>
      </c>
      <c r="F89" s="496">
        <f t="shared" si="56"/>
        <v>2.8582779846747439E-2</v>
      </c>
      <c r="G89" s="496">
        <f t="shared" si="56"/>
        <v>2.7493095134734934E-2</v>
      </c>
      <c r="H89" s="496">
        <f t="shared" si="56"/>
        <v>2.1326669877619275E-2</v>
      </c>
      <c r="I89" s="496">
        <f t="shared" ref="I89:J89" si="63">I31/I$28</f>
        <v>1.6730426168216295E-2</v>
      </c>
      <c r="J89" s="496">
        <f t="shared" si="63"/>
        <v>1.2922483362376372E-2</v>
      </c>
      <c r="K89" s="496" t="s">
        <v>102</v>
      </c>
      <c r="L89" s="496" t="s">
        <v>102</v>
      </c>
      <c r="M89" s="497">
        <f t="shared" ref="M89:N89" si="64">M31/M$28</f>
        <v>2.4678814055181991E-2</v>
      </c>
      <c r="N89" s="497">
        <f t="shared" si="64"/>
        <v>1.5752120535366558E-2</v>
      </c>
      <c r="O89" s="497">
        <f t="shared" ref="O89:P89" si="65">O31/O$28</f>
        <v>2.4558289577151976E-2</v>
      </c>
      <c r="P89" s="496">
        <f t="shared" si="65"/>
        <v>3.2955706414539876E-2</v>
      </c>
    </row>
    <row r="90" spans="1:16" ht="15.75" customHeight="1" x14ac:dyDescent="0.25">
      <c r="A90" s="498" t="s">
        <v>293</v>
      </c>
      <c r="B90" s="499">
        <f>B32/B$32</f>
        <v>1</v>
      </c>
      <c r="C90" s="499">
        <f t="shared" ref="C90:H90" si="66">C32/C$32</f>
        <v>1</v>
      </c>
      <c r="D90" s="499">
        <f t="shared" si="66"/>
        <v>1</v>
      </c>
      <c r="E90" s="499">
        <f t="shared" si="66"/>
        <v>1</v>
      </c>
      <c r="F90" s="499">
        <f t="shared" si="66"/>
        <v>1</v>
      </c>
      <c r="G90" s="499">
        <f t="shared" si="66"/>
        <v>1</v>
      </c>
      <c r="H90" s="499">
        <f t="shared" si="66"/>
        <v>1</v>
      </c>
      <c r="I90" s="499">
        <f t="shared" ref="I90:J90" si="67">I32/I$32</f>
        <v>1</v>
      </c>
      <c r="J90" s="499">
        <f t="shared" si="67"/>
        <v>1</v>
      </c>
      <c r="K90" s="499" t="s">
        <v>102</v>
      </c>
      <c r="L90" s="499" t="s">
        <v>102</v>
      </c>
      <c r="M90" s="500">
        <f>M32/M$32</f>
        <v>1</v>
      </c>
      <c r="N90" s="500">
        <f>N32/N$32</f>
        <v>1</v>
      </c>
      <c r="O90" s="500">
        <f>O32/O$32</f>
        <v>1</v>
      </c>
      <c r="P90" s="499">
        <f>P32/P$32</f>
        <v>1</v>
      </c>
    </row>
    <row r="91" spans="1:16" ht="15.75" customHeight="1" x14ac:dyDescent="0.2">
      <c r="A91" s="490" t="s">
        <v>182</v>
      </c>
      <c r="B91" s="491">
        <f t="shared" ref="B91:H93" si="68">B33/B$32</f>
        <v>0.22422613107532383</v>
      </c>
      <c r="C91" s="491">
        <f t="shared" si="68"/>
        <v>0.21299443338327084</v>
      </c>
      <c r="D91" s="491">
        <f t="shared" si="68"/>
        <v>0.21045617158552019</v>
      </c>
      <c r="E91" s="491">
        <f t="shared" si="68"/>
        <v>0.22048462952749706</v>
      </c>
      <c r="F91" s="491">
        <f t="shared" si="68"/>
        <v>0.21474870209661304</v>
      </c>
      <c r="G91" s="491">
        <f t="shared" si="68"/>
        <v>0.25032475529724096</v>
      </c>
      <c r="H91" s="491">
        <f t="shared" si="68"/>
        <v>0.24546725602237027</v>
      </c>
      <c r="I91" s="491">
        <f t="shared" ref="I91:J91" si="69">I33/I$32</f>
        <v>0.20684963074107077</v>
      </c>
      <c r="J91" s="491">
        <f t="shared" si="69"/>
        <v>0.49242430887147204</v>
      </c>
      <c r="K91" s="491" t="s">
        <v>102</v>
      </c>
      <c r="L91" s="491" t="s">
        <v>102</v>
      </c>
      <c r="M91" s="484">
        <f t="shared" ref="M91:N91" si="70">M33/M$32</f>
        <v>0.22282071371238826</v>
      </c>
      <c r="N91" s="484">
        <f t="shared" si="70"/>
        <v>0.24663120979712419</v>
      </c>
      <c r="O91" s="484">
        <f t="shared" ref="O91:P91" si="71">O33/O$32</f>
        <v>0.22314509924143008</v>
      </c>
      <c r="P91" s="491">
        <f t="shared" si="71"/>
        <v>0.24243793181292894</v>
      </c>
    </row>
    <row r="92" spans="1:16" ht="15.75" customHeight="1" x14ac:dyDescent="0.2">
      <c r="A92" s="492" t="s">
        <v>183</v>
      </c>
      <c r="B92" s="493">
        <f t="shared" si="68"/>
        <v>0.71682619583438623</v>
      </c>
      <c r="C92" s="493">
        <f t="shared" si="68"/>
        <v>0.70028269157920875</v>
      </c>
      <c r="D92" s="493">
        <f t="shared" si="68"/>
        <v>0.67549024253255441</v>
      </c>
      <c r="E92" s="493">
        <f t="shared" si="68"/>
        <v>0.64986107854576725</v>
      </c>
      <c r="F92" s="493">
        <f t="shared" si="68"/>
        <v>0.5688947500175725</v>
      </c>
      <c r="G92" s="493">
        <f t="shared" si="68"/>
        <v>0.58449515850091349</v>
      </c>
      <c r="H92" s="493">
        <f t="shared" si="68"/>
        <v>0.57447526246915281</v>
      </c>
      <c r="I92" s="493">
        <f t="shared" ref="I92:J92" si="72">I34/I$32</f>
        <v>0.70371334627374826</v>
      </c>
      <c r="J92" s="493">
        <f t="shared" si="72"/>
        <v>0.35960607996101451</v>
      </c>
      <c r="K92" s="493" t="s">
        <v>102</v>
      </c>
      <c r="L92" s="493" t="s">
        <v>102</v>
      </c>
      <c r="M92" s="494">
        <f t="shared" ref="M92:N92" si="73">M34/M$32</f>
        <v>0.62823545171199413</v>
      </c>
      <c r="N92" s="494">
        <f t="shared" si="73"/>
        <v>0.65577796731543714</v>
      </c>
      <c r="O92" s="494">
        <f t="shared" ref="O92:P92" si="74">O34/O$32</f>
        <v>0.62861068091959471</v>
      </c>
      <c r="P92" s="493">
        <f t="shared" si="74"/>
        <v>0.5713262984488624</v>
      </c>
    </row>
    <row r="93" spans="1:16" ht="15.75" customHeight="1" x14ac:dyDescent="0.2">
      <c r="A93" s="490" t="s">
        <v>184</v>
      </c>
      <c r="B93" s="496">
        <f t="shared" si="68"/>
        <v>5.8947673090289927E-2</v>
      </c>
      <c r="C93" s="496">
        <f t="shared" si="68"/>
        <v>8.6722875033333965E-2</v>
      </c>
      <c r="D93" s="496">
        <f t="shared" si="68"/>
        <v>0.11405358588192556</v>
      </c>
      <c r="E93" s="496">
        <f t="shared" si="68"/>
        <v>0.12965429192145778</v>
      </c>
      <c r="F93" s="496">
        <f t="shared" si="68"/>
        <v>0.21635654788581449</v>
      </c>
      <c r="G93" s="496">
        <f t="shared" si="68"/>
        <v>0.16518008620184566</v>
      </c>
      <c r="H93" s="496">
        <f t="shared" si="68"/>
        <v>0.18005748150334436</v>
      </c>
      <c r="I93" s="496">
        <f t="shared" ref="I93:J93" si="75">I35/I$32</f>
        <v>8.9437022980864075E-2</v>
      </c>
      <c r="J93" s="496">
        <f t="shared" si="75"/>
        <v>0.14796961115733337</v>
      </c>
      <c r="K93" s="496" t="s">
        <v>102</v>
      </c>
      <c r="L93" s="496" t="s">
        <v>102</v>
      </c>
      <c r="M93" s="497">
        <f t="shared" ref="M93:N93" si="76">M35/M$32</f>
        <v>0.1489438345756175</v>
      </c>
      <c r="N93" s="497">
        <f t="shared" si="76"/>
        <v>9.7590822887438811E-2</v>
      </c>
      <c r="O93" s="497">
        <f t="shared" ref="O93:P93" si="77">O35/O$32</f>
        <v>0.14824421983897521</v>
      </c>
      <c r="P93" s="496">
        <f t="shared" si="77"/>
        <v>0.18623576973268174</v>
      </c>
    </row>
    <row r="94" spans="1:16" ht="15.75" customHeight="1" x14ac:dyDescent="0.25">
      <c r="A94" s="544" t="s">
        <v>226</v>
      </c>
      <c r="B94" s="558"/>
      <c r="C94" s="558"/>
      <c r="D94" s="558"/>
      <c r="E94" s="558"/>
      <c r="F94" s="558"/>
      <c r="G94" s="558"/>
      <c r="H94" s="558"/>
      <c r="I94" s="558"/>
      <c r="J94" s="558"/>
      <c r="K94" s="558"/>
      <c r="L94" s="558"/>
      <c r="M94" s="559"/>
      <c r="N94" s="558"/>
      <c r="O94" s="559"/>
      <c r="P94" s="471"/>
    </row>
    <row r="95" spans="1:16" ht="15.75" customHeight="1" x14ac:dyDescent="0.2">
      <c r="A95" s="550" t="s">
        <v>793</v>
      </c>
      <c r="B95" s="560">
        <v>0.27858932400000003</v>
      </c>
      <c r="C95" s="560">
        <v>0.25277892400000002</v>
      </c>
      <c r="D95" s="560">
        <v>0.22440347599999999</v>
      </c>
      <c r="E95" s="560">
        <v>0.201734209</v>
      </c>
      <c r="F95" s="560">
        <v>0.195093401</v>
      </c>
      <c r="G95" s="560">
        <v>0.18726857999999999</v>
      </c>
      <c r="H95" s="560">
        <v>0.173702459</v>
      </c>
      <c r="I95" s="560">
        <v>0.15716983600000001</v>
      </c>
      <c r="J95" s="560">
        <v>0.18836835699999999</v>
      </c>
      <c r="K95" s="560" t="s">
        <v>102</v>
      </c>
      <c r="L95" s="560" t="s">
        <v>102</v>
      </c>
      <c r="M95" s="561">
        <v>0.20162892199999999</v>
      </c>
      <c r="N95" s="561">
        <v>0.16476174199999999</v>
      </c>
      <c r="O95" s="561">
        <v>0.200979301</v>
      </c>
      <c r="P95" s="735">
        <v>0.14647057299999999</v>
      </c>
    </row>
    <row r="96" spans="1:16" s="7" customFormat="1" ht="15.75" customHeight="1" x14ac:dyDescent="0.2">
      <c r="A96" s="562" t="s">
        <v>407</v>
      </c>
      <c r="B96" s="568">
        <v>0.228482186</v>
      </c>
      <c r="C96" s="568">
        <v>0.27958598499999998</v>
      </c>
      <c r="D96" s="568">
        <v>0.34848284600000001</v>
      </c>
      <c r="E96" s="568">
        <v>0.44088803599999998</v>
      </c>
      <c r="F96" s="568">
        <v>0.49859890299999998</v>
      </c>
      <c r="G96" s="568">
        <v>0.52746518399999998</v>
      </c>
      <c r="H96" s="568">
        <v>0.55568003399999999</v>
      </c>
      <c r="I96" s="491">
        <v>0.55624964799999999</v>
      </c>
      <c r="J96" s="491">
        <v>0.49212428400000002</v>
      </c>
      <c r="K96" s="491" t="s">
        <v>102</v>
      </c>
      <c r="L96" s="491" t="s">
        <v>102</v>
      </c>
      <c r="M96" s="569">
        <v>0.45556119</v>
      </c>
      <c r="N96" s="484">
        <v>0.54108629399999997</v>
      </c>
      <c r="O96" s="569">
        <v>0.4571365</v>
      </c>
      <c r="P96" s="721">
        <v>0.53938841999999998</v>
      </c>
    </row>
    <row r="97" spans="1:18" ht="15.75" customHeight="1" x14ac:dyDescent="0.25">
      <c r="A97" s="546" t="s">
        <v>420</v>
      </c>
      <c r="B97" s="563">
        <v>0.80035741800000004</v>
      </c>
      <c r="C97" s="563">
        <v>0.832478422</v>
      </c>
      <c r="D97" s="563">
        <v>0.85844896100000001</v>
      </c>
      <c r="E97" s="563">
        <v>0.87837574399999996</v>
      </c>
      <c r="F97" s="563">
        <v>0.87238937599999999</v>
      </c>
      <c r="G97" s="563">
        <v>0.87425945100000002</v>
      </c>
      <c r="H97" s="563">
        <v>0.88365022299999996</v>
      </c>
      <c r="I97" s="563">
        <v>0.89884114500000001</v>
      </c>
      <c r="J97" s="563">
        <v>0.86596333199999997</v>
      </c>
      <c r="K97" s="563" t="s">
        <v>102</v>
      </c>
      <c r="L97" s="563" t="s">
        <v>102</v>
      </c>
      <c r="M97" s="564">
        <v>0.87195918100000003</v>
      </c>
      <c r="N97" s="564">
        <v>0.89084059599999998</v>
      </c>
      <c r="O97" s="564">
        <v>0.87229188199999996</v>
      </c>
      <c r="P97" s="737">
        <v>0.91804364500000002</v>
      </c>
    </row>
    <row r="98" spans="1:18" ht="15.75" customHeight="1" x14ac:dyDescent="0.2">
      <c r="A98" s="562" t="s">
        <v>462</v>
      </c>
      <c r="B98" s="491">
        <v>0.461930542</v>
      </c>
      <c r="C98" s="491">
        <v>0.446250011</v>
      </c>
      <c r="D98" s="491">
        <v>0.410501065</v>
      </c>
      <c r="E98" s="491">
        <v>0.40105844400000001</v>
      </c>
      <c r="F98" s="491">
        <v>0.38136782800000002</v>
      </c>
      <c r="G98" s="491">
        <v>0.35231494400000002</v>
      </c>
      <c r="H98" s="491">
        <v>0.34478873500000001</v>
      </c>
      <c r="I98" s="491">
        <v>0.284453821</v>
      </c>
      <c r="J98" s="491">
        <v>0.30359053499999999</v>
      </c>
      <c r="K98" s="491" t="s">
        <v>102</v>
      </c>
      <c r="L98" s="491" t="s">
        <v>102</v>
      </c>
      <c r="M98" s="484">
        <v>0.38928020800000002</v>
      </c>
      <c r="N98" s="484">
        <v>0.28911058499999998</v>
      </c>
      <c r="O98" s="484">
        <v>0.387515161</v>
      </c>
      <c r="P98" s="721">
        <v>0.28556616800000001</v>
      </c>
    </row>
    <row r="99" spans="1:18" ht="15.75" customHeight="1" x14ac:dyDescent="0.25">
      <c r="A99" s="492" t="s">
        <v>409</v>
      </c>
      <c r="B99" s="493">
        <v>0.42093518099999999</v>
      </c>
      <c r="C99" s="493">
        <v>0.52393232199999995</v>
      </c>
      <c r="D99" s="493">
        <v>0.54434305800000005</v>
      </c>
      <c r="E99" s="493">
        <v>0.60687904800000003</v>
      </c>
      <c r="F99" s="493">
        <v>0.61317561499999995</v>
      </c>
      <c r="G99" s="493">
        <v>0.617019969</v>
      </c>
      <c r="H99" s="493">
        <v>0.596659677</v>
      </c>
      <c r="I99" s="493">
        <v>0.48600038699999998</v>
      </c>
      <c r="J99" s="493">
        <v>0.41468325499999997</v>
      </c>
      <c r="K99" s="493" t="s">
        <v>102</v>
      </c>
      <c r="L99" s="493" t="s">
        <v>102</v>
      </c>
      <c r="M99" s="494">
        <v>0.59481408599999996</v>
      </c>
      <c r="N99" s="494">
        <v>0.46864594199999998</v>
      </c>
      <c r="O99" s="494">
        <v>0.59259092999999996</v>
      </c>
      <c r="P99" s="723">
        <v>0.68581690699999998</v>
      </c>
    </row>
    <row r="100" spans="1:18" ht="15.75" customHeight="1" x14ac:dyDescent="0.2">
      <c r="A100" s="495" t="s">
        <v>790</v>
      </c>
      <c r="B100" s="712">
        <v>1.510952302</v>
      </c>
      <c r="C100" s="712">
        <v>2.0726898939999998</v>
      </c>
      <c r="D100" s="712">
        <v>2.4257336249999999</v>
      </c>
      <c r="E100" s="712">
        <v>3.00831005</v>
      </c>
      <c r="F100" s="712">
        <v>3.1429849010000002</v>
      </c>
      <c r="G100" s="712">
        <v>3.2948398000000001</v>
      </c>
      <c r="H100" s="712">
        <v>3.4349523880000001</v>
      </c>
      <c r="I100" s="712">
        <v>3.0921988599999999</v>
      </c>
      <c r="J100" s="712">
        <v>2.2014485979999998</v>
      </c>
      <c r="K100" s="543" t="s">
        <v>102</v>
      </c>
      <c r="L100" s="543" t="s">
        <v>102</v>
      </c>
      <c r="M100" s="713">
        <v>2.9500434740000001</v>
      </c>
      <c r="N100" s="713">
        <v>2.8443856940000001</v>
      </c>
      <c r="O100" s="713">
        <v>2.9485172199999998</v>
      </c>
      <c r="P100" s="739">
        <v>4.6822845800000001</v>
      </c>
    </row>
    <row r="101" spans="1:18" x14ac:dyDescent="0.2">
      <c r="A101" s="255" t="s">
        <v>654</v>
      </c>
      <c r="B101" s="3"/>
      <c r="C101" s="3"/>
      <c r="D101" s="3"/>
      <c r="G101" s="185"/>
      <c r="J101" s="185"/>
      <c r="M101" s="215"/>
      <c r="N101" s="215"/>
      <c r="O101" s="215"/>
    </row>
    <row r="102" spans="1:18" x14ac:dyDescent="0.2">
      <c r="A102" s="168" t="s">
        <v>616</v>
      </c>
      <c r="B102" s="3"/>
      <c r="C102" s="3"/>
      <c r="D102" s="3"/>
      <c r="G102" s="185"/>
      <c r="J102" s="185"/>
      <c r="M102" s="215"/>
      <c r="N102" s="215"/>
      <c r="O102" s="215"/>
    </row>
    <row r="103" spans="1:18" x14ac:dyDescent="0.2">
      <c r="A103" s="255" t="s">
        <v>984</v>
      </c>
      <c r="B103" s="3"/>
      <c r="C103" s="3"/>
      <c r="D103" s="3"/>
      <c r="G103" s="185"/>
      <c r="J103" s="185"/>
      <c r="M103" s="215"/>
      <c r="N103" s="215"/>
      <c r="O103" s="215"/>
    </row>
    <row r="104" spans="1:18" x14ac:dyDescent="0.2">
      <c r="A104" s="286" t="s">
        <v>916</v>
      </c>
      <c r="B104" s="3"/>
      <c r="C104" s="3"/>
      <c r="D104" s="3"/>
      <c r="G104" s="185"/>
      <c r="J104" s="185"/>
      <c r="M104" s="215"/>
      <c r="N104" s="215"/>
      <c r="O104" s="215"/>
    </row>
    <row r="105" spans="1:18" ht="15" customHeight="1" x14ac:dyDescent="0.2">
      <c r="A105" s="13"/>
      <c r="B105" s="13"/>
      <c r="C105" s="13"/>
      <c r="D105" s="13"/>
      <c r="E105" s="13"/>
      <c r="F105" s="13"/>
      <c r="G105" s="13"/>
      <c r="H105" s="13"/>
      <c r="I105" s="13"/>
      <c r="J105" s="13"/>
      <c r="K105" s="13"/>
      <c r="L105" s="13"/>
      <c r="M105" s="215"/>
      <c r="N105" s="215"/>
      <c r="O105" s="215"/>
      <c r="P105" s="39"/>
    </row>
    <row r="106" spans="1:18" ht="17.25" customHeight="1" x14ac:dyDescent="0.25">
      <c r="A106" s="280" t="s">
        <v>926</v>
      </c>
      <c r="B106" s="13"/>
      <c r="C106" s="13"/>
      <c r="D106" s="13"/>
      <c r="E106" s="13"/>
      <c r="F106" s="13"/>
      <c r="G106" s="13"/>
      <c r="H106" s="13"/>
      <c r="I106" s="13"/>
      <c r="J106" s="13"/>
      <c r="K106" s="13"/>
      <c r="L106" s="13"/>
      <c r="M106" s="215"/>
      <c r="N106" s="215"/>
      <c r="O106" s="215"/>
      <c r="P106" s="39"/>
    </row>
    <row r="107" spans="1:18" ht="15" customHeight="1" thickBot="1" x14ac:dyDescent="0.25">
      <c r="A107" s="13"/>
      <c r="B107" s="13"/>
      <c r="C107" s="13"/>
      <c r="D107" s="13"/>
      <c r="E107" s="13"/>
      <c r="F107" s="13"/>
      <c r="G107" s="13"/>
      <c r="H107" s="13"/>
      <c r="I107" s="13"/>
      <c r="J107" s="13"/>
      <c r="K107" s="13"/>
      <c r="L107" s="13"/>
      <c r="M107" s="215"/>
      <c r="N107" s="215"/>
      <c r="O107" s="215"/>
      <c r="P107" s="285" t="s">
        <v>23</v>
      </c>
    </row>
    <row r="108" spans="1:18" ht="15" customHeight="1" x14ac:dyDescent="0.2">
      <c r="A108" s="565" t="s">
        <v>81</v>
      </c>
      <c r="B108" s="42" t="s">
        <v>35</v>
      </c>
      <c r="C108" s="42" t="s">
        <v>121</v>
      </c>
      <c r="D108" s="42" t="s">
        <v>123</v>
      </c>
      <c r="E108" s="42" t="s">
        <v>36</v>
      </c>
      <c r="F108" s="42" t="s">
        <v>37</v>
      </c>
      <c r="G108" s="42" t="s">
        <v>38</v>
      </c>
      <c r="H108" s="42" t="s">
        <v>39</v>
      </c>
      <c r="I108" s="42" t="s">
        <v>125</v>
      </c>
      <c r="J108" s="42" t="s">
        <v>126</v>
      </c>
      <c r="K108" s="42" t="s">
        <v>127</v>
      </c>
      <c r="L108" s="252">
        <v>100000</v>
      </c>
      <c r="M108" s="250" t="s">
        <v>231</v>
      </c>
      <c r="N108" s="250" t="s">
        <v>229</v>
      </c>
      <c r="O108" s="257" t="s">
        <v>77</v>
      </c>
      <c r="P108" s="281" t="s">
        <v>220</v>
      </c>
    </row>
    <row r="109" spans="1:18" ht="15" customHeight="1" x14ac:dyDescent="0.2">
      <c r="A109" s="229" t="s">
        <v>225</v>
      </c>
      <c r="B109" s="43" t="s">
        <v>120</v>
      </c>
      <c r="C109" s="43" t="s">
        <v>40</v>
      </c>
      <c r="D109" s="43" t="s">
        <v>40</v>
      </c>
      <c r="E109" s="43" t="s">
        <v>40</v>
      </c>
      <c r="F109" s="43" t="s">
        <v>40</v>
      </c>
      <c r="G109" s="43" t="s">
        <v>40</v>
      </c>
      <c r="H109" s="43" t="s">
        <v>40</v>
      </c>
      <c r="I109" s="43" t="s">
        <v>40</v>
      </c>
      <c r="J109" s="43" t="s">
        <v>40</v>
      </c>
      <c r="K109" s="43" t="s">
        <v>40</v>
      </c>
      <c r="L109" s="43" t="s">
        <v>43</v>
      </c>
      <c r="M109" s="239" t="s">
        <v>230</v>
      </c>
      <c r="N109" s="239" t="s">
        <v>138</v>
      </c>
      <c r="O109" s="256" t="s">
        <v>137</v>
      </c>
      <c r="P109" s="282" t="s">
        <v>294</v>
      </c>
    </row>
    <row r="110" spans="1:18" ht="15" customHeight="1" thickBot="1" x14ac:dyDescent="0.25">
      <c r="A110" s="423" t="s">
        <v>82</v>
      </c>
      <c r="B110" s="44" t="s">
        <v>43</v>
      </c>
      <c r="C110" s="44" t="s">
        <v>122</v>
      </c>
      <c r="D110" s="44" t="s">
        <v>124</v>
      </c>
      <c r="E110" s="44" t="s">
        <v>44</v>
      </c>
      <c r="F110" s="44" t="s">
        <v>45</v>
      </c>
      <c r="G110" s="44" t="s">
        <v>46</v>
      </c>
      <c r="H110" s="44" t="s">
        <v>42</v>
      </c>
      <c r="I110" s="44" t="s">
        <v>128</v>
      </c>
      <c r="J110" s="44" t="s">
        <v>129</v>
      </c>
      <c r="K110" s="44" t="s">
        <v>130</v>
      </c>
      <c r="L110" s="44" t="s">
        <v>131</v>
      </c>
      <c r="M110" s="251" t="s">
        <v>138</v>
      </c>
      <c r="N110" s="251" t="s">
        <v>131</v>
      </c>
      <c r="O110" s="258" t="s">
        <v>41</v>
      </c>
      <c r="P110" s="283" t="s">
        <v>295</v>
      </c>
    </row>
    <row r="111" spans="1:18" ht="15" customHeight="1" x14ac:dyDescent="0.25">
      <c r="A111" s="544" t="s">
        <v>223</v>
      </c>
      <c r="B111" s="192"/>
      <c r="C111" s="192"/>
      <c r="D111" s="192"/>
      <c r="E111" s="192"/>
      <c r="F111" s="192"/>
      <c r="G111" s="192"/>
      <c r="H111" s="192"/>
      <c r="I111" s="192"/>
      <c r="J111" s="192"/>
      <c r="K111" s="192"/>
      <c r="L111" s="192"/>
      <c r="M111" s="253"/>
      <c r="N111" s="253"/>
      <c r="O111" s="253"/>
    </row>
    <row r="112" spans="1:18" ht="16.5" customHeight="1" x14ac:dyDescent="0.25">
      <c r="A112" s="487" t="s">
        <v>286</v>
      </c>
      <c r="B112" s="572">
        <v>4.6100855579999998</v>
      </c>
      <c r="C112" s="572">
        <v>4.9004836799999998</v>
      </c>
      <c r="D112" s="572">
        <v>5.0252580990000002</v>
      </c>
      <c r="E112" s="572">
        <v>4.6992989789999999</v>
      </c>
      <c r="F112" s="572">
        <v>4.380267044</v>
      </c>
      <c r="G112" s="572">
        <v>3.5114001259999998</v>
      </c>
      <c r="H112" s="572">
        <v>4.6117358729999998</v>
      </c>
      <c r="I112" s="572">
        <v>4.4754266090000003</v>
      </c>
      <c r="J112" s="572">
        <v>4.8141004619999999</v>
      </c>
      <c r="K112" s="572" t="s">
        <v>102</v>
      </c>
      <c r="L112" s="572" t="s">
        <v>102</v>
      </c>
      <c r="M112" s="573">
        <v>4.5237222189999997</v>
      </c>
      <c r="N112" s="572">
        <v>4.555313129</v>
      </c>
      <c r="O112" s="573">
        <v>4.5243043480000003</v>
      </c>
      <c r="P112" s="572">
        <v>4.1620652739999997</v>
      </c>
      <c r="R112" s="923"/>
    </row>
    <row r="113" spans="1:18" ht="15.75" customHeight="1" x14ac:dyDescent="0.2">
      <c r="A113" s="490" t="s">
        <v>161</v>
      </c>
      <c r="B113" s="574">
        <v>6.4336699179999997</v>
      </c>
      <c r="C113" s="574">
        <v>7.0984255989999996</v>
      </c>
      <c r="D113" s="574">
        <v>7.1747929309999998</v>
      </c>
      <c r="E113" s="574">
        <v>6.0794786429999998</v>
      </c>
      <c r="F113" s="574">
        <v>4.9717809080000004</v>
      </c>
      <c r="G113" s="574">
        <v>3.9855036699999999</v>
      </c>
      <c r="H113" s="574">
        <v>4.0270680790000002</v>
      </c>
      <c r="I113" s="574">
        <v>4.3450442149999997</v>
      </c>
      <c r="J113" s="574">
        <v>3.2401645929999998</v>
      </c>
      <c r="K113" s="574" t="s">
        <v>102</v>
      </c>
      <c r="L113" s="574" t="s">
        <v>102</v>
      </c>
      <c r="M113" s="575">
        <v>5.6172361310000003</v>
      </c>
      <c r="N113" s="574">
        <v>4.0842399580000004</v>
      </c>
      <c r="O113" s="575">
        <v>5.5931600860000001</v>
      </c>
      <c r="P113" s="574">
        <v>4.1244060170000001</v>
      </c>
      <c r="R113" s="923"/>
    </row>
    <row r="114" spans="1:18" ht="15.75" customHeight="1" x14ac:dyDescent="0.2">
      <c r="A114" s="492" t="s">
        <v>162</v>
      </c>
      <c r="B114" s="576">
        <v>3.8836793100000002</v>
      </c>
      <c r="C114" s="577">
        <v>4.4752427800000003</v>
      </c>
      <c r="D114" s="576">
        <v>4.3794293120000001</v>
      </c>
      <c r="E114" s="576">
        <v>4.9067684519999997</v>
      </c>
      <c r="F114" s="576">
        <v>5.0882565770000001</v>
      </c>
      <c r="G114" s="576">
        <v>4.9933819550000003</v>
      </c>
      <c r="H114" s="576">
        <v>5.2711900949999997</v>
      </c>
      <c r="I114" s="576">
        <v>3.155700022</v>
      </c>
      <c r="J114" s="576">
        <v>5.9572475970000003</v>
      </c>
      <c r="K114" s="576" t="s">
        <v>102</v>
      </c>
      <c r="L114" s="576" t="s">
        <v>102</v>
      </c>
      <c r="M114" s="578">
        <v>4.9402162709999997</v>
      </c>
      <c r="N114" s="576">
        <v>3.7456441809999999</v>
      </c>
      <c r="O114" s="578">
        <v>4.9138620489999996</v>
      </c>
      <c r="P114" s="576">
        <v>4.3167059109999997</v>
      </c>
      <c r="R114" s="923"/>
    </row>
    <row r="115" spans="1:18" ht="15.75" customHeight="1" x14ac:dyDescent="0.2">
      <c r="A115" s="490" t="s">
        <v>163</v>
      </c>
      <c r="B115" s="574">
        <v>17.125086511999999</v>
      </c>
      <c r="C115" s="574">
        <v>12.042189214</v>
      </c>
      <c r="D115" s="574">
        <v>11.35251598</v>
      </c>
      <c r="E115" s="574">
        <v>7.3516377640000004</v>
      </c>
      <c r="F115" s="574">
        <v>6.0876528509999996</v>
      </c>
      <c r="G115" s="574">
        <v>6.3307196430000001</v>
      </c>
      <c r="H115" s="574">
        <v>3.3638211400000002</v>
      </c>
      <c r="I115" s="574">
        <v>6.0265949770000002</v>
      </c>
      <c r="J115" s="574">
        <v>-5.6904354110000002</v>
      </c>
      <c r="K115" s="574" t="s">
        <v>102</v>
      </c>
      <c r="L115" s="574" t="s">
        <v>102</v>
      </c>
      <c r="M115" s="575">
        <v>7.1662288179999996</v>
      </c>
      <c r="N115" s="574">
        <v>2.7633359720000001</v>
      </c>
      <c r="O115" s="575">
        <v>7.1059963320000001</v>
      </c>
      <c r="P115" s="574">
        <v>9.3827758180000007</v>
      </c>
      <c r="R115" s="923"/>
    </row>
    <row r="116" spans="1:18" ht="15.75" customHeight="1" x14ac:dyDescent="0.2">
      <c r="A116" s="492" t="s">
        <v>164</v>
      </c>
      <c r="B116" s="576">
        <v>6.7800081959999998</v>
      </c>
      <c r="C116" s="576">
        <v>4.1212318029999997</v>
      </c>
      <c r="D116" s="576">
        <v>3.8339076740000002</v>
      </c>
      <c r="E116" s="576">
        <v>5.3026572229999998</v>
      </c>
      <c r="F116" s="576">
        <v>5.8705951770000002</v>
      </c>
      <c r="G116" s="576">
        <v>5.8846671400000004</v>
      </c>
      <c r="H116" s="576">
        <v>3.5830144420000001</v>
      </c>
      <c r="I116" s="576">
        <v>9.8891885259999999</v>
      </c>
      <c r="J116" s="576">
        <v>6.8951600040000001</v>
      </c>
      <c r="K116" s="576" t="s">
        <v>102</v>
      </c>
      <c r="L116" s="576" t="s">
        <v>102</v>
      </c>
      <c r="M116" s="578">
        <v>5.011233388</v>
      </c>
      <c r="N116" s="576">
        <v>8.884329825</v>
      </c>
      <c r="O116" s="578">
        <v>5.0907564350000003</v>
      </c>
      <c r="P116" s="576">
        <v>4.774120527</v>
      </c>
      <c r="R116" s="923"/>
    </row>
    <row r="117" spans="1:18" ht="15.75" customHeight="1" x14ac:dyDescent="0.2">
      <c r="A117" s="495" t="s">
        <v>165</v>
      </c>
      <c r="B117" s="579">
        <v>0.47600773600000001</v>
      </c>
      <c r="C117" s="579">
        <v>1.0438553239999999</v>
      </c>
      <c r="D117" s="579">
        <v>1.290803557</v>
      </c>
      <c r="E117" s="579">
        <v>-2.7042142880000002</v>
      </c>
      <c r="F117" s="579">
        <v>-7.0732336939999998</v>
      </c>
      <c r="G117" s="579">
        <v>-16.590898835000001</v>
      </c>
      <c r="H117" s="579">
        <v>2.8945514239999999</v>
      </c>
      <c r="I117" s="579">
        <v>9.8638507000000004</v>
      </c>
      <c r="J117" s="579">
        <v>-2.7063938200000002</v>
      </c>
      <c r="K117" s="579" t="s">
        <v>102</v>
      </c>
      <c r="L117" s="579" t="s">
        <v>102</v>
      </c>
      <c r="M117" s="580">
        <v>-3.1718947929999999</v>
      </c>
      <c r="N117" s="579">
        <v>6.5497489870000001</v>
      </c>
      <c r="O117" s="580">
        <v>-3.09581046</v>
      </c>
      <c r="P117" s="579">
        <v>-2.0940267050000001</v>
      </c>
      <c r="R117" s="923"/>
    </row>
    <row r="118" spans="1:18" ht="16.5" customHeight="1" x14ac:dyDescent="0.25">
      <c r="A118" s="498" t="s">
        <v>287</v>
      </c>
      <c r="B118" s="581">
        <v>0.47449449799999999</v>
      </c>
      <c r="C118" s="581">
        <v>2.1594823500000002</v>
      </c>
      <c r="D118" s="581">
        <v>3.2555651229999998</v>
      </c>
      <c r="E118" s="581">
        <v>3.6292837009999999</v>
      </c>
      <c r="F118" s="581">
        <v>4.5996503659999997</v>
      </c>
      <c r="G118" s="581">
        <v>3.4424816150000002</v>
      </c>
      <c r="H118" s="581">
        <v>4.1317484210000002</v>
      </c>
      <c r="I118" s="581">
        <v>5.0178715189999998</v>
      </c>
      <c r="J118" s="581">
        <v>2.96093721</v>
      </c>
      <c r="K118" s="581" t="s">
        <v>102</v>
      </c>
      <c r="L118" s="581" t="s">
        <v>102</v>
      </c>
      <c r="M118" s="582">
        <v>3.6947947440000002</v>
      </c>
      <c r="N118" s="581">
        <v>4.5098035550000004</v>
      </c>
      <c r="O118" s="582">
        <v>3.709057659</v>
      </c>
      <c r="P118" s="581">
        <v>3.0409965190000001</v>
      </c>
      <c r="R118" s="923"/>
    </row>
    <row r="119" spans="1:18" ht="15.75" customHeight="1" x14ac:dyDescent="0.2">
      <c r="A119" s="490" t="s">
        <v>79</v>
      </c>
      <c r="B119" s="574">
        <v>-1.2853549630000001</v>
      </c>
      <c r="C119" s="574">
        <v>0.74743167099999996</v>
      </c>
      <c r="D119" s="574">
        <v>2.7851861590000002</v>
      </c>
      <c r="E119" s="574">
        <v>3.9899355359999999</v>
      </c>
      <c r="F119" s="574">
        <v>4.4362309739999999</v>
      </c>
      <c r="G119" s="574">
        <v>4.5718999120000001</v>
      </c>
      <c r="H119" s="574">
        <v>3.6864338430000001</v>
      </c>
      <c r="I119" s="574">
        <v>4.9738182379999998</v>
      </c>
      <c r="J119" s="574">
        <v>4.801119656</v>
      </c>
      <c r="K119" s="574" t="s">
        <v>102</v>
      </c>
      <c r="L119" s="574" t="s">
        <v>102</v>
      </c>
      <c r="M119" s="575">
        <v>3.8271343400000002</v>
      </c>
      <c r="N119" s="574">
        <v>4.9300743980000004</v>
      </c>
      <c r="O119" s="575">
        <v>3.8461890400000001</v>
      </c>
      <c r="P119" s="574">
        <v>2.5801110770000002</v>
      </c>
      <c r="R119" s="923"/>
    </row>
    <row r="120" spans="1:18" ht="15.75" customHeight="1" x14ac:dyDescent="0.2">
      <c r="A120" s="492" t="s">
        <v>167</v>
      </c>
      <c r="B120" s="576">
        <v>6.044066945</v>
      </c>
      <c r="C120" s="576">
        <v>5.3680519110000002</v>
      </c>
      <c r="D120" s="576">
        <v>6.2257576510000003</v>
      </c>
      <c r="E120" s="576">
        <v>6.055241133</v>
      </c>
      <c r="F120" s="576">
        <v>6.1052208979999998</v>
      </c>
      <c r="G120" s="576">
        <v>6.4935079729999998</v>
      </c>
      <c r="H120" s="576">
        <v>5.0750629500000004</v>
      </c>
      <c r="I120" s="576">
        <v>7.9066014859999996</v>
      </c>
      <c r="J120" s="576">
        <v>5.6061525149999998</v>
      </c>
      <c r="K120" s="576" t="s">
        <v>102</v>
      </c>
      <c r="L120" s="576" t="s">
        <v>102</v>
      </c>
      <c r="M120" s="578">
        <v>6.0136654639999998</v>
      </c>
      <c r="N120" s="576">
        <v>7.2277926020000001</v>
      </c>
      <c r="O120" s="578">
        <v>6.0334612280000002</v>
      </c>
      <c r="P120" s="576">
        <v>4.3555070819999999</v>
      </c>
      <c r="R120" s="923"/>
    </row>
    <row r="121" spans="1:18" ht="15.75" customHeight="1" x14ac:dyDescent="0.2">
      <c r="A121" s="490" t="s">
        <v>322</v>
      </c>
      <c r="B121" s="574">
        <v>4.7301983669999998</v>
      </c>
      <c r="C121" s="574">
        <v>2.804209213</v>
      </c>
      <c r="D121" s="574">
        <v>3.7070441519999999</v>
      </c>
      <c r="E121" s="574">
        <v>1.63000598</v>
      </c>
      <c r="F121" s="574">
        <v>1.2098244300000001</v>
      </c>
      <c r="G121" s="574">
        <v>2.3185873730000002</v>
      </c>
      <c r="H121" s="574">
        <v>-1.4880022959999999</v>
      </c>
      <c r="I121" s="574">
        <v>0.82570941399999997</v>
      </c>
      <c r="J121" s="574">
        <v>-1.0128919700000001</v>
      </c>
      <c r="K121" s="574" t="s">
        <v>102</v>
      </c>
      <c r="L121" s="574" t="s">
        <v>102</v>
      </c>
      <c r="M121" s="575">
        <v>1.4430029630000001</v>
      </c>
      <c r="N121" s="574">
        <v>0.32687533899999999</v>
      </c>
      <c r="O121" s="575">
        <v>1.422613438</v>
      </c>
      <c r="P121" s="574">
        <v>0.872639779</v>
      </c>
      <c r="R121" s="923"/>
    </row>
    <row r="122" spans="1:18" ht="15.75" customHeight="1" x14ac:dyDescent="0.2">
      <c r="A122" s="492" t="s">
        <v>168</v>
      </c>
      <c r="B122" s="576">
        <v>-14.451799367</v>
      </c>
      <c r="C122" s="576">
        <v>-12.049161551999999</v>
      </c>
      <c r="D122" s="576">
        <v>-10.977544511</v>
      </c>
      <c r="E122" s="576">
        <v>-9.1380872590000006</v>
      </c>
      <c r="F122" s="576">
        <v>-7.814379497</v>
      </c>
      <c r="G122" s="576">
        <v>-7.6901156129999997</v>
      </c>
      <c r="H122" s="576">
        <v>-3.3808502649999999</v>
      </c>
      <c r="I122" s="576">
        <v>-4.1626555869999997</v>
      </c>
      <c r="J122" s="576">
        <v>-6.6170666200000001</v>
      </c>
      <c r="K122" s="576" t="s">
        <v>102</v>
      </c>
      <c r="L122" s="576" t="s">
        <v>102</v>
      </c>
      <c r="M122" s="578">
        <v>-8.6122978749999994</v>
      </c>
      <c r="N122" s="576">
        <v>-4.3693155690000003</v>
      </c>
      <c r="O122" s="578">
        <v>-8.5156920360000008</v>
      </c>
      <c r="P122" s="576">
        <v>-6.3222694539999997</v>
      </c>
      <c r="R122" s="923"/>
    </row>
    <row r="123" spans="1:18" ht="15.75" customHeight="1" x14ac:dyDescent="0.2">
      <c r="A123" s="490" t="s">
        <v>169</v>
      </c>
      <c r="B123" s="574">
        <v>9.1733601989999993</v>
      </c>
      <c r="C123" s="574">
        <v>6.3185495129999998</v>
      </c>
      <c r="D123" s="574">
        <v>4.3979615030000003</v>
      </c>
      <c r="E123" s="574">
        <v>3.4246802920000001</v>
      </c>
      <c r="F123" s="574">
        <v>3.8423079869999999</v>
      </c>
      <c r="G123" s="574">
        <v>3.3982418110000001</v>
      </c>
      <c r="H123" s="574">
        <v>6.5231728499999999</v>
      </c>
      <c r="I123" s="574">
        <v>-0.18146789799999999</v>
      </c>
      <c r="J123" s="574">
        <v>-0.43921231799999999</v>
      </c>
      <c r="K123" s="574" t="s">
        <v>102</v>
      </c>
      <c r="L123" s="574" t="s">
        <v>102</v>
      </c>
      <c r="M123" s="575">
        <v>4.1494920689999999</v>
      </c>
      <c r="N123" s="574">
        <v>-0.24497278</v>
      </c>
      <c r="O123" s="575">
        <v>4.0532030260000003</v>
      </c>
      <c r="P123" s="574">
        <v>3.3060133010000001</v>
      </c>
      <c r="R123" s="923"/>
    </row>
    <row r="124" spans="1:18" ht="15.75" customHeight="1" x14ac:dyDescent="0.2">
      <c r="A124" s="492" t="s">
        <v>170</v>
      </c>
      <c r="B124" s="576">
        <v>-0.47020603500000002</v>
      </c>
      <c r="C124" s="576">
        <v>1.0265001460000001</v>
      </c>
      <c r="D124" s="576">
        <v>1.3087195039999999</v>
      </c>
      <c r="E124" s="576">
        <v>1.4450699380000001</v>
      </c>
      <c r="F124" s="576">
        <v>1.910695032</v>
      </c>
      <c r="G124" s="576">
        <v>1.246942078</v>
      </c>
      <c r="H124" s="576">
        <v>3.0065201099999999</v>
      </c>
      <c r="I124" s="576">
        <v>0.33808697300000001</v>
      </c>
      <c r="J124" s="576">
        <v>-2.3308757980000001</v>
      </c>
      <c r="K124" s="576" t="s">
        <v>102</v>
      </c>
      <c r="L124" s="576" t="s">
        <v>102</v>
      </c>
      <c r="M124" s="578">
        <v>1.598959166</v>
      </c>
      <c r="N124" s="576">
        <v>-0.434442463</v>
      </c>
      <c r="O124" s="578">
        <v>1.5564985609999999</v>
      </c>
      <c r="P124" s="576">
        <v>1.991452765</v>
      </c>
      <c r="R124" s="923"/>
    </row>
    <row r="125" spans="1:18" ht="15.75" customHeight="1" x14ac:dyDescent="0.2">
      <c r="A125" s="490" t="s">
        <v>171</v>
      </c>
      <c r="B125" s="574">
        <v>22.223151095999999</v>
      </c>
      <c r="C125" s="574">
        <v>12.833170177</v>
      </c>
      <c r="D125" s="574">
        <v>9.4243988200000004</v>
      </c>
      <c r="E125" s="574">
        <v>4.3819138009999996</v>
      </c>
      <c r="F125" s="574">
        <v>3.8817227440000002</v>
      </c>
      <c r="G125" s="574">
        <v>12.832266416</v>
      </c>
      <c r="H125" s="574">
        <v>21.816625510000001</v>
      </c>
      <c r="I125" s="846">
        <v>9.0499638880000006</v>
      </c>
      <c r="J125" s="574">
        <v>18.114054296999999</v>
      </c>
      <c r="K125" s="574" t="s">
        <v>102</v>
      </c>
      <c r="L125" s="574" t="s">
        <v>102</v>
      </c>
      <c r="M125" s="575">
        <v>9.9090476820000006</v>
      </c>
      <c r="N125" s="846">
        <v>11.856741357000001</v>
      </c>
      <c r="O125" s="575">
        <v>9.9224264610000006</v>
      </c>
      <c r="P125" s="574">
        <v>4.8452199709999997</v>
      </c>
      <c r="R125" s="923"/>
    </row>
    <row r="126" spans="1:18" ht="15.75" customHeight="1" x14ac:dyDescent="0.2">
      <c r="A126" s="693" t="s">
        <v>607</v>
      </c>
      <c r="B126" s="576">
        <v>23.209451273999999</v>
      </c>
      <c r="C126" s="576">
        <v>20.133086439</v>
      </c>
      <c r="D126" s="576">
        <v>12.051868181</v>
      </c>
      <c r="E126" s="576">
        <v>9.68162375</v>
      </c>
      <c r="F126" s="576">
        <v>10.918533525999999</v>
      </c>
      <c r="G126" s="576">
        <v>10.61588912</v>
      </c>
      <c r="H126" s="576">
        <v>22.659123988000001</v>
      </c>
      <c r="I126" s="576">
        <v>-1.555319501</v>
      </c>
      <c r="J126" s="576">
        <v>8.2740952050000001</v>
      </c>
      <c r="K126" s="576" t="s">
        <v>102</v>
      </c>
      <c r="L126" s="576" t="s">
        <v>102</v>
      </c>
      <c r="M126" s="578">
        <v>11.921495773</v>
      </c>
      <c r="N126" s="576">
        <v>-0.23576533099999999</v>
      </c>
      <c r="O126" s="578">
        <v>11.583766516000001</v>
      </c>
      <c r="P126" s="576">
        <v>8.2934490230000009</v>
      </c>
      <c r="R126" s="923"/>
    </row>
    <row r="127" spans="1:18" ht="15.75" customHeight="1" x14ac:dyDescent="0.2">
      <c r="A127" s="490" t="s">
        <v>172</v>
      </c>
      <c r="B127" s="574">
        <v>-34.993913436</v>
      </c>
      <c r="C127" s="574">
        <v>-13.322158634999999</v>
      </c>
      <c r="D127" s="574">
        <v>-10.517433471</v>
      </c>
      <c r="E127" s="574">
        <v>-7.4918713480000001</v>
      </c>
      <c r="F127" s="574">
        <v>-3.203498089</v>
      </c>
      <c r="G127" s="574">
        <v>-2.0393742000000001</v>
      </c>
      <c r="H127" s="574">
        <v>-2.1821818080000002</v>
      </c>
      <c r="I127" s="574">
        <v>23.741229436000001</v>
      </c>
      <c r="J127" s="574">
        <v>20.591711234999998</v>
      </c>
      <c r="K127" s="574" t="s">
        <v>102</v>
      </c>
      <c r="L127" s="574" t="s">
        <v>102</v>
      </c>
      <c r="M127" s="575">
        <v>-5.9296201310000001</v>
      </c>
      <c r="N127" s="574">
        <v>23.27759094</v>
      </c>
      <c r="O127" s="575">
        <v>-5.4304309200000001</v>
      </c>
      <c r="P127" s="574">
        <v>-0.41747921700000001</v>
      </c>
      <c r="R127" s="923"/>
    </row>
    <row r="128" spans="1:18" ht="15.75" customHeight="1" x14ac:dyDescent="0.2">
      <c r="A128" s="492" t="s">
        <v>173</v>
      </c>
      <c r="B128" s="576">
        <v>-5.5227795930000001</v>
      </c>
      <c r="C128" s="576">
        <v>-1.6822910170000001</v>
      </c>
      <c r="D128" s="576">
        <v>1.4809607869999999</v>
      </c>
      <c r="E128" s="576">
        <v>4.8710032849999996</v>
      </c>
      <c r="F128" s="576">
        <v>5.4761450800000002</v>
      </c>
      <c r="G128" s="576">
        <v>5.1694742920000003</v>
      </c>
      <c r="H128" s="576">
        <v>5.7135340699999997</v>
      </c>
      <c r="I128" s="576">
        <v>15.046447539000001</v>
      </c>
      <c r="J128" s="576">
        <v>-0.76893669799999997</v>
      </c>
      <c r="K128" s="576" t="s">
        <v>102</v>
      </c>
      <c r="L128" s="576" t="s">
        <v>102</v>
      </c>
      <c r="M128" s="578">
        <v>4.1607815659999998</v>
      </c>
      <c r="N128" s="576">
        <v>11.129550176</v>
      </c>
      <c r="O128" s="578">
        <v>4.2630156599999998</v>
      </c>
      <c r="P128" s="576">
        <v>5.9775590489999999</v>
      </c>
      <c r="R128" s="923"/>
    </row>
    <row r="129" spans="1:18" ht="15.75" customHeight="1" x14ac:dyDescent="0.2">
      <c r="A129" s="495" t="s">
        <v>174</v>
      </c>
      <c r="B129" s="579">
        <v>-0.78458132199999997</v>
      </c>
      <c r="C129" s="579">
        <v>3.8605052940000002</v>
      </c>
      <c r="D129" s="579">
        <v>7.4205357740000002</v>
      </c>
      <c r="E129" s="579">
        <v>4.8697342609999996</v>
      </c>
      <c r="F129" s="579">
        <v>12.900384699</v>
      </c>
      <c r="G129" s="579">
        <v>-8.1075145190000004</v>
      </c>
      <c r="H129" s="579">
        <v>2.649038794</v>
      </c>
      <c r="I129" s="579">
        <v>12.295735024000001</v>
      </c>
      <c r="J129" s="579">
        <v>-1.119668844</v>
      </c>
      <c r="K129" s="579" t="s">
        <v>102</v>
      </c>
      <c r="L129" s="579" t="s">
        <v>102</v>
      </c>
      <c r="M129" s="580">
        <v>5.1283522379999997</v>
      </c>
      <c r="N129" s="579">
        <v>9.0247929150000008</v>
      </c>
      <c r="O129" s="580">
        <v>5.1581211790000001</v>
      </c>
      <c r="P129" s="579">
        <v>7.484514302</v>
      </c>
      <c r="R129" s="923"/>
    </row>
    <row r="130" spans="1:18" ht="16.5" customHeight="1" x14ac:dyDescent="0.25">
      <c r="A130" s="544" t="s">
        <v>224</v>
      </c>
      <c r="B130" s="583"/>
      <c r="C130" s="583"/>
      <c r="D130" s="583"/>
      <c r="E130" s="583"/>
      <c r="F130" s="583"/>
      <c r="G130" s="583"/>
      <c r="H130" s="583"/>
      <c r="I130" s="583"/>
      <c r="J130" s="583"/>
      <c r="K130" s="583"/>
      <c r="L130" s="583"/>
      <c r="M130" s="584"/>
      <c r="N130" s="583"/>
      <c r="O130" s="584"/>
      <c r="P130" s="583"/>
    </row>
    <row r="131" spans="1:18" ht="16.5" customHeight="1" x14ac:dyDescent="0.25">
      <c r="A131" s="487" t="s">
        <v>288</v>
      </c>
      <c r="B131" s="572">
        <v>2.594829249</v>
      </c>
      <c r="C131" s="572">
        <v>6.4643120139999999</v>
      </c>
      <c r="D131" s="572">
        <v>8.1323396940000006</v>
      </c>
      <c r="E131" s="572">
        <v>9.8136852569999995</v>
      </c>
      <c r="F131" s="572">
        <v>11.670146389999999</v>
      </c>
      <c r="G131" s="572">
        <v>8.3313767980000009</v>
      </c>
      <c r="H131" s="572">
        <v>9.6880865459999992</v>
      </c>
      <c r="I131" s="572">
        <v>5.6809491579999998</v>
      </c>
      <c r="J131" s="572">
        <v>1.8298371499999999</v>
      </c>
      <c r="K131" s="572" t="s">
        <v>102</v>
      </c>
      <c r="L131" s="572" t="s">
        <v>102</v>
      </c>
      <c r="M131" s="573">
        <v>9.4810602720000006</v>
      </c>
      <c r="N131" s="572">
        <v>4.6640154779999996</v>
      </c>
      <c r="O131" s="573">
        <v>9.4130111650000003</v>
      </c>
      <c r="P131" s="572">
        <v>9.5551566920000006</v>
      </c>
      <c r="R131" s="923"/>
    </row>
    <row r="132" spans="1:18" ht="15.75" customHeight="1" x14ac:dyDescent="0.2">
      <c r="A132" s="545" t="s">
        <v>178</v>
      </c>
      <c r="B132" s="585">
        <v>2.9001473459999998</v>
      </c>
      <c r="C132" s="585">
        <v>6.6685115210000001</v>
      </c>
      <c r="D132" s="585">
        <v>9.1930869400000006</v>
      </c>
      <c r="E132" s="585">
        <v>10.177900552000001</v>
      </c>
      <c r="F132" s="585">
        <v>11.279876416</v>
      </c>
      <c r="G132" s="585">
        <v>7.2086235959999998</v>
      </c>
      <c r="H132" s="585">
        <v>11.083283886</v>
      </c>
      <c r="I132" s="585">
        <v>6.8026330709999998</v>
      </c>
      <c r="J132" s="585">
        <v>2.1451463849999999</v>
      </c>
      <c r="K132" s="585" t="s">
        <v>102</v>
      </c>
      <c r="L132" s="585" t="s">
        <v>102</v>
      </c>
      <c r="M132" s="586">
        <v>9.7133858499999999</v>
      </c>
      <c r="N132" s="585">
        <v>5.5696595889999996</v>
      </c>
      <c r="O132" s="586">
        <v>9.6566793519999994</v>
      </c>
      <c r="P132" s="585">
        <v>10.066763818</v>
      </c>
      <c r="R132" s="923"/>
    </row>
    <row r="133" spans="1:18" ht="15.75" customHeight="1" x14ac:dyDescent="0.2">
      <c r="A133" s="546" t="s">
        <v>179</v>
      </c>
      <c r="B133" s="587">
        <v>-17.602787427999999</v>
      </c>
      <c r="C133" s="587">
        <v>7.1967263419999998</v>
      </c>
      <c r="D133" s="587">
        <v>-3.3082674230000002</v>
      </c>
      <c r="E133" s="587">
        <v>1.9368148270000001</v>
      </c>
      <c r="F133" s="587">
        <v>8.1985396650000002</v>
      </c>
      <c r="G133" s="587">
        <v>24.941516117999999</v>
      </c>
      <c r="H133" s="587">
        <v>0.47374693400000001</v>
      </c>
      <c r="I133" s="587">
        <v>-5.4955262249999999</v>
      </c>
      <c r="J133" s="587">
        <v>27.977653553</v>
      </c>
      <c r="K133" s="587" t="s">
        <v>102</v>
      </c>
      <c r="L133" s="587" t="s">
        <v>102</v>
      </c>
      <c r="M133" s="588">
        <v>4.5212482559999998</v>
      </c>
      <c r="N133" s="587">
        <v>1.940239058</v>
      </c>
      <c r="O133" s="588">
        <v>4.4504081319999997</v>
      </c>
      <c r="P133" s="587">
        <v>1.650074292</v>
      </c>
      <c r="R133" s="923"/>
    </row>
    <row r="134" spans="1:18" ht="15.75" customHeight="1" x14ac:dyDescent="0.2">
      <c r="A134" s="545" t="s">
        <v>180</v>
      </c>
      <c r="B134" s="585">
        <v>36.520098697999998</v>
      </c>
      <c r="C134" s="585">
        <v>-5.6428321720000003</v>
      </c>
      <c r="D134" s="585">
        <v>-9.6114923300000008</v>
      </c>
      <c r="E134" s="585">
        <v>6.3938235629999998</v>
      </c>
      <c r="F134" s="585">
        <v>31.875840117999999</v>
      </c>
      <c r="G134" s="585">
        <v>30.336569232999999</v>
      </c>
      <c r="H134" s="585">
        <v>-22.620183339</v>
      </c>
      <c r="I134" s="585">
        <v>-6.4383252449999997</v>
      </c>
      <c r="J134" s="585">
        <v>-56.474543849</v>
      </c>
      <c r="K134" s="585" t="s">
        <v>102</v>
      </c>
      <c r="L134" s="585" t="s">
        <v>102</v>
      </c>
      <c r="M134" s="586">
        <v>7.4950609720000001</v>
      </c>
      <c r="N134" s="585">
        <v>-24.686014386</v>
      </c>
      <c r="O134" s="586">
        <v>7.0971780569999998</v>
      </c>
      <c r="P134" s="585">
        <v>10.124321709</v>
      </c>
      <c r="R134" s="923"/>
    </row>
    <row r="135" spans="1:18" ht="16.5" customHeight="1" x14ac:dyDescent="0.25">
      <c r="A135" s="547" t="s">
        <v>289</v>
      </c>
      <c r="B135" s="589">
        <v>3.7975758979999998</v>
      </c>
      <c r="C135" s="589">
        <v>6.4173749840000003</v>
      </c>
      <c r="D135" s="589">
        <v>3.362962762</v>
      </c>
      <c r="E135" s="589">
        <v>2.6388937239999999</v>
      </c>
      <c r="F135" s="589">
        <v>13.033445026000001</v>
      </c>
      <c r="G135" s="589">
        <v>5.1714796249999999</v>
      </c>
      <c r="H135" s="589">
        <v>7.9547631939999999</v>
      </c>
      <c r="I135" s="589">
        <v>1.781702278</v>
      </c>
      <c r="J135" s="589">
        <v>1.40817868</v>
      </c>
      <c r="K135" s="589" t="s">
        <v>102</v>
      </c>
      <c r="L135" s="589" t="s">
        <v>102</v>
      </c>
      <c r="M135" s="590">
        <v>5.5087688589999999</v>
      </c>
      <c r="N135" s="589">
        <v>1.7295042249999999</v>
      </c>
      <c r="O135" s="590">
        <v>5.4553560020000003</v>
      </c>
      <c r="P135" s="589">
        <v>4.4835123899999996</v>
      </c>
      <c r="R135" s="923"/>
    </row>
    <row r="136" spans="1:18" ht="15.75" customHeight="1" x14ac:dyDescent="0.2">
      <c r="A136" s="545" t="s">
        <v>182</v>
      </c>
      <c r="B136" s="585">
        <v>12.233632602</v>
      </c>
      <c r="C136" s="585">
        <v>6.0987629009999997</v>
      </c>
      <c r="D136" s="585">
        <v>5.5863883249999997</v>
      </c>
      <c r="E136" s="585">
        <v>8.4064599070000003</v>
      </c>
      <c r="F136" s="585">
        <v>8.8539753329999993</v>
      </c>
      <c r="G136" s="585">
        <v>10.157703915000001</v>
      </c>
      <c r="H136" s="585">
        <v>5.1863951479999999</v>
      </c>
      <c r="I136" s="585">
        <v>-0.29129136500000002</v>
      </c>
      <c r="J136" s="585">
        <v>53.842395447000001</v>
      </c>
      <c r="K136" s="585" t="s">
        <v>102</v>
      </c>
      <c r="L136" s="585" t="s">
        <v>102</v>
      </c>
      <c r="M136" s="586">
        <v>7.9809626769999999</v>
      </c>
      <c r="N136" s="585">
        <v>10.525758972</v>
      </c>
      <c r="O136" s="586">
        <v>8.0184576249999999</v>
      </c>
      <c r="P136" s="585">
        <v>11.034858795</v>
      </c>
      <c r="R136" s="923"/>
    </row>
    <row r="137" spans="1:18" ht="15.75" customHeight="1" x14ac:dyDescent="0.2">
      <c r="A137" s="548" t="s">
        <v>183</v>
      </c>
      <c r="B137" s="587">
        <v>2.7469069500000001</v>
      </c>
      <c r="C137" s="587">
        <v>7.4111553490000004</v>
      </c>
      <c r="D137" s="587">
        <v>5.8716856640000001</v>
      </c>
      <c r="E137" s="587">
        <v>3.397211295</v>
      </c>
      <c r="F137" s="587">
        <v>5.9194855349999997</v>
      </c>
      <c r="G137" s="587">
        <v>2.305990988</v>
      </c>
      <c r="H137" s="587">
        <v>4.5836022520000004</v>
      </c>
      <c r="I137" s="587">
        <v>14.915682067000001</v>
      </c>
      <c r="J137" s="587">
        <v>-2.3168574070000001</v>
      </c>
      <c r="K137" s="587" t="s">
        <v>102</v>
      </c>
      <c r="L137" s="587" t="s">
        <v>102</v>
      </c>
      <c r="M137" s="588">
        <v>4.3617057810000004</v>
      </c>
      <c r="N137" s="587">
        <v>13.387665720999999</v>
      </c>
      <c r="O137" s="588">
        <v>4.4799866489999998</v>
      </c>
      <c r="P137" s="587">
        <v>6.0727480229999999</v>
      </c>
      <c r="R137" s="923"/>
    </row>
    <row r="138" spans="1:18" ht="15.75" customHeight="1" x14ac:dyDescent="0.2">
      <c r="A138" s="545" t="s">
        <v>184</v>
      </c>
      <c r="B138" s="585">
        <v>-10.639875898</v>
      </c>
      <c r="C138" s="585">
        <v>-0.29617513400000001</v>
      </c>
      <c r="D138" s="585">
        <v>-12.344491995</v>
      </c>
      <c r="E138" s="585">
        <v>-8.9468800329999993</v>
      </c>
      <c r="F138" s="585">
        <v>43.855115404000003</v>
      </c>
      <c r="G138" s="585">
        <v>8.4925493099999994</v>
      </c>
      <c r="H138" s="585">
        <v>25.342650891000002</v>
      </c>
      <c r="I138" s="585">
        <v>-45.018437485</v>
      </c>
      <c r="J138" s="585">
        <v>-50.328247488999999</v>
      </c>
      <c r="K138" s="585" t="s">
        <v>102</v>
      </c>
      <c r="L138" s="585" t="s">
        <v>102</v>
      </c>
      <c r="M138" s="586">
        <v>6.8038867249999999</v>
      </c>
      <c r="N138" s="585">
        <v>-46.232429379000003</v>
      </c>
      <c r="O138" s="586">
        <v>5.8669505099999997</v>
      </c>
      <c r="P138" s="585">
        <v>-6.9354846710000002</v>
      </c>
      <c r="R138" s="923"/>
    </row>
    <row r="139" spans="1:18" ht="16.5" customHeight="1" x14ac:dyDescent="0.25">
      <c r="A139" s="549" t="s">
        <v>226</v>
      </c>
      <c r="B139" s="591"/>
      <c r="C139" s="591"/>
      <c r="D139" s="591"/>
      <c r="E139" s="591"/>
      <c r="F139" s="591"/>
      <c r="G139" s="591"/>
      <c r="H139" s="591"/>
      <c r="I139" s="591"/>
      <c r="J139" s="591"/>
      <c r="K139" s="591"/>
      <c r="L139" s="591"/>
      <c r="M139" s="592"/>
      <c r="N139" s="591"/>
      <c r="O139" s="592"/>
      <c r="P139" s="591"/>
    </row>
    <row r="140" spans="1:18" ht="16.5" customHeight="1" x14ac:dyDescent="0.25">
      <c r="A140" s="550" t="s">
        <v>458</v>
      </c>
      <c r="B140" s="593">
        <v>4.8121653000000002</v>
      </c>
      <c r="C140" s="593">
        <v>5.0959608100000002</v>
      </c>
      <c r="D140" s="593">
        <v>5.1143810780000001</v>
      </c>
      <c r="E140" s="593">
        <v>4.5614008430000004</v>
      </c>
      <c r="F140" s="593">
        <v>4.1407882029999996</v>
      </c>
      <c r="G140" s="593">
        <v>3.2592218430000002</v>
      </c>
      <c r="H140" s="593">
        <v>4.112121707</v>
      </c>
      <c r="I140" s="593">
        <v>3.6591540500000002</v>
      </c>
      <c r="J140" s="593">
        <v>3.916162602</v>
      </c>
      <c r="K140" s="593" t="s">
        <v>102</v>
      </c>
      <c r="L140" s="593" t="s">
        <v>102</v>
      </c>
      <c r="M140" s="594">
        <v>4.373114782</v>
      </c>
      <c r="N140" s="593">
        <v>3.7268929800000001</v>
      </c>
      <c r="O140" s="594">
        <v>4.3644059909999999</v>
      </c>
      <c r="P140" s="593">
        <v>3.7846566080000001</v>
      </c>
    </row>
    <row r="141" spans="1:18" ht="16.5" customHeight="1" x14ac:dyDescent="0.2">
      <c r="A141" s="551" t="s">
        <v>402</v>
      </c>
      <c r="B141" s="595">
        <v>6.8232722749999999</v>
      </c>
      <c r="C141" s="595">
        <v>5.8490013850000002</v>
      </c>
      <c r="D141" s="595">
        <v>6.2896740080000004</v>
      </c>
      <c r="E141" s="595">
        <v>6.5047330759999999</v>
      </c>
      <c r="F141" s="595">
        <v>6.8101429729999996</v>
      </c>
      <c r="G141" s="595">
        <v>6.9573885989999997</v>
      </c>
      <c r="H141" s="595">
        <v>6.0711413270000003</v>
      </c>
      <c r="I141" s="595">
        <v>8.6863766859999991</v>
      </c>
      <c r="J141" s="595">
        <v>6.2478218749999996</v>
      </c>
      <c r="K141" s="595" t="s">
        <v>102</v>
      </c>
      <c r="L141" s="595" t="s">
        <v>102</v>
      </c>
      <c r="M141" s="596">
        <v>6.5555721690000004</v>
      </c>
      <c r="N141" s="595">
        <v>7.9678336830000003</v>
      </c>
      <c r="O141" s="596">
        <v>6.579386725</v>
      </c>
      <c r="P141" s="595">
        <v>4.786251622</v>
      </c>
    </row>
    <row r="142" spans="1:18" ht="16.5" customHeight="1" x14ac:dyDescent="0.25">
      <c r="A142" s="552" t="s">
        <v>403</v>
      </c>
      <c r="B142" s="597">
        <v>6.2562124370000003</v>
      </c>
      <c r="C142" s="597">
        <v>5.521969994</v>
      </c>
      <c r="D142" s="597">
        <v>6.2918098919999998</v>
      </c>
      <c r="E142" s="597">
        <v>5.8872711779999998</v>
      </c>
      <c r="F142" s="597">
        <v>5.8036202640000001</v>
      </c>
      <c r="G142" s="597">
        <v>6.1523748930000002</v>
      </c>
      <c r="H142" s="597">
        <v>4.6683926140000001</v>
      </c>
      <c r="I142" s="597">
        <v>6.9417027750000004</v>
      </c>
      <c r="J142" s="597">
        <v>4.8400464540000003</v>
      </c>
      <c r="K142" s="597" t="s">
        <v>102</v>
      </c>
      <c r="L142" s="597" t="s">
        <v>102</v>
      </c>
      <c r="M142" s="598">
        <v>5.8332287809999999</v>
      </c>
      <c r="N142" s="597">
        <v>6.3189520430000004</v>
      </c>
      <c r="O142" s="598">
        <v>5.8429918360000004</v>
      </c>
      <c r="P142" s="597">
        <v>3.9565682679999998</v>
      </c>
    </row>
    <row r="143" spans="1:18" ht="16.5" customHeight="1" x14ac:dyDescent="0.25">
      <c r="A143" s="553" t="s">
        <v>404</v>
      </c>
      <c r="B143" s="595">
        <v>0.67549783299999999</v>
      </c>
      <c r="C143" s="595">
        <v>2.3087134630000001</v>
      </c>
      <c r="D143" s="595">
        <v>3.3197704699999999</v>
      </c>
      <c r="E143" s="595">
        <v>3.4651559700000001</v>
      </c>
      <c r="F143" s="595">
        <v>4.3023292670000002</v>
      </c>
      <c r="G143" s="595">
        <v>3.1111219569999999</v>
      </c>
      <c r="H143" s="595">
        <v>3.7287289810000002</v>
      </c>
      <c r="I143" s="595">
        <v>4.0788037749999999</v>
      </c>
      <c r="J143" s="595">
        <v>2.2140205179999999</v>
      </c>
      <c r="K143" s="595" t="s">
        <v>102</v>
      </c>
      <c r="L143" s="595" t="s">
        <v>102</v>
      </c>
      <c r="M143" s="596">
        <v>3.5183048100000001</v>
      </c>
      <c r="N143" s="595">
        <v>3.6240001070000001</v>
      </c>
      <c r="O143" s="596">
        <v>3.5227636250000001</v>
      </c>
      <c r="P143" s="595">
        <v>2.6470829230000001</v>
      </c>
    </row>
    <row r="144" spans="1:18" ht="16.5" customHeight="1" x14ac:dyDescent="0.25">
      <c r="A144" s="548" t="s">
        <v>649</v>
      </c>
      <c r="B144" s="599">
        <v>2.8202675689999999</v>
      </c>
      <c r="C144" s="599">
        <v>6.5414691229999997</v>
      </c>
      <c r="D144" s="599">
        <v>8.9160650829999994</v>
      </c>
      <c r="E144" s="599">
        <v>9.9825974350000006</v>
      </c>
      <c r="F144" s="599">
        <v>11.151968407</v>
      </c>
      <c r="G144" s="599">
        <v>6.801781547</v>
      </c>
      <c r="H144" s="599">
        <v>10.528006198</v>
      </c>
      <c r="I144" s="599">
        <v>5.6916799840000003</v>
      </c>
      <c r="J144" s="599">
        <v>0.50307189799999996</v>
      </c>
      <c r="K144" s="599" t="s">
        <v>102</v>
      </c>
      <c r="L144" s="599" t="s">
        <v>102</v>
      </c>
      <c r="M144" s="600">
        <v>9.4705960739999995</v>
      </c>
      <c r="N144" s="599">
        <v>4.3174994360000003</v>
      </c>
      <c r="O144" s="600">
        <v>9.3994031059999994</v>
      </c>
      <c r="P144" s="599">
        <v>9.6611707110000005</v>
      </c>
    </row>
    <row r="145" spans="1:17" ht="16.5" customHeight="1" x14ac:dyDescent="0.25">
      <c r="A145" s="554" t="s">
        <v>405</v>
      </c>
      <c r="B145" s="595">
        <v>-4.0694415370000003</v>
      </c>
      <c r="C145" s="595">
        <v>-3.4872579159999999</v>
      </c>
      <c r="D145" s="595">
        <v>-3.2487049309999998</v>
      </c>
      <c r="E145" s="595">
        <v>-2.7168681380000002</v>
      </c>
      <c r="F145" s="595">
        <v>-1.265535278</v>
      </c>
      <c r="G145" s="595">
        <v>-0.83055383199999999</v>
      </c>
      <c r="H145" s="595">
        <v>-3.0116970699999999</v>
      </c>
      <c r="I145" s="595">
        <v>-5.580205823</v>
      </c>
      <c r="J145" s="595">
        <v>-5.8282353310000001</v>
      </c>
      <c r="K145" s="595" t="s">
        <v>102</v>
      </c>
      <c r="L145" s="595" t="s">
        <v>102</v>
      </c>
      <c r="M145" s="596">
        <v>-2.309468791</v>
      </c>
      <c r="N145" s="595">
        <v>-5.6240082759999996</v>
      </c>
      <c r="O145" s="596">
        <v>-2.3569599910000001</v>
      </c>
      <c r="P145" s="595">
        <v>1.0124698729999999</v>
      </c>
    </row>
    <row r="146" spans="1:17" ht="16.5" customHeight="1" x14ac:dyDescent="0.25">
      <c r="A146" s="546" t="s">
        <v>406</v>
      </c>
      <c r="B146" s="601">
        <v>-0.27109261299999998</v>
      </c>
      <c r="C146" s="601">
        <v>1.174076237</v>
      </c>
      <c r="D146" s="601">
        <v>1.3717142819999999</v>
      </c>
      <c r="E146" s="601">
        <v>1.2844015580000001</v>
      </c>
      <c r="F146" s="601">
        <v>1.6210172009999999</v>
      </c>
      <c r="G146" s="601">
        <v>0.92261544100000004</v>
      </c>
      <c r="H146" s="601">
        <v>2.6078556239999999</v>
      </c>
      <c r="I146" s="601">
        <v>-0.55913422899999998</v>
      </c>
      <c r="J146" s="601">
        <v>-3.0394037219999999</v>
      </c>
      <c r="K146" s="601" t="s">
        <v>102</v>
      </c>
      <c r="L146" s="601" t="s">
        <v>102</v>
      </c>
      <c r="M146" s="602">
        <v>1.4260363730000001</v>
      </c>
      <c r="N146" s="601">
        <v>-1.2783395049999999</v>
      </c>
      <c r="O146" s="602">
        <v>1.3740711999999999</v>
      </c>
      <c r="P146" s="601">
        <v>1.601551451</v>
      </c>
    </row>
    <row r="147" spans="1:17" ht="17.25" customHeight="1" x14ac:dyDescent="0.2">
      <c r="A147" s="551" t="s">
        <v>417</v>
      </c>
      <c r="B147" s="595">
        <v>-0.159766085</v>
      </c>
      <c r="C147" s="595">
        <v>-0.113798631</v>
      </c>
      <c r="D147" s="595">
        <v>-0.215620806</v>
      </c>
      <c r="E147" s="595">
        <v>8.7201163999999998E-2</v>
      </c>
      <c r="F147" s="595">
        <v>0.33601961800000002</v>
      </c>
      <c r="G147" s="595">
        <v>0.74451395099999995</v>
      </c>
      <c r="H147" s="595">
        <v>0.34809670500000001</v>
      </c>
      <c r="I147" s="595">
        <v>-0.71164021899999996</v>
      </c>
      <c r="J147" s="595">
        <v>0.530940996</v>
      </c>
      <c r="K147" s="595" t="s">
        <v>102</v>
      </c>
      <c r="L147" s="595" t="s">
        <v>102</v>
      </c>
      <c r="M147" s="596">
        <v>0.18081947200000001</v>
      </c>
      <c r="N147" s="595">
        <v>-0.42228353200000002</v>
      </c>
      <c r="O147" s="596">
        <v>0.169752758</v>
      </c>
      <c r="P147" s="595">
        <v>7.9956586999999996E-2</v>
      </c>
    </row>
    <row r="148" spans="1:17" ht="17.25" customHeight="1" x14ac:dyDescent="0.2">
      <c r="A148" s="552" t="s">
        <v>791</v>
      </c>
      <c r="B148" s="597">
        <v>-2.851980787</v>
      </c>
      <c r="C148" s="597">
        <v>-1.9524542600000001</v>
      </c>
      <c r="D148" s="597">
        <v>-1.3068574550000001</v>
      </c>
      <c r="E148" s="597">
        <v>-0.81595725100000005</v>
      </c>
      <c r="F148" s="597">
        <v>0.16920658499999999</v>
      </c>
      <c r="G148" s="597">
        <v>-5.4122104999999997E-2</v>
      </c>
      <c r="H148" s="597">
        <v>-0.37912806700000001</v>
      </c>
      <c r="I148" s="597">
        <v>0.43760427400000002</v>
      </c>
      <c r="J148" s="597">
        <v>-1.435003429</v>
      </c>
      <c r="K148" s="597" t="s">
        <v>102</v>
      </c>
      <c r="L148" s="597" t="s">
        <v>102</v>
      </c>
      <c r="M148" s="598">
        <v>-0.63322726900000004</v>
      </c>
      <c r="N148" s="597">
        <v>-3.6355242000000003E-2</v>
      </c>
      <c r="O148" s="598">
        <v>-0.62327865100000002</v>
      </c>
      <c r="P148" s="597">
        <v>-0.91864101399999998</v>
      </c>
    </row>
    <row r="149" spans="1:17" s="3" customFormat="1" ht="16.5" customHeight="1" x14ac:dyDescent="0.25">
      <c r="A149" s="553" t="s">
        <v>418</v>
      </c>
      <c r="B149" s="595">
        <v>3.5157970619999999</v>
      </c>
      <c r="C149" s="595">
        <v>1.876658175</v>
      </c>
      <c r="D149" s="595">
        <v>0.95594450799999997</v>
      </c>
      <c r="E149" s="595">
        <v>0.81329564300000001</v>
      </c>
      <c r="F149" s="595">
        <v>-0.40206440700000001</v>
      </c>
      <c r="G149" s="595">
        <v>-0.18285895499999999</v>
      </c>
      <c r="H149" s="595">
        <v>-0.226216951</v>
      </c>
      <c r="I149" s="595">
        <v>-0.76388433200000005</v>
      </c>
      <c r="J149" s="595">
        <v>1.0722684999999999E-2</v>
      </c>
      <c r="K149" s="595" t="s">
        <v>102</v>
      </c>
      <c r="L149" s="595" t="s">
        <v>102</v>
      </c>
      <c r="M149" s="596">
        <v>0.45719068699999998</v>
      </c>
      <c r="N149" s="595">
        <v>-0.56051902499999995</v>
      </c>
      <c r="O149" s="596">
        <v>0.43963408300000001</v>
      </c>
      <c r="P149" s="595">
        <v>0.66951338699999996</v>
      </c>
      <c r="Q149"/>
    </row>
    <row r="150" spans="1:17" ht="16.5" customHeight="1" x14ac:dyDescent="0.25">
      <c r="A150" s="548" t="s">
        <v>463</v>
      </c>
      <c r="B150" s="599">
        <v>0.96355968599999997</v>
      </c>
      <c r="C150" s="599">
        <v>1.7728939500000001</v>
      </c>
      <c r="D150" s="599">
        <v>2.1095452039999998</v>
      </c>
      <c r="E150" s="599">
        <v>2.377572657</v>
      </c>
      <c r="F150" s="599">
        <v>2.3478915119999999</v>
      </c>
      <c r="G150" s="599">
        <v>1.2176168350000001</v>
      </c>
      <c r="H150" s="599">
        <v>2.1210137329999998</v>
      </c>
      <c r="I150" s="599">
        <v>0.43408222899999999</v>
      </c>
      <c r="J150" s="599">
        <v>-0.51682779099999998</v>
      </c>
      <c r="K150" s="599" t="s">
        <v>102</v>
      </c>
      <c r="L150" s="599" t="s">
        <v>102</v>
      </c>
      <c r="M150" s="600">
        <v>2.1167140889999998</v>
      </c>
      <c r="N150" s="599">
        <v>0.19219977299999999</v>
      </c>
      <c r="O150" s="600">
        <v>2.0816808060000001</v>
      </c>
      <c r="P150" s="599">
        <v>1.826993737</v>
      </c>
    </row>
    <row r="151" spans="1:17" ht="16.5" customHeight="1" x14ac:dyDescent="0.25">
      <c r="A151" s="554" t="s">
        <v>419</v>
      </c>
      <c r="B151" s="595">
        <v>-2.0820392820000002</v>
      </c>
      <c r="C151" s="595">
        <v>-3.1464205399999998</v>
      </c>
      <c r="D151" s="595">
        <v>-3.6960031459999998</v>
      </c>
      <c r="E151" s="595">
        <v>-3.857190154</v>
      </c>
      <c r="F151" s="595">
        <v>-3.455914602</v>
      </c>
      <c r="G151" s="595">
        <v>-2.4532057150000002</v>
      </c>
      <c r="H151" s="595">
        <v>-4.146624192</v>
      </c>
      <c r="I151" s="595">
        <v>-4.9717142929999998</v>
      </c>
      <c r="J151" s="595">
        <v>-3.5413893349999999</v>
      </c>
      <c r="K151" s="595" t="s">
        <v>102</v>
      </c>
      <c r="L151" s="595" t="s">
        <v>102</v>
      </c>
      <c r="M151" s="596">
        <v>-3.5483616370000002</v>
      </c>
      <c r="N151" s="595">
        <v>-4.5923137079999998</v>
      </c>
      <c r="O151" s="596">
        <v>-3.5683358680000001</v>
      </c>
      <c r="P151" s="595">
        <v>-1.1097036600000001</v>
      </c>
    </row>
    <row r="152" spans="1:17" ht="16.5" customHeight="1" x14ac:dyDescent="0.2">
      <c r="A152" s="555" t="s">
        <v>794</v>
      </c>
      <c r="B152" s="603">
        <v>7.2520398E-2</v>
      </c>
      <c r="C152" s="603">
        <v>3.3066478000000003E-2</v>
      </c>
      <c r="D152" s="603">
        <v>-2.2141034E-2</v>
      </c>
      <c r="E152" s="603">
        <v>-6.6765407999999998E-2</v>
      </c>
      <c r="F152" s="603">
        <v>-0.206367825</v>
      </c>
      <c r="G152" s="603">
        <v>-0.121212982</v>
      </c>
      <c r="H152" s="603">
        <v>-0.160250008</v>
      </c>
      <c r="I152" s="603">
        <v>-0.41394834200000002</v>
      </c>
      <c r="J152" s="603">
        <v>-1.8858824E-2</v>
      </c>
      <c r="K152" s="603" t="s">
        <v>102</v>
      </c>
      <c r="L152" s="603" t="s">
        <v>102</v>
      </c>
      <c r="M152" s="604">
        <v>-8.0794534000000001E-2</v>
      </c>
      <c r="N152" s="603">
        <v>-0.27184844000000002</v>
      </c>
      <c r="O152" s="604">
        <v>-8.3515004000000004E-2</v>
      </c>
      <c r="P152" s="603">
        <v>0.20504604300000001</v>
      </c>
    </row>
    <row r="153" spans="1:17" x14ac:dyDescent="0.2">
      <c r="A153" s="255" t="s">
        <v>909</v>
      </c>
      <c r="B153" s="13"/>
      <c r="C153" s="13"/>
      <c r="D153" s="13"/>
      <c r="E153" s="13"/>
      <c r="F153" s="13"/>
      <c r="G153" s="13"/>
      <c r="H153" s="13"/>
      <c r="I153" s="13"/>
      <c r="J153" s="13"/>
      <c r="K153" s="13"/>
      <c r="L153" s="13"/>
      <c r="M153" s="13"/>
      <c r="N153" s="13"/>
      <c r="O153" s="13"/>
      <c r="P153" s="39"/>
    </row>
    <row r="154" spans="1:17" x14ac:dyDescent="0.2">
      <c r="A154" s="255" t="s">
        <v>655</v>
      </c>
      <c r="B154" s="13"/>
      <c r="C154" s="13"/>
      <c r="D154" s="13"/>
      <c r="E154" s="13"/>
      <c r="F154" s="13"/>
      <c r="G154" s="13"/>
      <c r="H154" s="13"/>
      <c r="I154" s="13"/>
      <c r="J154" s="13"/>
      <c r="K154" s="13"/>
      <c r="L154" s="13"/>
      <c r="M154" s="13"/>
      <c r="N154" s="13"/>
      <c r="O154" s="13"/>
      <c r="P154" s="39"/>
    </row>
    <row r="155" spans="1:17" x14ac:dyDescent="0.2">
      <c r="A155" s="286" t="s">
        <v>904</v>
      </c>
      <c r="B155" s="13"/>
      <c r="C155" s="13"/>
      <c r="D155" s="13"/>
      <c r="E155" s="13"/>
      <c r="F155" s="13"/>
      <c r="G155" s="13"/>
      <c r="H155" s="13"/>
      <c r="I155" s="13"/>
      <c r="J155" s="13"/>
      <c r="K155" s="13"/>
      <c r="L155" s="13"/>
      <c r="M155" s="13"/>
      <c r="N155" s="13"/>
      <c r="O155" s="13"/>
      <c r="P155" s="39"/>
    </row>
    <row r="156" spans="1:17" x14ac:dyDescent="0.2">
      <c r="A156" s="37" t="s">
        <v>557</v>
      </c>
      <c r="B156" s="13"/>
      <c r="C156" s="13"/>
      <c r="D156" s="13"/>
      <c r="E156" s="13"/>
      <c r="F156" s="13"/>
      <c r="G156" s="13"/>
      <c r="H156" s="13"/>
      <c r="I156" s="13"/>
      <c r="J156" s="13"/>
      <c r="K156" s="13"/>
      <c r="L156" s="13"/>
      <c r="M156" s="13"/>
      <c r="N156" s="13"/>
      <c r="O156" s="13"/>
      <c r="P156" s="39"/>
    </row>
    <row r="157" spans="1:17" x14ac:dyDescent="0.2">
      <c r="A157" s="286" t="s">
        <v>905</v>
      </c>
      <c r="B157" s="13"/>
      <c r="C157" s="13"/>
      <c r="D157" s="13"/>
      <c r="E157" s="13"/>
      <c r="F157" s="13"/>
      <c r="G157" s="13"/>
      <c r="H157" s="13"/>
      <c r="I157" s="13"/>
      <c r="J157" s="13"/>
      <c r="K157" s="13"/>
      <c r="L157" s="13"/>
      <c r="M157" s="13"/>
      <c r="N157" s="13"/>
      <c r="O157" s="13"/>
      <c r="P157" s="39"/>
    </row>
    <row r="158" spans="1:17" x14ac:dyDescent="0.2">
      <c r="A158" s="255" t="s">
        <v>986</v>
      </c>
      <c r="B158" s="13"/>
      <c r="C158" s="13"/>
      <c r="D158" s="13"/>
      <c r="E158" s="13"/>
      <c r="F158" s="13"/>
      <c r="G158" s="13"/>
      <c r="H158" s="13"/>
      <c r="I158" s="13"/>
      <c r="J158" s="13"/>
      <c r="K158" s="13"/>
      <c r="L158" s="13"/>
      <c r="M158" s="13"/>
      <c r="N158" s="13"/>
      <c r="O158" s="13"/>
      <c r="P158" s="39"/>
    </row>
    <row r="159" spans="1:17" x14ac:dyDescent="0.2">
      <c r="A159" s="286" t="s">
        <v>916</v>
      </c>
      <c r="B159" s="13"/>
      <c r="C159" s="13"/>
      <c r="D159" s="13"/>
      <c r="E159" s="13"/>
      <c r="F159" s="13"/>
      <c r="G159" s="13"/>
      <c r="H159" s="13"/>
      <c r="I159" s="13"/>
      <c r="J159" s="13"/>
      <c r="K159" s="13"/>
      <c r="L159" s="13"/>
      <c r="M159" s="13"/>
      <c r="N159" s="13"/>
      <c r="O159" s="13"/>
      <c r="P159" s="39"/>
    </row>
    <row r="160" spans="1:17" x14ac:dyDescent="0.2">
      <c r="A160" s="223"/>
      <c r="B160" s="3"/>
      <c r="C160" s="3"/>
      <c r="D160" s="3"/>
      <c r="G160" s="185"/>
      <c r="J160" s="185"/>
    </row>
    <row r="161" spans="1:16" ht="12.75" customHeight="1" x14ac:dyDescent="0.2">
      <c r="A161" s="1015" t="s">
        <v>669</v>
      </c>
      <c r="B161" s="1015"/>
      <c r="C161" s="1015"/>
      <c r="D161" s="1015"/>
      <c r="E161" s="1015"/>
      <c r="F161" s="1015"/>
      <c r="G161" s="1015"/>
      <c r="H161" s="1015"/>
      <c r="I161" s="1015"/>
      <c r="J161" s="1015"/>
      <c r="K161" s="1015"/>
      <c r="L161" s="1015"/>
      <c r="M161" s="1015"/>
      <c r="N161" s="1015"/>
      <c r="O161" s="1015"/>
      <c r="P161" s="1015"/>
    </row>
    <row r="162" spans="1:16" ht="15.75" customHeight="1" x14ac:dyDescent="0.2">
      <c r="A162" s="1015"/>
      <c r="B162" s="1015"/>
      <c r="C162" s="1015"/>
      <c r="D162" s="1015"/>
      <c r="E162" s="1015"/>
      <c r="F162" s="1015"/>
      <c r="G162" s="1015"/>
      <c r="H162" s="1015"/>
      <c r="I162" s="1015"/>
      <c r="J162" s="1015"/>
      <c r="K162" s="1015"/>
      <c r="L162" s="1015"/>
      <c r="M162" s="1015"/>
      <c r="N162" s="1015"/>
      <c r="O162" s="1015"/>
      <c r="P162" s="1015"/>
    </row>
    <row r="163" spans="1:16" ht="161.25" customHeight="1" x14ac:dyDescent="0.2">
      <c r="A163" s="1015" t="s">
        <v>682</v>
      </c>
      <c r="B163" s="1015"/>
      <c r="C163" s="1015"/>
      <c r="D163" s="1015"/>
      <c r="E163" s="1015"/>
      <c r="F163" s="1015"/>
      <c r="G163" s="1015"/>
      <c r="H163" s="1015"/>
      <c r="I163" s="1015"/>
      <c r="J163" s="1015"/>
      <c r="K163" s="1015"/>
      <c r="L163" s="1015"/>
      <c r="M163" s="1015"/>
      <c r="N163" s="1015"/>
      <c r="O163" s="1015"/>
      <c r="P163" s="1015"/>
    </row>
  </sheetData>
  <mergeCells count="2">
    <mergeCell ref="A161:P162"/>
    <mergeCell ref="A163:P163"/>
  </mergeCells>
  <phoneticPr fontId="2" type="noConversion"/>
  <pageMargins left="0.59055118110236227" right="0.59055118110236227" top="0.59055118110236227" bottom="0.59055118110236227" header="0.39370078740157483" footer="0.39370078740157483"/>
  <pageSetup paperSize="9" scale="48" firstPageNumber="42" fitToHeight="4" orientation="landscape" useFirstPageNumber="1" r:id="rId1"/>
  <headerFooter alignWithMargins="0">
    <oddHeader>&amp;R&amp;12Les finances des communes en 2024</oddHeader>
    <oddFooter>&amp;L&amp;12Direction Générale des Collectivités Locales / DESL&amp;C&amp;12&amp;P&amp;R&amp;12Mise en ligne : janvier 2026</oddFooter>
  </headerFooter>
  <rowBreaks count="3" manualBreakCount="3">
    <brk id="59" max="15" man="1"/>
    <brk id="104" max="15" man="1"/>
    <brk id="160" max="15" man="1"/>
  </rowBreaks>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64"/>
  <sheetViews>
    <sheetView view="pageBreakPreview" zoomScale="60" zoomScaleNormal="85" zoomScalePageLayoutView="85" workbookViewId="0">
      <selection activeCell="D106" sqref="D106"/>
    </sheetView>
  </sheetViews>
  <sheetFormatPr baseColWidth="10" defaultRowHeight="12.75" x14ac:dyDescent="0.2"/>
  <cols>
    <col min="1" max="1" width="90.140625" customWidth="1"/>
    <col min="13" max="14" width="15.5703125" customWidth="1"/>
    <col min="15" max="15" width="14.28515625" customWidth="1"/>
    <col min="16" max="16" width="19.42578125" customWidth="1"/>
  </cols>
  <sheetData>
    <row r="1" spans="1:16" ht="21" x14ac:dyDescent="0.2">
      <c r="A1" s="46" t="s">
        <v>927</v>
      </c>
    </row>
    <row r="2" spans="1:16" ht="18" x14ac:dyDescent="0.2">
      <c r="A2" s="46"/>
    </row>
    <row r="3" spans="1:16" ht="13.5" thickBot="1" x14ac:dyDescent="0.25">
      <c r="A3" s="13"/>
      <c r="P3" s="259" t="s">
        <v>213</v>
      </c>
    </row>
    <row r="4" spans="1:16" ht="12.7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231</v>
      </c>
      <c r="O4" s="257" t="s">
        <v>77</v>
      </c>
      <c r="P4" s="281" t="s">
        <v>220</v>
      </c>
    </row>
    <row r="5" spans="1:16"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294</v>
      </c>
    </row>
    <row r="6" spans="1:16" ht="1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295</v>
      </c>
    </row>
    <row r="7" spans="1:16" ht="12.75" customHeight="1" x14ac:dyDescent="0.2">
      <c r="A7" s="227"/>
    </row>
    <row r="8" spans="1:16" ht="16.5" customHeight="1" x14ac:dyDescent="0.25">
      <c r="A8" s="474" t="s">
        <v>160</v>
      </c>
      <c r="B8" s="466" t="s">
        <v>102</v>
      </c>
      <c r="C8" s="466">
        <v>565.98480582499997</v>
      </c>
      <c r="D8" s="466">
        <v>563.06864169999994</v>
      </c>
      <c r="E8" s="466">
        <v>695.41741056299998</v>
      </c>
      <c r="F8" s="466">
        <v>813.04460933899998</v>
      </c>
      <c r="G8" s="466">
        <v>942.68809894399999</v>
      </c>
      <c r="H8" s="466">
        <v>1080.97089465</v>
      </c>
      <c r="I8" s="466">
        <v>1206.2273703789999</v>
      </c>
      <c r="J8" s="466">
        <v>1365.5035187349999</v>
      </c>
      <c r="K8" s="570">
        <v>1459.621641621</v>
      </c>
      <c r="L8" s="466">
        <v>1720.4586916430001</v>
      </c>
      <c r="M8" s="479">
        <v>973.18001552999999</v>
      </c>
      <c r="N8" s="479">
        <v>1454.316329021</v>
      </c>
      <c r="O8" s="479">
        <v>1331.901652259</v>
      </c>
      <c r="P8" s="466">
        <v>1141.413068289</v>
      </c>
    </row>
    <row r="9" spans="1:16" ht="16.5" customHeight="1" x14ac:dyDescent="0.2">
      <c r="A9" s="465" t="s">
        <v>161</v>
      </c>
      <c r="B9" s="467" t="s">
        <v>102</v>
      </c>
      <c r="C9" s="467">
        <v>214.46128640800001</v>
      </c>
      <c r="D9" s="467">
        <v>192.85382702699999</v>
      </c>
      <c r="E9" s="467">
        <v>249.84457592199999</v>
      </c>
      <c r="F9" s="467">
        <v>270.36257333200001</v>
      </c>
      <c r="G9" s="467">
        <v>292.80974760599997</v>
      </c>
      <c r="H9" s="467">
        <v>309.58019196499998</v>
      </c>
      <c r="I9" s="467">
        <v>314.11189430799999</v>
      </c>
      <c r="J9" s="467">
        <v>338.61529840200001</v>
      </c>
      <c r="K9" s="467">
        <v>331.36836163499999</v>
      </c>
      <c r="L9" s="467">
        <v>317.48831591700002</v>
      </c>
      <c r="M9" s="480">
        <v>293.92993620599998</v>
      </c>
      <c r="N9" s="480">
        <v>325.81155441200002</v>
      </c>
      <c r="O9" s="480">
        <v>317.69996965299998</v>
      </c>
      <c r="P9" s="467">
        <v>297.49293474000001</v>
      </c>
    </row>
    <row r="10" spans="1:16" ht="16.5" customHeight="1" x14ac:dyDescent="0.2">
      <c r="A10" s="465" t="s">
        <v>162</v>
      </c>
      <c r="B10" s="467" t="s">
        <v>102</v>
      </c>
      <c r="C10" s="467">
        <v>148.708640777</v>
      </c>
      <c r="D10" s="467">
        <v>202.89291366800001</v>
      </c>
      <c r="E10" s="467">
        <v>320.38598705700002</v>
      </c>
      <c r="F10" s="467">
        <v>423.73218719699997</v>
      </c>
      <c r="G10" s="467">
        <v>517.26391311899999</v>
      </c>
      <c r="H10" s="467">
        <v>618.26191250600004</v>
      </c>
      <c r="I10" s="467">
        <v>717.77932492100001</v>
      </c>
      <c r="J10" s="467">
        <v>830.64711352699999</v>
      </c>
      <c r="K10" s="467">
        <v>881.53417805699996</v>
      </c>
      <c r="L10" s="467">
        <v>856.38823502699995</v>
      </c>
      <c r="M10" s="480">
        <v>537.96457985899997</v>
      </c>
      <c r="N10" s="480">
        <v>823.33803308799997</v>
      </c>
      <c r="O10" s="480">
        <v>750.73096092599997</v>
      </c>
      <c r="P10" s="467">
        <v>615.66499173900002</v>
      </c>
    </row>
    <row r="11" spans="1:16" ht="16.5" customHeight="1" x14ac:dyDescent="0.2">
      <c r="A11" s="465" t="s">
        <v>163</v>
      </c>
      <c r="B11" s="467" t="s">
        <v>102</v>
      </c>
      <c r="C11" s="467">
        <v>6.7320145629999999</v>
      </c>
      <c r="D11" s="467">
        <v>8.9939163230000005</v>
      </c>
      <c r="E11" s="467">
        <v>12.497833883</v>
      </c>
      <c r="F11" s="467">
        <v>14.750348223</v>
      </c>
      <c r="G11" s="467">
        <v>15.393548333</v>
      </c>
      <c r="H11" s="467">
        <v>19.283138243</v>
      </c>
      <c r="I11" s="467">
        <v>20.999346081999999</v>
      </c>
      <c r="J11" s="467">
        <v>26.900023561000001</v>
      </c>
      <c r="K11" s="467">
        <v>37.902218701999999</v>
      </c>
      <c r="L11" s="467">
        <v>41.819523398999998</v>
      </c>
      <c r="M11" s="480">
        <v>17.180692404999999</v>
      </c>
      <c r="N11" s="480">
        <v>32.048453731000002</v>
      </c>
      <c r="O11" s="480">
        <v>28.265675034000001</v>
      </c>
      <c r="P11" s="467">
        <v>23.650636513999999</v>
      </c>
    </row>
    <row r="12" spans="1:16" ht="16.5" customHeight="1" x14ac:dyDescent="0.2">
      <c r="A12" s="465" t="s">
        <v>164</v>
      </c>
      <c r="B12" s="467" t="s">
        <v>102</v>
      </c>
      <c r="C12" s="467">
        <v>81.925097086999997</v>
      </c>
      <c r="D12" s="467">
        <v>84.304762710999995</v>
      </c>
      <c r="E12" s="467">
        <v>57.427798533000001</v>
      </c>
      <c r="F12" s="467">
        <v>63.303901260000004</v>
      </c>
      <c r="G12" s="467">
        <v>77.169017707999998</v>
      </c>
      <c r="H12" s="467">
        <v>98.443717745000001</v>
      </c>
      <c r="I12" s="467">
        <v>119.89049149500001</v>
      </c>
      <c r="J12" s="467">
        <v>136.57490598000001</v>
      </c>
      <c r="K12" s="467">
        <v>169.68306555999999</v>
      </c>
      <c r="L12" s="467">
        <v>464.20751233499999</v>
      </c>
      <c r="M12" s="480">
        <v>84.905906216000005</v>
      </c>
      <c r="N12" s="480">
        <v>236.754241466</v>
      </c>
      <c r="O12" s="480">
        <v>198.119733209</v>
      </c>
      <c r="P12" s="467">
        <v>159.73923350699999</v>
      </c>
    </row>
    <row r="13" spans="1:16" ht="16.5" customHeight="1" x14ac:dyDescent="0.2">
      <c r="A13" s="465" t="s">
        <v>165</v>
      </c>
      <c r="B13" s="467" t="s">
        <v>102</v>
      </c>
      <c r="C13" s="467">
        <v>114.15776699</v>
      </c>
      <c r="D13" s="467">
        <v>74.023221969999994</v>
      </c>
      <c r="E13" s="467">
        <v>55.261215168</v>
      </c>
      <c r="F13" s="467">
        <v>40.895599328000003</v>
      </c>
      <c r="G13" s="467">
        <v>40.051872179</v>
      </c>
      <c r="H13" s="467">
        <v>35.401934191000002</v>
      </c>
      <c r="I13" s="467">
        <v>33.446313572999998</v>
      </c>
      <c r="J13" s="467">
        <v>32.766177265000003</v>
      </c>
      <c r="K13" s="467">
        <v>39.133817667000002</v>
      </c>
      <c r="L13" s="467">
        <v>40.555104964999998</v>
      </c>
      <c r="M13" s="480">
        <v>39.198900844000001</v>
      </c>
      <c r="N13" s="480">
        <v>36.364046324</v>
      </c>
      <c r="O13" s="480">
        <v>37.085313437000003</v>
      </c>
      <c r="P13" s="467">
        <v>44.865271788999998</v>
      </c>
    </row>
    <row r="14" spans="1:16" ht="16.5" customHeight="1" x14ac:dyDescent="0.25">
      <c r="A14" s="474" t="s">
        <v>166</v>
      </c>
      <c r="B14" s="466" t="s">
        <v>102</v>
      </c>
      <c r="C14" s="466">
        <v>931.29570388299999</v>
      </c>
      <c r="D14" s="466">
        <v>744.75920826799995</v>
      </c>
      <c r="E14" s="466">
        <v>861.46328910099999</v>
      </c>
      <c r="F14" s="466">
        <v>989.42321864400003</v>
      </c>
      <c r="G14" s="466">
        <v>1138.7213723679999</v>
      </c>
      <c r="H14" s="466">
        <v>1283.106710046</v>
      </c>
      <c r="I14" s="466">
        <v>1400.240462839</v>
      </c>
      <c r="J14" s="466">
        <v>1567.688128779</v>
      </c>
      <c r="K14" s="466">
        <v>1687.504176058</v>
      </c>
      <c r="L14" s="466">
        <v>1901.0503805129999</v>
      </c>
      <c r="M14" s="479">
        <v>1166.2757825480001</v>
      </c>
      <c r="N14" s="479">
        <v>1652.8594717000001</v>
      </c>
      <c r="O14" s="479">
        <v>1529.0588286069999</v>
      </c>
      <c r="P14" s="466">
        <v>1337.286135224</v>
      </c>
    </row>
    <row r="15" spans="1:16" ht="16.5" customHeight="1" x14ac:dyDescent="0.2">
      <c r="A15" s="465" t="s">
        <v>79</v>
      </c>
      <c r="B15" s="467" t="s">
        <v>102</v>
      </c>
      <c r="C15" s="467">
        <v>344.430461165</v>
      </c>
      <c r="D15" s="467">
        <v>460.423342827</v>
      </c>
      <c r="E15" s="467">
        <v>573.71047110500001</v>
      </c>
      <c r="F15" s="467">
        <v>683.11281943899996</v>
      </c>
      <c r="G15" s="467">
        <v>785.82409075199996</v>
      </c>
      <c r="H15" s="467">
        <v>871.01924588700001</v>
      </c>
      <c r="I15" s="467">
        <v>956.12877419400002</v>
      </c>
      <c r="J15" s="467">
        <v>1079.800431202</v>
      </c>
      <c r="K15" s="467">
        <v>1159.5758807059999</v>
      </c>
      <c r="L15" s="467">
        <v>1378.6840697120001</v>
      </c>
      <c r="M15" s="480">
        <v>794.42581668499997</v>
      </c>
      <c r="N15" s="480">
        <v>1156.8974399579999</v>
      </c>
      <c r="O15" s="480">
        <v>1064.6744142699999</v>
      </c>
      <c r="P15" s="467">
        <v>890.55939961900003</v>
      </c>
    </row>
    <row r="16" spans="1:16" ht="16.5" customHeight="1" x14ac:dyDescent="0.2">
      <c r="A16" s="465" t="s">
        <v>167</v>
      </c>
      <c r="B16" s="467" t="s">
        <v>102</v>
      </c>
      <c r="C16" s="467">
        <v>313.53587378600002</v>
      </c>
      <c r="D16" s="467">
        <v>401.75855663800002</v>
      </c>
      <c r="E16" s="467">
        <v>522.04536192499995</v>
      </c>
      <c r="F16" s="467">
        <v>625.71271367300005</v>
      </c>
      <c r="G16" s="467">
        <v>706.21299304700005</v>
      </c>
      <c r="H16" s="467">
        <v>776.63614451399997</v>
      </c>
      <c r="I16" s="467">
        <v>844.78843370300001</v>
      </c>
      <c r="J16" s="467">
        <v>980.77367788499998</v>
      </c>
      <c r="K16" s="467">
        <v>1031.653181528</v>
      </c>
      <c r="L16" s="467">
        <v>979.98777579199998</v>
      </c>
      <c r="M16" s="480">
        <v>713.06948013700003</v>
      </c>
      <c r="N16" s="480">
        <v>960.62325077900005</v>
      </c>
      <c r="O16" s="480">
        <v>897.63857478399996</v>
      </c>
      <c r="P16" s="467">
        <v>755.39570033300004</v>
      </c>
    </row>
    <row r="17" spans="1:16" ht="16.5" customHeight="1" x14ac:dyDescent="0.2">
      <c r="A17" s="465" t="s">
        <v>199</v>
      </c>
      <c r="B17" s="467" t="s">
        <v>102</v>
      </c>
      <c r="C17" s="467">
        <v>-24.418665049000001</v>
      </c>
      <c r="D17" s="467">
        <v>65.671262076000005</v>
      </c>
      <c r="E17" s="467">
        <v>111.62574574</v>
      </c>
      <c r="F17" s="467">
        <v>131.10746484500001</v>
      </c>
      <c r="G17" s="467">
        <v>157.85148153099999</v>
      </c>
      <c r="H17" s="467">
        <v>170.689963568</v>
      </c>
      <c r="I17" s="467">
        <v>188.15406952999999</v>
      </c>
      <c r="J17" s="467">
        <v>199.116430783</v>
      </c>
      <c r="K17" s="467">
        <v>232.857960056</v>
      </c>
      <c r="L17" s="467">
        <v>190.06403108500001</v>
      </c>
      <c r="M17" s="480">
        <v>155.699637827</v>
      </c>
      <c r="N17" s="480">
        <v>200.050627112</v>
      </c>
      <c r="O17" s="480">
        <v>188.76648192299999</v>
      </c>
      <c r="P17" s="467">
        <v>150.80652623500001</v>
      </c>
    </row>
    <row r="18" spans="1:16" ht="16.5" customHeight="1" x14ac:dyDescent="0.2">
      <c r="A18" s="465" t="s">
        <v>168</v>
      </c>
      <c r="B18" s="467" t="s">
        <v>102</v>
      </c>
      <c r="C18" s="467">
        <v>30.894587379000001</v>
      </c>
      <c r="D18" s="467">
        <v>58.664786190000001</v>
      </c>
      <c r="E18" s="467">
        <v>51.665109180000002</v>
      </c>
      <c r="F18" s="467">
        <v>57.400105766000003</v>
      </c>
      <c r="G18" s="467">
        <v>79.611097704000002</v>
      </c>
      <c r="H18" s="467">
        <v>94.383101374000006</v>
      </c>
      <c r="I18" s="467">
        <v>111.34034049</v>
      </c>
      <c r="J18" s="467">
        <v>99.026753317000001</v>
      </c>
      <c r="K18" s="467">
        <v>127.92269917900001</v>
      </c>
      <c r="L18" s="467">
        <v>398.69629392000002</v>
      </c>
      <c r="M18" s="480">
        <v>81.356336548000002</v>
      </c>
      <c r="N18" s="480">
        <v>196.27418917899999</v>
      </c>
      <c r="O18" s="480">
        <v>167.035839485</v>
      </c>
      <c r="P18" s="467">
        <v>135.163699286</v>
      </c>
    </row>
    <row r="19" spans="1:16" ht="16.5" customHeight="1" x14ac:dyDescent="0.2">
      <c r="A19" s="465" t="s">
        <v>169</v>
      </c>
      <c r="B19" s="467" t="s">
        <v>102</v>
      </c>
      <c r="C19" s="467">
        <v>324.33958737900002</v>
      </c>
      <c r="D19" s="467">
        <v>150.321892152</v>
      </c>
      <c r="E19" s="467">
        <v>138.88315776900001</v>
      </c>
      <c r="F19" s="467">
        <v>144.02586775399999</v>
      </c>
      <c r="G19" s="467">
        <v>159.404204365</v>
      </c>
      <c r="H19" s="467">
        <v>203.14742627999999</v>
      </c>
      <c r="I19" s="467">
        <v>225.90528754799999</v>
      </c>
      <c r="J19" s="467">
        <v>243.24223358</v>
      </c>
      <c r="K19" s="467">
        <v>264.83503690399999</v>
      </c>
      <c r="L19" s="467">
        <v>202.825007656</v>
      </c>
      <c r="M19" s="480">
        <v>179.52993868499999</v>
      </c>
      <c r="N19" s="480">
        <v>231.30231794100001</v>
      </c>
      <c r="O19" s="480">
        <v>218.129961388</v>
      </c>
      <c r="P19" s="467">
        <v>223.756563726</v>
      </c>
    </row>
    <row r="20" spans="1:16" ht="16.5" customHeight="1" x14ac:dyDescent="0.2">
      <c r="A20" s="465" t="s">
        <v>170</v>
      </c>
      <c r="B20" s="467" t="s">
        <v>102</v>
      </c>
      <c r="C20" s="467">
        <v>151.689320388</v>
      </c>
      <c r="D20" s="467">
        <v>87.290019630000003</v>
      </c>
      <c r="E20" s="467">
        <v>86.778698286999997</v>
      </c>
      <c r="F20" s="467">
        <v>97.992208348000005</v>
      </c>
      <c r="G20" s="467">
        <v>110.30558193500001</v>
      </c>
      <c r="H20" s="467">
        <v>142.354393706</v>
      </c>
      <c r="I20" s="467">
        <v>172.01257035</v>
      </c>
      <c r="J20" s="467">
        <v>198.90408117499999</v>
      </c>
      <c r="K20" s="467">
        <v>221.393805327</v>
      </c>
      <c r="L20" s="467">
        <v>169.981816509</v>
      </c>
      <c r="M20" s="480">
        <v>123.961997243</v>
      </c>
      <c r="N20" s="480">
        <v>188.52483412500001</v>
      </c>
      <c r="O20" s="480">
        <v>172.09822364799999</v>
      </c>
      <c r="P20" s="467">
        <v>171.628101289</v>
      </c>
    </row>
    <row r="21" spans="1:16" ht="16.5" customHeight="1" x14ac:dyDescent="0.2">
      <c r="A21" s="465" t="s">
        <v>171</v>
      </c>
      <c r="B21" s="467" t="s">
        <v>102</v>
      </c>
      <c r="C21" s="467">
        <v>32.925825242999998</v>
      </c>
      <c r="D21" s="467">
        <v>15.098998884</v>
      </c>
      <c r="E21" s="467">
        <v>4.6749439490000002</v>
      </c>
      <c r="F21" s="467">
        <v>2.8150035839999998</v>
      </c>
      <c r="G21" s="467">
        <v>2.6822306990000002</v>
      </c>
      <c r="H21" s="467">
        <v>2.4912214069999998</v>
      </c>
      <c r="I21" s="467">
        <v>2.2878755040000001</v>
      </c>
      <c r="J21" s="467">
        <v>3.8379181409999998</v>
      </c>
      <c r="K21" s="467">
        <v>6.2203471920000002</v>
      </c>
      <c r="L21" s="467">
        <v>8.0280365190000005</v>
      </c>
      <c r="M21" s="480">
        <v>2.8291636429999998</v>
      </c>
      <c r="N21" s="480">
        <v>5.1814604969999998</v>
      </c>
      <c r="O21" s="480">
        <v>4.5829696929999999</v>
      </c>
      <c r="P21" s="467">
        <v>5.9509146089999998</v>
      </c>
    </row>
    <row r="22" spans="1:16" ht="16.5" customHeight="1" x14ac:dyDescent="0.2">
      <c r="A22" s="687" t="s">
        <v>607</v>
      </c>
      <c r="B22" s="467" t="s">
        <v>102</v>
      </c>
      <c r="C22" s="467">
        <v>139.724441748</v>
      </c>
      <c r="D22" s="467">
        <v>47.932873637999997</v>
      </c>
      <c r="E22" s="467">
        <v>47.429515533</v>
      </c>
      <c r="F22" s="467">
        <v>43.218655822000002</v>
      </c>
      <c r="G22" s="467">
        <v>46.416391730000001</v>
      </c>
      <c r="H22" s="467">
        <v>58.301811166999997</v>
      </c>
      <c r="I22" s="467">
        <v>51.604841694999998</v>
      </c>
      <c r="J22" s="467">
        <v>40.500234263999999</v>
      </c>
      <c r="K22" s="467">
        <v>37.220884384999998</v>
      </c>
      <c r="L22" s="467">
        <v>24.815154628999998</v>
      </c>
      <c r="M22" s="480">
        <v>52.738777798999998</v>
      </c>
      <c r="N22" s="480">
        <v>37.59602332</v>
      </c>
      <c r="O22" s="480">
        <v>41.448768047000002</v>
      </c>
      <c r="P22" s="467">
        <v>46.177547828000002</v>
      </c>
    </row>
    <row r="23" spans="1:16" ht="16.5" customHeight="1" x14ac:dyDescent="0.2">
      <c r="A23" s="465" t="s">
        <v>172</v>
      </c>
      <c r="B23" s="467" t="s">
        <v>102</v>
      </c>
      <c r="C23" s="467">
        <v>0.75667475699999998</v>
      </c>
      <c r="D23" s="467">
        <v>10.048712136000001</v>
      </c>
      <c r="E23" s="467">
        <v>26.431524411000002</v>
      </c>
      <c r="F23" s="467">
        <v>39.744610536000003</v>
      </c>
      <c r="G23" s="467">
        <v>47.539384128999998</v>
      </c>
      <c r="H23" s="467">
        <v>62.521272803999999</v>
      </c>
      <c r="I23" s="467">
        <v>70.134672195999997</v>
      </c>
      <c r="J23" s="467">
        <v>81.967243671000006</v>
      </c>
      <c r="K23" s="467">
        <v>81.314629564000001</v>
      </c>
      <c r="L23" s="467">
        <v>75.925124503999996</v>
      </c>
      <c r="M23" s="480">
        <v>52.480275073000001</v>
      </c>
      <c r="N23" s="480">
        <v>77.530710436999996</v>
      </c>
      <c r="O23" s="480">
        <v>71.157171667</v>
      </c>
      <c r="P23" s="467">
        <v>57.147190319000003</v>
      </c>
    </row>
    <row r="24" spans="1:16" ht="16.5" customHeight="1" x14ac:dyDescent="0.2">
      <c r="A24" s="465" t="s">
        <v>173</v>
      </c>
      <c r="B24" s="467" t="s">
        <v>102</v>
      </c>
      <c r="C24" s="467">
        <v>10.469587379</v>
      </c>
      <c r="D24" s="467">
        <v>45.761145837000001</v>
      </c>
      <c r="E24" s="467">
        <v>69.631310538999998</v>
      </c>
      <c r="F24" s="467">
        <v>76.818756015000005</v>
      </c>
      <c r="G24" s="467">
        <v>94.086429284999994</v>
      </c>
      <c r="H24" s="467">
        <v>97.301749830999995</v>
      </c>
      <c r="I24" s="467">
        <v>103.96456969499999</v>
      </c>
      <c r="J24" s="467">
        <v>122.350884139</v>
      </c>
      <c r="K24" s="467">
        <v>129.38003016600001</v>
      </c>
      <c r="L24" s="467">
        <v>158.03422337200001</v>
      </c>
      <c r="M24" s="480">
        <v>90.399112508000002</v>
      </c>
      <c r="N24" s="480">
        <v>130.343897312</v>
      </c>
      <c r="O24" s="480">
        <v>120.18081507700001</v>
      </c>
      <c r="P24" s="467">
        <v>105.989010733</v>
      </c>
    </row>
    <row r="25" spans="1:16" ht="16.5" customHeight="1" x14ac:dyDescent="0.2">
      <c r="A25" s="475" t="s">
        <v>174</v>
      </c>
      <c r="B25" s="468" t="s">
        <v>102</v>
      </c>
      <c r="C25" s="468">
        <v>251.29939320400001</v>
      </c>
      <c r="D25" s="468">
        <v>78.204115314999996</v>
      </c>
      <c r="E25" s="468">
        <v>52.806825277000002</v>
      </c>
      <c r="F25" s="468">
        <v>45.721164899999998</v>
      </c>
      <c r="G25" s="468">
        <v>51.867263838</v>
      </c>
      <c r="H25" s="468">
        <v>49.117015244000001</v>
      </c>
      <c r="I25" s="468">
        <v>44.107159205999999</v>
      </c>
      <c r="J25" s="468">
        <v>40.327336187</v>
      </c>
      <c r="K25" s="468">
        <v>52.398598716999999</v>
      </c>
      <c r="L25" s="468">
        <v>85.581955269000005</v>
      </c>
      <c r="M25" s="481">
        <v>49.440639597000001</v>
      </c>
      <c r="N25" s="481">
        <v>56.785106053</v>
      </c>
      <c r="O25" s="481">
        <v>54.916466206000003</v>
      </c>
      <c r="P25" s="468">
        <v>59.833970825999998</v>
      </c>
    </row>
    <row r="26" spans="1:16" ht="16.5" customHeight="1" x14ac:dyDescent="0.25">
      <c r="A26" s="474" t="s">
        <v>175</v>
      </c>
      <c r="B26" s="466" t="s">
        <v>102</v>
      </c>
      <c r="C26" s="466">
        <v>365.31089805800002</v>
      </c>
      <c r="D26" s="466">
        <v>181.69056656800001</v>
      </c>
      <c r="E26" s="466">
        <v>166.045878539</v>
      </c>
      <c r="F26" s="466">
        <v>176.378609305</v>
      </c>
      <c r="G26" s="466">
        <v>196.03327342399999</v>
      </c>
      <c r="H26" s="466">
        <v>202.135815396</v>
      </c>
      <c r="I26" s="466">
        <v>194.01309246</v>
      </c>
      <c r="J26" s="466">
        <v>202.18461004400001</v>
      </c>
      <c r="K26" s="466">
        <v>227.88253443599999</v>
      </c>
      <c r="L26" s="466">
        <v>180.591688869</v>
      </c>
      <c r="M26" s="479">
        <v>193.095767018</v>
      </c>
      <c r="N26" s="479">
        <v>198.543142679</v>
      </c>
      <c r="O26" s="479">
        <v>197.157176349</v>
      </c>
      <c r="P26" s="466">
        <v>195.873066935</v>
      </c>
    </row>
    <row r="27" spans="1:16" ht="16.5" customHeight="1" x14ac:dyDescent="0.25">
      <c r="A27" s="476" t="s">
        <v>176</v>
      </c>
      <c r="B27" s="469" t="s">
        <v>102</v>
      </c>
      <c r="C27" s="469">
        <v>334.33213592200002</v>
      </c>
      <c r="D27" s="469">
        <v>120.184617605</v>
      </c>
      <c r="E27" s="469">
        <v>104.614664124</v>
      </c>
      <c r="F27" s="469">
        <v>110.62961341899999</v>
      </c>
      <c r="G27" s="469">
        <v>128.239964265</v>
      </c>
      <c r="H27" s="469">
        <v>121.643644722</v>
      </c>
      <c r="I27" s="469">
        <v>112.659414338</v>
      </c>
      <c r="J27" s="469">
        <v>102.878131693</v>
      </c>
      <c r="K27" s="469">
        <v>98.117250827999996</v>
      </c>
      <c r="L27" s="469">
        <v>66.850096710000003</v>
      </c>
      <c r="M27" s="482">
        <v>119.108431693</v>
      </c>
      <c r="N27" s="482">
        <v>93.353595751</v>
      </c>
      <c r="O27" s="482">
        <v>99.906353937000006</v>
      </c>
      <c r="P27" s="469">
        <v>106.97364605</v>
      </c>
    </row>
    <row r="28" spans="1:16" ht="16.5" customHeight="1" x14ac:dyDescent="0.25">
      <c r="A28" s="474" t="s">
        <v>177</v>
      </c>
      <c r="B28" s="466" t="s">
        <v>102</v>
      </c>
      <c r="C28" s="466">
        <v>431.03492718400003</v>
      </c>
      <c r="D28" s="466">
        <v>479.45624148399997</v>
      </c>
      <c r="E28" s="466">
        <v>340.24314347199999</v>
      </c>
      <c r="F28" s="466">
        <v>375.84297994500002</v>
      </c>
      <c r="G28" s="466">
        <v>399.61705362399999</v>
      </c>
      <c r="H28" s="466">
        <v>416.776848411</v>
      </c>
      <c r="I28" s="466">
        <v>391.29186733199998</v>
      </c>
      <c r="J28" s="466">
        <v>420.06695358399998</v>
      </c>
      <c r="K28" s="466">
        <v>460.586757181</v>
      </c>
      <c r="L28" s="466">
        <v>451.29948536199998</v>
      </c>
      <c r="M28" s="479">
        <v>399.42876449900001</v>
      </c>
      <c r="N28" s="479">
        <v>430.446332713</v>
      </c>
      <c r="O28" s="479">
        <v>422.55458669400002</v>
      </c>
      <c r="P28" s="466">
        <v>411.54952290799997</v>
      </c>
    </row>
    <row r="29" spans="1:16" ht="16.5" customHeight="1" x14ac:dyDescent="0.2">
      <c r="A29" s="465" t="s">
        <v>178</v>
      </c>
      <c r="B29" s="467" t="s">
        <v>102</v>
      </c>
      <c r="C29" s="467">
        <v>431.03492718400003</v>
      </c>
      <c r="D29" s="467">
        <v>462.61445556400002</v>
      </c>
      <c r="E29" s="467">
        <v>322.63013941299999</v>
      </c>
      <c r="F29" s="467">
        <v>355.03494594900002</v>
      </c>
      <c r="G29" s="467">
        <v>378.58579620199998</v>
      </c>
      <c r="H29" s="467">
        <v>390.83049697899997</v>
      </c>
      <c r="I29" s="467">
        <v>364.00547390700001</v>
      </c>
      <c r="J29" s="467">
        <v>383.85823890500001</v>
      </c>
      <c r="K29" s="467">
        <v>415.87209842999999</v>
      </c>
      <c r="L29" s="467">
        <v>363.11100327499997</v>
      </c>
      <c r="M29" s="480">
        <v>376.00797071300002</v>
      </c>
      <c r="N29" s="480">
        <v>379.10278503199999</v>
      </c>
      <c r="O29" s="480">
        <v>378.31537679899998</v>
      </c>
      <c r="P29" s="467">
        <v>374.69078205099999</v>
      </c>
    </row>
    <row r="30" spans="1:16" ht="16.5" customHeight="1" x14ac:dyDescent="0.2">
      <c r="A30" s="465" t="s">
        <v>179</v>
      </c>
      <c r="B30" s="467" t="s">
        <v>102</v>
      </c>
      <c r="C30" s="467">
        <v>0</v>
      </c>
      <c r="D30" s="467">
        <v>11.874647242</v>
      </c>
      <c r="E30" s="467">
        <v>8.7290826890000002</v>
      </c>
      <c r="F30" s="467">
        <v>11.319747577999999</v>
      </c>
      <c r="G30" s="467">
        <v>12.330611012</v>
      </c>
      <c r="H30" s="467">
        <v>16.248216953</v>
      </c>
      <c r="I30" s="467">
        <v>15.599112735</v>
      </c>
      <c r="J30" s="467">
        <v>18.506087212000001</v>
      </c>
      <c r="K30" s="467">
        <v>20.690023450000002</v>
      </c>
      <c r="L30" s="467">
        <v>69.915791322000004</v>
      </c>
      <c r="M30" s="480">
        <v>14.011947495999999</v>
      </c>
      <c r="N30" s="480">
        <v>33.631318370000002</v>
      </c>
      <c r="O30" s="480">
        <v>28.639595907</v>
      </c>
      <c r="P30" s="467">
        <v>23.295835604000001</v>
      </c>
    </row>
    <row r="31" spans="1:16" ht="16.5" customHeight="1" x14ac:dyDescent="0.2">
      <c r="A31" s="465" t="s">
        <v>180</v>
      </c>
      <c r="B31" s="467" t="s">
        <v>102</v>
      </c>
      <c r="C31" s="467">
        <v>0</v>
      </c>
      <c r="D31" s="467">
        <v>4.9671386780000004</v>
      </c>
      <c r="E31" s="467">
        <v>8.8839213699999995</v>
      </c>
      <c r="F31" s="467">
        <v>9.4882864179999995</v>
      </c>
      <c r="G31" s="467">
        <v>8.7006464090000009</v>
      </c>
      <c r="H31" s="467">
        <v>9.6981344790000001</v>
      </c>
      <c r="I31" s="467">
        <v>11.687280689</v>
      </c>
      <c r="J31" s="467">
        <v>17.702627466999999</v>
      </c>
      <c r="K31" s="467">
        <v>24.024635301</v>
      </c>
      <c r="L31" s="467">
        <v>18.272690765</v>
      </c>
      <c r="M31" s="480">
        <v>9.4088462899999996</v>
      </c>
      <c r="N31" s="480">
        <v>17.712229311000002</v>
      </c>
      <c r="O31" s="480">
        <v>15.599613988</v>
      </c>
      <c r="P31" s="467">
        <v>13.562905252</v>
      </c>
    </row>
    <row r="32" spans="1:16" ht="16.5" customHeight="1" x14ac:dyDescent="0.25">
      <c r="A32" s="474" t="s">
        <v>181</v>
      </c>
      <c r="B32" s="466" t="s">
        <v>102</v>
      </c>
      <c r="C32" s="466">
        <v>241.01759708700001</v>
      </c>
      <c r="D32" s="466">
        <v>200.34635541399999</v>
      </c>
      <c r="E32" s="466">
        <v>176.702734163</v>
      </c>
      <c r="F32" s="466">
        <v>176.919831354</v>
      </c>
      <c r="G32" s="466">
        <v>175.835245684</v>
      </c>
      <c r="H32" s="466">
        <v>187.043969288</v>
      </c>
      <c r="I32" s="466">
        <v>173.42447843400001</v>
      </c>
      <c r="J32" s="466">
        <v>183.22411045699999</v>
      </c>
      <c r="K32" s="466">
        <v>216.35214885900001</v>
      </c>
      <c r="L32" s="466">
        <v>119.84971506799999</v>
      </c>
      <c r="M32" s="479">
        <v>182.521126536</v>
      </c>
      <c r="N32" s="479">
        <v>168.07004734700001</v>
      </c>
      <c r="O32" s="479">
        <v>171.74681033100001</v>
      </c>
      <c r="P32" s="466">
        <v>180.92937767199999</v>
      </c>
    </row>
    <row r="33" spans="1:16" ht="16.5" customHeight="1" x14ac:dyDescent="0.2">
      <c r="A33" s="465" t="s">
        <v>182</v>
      </c>
      <c r="B33" s="467" t="s">
        <v>102</v>
      </c>
      <c r="C33" s="467">
        <v>11.413373785999999</v>
      </c>
      <c r="D33" s="467">
        <v>34.484141487999999</v>
      </c>
      <c r="E33" s="467">
        <v>37.694541078999997</v>
      </c>
      <c r="F33" s="467">
        <v>39.544795815000001</v>
      </c>
      <c r="G33" s="467">
        <v>41.231859055999998</v>
      </c>
      <c r="H33" s="467">
        <v>45.353620028000002</v>
      </c>
      <c r="I33" s="467">
        <v>43.488197415000002</v>
      </c>
      <c r="J33" s="467">
        <v>44.601651048999997</v>
      </c>
      <c r="K33" s="467">
        <v>49.988886976000003</v>
      </c>
      <c r="L33" s="467">
        <v>39.636783829000002</v>
      </c>
      <c r="M33" s="480">
        <v>42.908872494000001</v>
      </c>
      <c r="N33" s="480">
        <v>43.834872810999997</v>
      </c>
      <c r="O33" s="480">
        <v>43.599272157999998</v>
      </c>
      <c r="P33" s="467">
        <v>43.864144127000003</v>
      </c>
    </row>
    <row r="34" spans="1:16" ht="16.5" customHeight="1" x14ac:dyDescent="0.2">
      <c r="A34" s="465" t="s">
        <v>183</v>
      </c>
      <c r="B34" s="467" t="s">
        <v>102</v>
      </c>
      <c r="C34" s="467">
        <v>229.60422330099999</v>
      </c>
      <c r="D34" s="467">
        <v>113.14102498</v>
      </c>
      <c r="E34" s="467">
        <v>116.403153463</v>
      </c>
      <c r="F34" s="467">
        <v>103.02642530200001</v>
      </c>
      <c r="G34" s="467">
        <v>101.859167919</v>
      </c>
      <c r="H34" s="467">
        <v>110.32847878299999</v>
      </c>
      <c r="I34" s="467">
        <v>101.781294762</v>
      </c>
      <c r="J34" s="467">
        <v>98.635509380000002</v>
      </c>
      <c r="K34" s="467">
        <v>108.088858933</v>
      </c>
      <c r="L34" s="467">
        <v>51.206474014000001</v>
      </c>
      <c r="M34" s="480">
        <v>108.39025522199999</v>
      </c>
      <c r="N34" s="480">
        <v>86.808992683</v>
      </c>
      <c r="O34" s="480">
        <v>92.299875835999998</v>
      </c>
      <c r="P34" s="467">
        <v>103.369711626</v>
      </c>
    </row>
    <row r="35" spans="1:16" ht="16.5" customHeight="1" x14ac:dyDescent="0.2">
      <c r="A35" s="475" t="s">
        <v>184</v>
      </c>
      <c r="B35" s="468" t="s">
        <v>102</v>
      </c>
      <c r="C35" s="468">
        <v>0</v>
      </c>
      <c r="D35" s="468">
        <v>52.721188945999998</v>
      </c>
      <c r="E35" s="468">
        <v>22.605039621</v>
      </c>
      <c r="F35" s="468">
        <v>34.348610237000003</v>
      </c>
      <c r="G35" s="468">
        <v>32.744218709000002</v>
      </c>
      <c r="H35" s="468">
        <v>31.361870477</v>
      </c>
      <c r="I35" s="468">
        <v>28.154986257000001</v>
      </c>
      <c r="J35" s="468">
        <v>39.986950026999999</v>
      </c>
      <c r="K35" s="468">
        <v>58.274402950999999</v>
      </c>
      <c r="L35" s="468">
        <v>29.006457224999998</v>
      </c>
      <c r="M35" s="481">
        <v>31.221998821</v>
      </c>
      <c r="N35" s="481">
        <v>37.426181853999999</v>
      </c>
      <c r="O35" s="481">
        <v>35.847662337999999</v>
      </c>
      <c r="P35" s="468">
        <v>33.695521917999997</v>
      </c>
    </row>
    <row r="36" spans="1:16" ht="16.5" customHeight="1" x14ac:dyDescent="0.25">
      <c r="A36" s="477" t="s">
        <v>185</v>
      </c>
      <c r="B36" s="466" t="s">
        <v>102</v>
      </c>
      <c r="C36" s="466">
        <v>997.01973300999998</v>
      </c>
      <c r="D36" s="466">
        <v>1042.5248831839999</v>
      </c>
      <c r="E36" s="466">
        <v>1035.6605540339999</v>
      </c>
      <c r="F36" s="466">
        <v>1188.8875892850001</v>
      </c>
      <c r="G36" s="466">
        <v>1342.305152568</v>
      </c>
      <c r="H36" s="466">
        <v>1497.7477430609999</v>
      </c>
      <c r="I36" s="466">
        <v>1597.519237711</v>
      </c>
      <c r="J36" s="466">
        <v>1785.5704723189999</v>
      </c>
      <c r="K36" s="466">
        <v>1920.2083988019999</v>
      </c>
      <c r="L36" s="466">
        <v>2171.7581770050001</v>
      </c>
      <c r="M36" s="479">
        <v>1372.6087800289999</v>
      </c>
      <c r="N36" s="479">
        <v>1884.7626617349999</v>
      </c>
      <c r="O36" s="479">
        <v>1754.4562389519999</v>
      </c>
      <c r="P36" s="466">
        <v>1552.9625911959999</v>
      </c>
    </row>
    <row r="37" spans="1:16" ht="16.5" customHeight="1" x14ac:dyDescent="0.25">
      <c r="A37" s="477" t="s">
        <v>186</v>
      </c>
      <c r="B37" s="466" t="s">
        <v>102</v>
      </c>
      <c r="C37" s="466">
        <v>1172.313300971</v>
      </c>
      <c r="D37" s="466">
        <v>945.10556368100004</v>
      </c>
      <c r="E37" s="466">
        <v>1038.1660232639999</v>
      </c>
      <c r="F37" s="466">
        <v>1166.343049998</v>
      </c>
      <c r="G37" s="466">
        <v>1314.556618052</v>
      </c>
      <c r="H37" s="466">
        <v>1470.150679334</v>
      </c>
      <c r="I37" s="466">
        <v>1573.6649412730001</v>
      </c>
      <c r="J37" s="466">
        <v>1750.912239236</v>
      </c>
      <c r="K37" s="466">
        <v>1903.8563249169999</v>
      </c>
      <c r="L37" s="466">
        <v>2020.900095581</v>
      </c>
      <c r="M37" s="479">
        <v>1348.7969090839999</v>
      </c>
      <c r="N37" s="479">
        <v>1820.929519048</v>
      </c>
      <c r="O37" s="479">
        <v>1700.8056389389999</v>
      </c>
      <c r="P37" s="466">
        <v>1518.2155128950001</v>
      </c>
    </row>
    <row r="38" spans="1:16" ht="16.5" customHeight="1" x14ac:dyDescent="0.25">
      <c r="A38" s="476" t="s">
        <v>187</v>
      </c>
      <c r="B38" s="469" t="s">
        <v>102</v>
      </c>
      <c r="C38" s="469">
        <v>175.29356796100001</v>
      </c>
      <c r="D38" s="469">
        <v>-97.419319502999997</v>
      </c>
      <c r="E38" s="469">
        <v>2.5054692300000001</v>
      </c>
      <c r="F38" s="469">
        <v>-22.544539285999999</v>
      </c>
      <c r="G38" s="469">
        <v>-27.748534514999999</v>
      </c>
      <c r="H38" s="469">
        <v>-27.597063726999998</v>
      </c>
      <c r="I38" s="469">
        <v>-23.854296437999999</v>
      </c>
      <c r="J38" s="469">
        <v>-34.658233082000002</v>
      </c>
      <c r="K38" s="469">
        <v>-16.352073884999999</v>
      </c>
      <c r="L38" s="469">
        <v>-150.85808142400001</v>
      </c>
      <c r="M38" s="482">
        <v>-23.811870944999999</v>
      </c>
      <c r="N38" s="482">
        <v>-63.833142686999999</v>
      </c>
      <c r="O38" s="482">
        <v>-53.650600013000002</v>
      </c>
      <c r="P38" s="469">
        <v>-34.747078301000002</v>
      </c>
    </row>
    <row r="39" spans="1:16" ht="16.5" customHeight="1" x14ac:dyDescent="0.2">
      <c r="A39" s="465" t="s">
        <v>188</v>
      </c>
      <c r="B39" s="467" t="s">
        <v>102</v>
      </c>
      <c r="C39" s="467">
        <v>30.978762136</v>
      </c>
      <c r="D39" s="467">
        <v>61.505948963000002</v>
      </c>
      <c r="E39" s="467">
        <v>61.431214414000003</v>
      </c>
      <c r="F39" s="467">
        <v>65.748995886000003</v>
      </c>
      <c r="G39" s="467">
        <v>67.793309159000003</v>
      </c>
      <c r="H39" s="467">
        <v>80.492170673999993</v>
      </c>
      <c r="I39" s="467">
        <v>81.353678122000005</v>
      </c>
      <c r="J39" s="467">
        <v>99.306478350999996</v>
      </c>
      <c r="K39" s="467">
        <v>129.76528360899999</v>
      </c>
      <c r="L39" s="467">
        <v>113.74159216</v>
      </c>
      <c r="M39" s="480">
        <v>73.987335325999993</v>
      </c>
      <c r="N39" s="480">
        <v>105.189546928</v>
      </c>
      <c r="O39" s="480">
        <v>97.250822412000005</v>
      </c>
      <c r="P39" s="467">
        <v>88.899420884999998</v>
      </c>
    </row>
    <row r="40" spans="1:16" ht="16.5" customHeight="1" x14ac:dyDescent="0.2">
      <c r="A40" s="465" t="s">
        <v>189</v>
      </c>
      <c r="B40" s="467" t="s">
        <v>102</v>
      </c>
      <c r="C40" s="467">
        <v>1.0922330099999999</v>
      </c>
      <c r="D40" s="467">
        <v>18.435387398</v>
      </c>
      <c r="E40" s="467">
        <v>43.818643921000003</v>
      </c>
      <c r="F40" s="467">
        <v>56.213157019999997</v>
      </c>
      <c r="G40" s="467">
        <v>69.983196461000006</v>
      </c>
      <c r="H40" s="467">
        <v>73.182733955000003</v>
      </c>
      <c r="I40" s="467">
        <v>80.699993262000007</v>
      </c>
      <c r="J40" s="467">
        <v>108.597410254</v>
      </c>
      <c r="K40" s="467">
        <v>147.32429465199999</v>
      </c>
      <c r="L40" s="467">
        <v>213.21113336900001</v>
      </c>
      <c r="M40" s="480">
        <v>66.687722707000006</v>
      </c>
      <c r="N40" s="480">
        <v>140.76653358999999</v>
      </c>
      <c r="O40" s="480">
        <v>121.91879037299999</v>
      </c>
      <c r="P40" s="467">
        <v>100.91901103399999</v>
      </c>
    </row>
    <row r="41" spans="1:16" ht="16.5" customHeight="1" x14ac:dyDescent="0.2">
      <c r="A41" s="475" t="s">
        <v>190</v>
      </c>
      <c r="B41" s="468" t="s">
        <v>102</v>
      </c>
      <c r="C41" s="468">
        <v>-29.886529125999999</v>
      </c>
      <c r="D41" s="468">
        <v>-43.070561564000002</v>
      </c>
      <c r="E41" s="468">
        <v>-17.612570493</v>
      </c>
      <c r="F41" s="468">
        <v>-9.5358388660000006</v>
      </c>
      <c r="G41" s="468">
        <v>2.1898873010000002</v>
      </c>
      <c r="H41" s="468">
        <v>-7.3094367199999999</v>
      </c>
      <c r="I41" s="468">
        <v>-0.65368486000000003</v>
      </c>
      <c r="J41" s="468">
        <v>9.2909319030000006</v>
      </c>
      <c r="K41" s="468">
        <v>17.559011043000002</v>
      </c>
      <c r="L41" s="468">
        <v>99.469541210000003</v>
      </c>
      <c r="M41" s="481">
        <v>-7.2996126190000004</v>
      </c>
      <c r="N41" s="481">
        <v>35.576986662000003</v>
      </c>
      <c r="O41" s="481">
        <v>24.667967960999999</v>
      </c>
      <c r="P41" s="468">
        <v>12.019590150000001</v>
      </c>
    </row>
    <row r="42" spans="1:16" ht="16.5" customHeight="1" x14ac:dyDescent="0.25">
      <c r="A42" s="477" t="s">
        <v>191</v>
      </c>
      <c r="B42" s="466" t="s">
        <v>102</v>
      </c>
      <c r="C42" s="466">
        <v>1027.9984951460001</v>
      </c>
      <c r="D42" s="466">
        <v>1104.030832147</v>
      </c>
      <c r="E42" s="466">
        <v>1097.091768449</v>
      </c>
      <c r="F42" s="466">
        <v>1254.636585171</v>
      </c>
      <c r="G42" s="466">
        <v>1410.0984617270001</v>
      </c>
      <c r="H42" s="466">
        <v>1578.2399137350001</v>
      </c>
      <c r="I42" s="466">
        <v>1678.872915833</v>
      </c>
      <c r="J42" s="466">
        <v>1884.87695067</v>
      </c>
      <c r="K42" s="466">
        <v>2049.973682411</v>
      </c>
      <c r="L42" s="466">
        <v>2285.4997691650001</v>
      </c>
      <c r="M42" s="479">
        <v>1446.5961153549999</v>
      </c>
      <c r="N42" s="479">
        <v>1989.952208663</v>
      </c>
      <c r="O42" s="479">
        <v>1851.7070613640001</v>
      </c>
      <c r="P42" s="466">
        <v>1641.8620120810001</v>
      </c>
    </row>
    <row r="43" spans="1:16" ht="16.5" customHeight="1" x14ac:dyDescent="0.25">
      <c r="A43" s="477" t="s">
        <v>192</v>
      </c>
      <c r="B43" s="466" t="s">
        <v>102</v>
      </c>
      <c r="C43" s="466">
        <v>1173.405533981</v>
      </c>
      <c r="D43" s="466">
        <v>963.54095108000001</v>
      </c>
      <c r="E43" s="466">
        <v>1081.984667185</v>
      </c>
      <c r="F43" s="466">
        <v>1222.5562070190001</v>
      </c>
      <c r="G43" s="466">
        <v>1384.539814513</v>
      </c>
      <c r="H43" s="466">
        <v>1543.333413289</v>
      </c>
      <c r="I43" s="466">
        <v>1654.364934535</v>
      </c>
      <c r="J43" s="466">
        <v>1859.5096494909999</v>
      </c>
      <c r="K43" s="466">
        <v>2051.1806195690001</v>
      </c>
      <c r="L43" s="466">
        <v>2234.1112289500002</v>
      </c>
      <c r="M43" s="479">
        <v>1415.4846317910001</v>
      </c>
      <c r="N43" s="479">
        <v>1961.6960526380001</v>
      </c>
      <c r="O43" s="479">
        <v>1822.724429312</v>
      </c>
      <c r="P43" s="466">
        <v>1619.1345239299999</v>
      </c>
    </row>
    <row r="44" spans="1:16" ht="16.5" customHeight="1" x14ac:dyDescent="0.2">
      <c r="A44" s="475" t="s">
        <v>193</v>
      </c>
      <c r="B44" s="468" t="s">
        <v>102</v>
      </c>
      <c r="C44" s="468">
        <v>145.40703883500001</v>
      </c>
      <c r="D44" s="468">
        <v>-140.489881067</v>
      </c>
      <c r="E44" s="468">
        <v>-15.107101263000001</v>
      </c>
      <c r="F44" s="468">
        <v>-32.080378152000002</v>
      </c>
      <c r="G44" s="468">
        <v>-25.558647214000001</v>
      </c>
      <c r="H44" s="468">
        <v>-34.906500446000003</v>
      </c>
      <c r="I44" s="468">
        <v>-24.507981298000001</v>
      </c>
      <c r="J44" s="468">
        <v>-25.367301178999998</v>
      </c>
      <c r="K44" s="468">
        <v>1.2069371579999999</v>
      </c>
      <c r="L44" s="468">
        <v>-51.388540214999999</v>
      </c>
      <c r="M44" s="481">
        <v>-31.111483563</v>
      </c>
      <c r="N44" s="481">
        <v>-28.256156024999999</v>
      </c>
      <c r="O44" s="481">
        <v>-28.982632053</v>
      </c>
      <c r="P44" s="468">
        <v>-22.727488151999999</v>
      </c>
    </row>
    <row r="45" spans="1:16" s="8" customFormat="1" ht="16.5" customHeight="1" x14ac:dyDescent="0.25">
      <c r="A45" s="478" t="s">
        <v>283</v>
      </c>
      <c r="B45" s="469" t="s">
        <v>102</v>
      </c>
      <c r="C45" s="469">
        <v>187.365461165</v>
      </c>
      <c r="D45" s="469">
        <v>364.75943920600002</v>
      </c>
      <c r="E45" s="469">
        <v>487.30814990699997</v>
      </c>
      <c r="F45" s="469">
        <v>575.72960795300003</v>
      </c>
      <c r="G45" s="469">
        <v>635.75334333599994</v>
      </c>
      <c r="H45" s="469">
        <v>734.48700143600001</v>
      </c>
      <c r="I45" s="469">
        <v>777.20584806099998</v>
      </c>
      <c r="J45" s="469">
        <v>964.98596858799999</v>
      </c>
      <c r="K45" s="469">
        <v>1281.224779059</v>
      </c>
      <c r="L45" s="469">
        <v>1834.612149693</v>
      </c>
      <c r="M45" s="482">
        <v>665.85064317499996</v>
      </c>
      <c r="N45" s="482">
        <v>1240.77601327</v>
      </c>
      <c r="O45" s="482">
        <v>1094.498749698</v>
      </c>
      <c r="P45" s="469">
        <v>917.13344096100002</v>
      </c>
    </row>
    <row r="46" spans="1:16" ht="16.5" customHeight="1" x14ac:dyDescent="0.25">
      <c r="A46" s="474" t="s">
        <v>442</v>
      </c>
      <c r="B46" s="467"/>
      <c r="C46" s="467"/>
      <c r="D46" s="467"/>
      <c r="E46" s="467"/>
      <c r="F46" s="467"/>
      <c r="G46" s="467"/>
      <c r="H46" s="467"/>
      <c r="I46" s="467"/>
      <c r="J46" s="467"/>
      <c r="K46" s="467"/>
      <c r="L46" s="467"/>
      <c r="M46" s="483"/>
      <c r="N46" s="483"/>
      <c r="O46" s="483"/>
      <c r="P46" s="470"/>
    </row>
    <row r="47" spans="1:16" ht="16.5" customHeight="1" x14ac:dyDescent="0.25">
      <c r="A47" s="465" t="s">
        <v>459</v>
      </c>
      <c r="B47" s="467" t="s">
        <v>102</v>
      </c>
      <c r="C47" s="467">
        <v>565.98480582499997</v>
      </c>
      <c r="D47" s="467">
        <v>563.06864169999994</v>
      </c>
      <c r="E47" s="467">
        <v>694.782258942</v>
      </c>
      <c r="F47" s="467">
        <v>811.46903078000003</v>
      </c>
      <c r="G47" s="467">
        <v>940.34543736499995</v>
      </c>
      <c r="H47" s="467">
        <v>1077.07238835</v>
      </c>
      <c r="I47" s="467">
        <v>1201.934704951</v>
      </c>
      <c r="J47" s="467">
        <v>1362.1453341900001</v>
      </c>
      <c r="K47" s="467">
        <v>1457.0621923589999</v>
      </c>
      <c r="L47" s="467">
        <v>1718.795377038</v>
      </c>
      <c r="M47" s="480">
        <v>970.263768949</v>
      </c>
      <c r="N47" s="480">
        <v>1451.407026672</v>
      </c>
      <c r="O47" s="480">
        <v>1328.9905831000001</v>
      </c>
      <c r="P47" s="467">
        <v>1138.787617529</v>
      </c>
    </row>
    <row r="48" spans="1:16" ht="16.5" customHeight="1" x14ac:dyDescent="0.25">
      <c r="A48" s="465" t="s">
        <v>410</v>
      </c>
      <c r="B48" s="467" t="s">
        <v>102</v>
      </c>
      <c r="C48" s="467">
        <v>280.25</v>
      </c>
      <c r="D48" s="467">
        <v>352.30499211</v>
      </c>
      <c r="E48" s="467">
        <v>417.21460515899997</v>
      </c>
      <c r="F48" s="467">
        <v>494.77511014499999</v>
      </c>
      <c r="G48" s="467">
        <v>550.53331840299995</v>
      </c>
      <c r="H48" s="467">
        <v>605.80591225199998</v>
      </c>
      <c r="I48" s="467">
        <v>653.85619921099999</v>
      </c>
      <c r="J48" s="467">
        <v>778.40512962000003</v>
      </c>
      <c r="K48" s="467">
        <v>804.16360233399996</v>
      </c>
      <c r="L48" s="467">
        <v>869.76697598299995</v>
      </c>
      <c r="M48" s="480">
        <v>558.40066243199999</v>
      </c>
      <c r="N48" s="480">
        <v>783.76850719100003</v>
      </c>
      <c r="O48" s="480">
        <v>726.42855779299998</v>
      </c>
      <c r="P48" s="467">
        <v>619.88173328200003</v>
      </c>
    </row>
    <row r="49" spans="1:25" ht="16.5" customHeight="1" x14ac:dyDescent="0.25">
      <c r="A49" s="465" t="s">
        <v>411</v>
      </c>
      <c r="B49" s="467" t="s">
        <v>102</v>
      </c>
      <c r="C49" s="467">
        <v>313.53587378600002</v>
      </c>
      <c r="D49" s="467">
        <v>401.75855663800002</v>
      </c>
      <c r="E49" s="467">
        <v>522.04536192499995</v>
      </c>
      <c r="F49" s="467">
        <v>625.71271367300005</v>
      </c>
      <c r="G49" s="467">
        <v>706.21299304700005</v>
      </c>
      <c r="H49" s="467">
        <v>776.63614451399997</v>
      </c>
      <c r="I49" s="467">
        <v>844.78843370300001</v>
      </c>
      <c r="J49" s="467">
        <v>980.77367788499998</v>
      </c>
      <c r="K49" s="467">
        <v>1031.653181528</v>
      </c>
      <c r="L49" s="467">
        <v>979.98777579199998</v>
      </c>
      <c r="M49" s="480">
        <v>713.06948013700003</v>
      </c>
      <c r="N49" s="480">
        <v>960.62325077900005</v>
      </c>
      <c r="O49" s="480">
        <v>897.63857478399996</v>
      </c>
      <c r="P49" s="467">
        <v>755.39570033300004</v>
      </c>
    </row>
    <row r="50" spans="1:25" ht="16.5" customHeight="1" x14ac:dyDescent="0.25">
      <c r="A50" s="465" t="s">
        <v>412</v>
      </c>
      <c r="B50" s="467" t="s">
        <v>102</v>
      </c>
      <c r="C50" s="467">
        <v>931.29570388299999</v>
      </c>
      <c r="D50" s="467">
        <v>744.75920826799995</v>
      </c>
      <c r="E50" s="467">
        <v>861.46328910099999</v>
      </c>
      <c r="F50" s="467">
        <v>989.42321864400003</v>
      </c>
      <c r="G50" s="467">
        <v>1138.7213723679999</v>
      </c>
      <c r="H50" s="467">
        <v>1283.106710046</v>
      </c>
      <c r="I50" s="467">
        <v>1400.240462839</v>
      </c>
      <c r="J50" s="467">
        <v>1567.688128779</v>
      </c>
      <c r="K50" s="467">
        <v>1687.504176058</v>
      </c>
      <c r="L50" s="467">
        <v>1901.0503805129999</v>
      </c>
      <c r="M50" s="480">
        <v>1166.2757825480001</v>
      </c>
      <c r="N50" s="480">
        <v>1652.8594717000001</v>
      </c>
      <c r="O50" s="480">
        <v>1529.0588286069999</v>
      </c>
      <c r="P50" s="467">
        <v>1337.286135224</v>
      </c>
    </row>
    <row r="51" spans="1:25" ht="16.5" customHeight="1" x14ac:dyDescent="0.25">
      <c r="A51" s="465" t="s">
        <v>460</v>
      </c>
      <c r="B51" s="467" t="s">
        <v>102</v>
      </c>
      <c r="C51" s="467">
        <v>431.03492718400003</v>
      </c>
      <c r="D51" s="467">
        <v>462.972132327</v>
      </c>
      <c r="E51" s="467">
        <v>325.70488334200002</v>
      </c>
      <c r="F51" s="467">
        <v>358.37757395199998</v>
      </c>
      <c r="G51" s="467">
        <v>383.24850041000002</v>
      </c>
      <c r="H51" s="467">
        <v>398.983713835</v>
      </c>
      <c r="I51" s="467">
        <v>373.25066134600002</v>
      </c>
      <c r="J51" s="467">
        <v>392.64661984499998</v>
      </c>
      <c r="K51" s="467">
        <v>427.35978546299998</v>
      </c>
      <c r="L51" s="467">
        <v>370.22516725999998</v>
      </c>
      <c r="M51" s="480">
        <v>382.25800337099997</v>
      </c>
      <c r="N51" s="480">
        <v>387.96573902599999</v>
      </c>
      <c r="O51" s="480">
        <v>386.51352975499998</v>
      </c>
      <c r="P51" s="467">
        <v>381.883677546</v>
      </c>
    </row>
    <row r="52" spans="1:25" ht="16.5" customHeight="1" x14ac:dyDescent="0.25">
      <c r="A52" s="465" t="s">
        <v>413</v>
      </c>
      <c r="B52" s="467" t="s">
        <v>102</v>
      </c>
      <c r="C52" s="467">
        <v>187.365461165</v>
      </c>
      <c r="D52" s="467">
        <v>364.75943920600002</v>
      </c>
      <c r="E52" s="467">
        <v>487.30814990699997</v>
      </c>
      <c r="F52" s="467">
        <v>575.72960795300003</v>
      </c>
      <c r="G52" s="467">
        <v>635.75334333599994</v>
      </c>
      <c r="H52" s="467">
        <v>734.48700143600001</v>
      </c>
      <c r="I52" s="467">
        <v>777.20584806099998</v>
      </c>
      <c r="J52" s="467">
        <v>964.98596858799999</v>
      </c>
      <c r="K52" s="467">
        <v>1281.224779059</v>
      </c>
      <c r="L52" s="467">
        <v>1834.612149693</v>
      </c>
      <c r="M52" s="480">
        <v>665.85064317499996</v>
      </c>
      <c r="N52" s="480">
        <v>1240.77601327</v>
      </c>
      <c r="O52" s="480">
        <v>1094.498749698</v>
      </c>
      <c r="P52" s="467">
        <v>917.13344096100002</v>
      </c>
    </row>
    <row r="53" spans="1:25" ht="16.5" customHeight="1" x14ac:dyDescent="0.25">
      <c r="A53" s="465" t="s">
        <v>414</v>
      </c>
      <c r="B53" s="467" t="s">
        <v>102</v>
      </c>
      <c r="C53" s="467">
        <v>151.689320388</v>
      </c>
      <c r="D53" s="467">
        <v>87.290019630000003</v>
      </c>
      <c r="E53" s="467">
        <v>86.778698286999997</v>
      </c>
      <c r="F53" s="467">
        <v>97.992208348000005</v>
      </c>
      <c r="G53" s="467">
        <v>110.30558193500001</v>
      </c>
      <c r="H53" s="467">
        <v>142.354393706</v>
      </c>
      <c r="I53" s="467">
        <v>172.01257035</v>
      </c>
      <c r="J53" s="467">
        <v>198.90408117499999</v>
      </c>
      <c r="K53" s="467">
        <v>221.393805327</v>
      </c>
      <c r="L53" s="467">
        <v>169.981816509</v>
      </c>
      <c r="M53" s="480">
        <v>123.961997243</v>
      </c>
      <c r="N53" s="480">
        <v>188.52483412500001</v>
      </c>
      <c r="O53" s="480">
        <v>172.09822364799999</v>
      </c>
      <c r="P53" s="467">
        <v>171.628101289</v>
      </c>
    </row>
    <row r="54" spans="1:25" ht="12.75" customHeight="1" x14ac:dyDescent="0.2">
      <c r="A54" s="235" t="s">
        <v>899</v>
      </c>
      <c r="B54" s="473"/>
      <c r="C54" s="473"/>
      <c r="D54" s="473"/>
      <c r="E54" s="473"/>
      <c r="F54" s="473"/>
      <c r="G54" s="473"/>
      <c r="H54" s="473"/>
      <c r="I54" s="473"/>
      <c r="J54" s="486"/>
      <c r="K54" s="486"/>
      <c r="L54" s="486"/>
      <c r="M54" s="569"/>
      <c r="N54" s="486"/>
      <c r="O54" s="714"/>
      <c r="P54" s="715"/>
      <c r="Q54" s="13"/>
      <c r="R54" s="13"/>
      <c r="S54" s="13"/>
      <c r="T54" s="13"/>
      <c r="U54" s="13"/>
      <c r="V54" s="215"/>
      <c r="W54" s="215"/>
      <c r="X54" s="215"/>
      <c r="Y54" s="39"/>
    </row>
    <row r="55" spans="1:25" ht="14.25" x14ac:dyDescent="0.2">
      <c r="A55" s="255" t="s">
        <v>469</v>
      </c>
      <c r="B55" s="473"/>
      <c r="C55" s="473"/>
      <c r="D55" s="473"/>
      <c r="E55" s="473"/>
      <c r="F55" s="473"/>
      <c r="G55" s="473"/>
      <c r="H55" s="473"/>
      <c r="I55" s="473"/>
      <c r="J55" s="473"/>
      <c r="K55" s="473"/>
      <c r="L55" s="473"/>
      <c r="M55" s="486"/>
      <c r="N55" s="486"/>
      <c r="O55" s="714"/>
      <c r="P55" s="716"/>
    </row>
    <row r="56" spans="1:25" x14ac:dyDescent="0.2">
      <c r="A56" s="37" t="s">
        <v>461</v>
      </c>
      <c r="B56" s="13"/>
      <c r="C56" s="13"/>
      <c r="D56" s="13"/>
      <c r="E56" s="13"/>
      <c r="F56" s="13"/>
      <c r="G56" s="13"/>
      <c r="H56" s="13"/>
      <c r="I56" s="13"/>
      <c r="J56" s="13"/>
      <c r="K56" s="13"/>
      <c r="L56" s="13"/>
      <c r="M56" s="215"/>
      <c r="N56" s="215"/>
      <c r="O56" s="215"/>
      <c r="P56" s="39"/>
    </row>
    <row r="57" spans="1:25" x14ac:dyDescent="0.2">
      <c r="A57" s="168" t="s">
        <v>557</v>
      </c>
      <c r="B57" s="13"/>
      <c r="C57" s="13"/>
      <c r="D57" s="13"/>
      <c r="E57" s="13"/>
      <c r="F57" s="13"/>
      <c r="G57" s="13"/>
      <c r="H57" s="13"/>
      <c r="I57" s="13"/>
      <c r="J57" s="13"/>
      <c r="K57" s="13"/>
      <c r="L57" s="13"/>
      <c r="M57" s="215"/>
      <c r="N57" s="215"/>
      <c r="O57" s="215"/>
      <c r="P57" s="39"/>
    </row>
    <row r="58" spans="1:25" x14ac:dyDescent="0.2">
      <c r="A58" s="255" t="s">
        <v>989</v>
      </c>
      <c r="B58" s="3"/>
      <c r="C58" s="3"/>
      <c r="D58" s="3"/>
      <c r="G58" s="185"/>
      <c r="J58" s="185"/>
      <c r="M58" s="215"/>
      <c r="N58" s="215"/>
      <c r="O58" s="215"/>
    </row>
    <row r="59" spans="1:25" x14ac:dyDescent="0.2">
      <c r="A59" s="286" t="s">
        <v>916</v>
      </c>
      <c r="B59" s="3"/>
      <c r="C59" s="3"/>
      <c r="D59" s="3"/>
      <c r="G59" s="185"/>
      <c r="J59" s="185"/>
    </row>
    <row r="60" spans="1:25" x14ac:dyDescent="0.2">
      <c r="A60" s="68"/>
    </row>
    <row r="61" spans="1:25" ht="21" x14ac:dyDescent="0.2">
      <c r="A61" s="46" t="s">
        <v>928</v>
      </c>
    </row>
    <row r="62" spans="1:25" ht="15" customHeight="1" thickBot="1" x14ac:dyDescent="0.25">
      <c r="A62" s="13"/>
    </row>
    <row r="63" spans="1:25" ht="15.95" customHeight="1" x14ac:dyDescent="0.2">
      <c r="A63" s="41"/>
      <c r="B63" s="42" t="s">
        <v>35</v>
      </c>
      <c r="C63" s="42" t="s">
        <v>121</v>
      </c>
      <c r="D63" s="42" t="s">
        <v>123</v>
      </c>
      <c r="E63" s="42" t="s">
        <v>36</v>
      </c>
      <c r="F63" s="42" t="s">
        <v>37</v>
      </c>
      <c r="G63" s="42" t="s">
        <v>38</v>
      </c>
      <c r="H63" s="42" t="s">
        <v>39</v>
      </c>
      <c r="I63" s="42" t="s">
        <v>125</v>
      </c>
      <c r="J63" s="42" t="s">
        <v>126</v>
      </c>
      <c r="K63" s="42" t="s">
        <v>127</v>
      </c>
      <c r="L63" s="252">
        <v>100000</v>
      </c>
      <c r="M63" s="250" t="s">
        <v>231</v>
      </c>
      <c r="N63" s="250" t="s">
        <v>231</v>
      </c>
      <c r="O63" s="257" t="s">
        <v>77</v>
      </c>
      <c r="P63" s="281" t="s">
        <v>220</v>
      </c>
    </row>
    <row r="64" spans="1:25" ht="15.95" customHeight="1" x14ac:dyDescent="0.2">
      <c r="A64" s="566" t="s">
        <v>81</v>
      </c>
      <c r="B64" s="43" t="s">
        <v>120</v>
      </c>
      <c r="C64" s="43" t="s">
        <v>40</v>
      </c>
      <c r="D64" s="43" t="s">
        <v>40</v>
      </c>
      <c r="E64" s="43" t="s">
        <v>40</v>
      </c>
      <c r="F64" s="43" t="s">
        <v>40</v>
      </c>
      <c r="G64" s="43" t="s">
        <v>40</v>
      </c>
      <c r="H64" s="43" t="s">
        <v>40</v>
      </c>
      <c r="I64" s="43" t="s">
        <v>40</v>
      </c>
      <c r="J64" s="43" t="s">
        <v>40</v>
      </c>
      <c r="K64" s="43" t="s">
        <v>40</v>
      </c>
      <c r="L64" s="43" t="s">
        <v>43</v>
      </c>
      <c r="M64" s="239" t="s">
        <v>230</v>
      </c>
      <c r="N64" s="239" t="s">
        <v>138</v>
      </c>
      <c r="O64" s="256" t="s">
        <v>137</v>
      </c>
      <c r="P64" s="282" t="s">
        <v>294</v>
      </c>
    </row>
    <row r="65" spans="1:16" ht="15.95" customHeight="1" thickBot="1" x14ac:dyDescent="0.25">
      <c r="A65" s="423" t="s">
        <v>99</v>
      </c>
      <c r="B65" s="44" t="s">
        <v>43</v>
      </c>
      <c r="C65" s="44" t="s">
        <v>122</v>
      </c>
      <c r="D65" s="44" t="s">
        <v>124</v>
      </c>
      <c r="E65" s="44" t="s">
        <v>44</v>
      </c>
      <c r="F65" s="44" t="s">
        <v>45</v>
      </c>
      <c r="G65" s="44" t="s">
        <v>46</v>
      </c>
      <c r="H65" s="44" t="s">
        <v>42</v>
      </c>
      <c r="I65" s="44" t="s">
        <v>128</v>
      </c>
      <c r="J65" s="44" t="s">
        <v>129</v>
      </c>
      <c r="K65" s="44" t="s">
        <v>130</v>
      </c>
      <c r="L65" s="44" t="s">
        <v>131</v>
      </c>
      <c r="M65" s="251" t="s">
        <v>138</v>
      </c>
      <c r="N65" s="251" t="s">
        <v>131</v>
      </c>
      <c r="O65" s="258" t="s">
        <v>41</v>
      </c>
      <c r="P65" s="283" t="s">
        <v>295</v>
      </c>
    </row>
    <row r="66" spans="1:16" ht="15" customHeight="1" x14ac:dyDescent="0.25">
      <c r="A66" s="544" t="s">
        <v>200</v>
      </c>
      <c r="B66" s="192"/>
      <c r="C66" s="192"/>
      <c r="D66" s="192"/>
      <c r="E66" s="192"/>
      <c r="F66" s="192"/>
      <c r="G66" s="192"/>
      <c r="H66" s="192"/>
      <c r="I66" s="192"/>
      <c r="J66" s="192"/>
      <c r="K66" s="192"/>
      <c r="L66" s="192"/>
      <c r="M66" s="192"/>
      <c r="N66" s="192"/>
      <c r="O66" s="192"/>
    </row>
    <row r="67" spans="1:16" ht="16.5" customHeight="1" x14ac:dyDescent="0.25">
      <c r="A67" s="487" t="s">
        <v>286</v>
      </c>
      <c r="B67" s="719" t="s">
        <v>102</v>
      </c>
      <c r="C67" s="719">
        <f t="shared" ref="C67" si="0">C8/C$8</f>
        <v>1</v>
      </c>
      <c r="D67" s="719">
        <f t="shared" ref="D67:P67" si="1">D8/D$8</f>
        <v>1</v>
      </c>
      <c r="E67" s="719">
        <f t="shared" si="1"/>
        <v>1</v>
      </c>
      <c r="F67" s="719">
        <f t="shared" si="1"/>
        <v>1</v>
      </c>
      <c r="G67" s="719">
        <f t="shared" si="1"/>
        <v>1</v>
      </c>
      <c r="H67" s="719">
        <f t="shared" si="1"/>
        <v>1</v>
      </c>
      <c r="I67" s="719">
        <f t="shared" si="1"/>
        <v>1</v>
      </c>
      <c r="J67" s="719">
        <f t="shared" si="1"/>
        <v>1</v>
      </c>
      <c r="K67" s="719">
        <f t="shared" si="1"/>
        <v>1</v>
      </c>
      <c r="L67" s="719">
        <f t="shared" si="1"/>
        <v>1</v>
      </c>
      <c r="M67" s="720">
        <f t="shared" si="1"/>
        <v>1</v>
      </c>
      <c r="N67" s="720">
        <f t="shared" si="1"/>
        <v>1</v>
      </c>
      <c r="O67" s="720">
        <f t="shared" si="1"/>
        <v>1</v>
      </c>
      <c r="P67" s="719">
        <f t="shared" si="1"/>
        <v>1</v>
      </c>
    </row>
    <row r="68" spans="1:16" ht="15.75" customHeight="1" x14ac:dyDescent="0.2">
      <c r="A68" s="490" t="s">
        <v>161</v>
      </c>
      <c r="B68" s="721" t="s">
        <v>102</v>
      </c>
      <c r="C68" s="721">
        <f t="shared" ref="C68" si="2">C9/C$8</f>
        <v>0.37891703840952667</v>
      </c>
      <c r="D68" s="721">
        <f t="shared" ref="D68:L72" si="3">D9/D$8</f>
        <v>0.34250500337710427</v>
      </c>
      <c r="E68" s="721">
        <f t="shared" si="3"/>
        <v>0.35927282251925413</v>
      </c>
      <c r="F68" s="721">
        <f t="shared" si="3"/>
        <v>0.33253104470098271</v>
      </c>
      <c r="G68" s="721">
        <f t="shared" si="3"/>
        <v>0.31061148213709888</v>
      </c>
      <c r="H68" s="721">
        <f t="shared" si="3"/>
        <v>0.28639086722611229</v>
      </c>
      <c r="I68" s="721">
        <f t="shared" si="3"/>
        <v>0.26040852829372058</v>
      </c>
      <c r="J68" s="721">
        <f t="shared" si="3"/>
        <v>0.24797834187618398</v>
      </c>
      <c r="K68" s="721">
        <f t="shared" si="3"/>
        <v>0.2270234642910576</v>
      </c>
      <c r="L68" s="721">
        <f t="shared" si="3"/>
        <v>0.18453701763324853</v>
      </c>
      <c r="M68" s="722">
        <f t="shared" ref="M68:P68" si="4">M9/M$8</f>
        <v>0.30203038648088543</v>
      </c>
      <c r="N68" s="722">
        <f t="shared" si="4"/>
        <v>0.22403073383032571</v>
      </c>
      <c r="O68" s="722">
        <f t="shared" si="4"/>
        <v>0.23853110258866203</v>
      </c>
      <c r="P68" s="721">
        <f t="shared" si="4"/>
        <v>0.26063564804453099</v>
      </c>
    </row>
    <row r="69" spans="1:16" ht="15.75" customHeight="1" x14ac:dyDescent="0.2">
      <c r="A69" s="492" t="s">
        <v>162</v>
      </c>
      <c r="B69" s="723" t="s">
        <v>102</v>
      </c>
      <c r="C69" s="723">
        <f t="shared" ref="C69" si="5">C10/C$8</f>
        <v>0.26274316774323453</v>
      </c>
      <c r="D69" s="723">
        <f t="shared" si="3"/>
        <v>0.36033424460547442</v>
      </c>
      <c r="E69" s="723">
        <f t="shared" si="3"/>
        <v>0.46071033337750361</v>
      </c>
      <c r="F69" s="723">
        <f t="shared" si="3"/>
        <v>0.52116720574716247</v>
      </c>
      <c r="G69" s="723">
        <f t="shared" si="3"/>
        <v>0.54871161914363775</v>
      </c>
      <c r="H69" s="723">
        <f t="shared" si="3"/>
        <v>0.57195056367006325</v>
      </c>
      <c r="I69" s="723">
        <f t="shared" si="3"/>
        <v>0.59506138108561724</v>
      </c>
      <c r="J69" s="723">
        <f t="shared" si="3"/>
        <v>0.60830829223824334</v>
      </c>
      <c r="K69" s="723">
        <f t="shared" si="3"/>
        <v>0.60394704553571965</v>
      </c>
      <c r="L69" s="723">
        <f t="shared" si="3"/>
        <v>0.49776739144441073</v>
      </c>
      <c r="M69" s="724">
        <f t="shared" ref="M69:P69" si="6">M10/M$8</f>
        <v>0.55279041007230412</v>
      </c>
      <c r="N69" s="724">
        <f t="shared" si="6"/>
        <v>0.56613407733807486</v>
      </c>
      <c r="O69" s="724">
        <f t="shared" si="6"/>
        <v>0.56365344967678865</v>
      </c>
      <c r="P69" s="723">
        <f t="shared" si="6"/>
        <v>0.53938842023413458</v>
      </c>
    </row>
    <row r="70" spans="1:16" ht="15.75" customHeight="1" x14ac:dyDescent="0.2">
      <c r="A70" s="490" t="s">
        <v>163</v>
      </c>
      <c r="B70" s="721" t="s">
        <v>102</v>
      </c>
      <c r="C70" s="721">
        <f t="shared" ref="C70" si="7">C11/C$8</f>
        <v>1.1894337964050416E-2</v>
      </c>
      <c r="D70" s="721">
        <f t="shared" si="3"/>
        <v>1.5973037134239688E-2</v>
      </c>
      <c r="E70" s="721">
        <f t="shared" si="3"/>
        <v>1.7971701158419277E-2</v>
      </c>
      <c r="F70" s="721">
        <f t="shared" si="3"/>
        <v>1.8142114286929394E-2</v>
      </c>
      <c r="G70" s="721">
        <f t="shared" si="3"/>
        <v>1.6329418341277317E-2</v>
      </c>
      <c r="H70" s="721">
        <f t="shared" si="3"/>
        <v>1.7838721040906058E-2</v>
      </c>
      <c r="I70" s="721">
        <f t="shared" si="3"/>
        <v>1.740911091695917E-2</v>
      </c>
      <c r="J70" s="721">
        <f t="shared" si="3"/>
        <v>1.9699710174251425E-2</v>
      </c>
      <c r="K70" s="721">
        <f t="shared" si="3"/>
        <v>2.5967153145185794E-2</v>
      </c>
      <c r="L70" s="721">
        <f t="shared" si="3"/>
        <v>2.4307194123366762E-2</v>
      </c>
      <c r="M70" s="722">
        <f t="shared" ref="M70:P70" si="8">M11/M$8</f>
        <v>1.7654177162324161E-2</v>
      </c>
      <c r="N70" s="722">
        <f t="shared" si="8"/>
        <v>2.203678325785836E-2</v>
      </c>
      <c r="O70" s="722">
        <f t="shared" si="8"/>
        <v>2.1222043674215287E-2</v>
      </c>
      <c r="P70" s="721">
        <f t="shared" si="8"/>
        <v>2.0720488639097812E-2</v>
      </c>
    </row>
    <row r="71" spans="1:16" ht="15.75" customHeight="1" x14ac:dyDescent="0.2">
      <c r="A71" s="492" t="s">
        <v>164</v>
      </c>
      <c r="B71" s="723" t="s">
        <v>102</v>
      </c>
      <c r="C71" s="723">
        <f t="shared" ref="C71" si="9">C12/C$8</f>
        <v>0.14474787351858856</v>
      </c>
      <c r="D71" s="723">
        <f t="shared" si="3"/>
        <v>0.14972377516259755</v>
      </c>
      <c r="E71" s="723">
        <f t="shared" si="3"/>
        <v>8.25803289660339E-2</v>
      </c>
      <c r="F71" s="723">
        <f t="shared" si="3"/>
        <v>7.7860304997859425E-2</v>
      </c>
      <c r="G71" s="723">
        <f t="shared" si="3"/>
        <v>8.1860604577956159E-2</v>
      </c>
      <c r="H71" s="723">
        <f t="shared" si="3"/>
        <v>9.1069720963092543E-2</v>
      </c>
      <c r="I71" s="723">
        <f t="shared" si="3"/>
        <v>9.9392945674354985E-2</v>
      </c>
      <c r="J71" s="723">
        <f t="shared" si="3"/>
        <v>0.10001798172334464</v>
      </c>
      <c r="K71" s="723">
        <f t="shared" si="3"/>
        <v>0.11625140428279514</v>
      </c>
      <c r="L71" s="723">
        <f t="shared" si="3"/>
        <v>0.26981613367984564</v>
      </c>
      <c r="M71" s="724">
        <f t="shared" ref="M71:P71" si="10">M12/M$8</f>
        <v>8.7245838242742485E-2</v>
      </c>
      <c r="N71" s="724">
        <f t="shared" si="10"/>
        <v>0.16279418496619336</v>
      </c>
      <c r="O71" s="724">
        <f t="shared" si="10"/>
        <v>0.14874952131260955</v>
      </c>
      <c r="P71" s="723">
        <f t="shared" si="10"/>
        <v>0.13994866358631425</v>
      </c>
    </row>
    <row r="72" spans="1:16" ht="15.75" customHeight="1" x14ac:dyDescent="0.2">
      <c r="A72" s="495" t="s">
        <v>165</v>
      </c>
      <c r="B72" s="725" t="s">
        <v>102</v>
      </c>
      <c r="C72" s="725">
        <f t="shared" ref="C72" si="11">C13/C$8</f>
        <v>0.20169758236459986</v>
      </c>
      <c r="D72" s="725">
        <f t="shared" si="3"/>
        <v>0.13146393971880818</v>
      </c>
      <c r="E72" s="725">
        <f t="shared" si="3"/>
        <v>7.9464813978789101E-2</v>
      </c>
      <c r="F72" s="725">
        <f t="shared" si="3"/>
        <v>5.029933026829593E-2</v>
      </c>
      <c r="G72" s="725">
        <f t="shared" si="3"/>
        <v>4.2486875801090666E-2</v>
      </c>
      <c r="H72" s="725">
        <f t="shared" si="3"/>
        <v>3.2750127099825888E-2</v>
      </c>
      <c r="I72" s="725">
        <f t="shared" si="3"/>
        <v>2.7728034029348113E-2</v>
      </c>
      <c r="J72" s="725">
        <f t="shared" si="3"/>
        <v>2.3995673987976633E-2</v>
      </c>
      <c r="K72" s="725">
        <f t="shared" si="3"/>
        <v>2.681093274524176E-2</v>
      </c>
      <c r="L72" s="725">
        <f t="shared" si="3"/>
        <v>2.3572263119128287E-2</v>
      </c>
      <c r="M72" s="726">
        <f t="shared" ref="M72:P72" si="12">M13/M$8</f>
        <v>4.0279188041743776E-2</v>
      </c>
      <c r="N72" s="726">
        <f t="shared" si="12"/>
        <v>2.5004220607547693E-2</v>
      </c>
      <c r="O72" s="726">
        <f t="shared" si="12"/>
        <v>2.7843882747724407E-2</v>
      </c>
      <c r="P72" s="725">
        <f t="shared" si="12"/>
        <v>3.9306779495922449E-2</v>
      </c>
    </row>
    <row r="73" spans="1:16" ht="15.75" customHeight="1" x14ac:dyDescent="0.25">
      <c r="A73" s="498" t="s">
        <v>290</v>
      </c>
      <c r="B73" s="727" t="s">
        <v>102</v>
      </c>
      <c r="C73" s="727">
        <f t="shared" ref="C73" si="13">C14/C$14</f>
        <v>1</v>
      </c>
      <c r="D73" s="727">
        <f t="shared" ref="D73:P73" si="14">D14/D$14</f>
        <v>1</v>
      </c>
      <c r="E73" s="727">
        <f t="shared" si="14"/>
        <v>1</v>
      </c>
      <c r="F73" s="727">
        <f t="shared" si="14"/>
        <v>1</v>
      </c>
      <c r="G73" s="727">
        <f t="shared" si="14"/>
        <v>1</v>
      </c>
      <c r="H73" s="727">
        <f t="shared" si="14"/>
        <v>1</v>
      </c>
      <c r="I73" s="727">
        <f t="shared" si="14"/>
        <v>1</v>
      </c>
      <c r="J73" s="727">
        <f t="shared" si="14"/>
        <v>1</v>
      </c>
      <c r="K73" s="727">
        <f t="shared" si="14"/>
        <v>1</v>
      </c>
      <c r="L73" s="727">
        <f t="shared" si="14"/>
        <v>1</v>
      </c>
      <c r="M73" s="728">
        <f t="shared" si="14"/>
        <v>1</v>
      </c>
      <c r="N73" s="728">
        <f t="shared" si="14"/>
        <v>1</v>
      </c>
      <c r="O73" s="728">
        <f t="shared" si="14"/>
        <v>1</v>
      </c>
      <c r="P73" s="727">
        <f t="shared" si="14"/>
        <v>1</v>
      </c>
    </row>
    <row r="74" spans="1:16" ht="15.75" customHeight="1" x14ac:dyDescent="0.2">
      <c r="A74" s="490" t="s">
        <v>79</v>
      </c>
      <c r="B74" s="721" t="s">
        <v>102</v>
      </c>
      <c r="C74" s="721">
        <f t="shared" ref="C74" si="15">C15/C$14</f>
        <v>0.36984006232275207</v>
      </c>
      <c r="D74" s="721">
        <f t="shared" ref="D74:L84" si="16">D15/D$14</f>
        <v>0.61821772421955434</v>
      </c>
      <c r="E74" s="721">
        <f t="shared" si="16"/>
        <v>0.66597204821543687</v>
      </c>
      <c r="F74" s="721">
        <f t="shared" si="16"/>
        <v>0.69041518994794049</v>
      </c>
      <c r="G74" s="721">
        <f t="shared" si="16"/>
        <v>0.69009338879611859</v>
      </c>
      <c r="H74" s="721">
        <f t="shared" si="16"/>
        <v>0.67883617088696668</v>
      </c>
      <c r="I74" s="721">
        <f t="shared" si="16"/>
        <v>0.68283184179340195</v>
      </c>
      <c r="J74" s="721">
        <f t="shared" si="16"/>
        <v>0.68878523181967755</v>
      </c>
      <c r="K74" s="721">
        <f t="shared" si="16"/>
        <v>0.68715437695375814</v>
      </c>
      <c r="L74" s="721">
        <f t="shared" si="16"/>
        <v>0.72522226861760553</v>
      </c>
      <c r="M74" s="722">
        <f t="shared" ref="M74:P74" si="17">M15/M$14</f>
        <v>0.68116463410514483</v>
      </c>
      <c r="N74" s="722">
        <f t="shared" si="17"/>
        <v>0.69993696364767599</v>
      </c>
      <c r="O74" s="722">
        <f t="shared" si="17"/>
        <v>0.69629395177681785</v>
      </c>
      <c r="P74" s="721">
        <f t="shared" si="17"/>
        <v>0.66594528737099956</v>
      </c>
    </row>
    <row r="75" spans="1:16" ht="15.75" customHeight="1" x14ac:dyDescent="0.2">
      <c r="A75" s="492" t="s">
        <v>167</v>
      </c>
      <c r="B75" s="723" t="s">
        <v>102</v>
      </c>
      <c r="C75" s="723">
        <f t="shared" ref="C75" si="18">C16/C$14</f>
        <v>0.33666629458154357</v>
      </c>
      <c r="D75" s="723">
        <f t="shared" si="16"/>
        <v>0.53944758544486249</v>
      </c>
      <c r="E75" s="723">
        <f t="shared" si="16"/>
        <v>0.60599838499188108</v>
      </c>
      <c r="F75" s="723">
        <f t="shared" si="16"/>
        <v>0.63240148591877243</v>
      </c>
      <c r="G75" s="723">
        <f t="shared" si="16"/>
        <v>0.62018067824476875</v>
      </c>
      <c r="H75" s="723">
        <f t="shared" si="16"/>
        <v>0.60527790746738219</v>
      </c>
      <c r="I75" s="723">
        <f t="shared" si="16"/>
        <v>0.60331668461442967</v>
      </c>
      <c r="J75" s="723">
        <f t="shared" si="16"/>
        <v>0.62561785082143817</v>
      </c>
      <c r="K75" s="723">
        <f t="shared" si="16"/>
        <v>0.61134852059325617</v>
      </c>
      <c r="L75" s="723">
        <f t="shared" si="16"/>
        <v>0.51549805614701782</v>
      </c>
      <c r="M75" s="724">
        <f t="shared" ref="M75:P75" si="19">M16/M$14</f>
        <v>0.61140725959269626</v>
      </c>
      <c r="N75" s="724">
        <f t="shared" si="19"/>
        <v>0.58118870189912708</v>
      </c>
      <c r="O75" s="724">
        <f t="shared" si="19"/>
        <v>0.58705300148704209</v>
      </c>
      <c r="P75" s="723">
        <f t="shared" si="19"/>
        <v>0.56487215445965022</v>
      </c>
    </row>
    <row r="76" spans="1:16" ht="15.75" customHeight="1" x14ac:dyDescent="0.2">
      <c r="A76" s="490" t="s">
        <v>322</v>
      </c>
      <c r="B76" s="721" t="s">
        <v>102</v>
      </c>
      <c r="C76" s="721">
        <f t="shared" ref="C76" si="20">C17/C$14</f>
        <v>-2.6220098457651376E-2</v>
      </c>
      <c r="D76" s="721">
        <f t="shared" si="16"/>
        <v>8.8177845063136626E-2</v>
      </c>
      <c r="E76" s="721">
        <f t="shared" si="16"/>
        <v>0.12957690380107739</v>
      </c>
      <c r="F76" s="721">
        <f t="shared" si="16"/>
        <v>0.13250898339002209</v>
      </c>
      <c r="G76" s="721">
        <f t="shared" si="16"/>
        <v>0.13862169039889349</v>
      </c>
      <c r="H76" s="721">
        <f t="shared" si="16"/>
        <v>0.13302865789072266</v>
      </c>
      <c r="I76" s="721">
        <f t="shared" si="16"/>
        <v>0.13437268420919357</v>
      </c>
      <c r="J76" s="721">
        <f t="shared" si="16"/>
        <v>0.12701278215207423</v>
      </c>
      <c r="K76" s="721">
        <f t="shared" si="16"/>
        <v>0.13798956077249827</v>
      </c>
      <c r="L76" s="721">
        <f t="shared" si="16"/>
        <v>9.9978429311121719E-2</v>
      </c>
      <c r="M76" s="722">
        <f t="shared" ref="M76:P76" si="21">M17/M$14</f>
        <v>0.13350156125752524</v>
      </c>
      <c r="N76" s="722">
        <f t="shared" si="21"/>
        <v>0.12103305243865881</v>
      </c>
      <c r="O76" s="722">
        <f t="shared" si="21"/>
        <v>0.12345272686137894</v>
      </c>
      <c r="P76" s="721">
        <f t="shared" si="21"/>
        <v>0.11277057487008149</v>
      </c>
    </row>
    <row r="77" spans="1:16" ht="15.75" customHeight="1" x14ac:dyDescent="0.2">
      <c r="A77" s="492" t="s">
        <v>168</v>
      </c>
      <c r="B77" s="723" t="s">
        <v>102</v>
      </c>
      <c r="C77" s="723">
        <f t="shared" ref="C77" si="22">C18/C$14</f>
        <v>3.317376774120858E-2</v>
      </c>
      <c r="D77" s="723">
        <f t="shared" si="16"/>
        <v>7.8770138776034587E-2</v>
      </c>
      <c r="E77" s="723">
        <f t="shared" si="16"/>
        <v>5.9973663223555733E-2</v>
      </c>
      <c r="F77" s="723">
        <f t="shared" si="16"/>
        <v>5.8013704029168209E-2</v>
      </c>
      <c r="G77" s="723">
        <f t="shared" si="16"/>
        <v>6.991271055047181E-2</v>
      </c>
      <c r="H77" s="723">
        <f t="shared" si="16"/>
        <v>7.3558263420363784E-2</v>
      </c>
      <c r="I77" s="723">
        <f t="shared" si="16"/>
        <v>7.9515157178258133E-2</v>
      </c>
      <c r="J77" s="723">
        <f t="shared" si="16"/>
        <v>6.3167380998239347E-2</v>
      </c>
      <c r="K77" s="723">
        <f t="shared" si="16"/>
        <v>7.5805856361094576E-2</v>
      </c>
      <c r="L77" s="723">
        <f t="shared" si="16"/>
        <v>0.2097242124705877</v>
      </c>
      <c r="M77" s="724">
        <f t="shared" ref="M77:P77" si="23">M18/M$14</f>
        <v>6.9757374512448678E-2</v>
      </c>
      <c r="N77" s="724">
        <f t="shared" si="23"/>
        <v>0.11874826174854898</v>
      </c>
      <c r="O77" s="724">
        <f t="shared" si="23"/>
        <v>0.10924095028912174</v>
      </c>
      <c r="P77" s="723">
        <f t="shared" si="23"/>
        <v>0.10107313291134931</v>
      </c>
    </row>
    <row r="78" spans="1:16" ht="15.75" customHeight="1" x14ac:dyDescent="0.2">
      <c r="A78" s="490" t="s">
        <v>169</v>
      </c>
      <c r="B78" s="721" t="s">
        <v>102</v>
      </c>
      <c r="C78" s="721">
        <f t="shared" ref="C78" si="24">C19/C$14</f>
        <v>0.34826702842789797</v>
      </c>
      <c r="D78" s="721">
        <f t="shared" si="16"/>
        <v>0.20183958853168957</v>
      </c>
      <c r="E78" s="721">
        <f t="shared" si="16"/>
        <v>0.16121773211477736</v>
      </c>
      <c r="F78" s="721">
        <f t="shared" si="16"/>
        <v>0.14556548203041644</v>
      </c>
      <c r="G78" s="721">
        <f t="shared" si="16"/>
        <v>0.13998525735361839</v>
      </c>
      <c r="H78" s="721">
        <f t="shared" si="16"/>
        <v>0.15832465428593781</v>
      </c>
      <c r="I78" s="721">
        <f t="shared" si="16"/>
        <v>0.16133320921891875</v>
      </c>
      <c r="J78" s="721">
        <f t="shared" si="16"/>
        <v>0.15515983639517011</v>
      </c>
      <c r="K78" s="721">
        <f t="shared" si="16"/>
        <v>0.15693889275145564</v>
      </c>
      <c r="L78" s="721">
        <f t="shared" si="16"/>
        <v>0.10669102183460677</v>
      </c>
      <c r="M78" s="722">
        <f t="shared" ref="M78:P78" si="25">M19/M$14</f>
        <v>0.15393437930501755</v>
      </c>
      <c r="N78" s="722">
        <f t="shared" si="25"/>
        <v>0.1399407039142298</v>
      </c>
      <c r="O78" s="722">
        <f t="shared" si="25"/>
        <v>0.14265635651619782</v>
      </c>
      <c r="P78" s="721">
        <f t="shared" si="25"/>
        <v>0.1673213815893784</v>
      </c>
    </row>
    <row r="79" spans="1:16" ht="15.75" customHeight="1" x14ac:dyDescent="0.2">
      <c r="A79" s="492" t="s">
        <v>170</v>
      </c>
      <c r="B79" s="723" t="s">
        <v>102</v>
      </c>
      <c r="C79" s="723">
        <f t="shared" ref="C79" si="26">C20/C$14</f>
        <v>0.16287986700200321</v>
      </c>
      <c r="D79" s="723">
        <f t="shared" si="16"/>
        <v>0.11720569368051222</v>
      </c>
      <c r="E79" s="723">
        <f t="shared" si="16"/>
        <v>0.10073406421945144</v>
      </c>
      <c r="F79" s="723">
        <f t="shared" si="16"/>
        <v>9.9039729916888225E-2</v>
      </c>
      <c r="G79" s="723">
        <f t="shared" si="16"/>
        <v>9.6867929777779402E-2</v>
      </c>
      <c r="H79" s="723">
        <f t="shared" si="16"/>
        <v>0.11094509333592101</v>
      </c>
      <c r="I79" s="723">
        <f t="shared" si="16"/>
        <v>0.12284502191948017</v>
      </c>
      <c r="J79" s="723">
        <f t="shared" si="16"/>
        <v>0.12687732816470149</v>
      </c>
      <c r="K79" s="723">
        <f t="shared" si="16"/>
        <v>0.13119600441177851</v>
      </c>
      <c r="L79" s="723">
        <f t="shared" si="16"/>
        <v>8.9414682667763007E-2</v>
      </c>
      <c r="M79" s="724">
        <f t="shared" ref="M79:P79" si="27">M20/M$14</f>
        <v>0.10628875185265037</v>
      </c>
      <c r="N79" s="724">
        <f t="shared" si="27"/>
        <v>0.11405980807981113</v>
      </c>
      <c r="O79" s="724">
        <f t="shared" si="27"/>
        <v>0.11255173471957555</v>
      </c>
      <c r="P79" s="723">
        <f t="shared" si="27"/>
        <v>0.12834059725015523</v>
      </c>
    </row>
    <row r="80" spans="1:16" ht="15.75" customHeight="1" x14ac:dyDescent="0.2">
      <c r="A80" s="490" t="s">
        <v>171</v>
      </c>
      <c r="B80" s="721" t="s">
        <v>102</v>
      </c>
      <c r="C80" s="721">
        <f t="shared" ref="C80" si="28">C21/C$14</f>
        <v>3.5354855719528282E-2</v>
      </c>
      <c r="D80" s="721">
        <f t="shared" si="16"/>
        <v>2.0273665254994282E-2</v>
      </c>
      <c r="E80" s="721">
        <f t="shared" si="16"/>
        <v>5.4267477304559856E-3</v>
      </c>
      <c r="F80" s="721">
        <f t="shared" si="16"/>
        <v>2.8450955374363959E-3</v>
      </c>
      <c r="G80" s="721">
        <f t="shared" si="16"/>
        <v>2.3554758557154621E-3</v>
      </c>
      <c r="H80" s="721">
        <f t="shared" si="16"/>
        <v>1.9415543442296303E-3</v>
      </c>
      <c r="I80" s="721">
        <f t="shared" si="16"/>
        <v>1.6339161484887476E-3</v>
      </c>
      <c r="J80" s="721">
        <f t="shared" si="16"/>
        <v>2.4481388042334527E-3</v>
      </c>
      <c r="K80" s="721">
        <f t="shared" si="16"/>
        <v>3.686122547282043E-3</v>
      </c>
      <c r="L80" s="721">
        <f t="shared" si="16"/>
        <v>4.2229477983816658E-3</v>
      </c>
      <c r="M80" s="722">
        <f t="shared" ref="M80:P80" si="29">M21/M$14</f>
        <v>2.425810160285619E-3</v>
      </c>
      <c r="N80" s="722">
        <f t="shared" si="29"/>
        <v>3.1348463591225699E-3</v>
      </c>
      <c r="O80" s="722">
        <f t="shared" si="29"/>
        <v>2.9972487698038197E-3</v>
      </c>
      <c r="P80" s="721">
        <f t="shared" si="29"/>
        <v>4.4499934997106671E-3</v>
      </c>
    </row>
    <row r="81" spans="1:16" ht="15.75" customHeight="1" x14ac:dyDescent="0.2">
      <c r="A81" s="693" t="s">
        <v>607</v>
      </c>
      <c r="B81" s="723" t="s">
        <v>102</v>
      </c>
      <c r="C81" s="723">
        <f t="shared" ref="C81" si="30">C22/C$14</f>
        <v>0.15003230570636647</v>
      </c>
      <c r="D81" s="723">
        <f t="shared" si="16"/>
        <v>6.4360229596183066E-2</v>
      </c>
      <c r="E81" s="723">
        <f t="shared" si="16"/>
        <v>5.5056920164869905E-2</v>
      </c>
      <c r="F81" s="723">
        <f t="shared" si="16"/>
        <v>4.3680656576091846E-2</v>
      </c>
      <c r="G81" s="723">
        <f t="shared" si="16"/>
        <v>4.0761851719245366E-2</v>
      </c>
      <c r="H81" s="723">
        <f t="shared" si="16"/>
        <v>4.5438006605787173E-2</v>
      </c>
      <c r="I81" s="723">
        <f t="shared" si="16"/>
        <v>3.6854271151663995E-2</v>
      </c>
      <c r="J81" s="723">
        <f t="shared" si="16"/>
        <v>2.5834369426235158E-2</v>
      </c>
      <c r="K81" s="723">
        <f t="shared" si="16"/>
        <v>2.2056765792395114E-2</v>
      </c>
      <c r="L81" s="723">
        <f t="shared" si="16"/>
        <v>1.3053391368988133E-2</v>
      </c>
      <c r="M81" s="724">
        <f t="shared" ref="M81:P81" si="31">M22/M$14</f>
        <v>4.5219817292081556E-2</v>
      </c>
      <c r="N81" s="724">
        <f t="shared" si="31"/>
        <v>2.2746049475901128E-2</v>
      </c>
      <c r="O81" s="724">
        <f t="shared" si="31"/>
        <v>2.7107373026818447E-2</v>
      </c>
      <c r="P81" s="723">
        <f t="shared" si="31"/>
        <v>3.4530790839512521E-2</v>
      </c>
    </row>
    <row r="82" spans="1:16" ht="15.75" customHeight="1" x14ac:dyDescent="0.2">
      <c r="A82" s="490" t="s">
        <v>172</v>
      </c>
      <c r="B82" s="721" t="s">
        <v>102</v>
      </c>
      <c r="C82" s="721">
        <f t="shared" ref="C82" si="32">C23/C$14</f>
        <v>8.1249677609922927E-4</v>
      </c>
      <c r="D82" s="721">
        <f t="shared" si="16"/>
        <v>1.3492565146484222E-2</v>
      </c>
      <c r="E82" s="721">
        <f t="shared" si="16"/>
        <v>3.0682125106669643E-2</v>
      </c>
      <c r="F82" s="721">
        <f t="shared" si="16"/>
        <v>4.0169474282673305E-2</v>
      </c>
      <c r="G82" s="721">
        <f t="shared" si="16"/>
        <v>4.1748038881663077E-2</v>
      </c>
      <c r="H82" s="721">
        <f t="shared" si="16"/>
        <v>4.872647950049188E-2</v>
      </c>
      <c r="I82" s="721">
        <f t="shared" si="16"/>
        <v>5.0087591422548469E-2</v>
      </c>
      <c r="J82" s="721">
        <f t="shared" si="16"/>
        <v>5.228542729021015E-2</v>
      </c>
      <c r="K82" s="721">
        <f t="shared" si="16"/>
        <v>4.818632790228141E-2</v>
      </c>
      <c r="L82" s="721">
        <f t="shared" si="16"/>
        <v>3.9938512562466409E-2</v>
      </c>
      <c r="M82" s="722">
        <f t="shared" ref="M82:P82" si="33">M23/M$14</f>
        <v>4.4998169265201289E-2</v>
      </c>
      <c r="N82" s="722">
        <f t="shared" si="33"/>
        <v>4.6907018875148566E-2</v>
      </c>
      <c r="O82" s="722">
        <f t="shared" si="33"/>
        <v>4.6536582069785677E-2</v>
      </c>
      <c r="P82" s="721">
        <f t="shared" si="33"/>
        <v>4.2733704338770891E-2</v>
      </c>
    </row>
    <row r="83" spans="1:16" ht="15.75" customHeight="1" x14ac:dyDescent="0.2">
      <c r="A83" s="492" t="s">
        <v>173</v>
      </c>
      <c r="B83" s="723" t="s">
        <v>102</v>
      </c>
      <c r="C83" s="723">
        <f t="shared" ref="C83" si="34">C24/C$14</f>
        <v>1.1241958204410776E-2</v>
      </c>
      <c r="D83" s="723">
        <f t="shared" si="16"/>
        <v>6.1444216236575824E-2</v>
      </c>
      <c r="E83" s="723">
        <f t="shared" si="16"/>
        <v>8.082910951628057E-2</v>
      </c>
      <c r="F83" s="723">
        <f t="shared" si="16"/>
        <v>7.7639936649434763E-2</v>
      </c>
      <c r="G83" s="723">
        <f t="shared" si="16"/>
        <v>8.2624627558666855E-2</v>
      </c>
      <c r="H83" s="723">
        <f t="shared" si="16"/>
        <v>7.5832936628872971E-2</v>
      </c>
      <c r="I83" s="723">
        <f t="shared" si="16"/>
        <v>7.4247654209485495E-2</v>
      </c>
      <c r="J83" s="723">
        <f t="shared" si="16"/>
        <v>7.8045423635562938E-2</v>
      </c>
      <c r="K83" s="723">
        <f t="shared" si="16"/>
        <v>7.6669457771791127E-2</v>
      </c>
      <c r="L83" s="723">
        <f t="shared" si="16"/>
        <v>8.3129950153848289E-2</v>
      </c>
      <c r="M83" s="724">
        <f t="shared" ref="M83:P83" si="35">M24/M$14</f>
        <v>7.7510923111600724E-2</v>
      </c>
      <c r="N83" s="724">
        <f t="shared" si="35"/>
        <v>7.8859636613836631E-2</v>
      </c>
      <c r="O83" s="724">
        <f t="shared" si="35"/>
        <v>7.8597901420501187E-2</v>
      </c>
      <c r="P83" s="723">
        <f t="shared" si="35"/>
        <v>7.9256793248100546E-2</v>
      </c>
    </row>
    <row r="84" spans="1:16" ht="15.75" customHeight="1" x14ac:dyDescent="0.2">
      <c r="A84" s="495" t="s">
        <v>174</v>
      </c>
      <c r="B84" s="725" t="s">
        <v>102</v>
      </c>
      <c r="C84" s="725">
        <f t="shared" ref="C84" si="36">C25/C$14</f>
        <v>0.26983845426991371</v>
      </c>
      <c r="D84" s="725">
        <f t="shared" si="16"/>
        <v>0.10500590586435343</v>
      </c>
      <c r="E84" s="725">
        <f t="shared" si="16"/>
        <v>6.1298985046835591E-2</v>
      </c>
      <c r="F84" s="725">
        <f t="shared" si="16"/>
        <v>4.6209917089534897E-2</v>
      </c>
      <c r="G84" s="725">
        <f t="shared" si="16"/>
        <v>4.5548687410811223E-2</v>
      </c>
      <c r="H84" s="725">
        <f t="shared" si="16"/>
        <v>3.8279758697730711E-2</v>
      </c>
      <c r="I84" s="725">
        <f t="shared" si="16"/>
        <v>3.1499703355645316E-2</v>
      </c>
      <c r="J84" s="725">
        <f t="shared" si="16"/>
        <v>2.5724080859379286E-2</v>
      </c>
      <c r="K84" s="725">
        <f t="shared" si="16"/>
        <v>3.1050944620121073E-2</v>
      </c>
      <c r="L84" s="725">
        <f t="shared" si="16"/>
        <v>4.5018246831473055E-2</v>
      </c>
      <c r="M84" s="726">
        <f t="shared" ref="M84:P84" si="37">M25/M$14</f>
        <v>4.2391894213035491E-2</v>
      </c>
      <c r="N84" s="726">
        <f t="shared" si="37"/>
        <v>3.4355676949713906E-2</v>
      </c>
      <c r="O84" s="726">
        <f t="shared" si="37"/>
        <v>3.5915208217351516E-2</v>
      </c>
      <c r="P84" s="725">
        <f t="shared" si="37"/>
        <v>4.4742833452002854E-2</v>
      </c>
    </row>
    <row r="85" spans="1:16" ht="16.5" customHeight="1" x14ac:dyDescent="0.25">
      <c r="A85" s="501" t="s">
        <v>201</v>
      </c>
      <c r="B85" s="729"/>
      <c r="C85" s="729"/>
      <c r="D85" s="729"/>
      <c r="E85" s="729"/>
      <c r="F85" s="729"/>
      <c r="G85" s="729"/>
      <c r="H85" s="729"/>
      <c r="I85" s="729"/>
      <c r="J85" s="729"/>
      <c r="K85" s="729"/>
      <c r="L85" s="729"/>
      <c r="M85" s="730"/>
      <c r="N85" s="730"/>
      <c r="O85" s="730"/>
      <c r="P85" s="731"/>
    </row>
    <row r="86" spans="1:16" ht="16.5" customHeight="1" x14ac:dyDescent="0.25">
      <c r="A86" s="498" t="s">
        <v>292</v>
      </c>
      <c r="B86" s="727" t="s">
        <v>102</v>
      </c>
      <c r="C86" s="727">
        <f t="shared" ref="C86" si="38">C28/C$28</f>
        <v>1</v>
      </c>
      <c r="D86" s="727">
        <f t="shared" ref="D86:P86" si="39">D28/D$28</f>
        <v>1</v>
      </c>
      <c r="E86" s="727">
        <f t="shared" si="39"/>
        <v>1</v>
      </c>
      <c r="F86" s="727">
        <f t="shared" si="39"/>
        <v>1</v>
      </c>
      <c r="G86" s="727">
        <f t="shared" si="39"/>
        <v>1</v>
      </c>
      <c r="H86" s="727">
        <f t="shared" si="39"/>
        <v>1</v>
      </c>
      <c r="I86" s="727">
        <f t="shared" si="39"/>
        <v>1</v>
      </c>
      <c r="J86" s="727">
        <f t="shared" si="39"/>
        <v>1</v>
      </c>
      <c r="K86" s="727">
        <f t="shared" si="39"/>
        <v>1</v>
      </c>
      <c r="L86" s="727">
        <f t="shared" si="39"/>
        <v>1</v>
      </c>
      <c r="M86" s="728">
        <f t="shared" si="39"/>
        <v>1</v>
      </c>
      <c r="N86" s="728">
        <f t="shared" si="39"/>
        <v>1</v>
      </c>
      <c r="O86" s="728">
        <f t="shared" si="39"/>
        <v>1</v>
      </c>
      <c r="P86" s="727">
        <f t="shared" si="39"/>
        <v>1</v>
      </c>
    </row>
    <row r="87" spans="1:16" ht="15.75" customHeight="1" x14ac:dyDescent="0.2">
      <c r="A87" s="490" t="s">
        <v>178</v>
      </c>
      <c r="B87" s="721" t="s">
        <v>102</v>
      </c>
      <c r="C87" s="721">
        <f t="shared" ref="C87" si="40">C29/C$28</f>
        <v>1</v>
      </c>
      <c r="D87" s="721">
        <f t="shared" ref="D87:L89" si="41">D29/D$28</f>
        <v>0.96487315324570244</v>
      </c>
      <c r="E87" s="721">
        <f t="shared" si="41"/>
        <v>0.94823406614673067</v>
      </c>
      <c r="F87" s="721">
        <f t="shared" si="41"/>
        <v>0.94463636383724658</v>
      </c>
      <c r="G87" s="721">
        <f t="shared" si="41"/>
        <v>0.94737147168451841</v>
      </c>
      <c r="H87" s="721">
        <f t="shared" si="41"/>
        <v>0.93774521898007801</v>
      </c>
      <c r="I87" s="721">
        <f t="shared" si="41"/>
        <v>0.93026588155013135</v>
      </c>
      <c r="J87" s="721">
        <f t="shared" si="41"/>
        <v>0.91380251559883918</v>
      </c>
      <c r="K87" s="721">
        <f t="shared" si="41"/>
        <v>0.90291805386530433</v>
      </c>
      <c r="L87" s="721">
        <f t="shared" si="41"/>
        <v>0.80458988997902015</v>
      </c>
      <c r="M87" s="722">
        <f t="shared" ref="M87:P87" si="42">M29/M$28</f>
        <v>0.94136427852066062</v>
      </c>
      <c r="N87" s="722">
        <f t="shared" si="42"/>
        <v>0.88072021114131938</v>
      </c>
      <c r="O87" s="722">
        <f t="shared" si="42"/>
        <v>0.89530533737399332</v>
      </c>
      <c r="P87" s="721">
        <f t="shared" si="42"/>
        <v>0.91043911168561942</v>
      </c>
    </row>
    <row r="88" spans="1:16" ht="15.75" customHeight="1" x14ac:dyDescent="0.2">
      <c r="A88" s="492" t="s">
        <v>179</v>
      </c>
      <c r="B88" s="723" t="s">
        <v>102</v>
      </c>
      <c r="C88" s="723" t="s">
        <v>102</v>
      </c>
      <c r="D88" s="723">
        <f t="shared" si="41"/>
        <v>2.4766905119945698E-2</v>
      </c>
      <c r="E88" s="723">
        <f t="shared" si="41"/>
        <v>2.5655425705054222E-2</v>
      </c>
      <c r="F88" s="723">
        <f t="shared" si="41"/>
        <v>3.0118289237852744E-2</v>
      </c>
      <c r="G88" s="723">
        <f t="shared" si="41"/>
        <v>3.0856068078620794E-2</v>
      </c>
      <c r="H88" s="723">
        <f t="shared" si="41"/>
        <v>3.898541153364881E-2</v>
      </c>
      <c r="I88" s="723">
        <f t="shared" si="41"/>
        <v>3.9865670711128273E-2</v>
      </c>
      <c r="J88" s="723">
        <f t="shared" si="41"/>
        <v>4.4055089442543771E-2</v>
      </c>
      <c r="K88" s="723">
        <f t="shared" si="41"/>
        <v>4.4921012442112614E-2</v>
      </c>
      <c r="L88" s="723">
        <f t="shared" si="41"/>
        <v>0.15492105262632547</v>
      </c>
      <c r="M88" s="724">
        <f t="shared" ref="M88:P88" si="43">M30/M$28</f>
        <v>3.507996604494687E-2</v>
      </c>
      <c r="N88" s="724">
        <f t="shared" si="43"/>
        <v>7.8131269368773265E-2</v>
      </c>
      <c r="O88" s="724">
        <f t="shared" si="43"/>
        <v>6.7777269041312871E-2</v>
      </c>
      <c r="P88" s="723">
        <f t="shared" si="43"/>
        <v>5.6605181897410872E-2</v>
      </c>
    </row>
    <row r="89" spans="1:16" ht="15.75" customHeight="1" x14ac:dyDescent="0.2">
      <c r="A89" s="495" t="s">
        <v>180</v>
      </c>
      <c r="B89" s="725" t="s">
        <v>102</v>
      </c>
      <c r="C89" s="725">
        <f t="shared" ref="C89" si="44">C31/C$28</f>
        <v>0</v>
      </c>
      <c r="D89" s="725">
        <f t="shared" si="41"/>
        <v>1.0359941634351964E-2</v>
      </c>
      <c r="E89" s="725">
        <f t="shared" si="41"/>
        <v>2.6110508148215174E-2</v>
      </c>
      <c r="F89" s="725">
        <f t="shared" si="41"/>
        <v>2.5245346924900641E-2</v>
      </c>
      <c r="G89" s="725">
        <f t="shared" si="41"/>
        <v>2.177246023435838E-2</v>
      </c>
      <c r="H89" s="725">
        <f t="shared" si="41"/>
        <v>2.3269369486273117E-2</v>
      </c>
      <c r="I89" s="725">
        <f t="shared" si="41"/>
        <v>2.9868447736184803E-2</v>
      </c>
      <c r="J89" s="725">
        <f t="shared" si="41"/>
        <v>4.2142394958617088E-2</v>
      </c>
      <c r="K89" s="725">
        <f t="shared" si="41"/>
        <v>5.2160933692583067E-2</v>
      </c>
      <c r="L89" s="725">
        <f t="shared" si="41"/>
        <v>4.0489057394654374E-2</v>
      </c>
      <c r="M89" s="726">
        <f t="shared" ref="M89:P89" si="45">M31/M$28</f>
        <v>2.3555755434392495E-2</v>
      </c>
      <c r="N89" s="726">
        <f t="shared" si="45"/>
        <v>4.1148519489907297E-2</v>
      </c>
      <c r="O89" s="726">
        <f t="shared" si="45"/>
        <v>3.6917393584693758E-2</v>
      </c>
      <c r="P89" s="725">
        <f t="shared" si="45"/>
        <v>3.2955706414539876E-2</v>
      </c>
    </row>
    <row r="90" spans="1:16" ht="16.5" customHeight="1" x14ac:dyDescent="0.25">
      <c r="A90" s="498" t="s">
        <v>289</v>
      </c>
      <c r="B90" s="727" t="s">
        <v>102</v>
      </c>
      <c r="C90" s="727">
        <f t="shared" ref="C90" si="46">C32/C$32</f>
        <v>1</v>
      </c>
      <c r="D90" s="727">
        <f t="shared" ref="D90:P90" si="47">D32/D$32</f>
        <v>1</v>
      </c>
      <c r="E90" s="727">
        <f t="shared" si="47"/>
        <v>1</v>
      </c>
      <c r="F90" s="727">
        <f t="shared" si="47"/>
        <v>1</v>
      </c>
      <c r="G90" s="727">
        <f t="shared" si="47"/>
        <v>1</v>
      </c>
      <c r="H90" s="727">
        <f t="shared" si="47"/>
        <v>1</v>
      </c>
      <c r="I90" s="727">
        <f t="shared" si="47"/>
        <v>1</v>
      </c>
      <c r="J90" s="727">
        <f t="shared" si="47"/>
        <v>1</v>
      </c>
      <c r="K90" s="727">
        <f t="shared" si="47"/>
        <v>1</v>
      </c>
      <c r="L90" s="727">
        <f t="shared" si="47"/>
        <v>1</v>
      </c>
      <c r="M90" s="728">
        <f t="shared" si="47"/>
        <v>1</v>
      </c>
      <c r="N90" s="728">
        <f t="shared" si="47"/>
        <v>1</v>
      </c>
      <c r="O90" s="728">
        <f t="shared" si="47"/>
        <v>1</v>
      </c>
      <c r="P90" s="727">
        <f t="shared" si="47"/>
        <v>1</v>
      </c>
    </row>
    <row r="91" spans="1:16" ht="16.5" customHeight="1" x14ac:dyDescent="0.2">
      <c r="A91" s="490" t="s">
        <v>182</v>
      </c>
      <c r="B91" s="721" t="s">
        <v>102</v>
      </c>
      <c r="C91" s="721">
        <f t="shared" ref="C91" si="48">C33/C$32</f>
        <v>4.7354939738612191E-2</v>
      </c>
      <c r="D91" s="721">
        <f t="shared" ref="D91:L93" si="49">D33/D$32</f>
        <v>0.17212262941714729</v>
      </c>
      <c r="E91" s="721">
        <f t="shared" si="49"/>
        <v>0.21332177601863561</v>
      </c>
      <c r="F91" s="721">
        <f t="shared" si="49"/>
        <v>0.22351816363579147</v>
      </c>
      <c r="G91" s="721">
        <f t="shared" si="49"/>
        <v>0.23449143484065357</v>
      </c>
      <c r="H91" s="721">
        <f t="shared" si="49"/>
        <v>0.24247571413632157</v>
      </c>
      <c r="I91" s="721">
        <f t="shared" si="49"/>
        <v>0.25076158687454414</v>
      </c>
      <c r="J91" s="721">
        <f t="shared" si="49"/>
        <v>0.24342675719780529</v>
      </c>
      <c r="K91" s="721">
        <f t="shared" si="49"/>
        <v>0.23105334169145933</v>
      </c>
      <c r="L91" s="721">
        <f t="shared" si="49"/>
        <v>0.33072071808023068</v>
      </c>
      <c r="M91" s="722">
        <f t="shared" ref="M91:P91" si="50">M33/M$32</f>
        <v>0.23508989511708259</v>
      </c>
      <c r="N91" s="722">
        <f t="shared" si="50"/>
        <v>0.26081311633415466</v>
      </c>
      <c r="O91" s="722">
        <f t="shared" si="50"/>
        <v>0.25385782754260794</v>
      </c>
      <c r="P91" s="721">
        <f t="shared" si="50"/>
        <v>0.24243793181292894</v>
      </c>
    </row>
    <row r="92" spans="1:16" ht="16.5" customHeight="1" x14ac:dyDescent="0.2">
      <c r="A92" s="492" t="s">
        <v>183</v>
      </c>
      <c r="B92" s="723" t="s">
        <v>102</v>
      </c>
      <c r="C92" s="723">
        <f t="shared" ref="C92" si="51">C34/C$32</f>
        <v>0.95264506026138773</v>
      </c>
      <c r="D92" s="723">
        <f t="shared" si="49"/>
        <v>0.56472714338228402</v>
      </c>
      <c r="E92" s="723">
        <f t="shared" si="49"/>
        <v>0.65875128652861437</v>
      </c>
      <c r="F92" s="723">
        <f t="shared" si="49"/>
        <v>0.58233395608349747</v>
      </c>
      <c r="G92" s="723">
        <f t="shared" si="49"/>
        <v>0.57928754569521779</v>
      </c>
      <c r="H92" s="723">
        <f t="shared" si="49"/>
        <v>0.58985317304254958</v>
      </c>
      <c r="I92" s="723">
        <f t="shared" si="49"/>
        <v>0.58689116831182986</v>
      </c>
      <c r="J92" s="723">
        <f t="shared" si="49"/>
        <v>0.53833258698313236</v>
      </c>
      <c r="K92" s="723">
        <f t="shared" si="49"/>
        <v>0.49959688176447536</v>
      </c>
      <c r="L92" s="723">
        <f t="shared" si="49"/>
        <v>0.42725570089963599</v>
      </c>
      <c r="M92" s="724">
        <f t="shared" ref="M92:P92" si="52">M34/M$32</f>
        <v>0.59385046147313458</v>
      </c>
      <c r="N92" s="724">
        <f t="shared" si="52"/>
        <v>0.51650483862703278</v>
      </c>
      <c r="O92" s="724">
        <f t="shared" si="52"/>
        <v>0.53741828251782109</v>
      </c>
      <c r="P92" s="723">
        <f t="shared" si="52"/>
        <v>0.5713262984488624</v>
      </c>
    </row>
    <row r="93" spans="1:16" ht="16.5" customHeight="1" x14ac:dyDescent="0.2">
      <c r="A93" s="490" t="s">
        <v>184</v>
      </c>
      <c r="B93" s="725" t="s">
        <v>102</v>
      </c>
      <c r="C93" s="725">
        <f t="shared" ref="C93" si="53">C35/C$32</f>
        <v>0</v>
      </c>
      <c r="D93" s="725">
        <f t="shared" si="49"/>
        <v>0.2631502272005688</v>
      </c>
      <c r="E93" s="725">
        <f t="shared" si="49"/>
        <v>0.12792693745274994</v>
      </c>
      <c r="F93" s="725">
        <f t="shared" si="49"/>
        <v>0.19414788028071117</v>
      </c>
      <c r="G93" s="725">
        <f t="shared" si="49"/>
        <v>0.18622101946412861</v>
      </c>
      <c r="H93" s="725">
        <f t="shared" si="49"/>
        <v>0.16767111282112881</v>
      </c>
      <c r="I93" s="725">
        <f t="shared" si="49"/>
        <v>0.162347244813626</v>
      </c>
      <c r="J93" s="725">
        <f t="shared" si="49"/>
        <v>0.21824065581360455</v>
      </c>
      <c r="K93" s="725">
        <f t="shared" si="49"/>
        <v>0.26934977654868736</v>
      </c>
      <c r="L93" s="725">
        <f t="shared" si="49"/>
        <v>0.24202358102013338</v>
      </c>
      <c r="M93" s="726">
        <f t="shared" ref="M93:P93" si="54">M35/M$32</f>
        <v>0.17105964341526159</v>
      </c>
      <c r="N93" s="726">
        <f t="shared" si="54"/>
        <v>0.22268204504476236</v>
      </c>
      <c r="O93" s="726">
        <f t="shared" si="54"/>
        <v>0.2087238899453934</v>
      </c>
      <c r="P93" s="725">
        <f t="shared" si="54"/>
        <v>0.18623576973268174</v>
      </c>
    </row>
    <row r="94" spans="1:16" ht="16.5" customHeight="1" x14ac:dyDescent="0.25">
      <c r="A94" s="544" t="s">
        <v>226</v>
      </c>
      <c r="B94" s="732"/>
      <c r="C94" s="732"/>
      <c r="D94" s="732"/>
      <c r="E94" s="732"/>
      <c r="F94" s="732"/>
      <c r="G94" s="732"/>
      <c r="H94" s="732"/>
      <c r="I94" s="732"/>
      <c r="J94" s="732"/>
      <c r="K94" s="732"/>
      <c r="L94" s="732"/>
      <c r="M94" s="733"/>
      <c r="N94" s="733"/>
      <c r="O94" s="733"/>
      <c r="P94" s="734"/>
    </row>
    <row r="95" spans="1:16" ht="16.5" customHeight="1" x14ac:dyDescent="0.2">
      <c r="A95" s="550" t="s">
        <v>793</v>
      </c>
      <c r="B95" s="735" t="s">
        <v>102</v>
      </c>
      <c r="C95" s="735">
        <v>0.39226090800000002</v>
      </c>
      <c r="D95" s="735">
        <v>0.243958805</v>
      </c>
      <c r="E95" s="735">
        <v>0.192748641</v>
      </c>
      <c r="F95" s="735">
        <v>0.178264069</v>
      </c>
      <c r="G95" s="735">
        <v>0.172152098</v>
      </c>
      <c r="H95" s="735">
        <v>0.15753624699999999</v>
      </c>
      <c r="I95" s="735">
        <v>0.138556982</v>
      </c>
      <c r="J95" s="735">
        <v>0.12896991799999999</v>
      </c>
      <c r="K95" s="735">
        <v>0.13504116799999999</v>
      </c>
      <c r="L95" s="735">
        <v>9.4995740999999995E-2</v>
      </c>
      <c r="M95" s="736">
        <v>0.16556612900000001</v>
      </c>
      <c r="N95" s="736">
        <v>0.120121006</v>
      </c>
      <c r="O95" s="736">
        <v>0.128940216</v>
      </c>
      <c r="P95" s="735">
        <v>0.14647057299999999</v>
      </c>
    </row>
    <row r="96" spans="1:16" ht="16.5" customHeight="1" x14ac:dyDescent="0.2">
      <c r="A96" s="562" t="s">
        <v>407</v>
      </c>
      <c r="B96" s="741" t="s">
        <v>102</v>
      </c>
      <c r="C96" s="741">
        <v>0.26274316800000003</v>
      </c>
      <c r="D96" s="741">
        <v>0.360334245</v>
      </c>
      <c r="E96" s="741">
        <v>0.46071033300000003</v>
      </c>
      <c r="F96" s="741">
        <v>0.52116720599999999</v>
      </c>
      <c r="G96" s="741">
        <v>0.54871161899999998</v>
      </c>
      <c r="H96" s="741">
        <v>0.57195056399999999</v>
      </c>
      <c r="I96" s="741">
        <v>0.59506138099999994</v>
      </c>
      <c r="J96" s="741">
        <v>0.60830829200000003</v>
      </c>
      <c r="K96" s="741">
        <v>0.60394704600000004</v>
      </c>
      <c r="L96" s="741">
        <v>0.497767391</v>
      </c>
      <c r="M96" s="742">
        <v>0.55279040999999995</v>
      </c>
      <c r="N96" s="742">
        <v>0.56613407699999996</v>
      </c>
      <c r="O96" s="742">
        <v>0.56365345</v>
      </c>
      <c r="P96" s="721">
        <v>0.53938841999999998</v>
      </c>
    </row>
    <row r="97" spans="1:16" ht="16.5" customHeight="1" x14ac:dyDescent="0.25">
      <c r="A97" s="546" t="s">
        <v>420</v>
      </c>
      <c r="B97" s="737" t="s">
        <v>102</v>
      </c>
      <c r="C97" s="737">
        <v>0.64100324500000005</v>
      </c>
      <c r="D97" s="737">
        <v>0.83862620799999998</v>
      </c>
      <c r="E97" s="737">
        <v>0.87782437499999999</v>
      </c>
      <c r="F97" s="737">
        <v>0.88659535199999995</v>
      </c>
      <c r="G97" s="737">
        <v>0.885325217</v>
      </c>
      <c r="H97" s="737">
        <v>0.90215766900000005</v>
      </c>
      <c r="I97" s="737">
        <v>0.91647714599999996</v>
      </c>
      <c r="J97" s="737">
        <v>0.93223376899999999</v>
      </c>
      <c r="K97" s="737">
        <v>0.94033988099999999</v>
      </c>
      <c r="L97" s="737">
        <v>0.96396023399999997</v>
      </c>
      <c r="M97" s="738">
        <v>0.89537236399999998</v>
      </c>
      <c r="N97" s="738">
        <v>0.94175978100000002</v>
      </c>
      <c r="O97" s="738">
        <v>0.93275770599999996</v>
      </c>
      <c r="P97" s="737">
        <v>0.91804364500000002</v>
      </c>
    </row>
    <row r="98" spans="1:16" ht="16.5" customHeight="1" x14ac:dyDescent="0.2">
      <c r="A98" s="562" t="s">
        <v>462</v>
      </c>
      <c r="B98" s="721" t="s">
        <v>102</v>
      </c>
      <c r="C98" s="721">
        <v>0.46283358299999999</v>
      </c>
      <c r="D98" s="721">
        <v>0.62164002399999996</v>
      </c>
      <c r="E98" s="721">
        <v>0.37808330000000001</v>
      </c>
      <c r="F98" s="721">
        <v>0.36220857499999998</v>
      </c>
      <c r="G98" s="721">
        <v>0.33656038199999999</v>
      </c>
      <c r="H98" s="721">
        <v>0.31095131100000001</v>
      </c>
      <c r="I98" s="721">
        <v>0.26656183100000003</v>
      </c>
      <c r="J98" s="721">
        <v>0.250462201</v>
      </c>
      <c r="K98" s="721">
        <v>0.25324961699999998</v>
      </c>
      <c r="L98" s="721">
        <v>0.194747688</v>
      </c>
      <c r="M98" s="722">
        <v>0.32775953099999999</v>
      </c>
      <c r="N98" s="722">
        <v>0.234723971</v>
      </c>
      <c r="O98" s="722">
        <v>0.25277871800000001</v>
      </c>
      <c r="P98" s="721">
        <v>0.28556616800000001</v>
      </c>
    </row>
    <row r="99" spans="1:16" ht="16.5" customHeight="1" x14ac:dyDescent="0.25">
      <c r="A99" s="492" t="s">
        <v>409</v>
      </c>
      <c r="B99" s="723" t="s">
        <v>102</v>
      </c>
      <c r="C99" s="723">
        <v>0.20118793700000001</v>
      </c>
      <c r="D99" s="723">
        <v>0.489768284</v>
      </c>
      <c r="E99" s="723">
        <v>0.56567488799999999</v>
      </c>
      <c r="F99" s="723">
        <v>0.581884069</v>
      </c>
      <c r="G99" s="723">
        <v>0.55830456799999995</v>
      </c>
      <c r="H99" s="723">
        <v>0.57242861899999997</v>
      </c>
      <c r="I99" s="723">
        <v>0.55505169899999995</v>
      </c>
      <c r="J99" s="723">
        <v>0.61554715599999998</v>
      </c>
      <c r="K99" s="723">
        <v>0.75924243499999999</v>
      </c>
      <c r="L99" s="723">
        <v>0.96505183100000003</v>
      </c>
      <c r="M99" s="724">
        <v>0.57092040600000005</v>
      </c>
      <c r="N99" s="724">
        <v>0.75068451599999997</v>
      </c>
      <c r="O99" s="724">
        <v>0.71579897999999997</v>
      </c>
      <c r="P99" s="723">
        <v>0.68581690699999998</v>
      </c>
    </row>
    <row r="100" spans="1:16" ht="16.5" customHeight="1" x14ac:dyDescent="0.2">
      <c r="A100" s="495" t="s">
        <v>795</v>
      </c>
      <c r="B100" s="739" t="s">
        <v>102</v>
      </c>
      <c r="C100" s="739">
        <v>0.51289316100000004</v>
      </c>
      <c r="D100" s="739">
        <v>2.0075860080000001</v>
      </c>
      <c r="E100" s="739">
        <v>2.9347801599999999</v>
      </c>
      <c r="F100" s="739">
        <v>3.264169109</v>
      </c>
      <c r="G100" s="739">
        <v>3.2430889519999999</v>
      </c>
      <c r="H100" s="739">
        <v>3.6336311800000001</v>
      </c>
      <c r="I100" s="739">
        <v>4.0059453630000004</v>
      </c>
      <c r="J100" s="739">
        <v>4.772796349</v>
      </c>
      <c r="K100" s="739">
        <v>5.6223035360000004</v>
      </c>
      <c r="L100" s="739">
        <v>10.158895801</v>
      </c>
      <c r="M100" s="740">
        <v>3.4482922820000002</v>
      </c>
      <c r="N100" s="740">
        <v>6.2494025049999999</v>
      </c>
      <c r="O100" s="740">
        <v>5.5514020329999996</v>
      </c>
      <c r="P100" s="739">
        <v>4.6822845800000001</v>
      </c>
    </row>
    <row r="101" spans="1:16" ht="15" customHeight="1" x14ac:dyDescent="0.2">
      <c r="A101" s="255" t="s">
        <v>470</v>
      </c>
      <c r="B101" s="13"/>
      <c r="C101" s="13"/>
      <c r="D101" s="13"/>
      <c r="E101" s="13"/>
      <c r="F101" s="13"/>
      <c r="G101" s="13"/>
      <c r="H101" s="13"/>
      <c r="I101" s="13"/>
      <c r="J101" s="13"/>
      <c r="K101" s="13"/>
      <c r="L101" s="13"/>
      <c r="M101" s="215"/>
      <c r="N101" s="215"/>
      <c r="O101" s="215"/>
      <c r="P101" s="39"/>
    </row>
    <row r="102" spans="1:16" ht="15" customHeight="1" x14ac:dyDescent="0.2">
      <c r="A102" s="168" t="s">
        <v>616</v>
      </c>
      <c r="B102" s="13"/>
      <c r="C102" s="13"/>
      <c r="D102" s="13"/>
      <c r="E102" s="13"/>
      <c r="F102" s="13"/>
      <c r="G102" s="13"/>
      <c r="H102" s="13"/>
      <c r="I102" s="13"/>
      <c r="J102" s="13"/>
      <c r="K102" s="13"/>
      <c r="L102" s="13"/>
      <c r="M102" s="215"/>
      <c r="N102" s="215"/>
      <c r="O102" s="215"/>
      <c r="P102" s="39"/>
    </row>
    <row r="103" spans="1:16" ht="15" customHeight="1" x14ac:dyDescent="0.2">
      <c r="A103" s="255" t="s">
        <v>988</v>
      </c>
      <c r="B103" s="3"/>
      <c r="C103" s="3"/>
      <c r="D103" s="3"/>
      <c r="G103" s="185"/>
      <c r="J103" s="185"/>
      <c r="M103" s="215"/>
      <c r="N103" s="215"/>
      <c r="O103" s="215"/>
    </row>
    <row r="104" spans="1:16" ht="15" customHeight="1" x14ac:dyDescent="0.2">
      <c r="A104" s="286" t="s">
        <v>916</v>
      </c>
      <c r="B104" s="3"/>
      <c r="C104" s="3"/>
      <c r="D104" s="3"/>
      <c r="G104" s="185"/>
      <c r="J104" s="185"/>
      <c r="M104" s="215"/>
      <c r="N104" s="215"/>
      <c r="O104" s="215"/>
    </row>
    <row r="105" spans="1:16" ht="15" customHeight="1" x14ac:dyDescent="0.2">
      <c r="A105" s="13"/>
      <c r="B105" s="13"/>
      <c r="C105" s="13"/>
      <c r="D105" s="13"/>
      <c r="E105" s="13"/>
      <c r="F105" s="13"/>
      <c r="G105" s="13"/>
      <c r="H105" s="13"/>
      <c r="I105" s="13"/>
      <c r="J105" s="13"/>
      <c r="K105" s="13"/>
      <c r="L105" s="13"/>
      <c r="M105" s="215"/>
      <c r="N105" s="215"/>
      <c r="O105" s="215"/>
      <c r="P105" s="39"/>
    </row>
    <row r="106" spans="1:16" ht="18" customHeight="1" x14ac:dyDescent="0.25">
      <c r="A106" s="280" t="s">
        <v>1003</v>
      </c>
      <c r="B106" s="13"/>
      <c r="C106" s="13"/>
      <c r="D106" s="13"/>
      <c r="E106" s="13"/>
      <c r="F106" s="13"/>
      <c r="G106" s="13"/>
      <c r="H106" s="13"/>
      <c r="I106" s="13"/>
      <c r="J106" s="13"/>
      <c r="K106" s="13"/>
      <c r="L106" s="13"/>
      <c r="M106" s="215"/>
      <c r="N106" s="215"/>
      <c r="O106" s="215"/>
      <c r="P106" s="39"/>
    </row>
    <row r="107" spans="1:16" ht="15" customHeight="1" thickBot="1" x14ac:dyDescent="0.25">
      <c r="A107" s="13"/>
      <c r="B107" s="13"/>
      <c r="C107" s="13"/>
      <c r="D107" s="13"/>
      <c r="E107" s="13"/>
      <c r="F107" s="13"/>
      <c r="G107" s="13"/>
      <c r="H107" s="13"/>
      <c r="I107" s="13"/>
      <c r="J107" s="13"/>
      <c r="K107" s="13"/>
      <c r="L107" s="13"/>
      <c r="M107" s="215"/>
      <c r="N107" s="215"/>
      <c r="O107" s="215"/>
      <c r="P107" s="285" t="s">
        <v>23</v>
      </c>
    </row>
    <row r="108" spans="1:16" ht="15" customHeight="1" x14ac:dyDescent="0.2">
      <c r="A108" s="565" t="s">
        <v>81</v>
      </c>
      <c r="B108" s="42" t="s">
        <v>35</v>
      </c>
      <c r="C108" s="42" t="s">
        <v>121</v>
      </c>
      <c r="D108" s="42" t="s">
        <v>123</v>
      </c>
      <c r="E108" s="42" t="s">
        <v>36</v>
      </c>
      <c r="F108" s="42" t="s">
        <v>37</v>
      </c>
      <c r="G108" s="42" t="s">
        <v>38</v>
      </c>
      <c r="H108" s="42" t="s">
        <v>39</v>
      </c>
      <c r="I108" s="42" t="s">
        <v>125</v>
      </c>
      <c r="J108" s="42" t="s">
        <v>126</v>
      </c>
      <c r="K108" s="42" t="s">
        <v>127</v>
      </c>
      <c r="L108" s="252">
        <v>100000</v>
      </c>
      <c r="M108" s="250" t="s">
        <v>231</v>
      </c>
      <c r="N108" s="250" t="s">
        <v>229</v>
      </c>
      <c r="O108" s="257" t="s">
        <v>77</v>
      </c>
      <c r="P108" s="281" t="s">
        <v>220</v>
      </c>
    </row>
    <row r="109" spans="1:16" ht="15" customHeight="1" x14ac:dyDescent="0.2">
      <c r="A109" s="229" t="s">
        <v>225</v>
      </c>
      <c r="B109" s="43" t="s">
        <v>120</v>
      </c>
      <c r="C109" s="43" t="s">
        <v>40</v>
      </c>
      <c r="D109" s="43" t="s">
        <v>40</v>
      </c>
      <c r="E109" s="43" t="s">
        <v>40</v>
      </c>
      <c r="F109" s="43" t="s">
        <v>40</v>
      </c>
      <c r="G109" s="43" t="s">
        <v>40</v>
      </c>
      <c r="H109" s="43" t="s">
        <v>40</v>
      </c>
      <c r="I109" s="43" t="s">
        <v>40</v>
      </c>
      <c r="J109" s="43" t="s">
        <v>40</v>
      </c>
      <c r="K109" s="43" t="s">
        <v>40</v>
      </c>
      <c r="L109" s="43" t="s">
        <v>43</v>
      </c>
      <c r="M109" s="239" t="s">
        <v>230</v>
      </c>
      <c r="N109" s="239" t="s">
        <v>138</v>
      </c>
      <c r="O109" s="256" t="s">
        <v>137</v>
      </c>
      <c r="P109" s="282" t="s">
        <v>294</v>
      </c>
    </row>
    <row r="110" spans="1:16" ht="15" customHeight="1" thickBot="1" x14ac:dyDescent="0.25">
      <c r="A110" s="423" t="s">
        <v>82</v>
      </c>
      <c r="B110" s="44" t="s">
        <v>43</v>
      </c>
      <c r="C110" s="44" t="s">
        <v>122</v>
      </c>
      <c r="D110" s="44" t="s">
        <v>124</v>
      </c>
      <c r="E110" s="44" t="s">
        <v>44</v>
      </c>
      <c r="F110" s="44" t="s">
        <v>45</v>
      </c>
      <c r="G110" s="44" t="s">
        <v>46</v>
      </c>
      <c r="H110" s="44" t="s">
        <v>42</v>
      </c>
      <c r="I110" s="44" t="s">
        <v>128</v>
      </c>
      <c r="J110" s="44" t="s">
        <v>129</v>
      </c>
      <c r="K110" s="44" t="s">
        <v>130</v>
      </c>
      <c r="L110" s="44" t="s">
        <v>131</v>
      </c>
      <c r="M110" s="251" t="s">
        <v>138</v>
      </c>
      <c r="N110" s="251" t="s">
        <v>131</v>
      </c>
      <c r="O110" s="258" t="s">
        <v>41</v>
      </c>
      <c r="P110" s="283" t="s">
        <v>295</v>
      </c>
    </row>
    <row r="111" spans="1:16" ht="15" customHeight="1" x14ac:dyDescent="0.25">
      <c r="A111" s="544" t="s">
        <v>223</v>
      </c>
      <c r="B111" s="192"/>
      <c r="C111" s="192"/>
      <c r="D111" s="192"/>
      <c r="E111" s="192"/>
      <c r="F111" s="192"/>
      <c r="G111" s="192"/>
      <c r="H111" s="192"/>
      <c r="I111" s="192"/>
      <c r="J111" s="192"/>
      <c r="K111" s="192"/>
      <c r="L111" s="192"/>
      <c r="M111" s="253"/>
      <c r="N111" s="253"/>
      <c r="O111" s="253"/>
    </row>
    <row r="112" spans="1:16" ht="16.5" customHeight="1" x14ac:dyDescent="0.25">
      <c r="A112" s="487" t="s">
        <v>291</v>
      </c>
      <c r="B112" s="572" t="s">
        <v>102</v>
      </c>
      <c r="C112" s="572">
        <v>-2.1829634420000001</v>
      </c>
      <c r="D112" s="572">
        <v>3.1265440299999998</v>
      </c>
      <c r="E112" s="572">
        <v>4.6448203179999998</v>
      </c>
      <c r="F112" s="572">
        <v>4.5782837010000001</v>
      </c>
      <c r="G112" s="572">
        <v>3.520694239</v>
      </c>
      <c r="H112" s="572">
        <v>3.8272136649999999</v>
      </c>
      <c r="I112" s="572">
        <v>3.622881864</v>
      </c>
      <c r="J112" s="572">
        <v>3.145257548</v>
      </c>
      <c r="K112" s="572">
        <v>3.627243988</v>
      </c>
      <c r="L112" s="572">
        <v>5.335996529</v>
      </c>
      <c r="M112" s="573">
        <v>3.9423008799999999</v>
      </c>
      <c r="N112" s="573">
        <v>4.0816174900000002</v>
      </c>
      <c r="O112" s="573">
        <v>4.0556758000000004</v>
      </c>
      <c r="P112" s="572">
        <v>4.1620652739999997</v>
      </c>
    </row>
    <row r="113" spans="1:16" ht="15.75" customHeight="1" x14ac:dyDescent="0.2">
      <c r="A113" s="490" t="s">
        <v>161</v>
      </c>
      <c r="B113" s="574" t="s">
        <v>102</v>
      </c>
      <c r="C113" s="574">
        <v>-7.7624766630000002</v>
      </c>
      <c r="D113" s="574">
        <v>6.6293635709999998</v>
      </c>
      <c r="E113" s="574">
        <v>5.3502701080000001</v>
      </c>
      <c r="F113" s="574">
        <v>3.92587493</v>
      </c>
      <c r="G113" s="574">
        <v>2.5736568719999999</v>
      </c>
      <c r="H113" s="574">
        <v>3.2448469549999999</v>
      </c>
      <c r="I113" s="574">
        <v>3.411162563</v>
      </c>
      <c r="J113" s="574">
        <v>2.3192225359999998</v>
      </c>
      <c r="K113" s="574">
        <v>3.3255517860000001</v>
      </c>
      <c r="L113" s="574">
        <v>5.222394553</v>
      </c>
      <c r="M113" s="575">
        <v>3.4263922340000001</v>
      </c>
      <c r="N113" s="575">
        <v>3.5577088039999998</v>
      </c>
      <c r="O113" s="575">
        <v>3.5267535200000002</v>
      </c>
      <c r="P113" s="574">
        <v>4.1244060170000001</v>
      </c>
    </row>
    <row r="114" spans="1:16" ht="15.75" customHeight="1" x14ac:dyDescent="0.2">
      <c r="A114" s="492" t="s">
        <v>162</v>
      </c>
      <c r="B114" s="576" t="s">
        <v>102</v>
      </c>
      <c r="C114" s="577">
        <v>2.3652900109999999</v>
      </c>
      <c r="D114" s="576">
        <v>6.017689378</v>
      </c>
      <c r="E114" s="576">
        <v>4.7058940890000001</v>
      </c>
      <c r="F114" s="576">
        <v>5.2789778529999998</v>
      </c>
      <c r="G114" s="576">
        <v>4.8063559409999996</v>
      </c>
      <c r="H114" s="576">
        <v>4.1671619599999996</v>
      </c>
      <c r="I114" s="576">
        <v>3.9619300489999998</v>
      </c>
      <c r="J114" s="576">
        <v>3.5226657779999999</v>
      </c>
      <c r="K114" s="576">
        <v>3.077196523</v>
      </c>
      <c r="L114" s="576">
        <v>5.46321952</v>
      </c>
      <c r="M114" s="578">
        <v>4.4445858280000001</v>
      </c>
      <c r="N114" s="578">
        <v>4.1148027039999997</v>
      </c>
      <c r="O114" s="578">
        <v>4.1748111339999996</v>
      </c>
      <c r="P114" s="576">
        <v>4.3167059109999997</v>
      </c>
    </row>
    <row r="115" spans="1:16" ht="15.75" customHeight="1" x14ac:dyDescent="0.2">
      <c r="A115" s="490" t="s">
        <v>163</v>
      </c>
      <c r="B115" s="574" t="s">
        <v>102</v>
      </c>
      <c r="C115" s="574">
        <v>-0.83625910800000003</v>
      </c>
      <c r="D115" s="574">
        <v>11.539219766</v>
      </c>
      <c r="E115" s="574">
        <v>3.468103116</v>
      </c>
      <c r="F115" s="574">
        <v>4.0952919589999999</v>
      </c>
      <c r="G115" s="574">
        <v>4.1788665780000001</v>
      </c>
      <c r="H115" s="574">
        <v>4.106628068</v>
      </c>
      <c r="I115" s="574">
        <v>8.0761072780000003</v>
      </c>
      <c r="J115" s="574">
        <v>6.872452021</v>
      </c>
      <c r="K115" s="574">
        <v>12.233176846999999</v>
      </c>
      <c r="L115" s="574">
        <v>14.822677948999999</v>
      </c>
      <c r="M115" s="575">
        <v>4.0747793290000001</v>
      </c>
      <c r="N115" s="575">
        <v>11.160026028000001</v>
      </c>
      <c r="O115" s="575">
        <v>10.00098882</v>
      </c>
      <c r="P115" s="574">
        <v>9.3827758180000007</v>
      </c>
    </row>
    <row r="116" spans="1:16" ht="15.75" customHeight="1" x14ac:dyDescent="0.2">
      <c r="A116" s="492" t="s">
        <v>164</v>
      </c>
      <c r="B116" s="576" t="s">
        <v>102</v>
      </c>
      <c r="C116" s="576">
        <v>2.3434003589999999</v>
      </c>
      <c r="D116" s="576">
        <v>-7.9048279580000003</v>
      </c>
      <c r="E116" s="576">
        <v>5.3094397239999997</v>
      </c>
      <c r="F116" s="576">
        <v>5.4210048970000004</v>
      </c>
      <c r="G116" s="576">
        <v>2.8600874489999999</v>
      </c>
      <c r="H116" s="576">
        <v>4.6734315989999997</v>
      </c>
      <c r="I116" s="576">
        <v>3.373853784</v>
      </c>
      <c r="J116" s="576">
        <v>4.7543044950000004</v>
      </c>
      <c r="K116" s="576">
        <v>4.6279635969999999</v>
      </c>
      <c r="L116" s="576">
        <v>4.9963777340000002</v>
      </c>
      <c r="M116" s="578">
        <v>4.5110995110000003</v>
      </c>
      <c r="N116" s="578">
        <v>4.7290746610000003</v>
      </c>
      <c r="O116" s="578">
        <v>4.705252378</v>
      </c>
      <c r="P116" s="576">
        <v>4.774120527</v>
      </c>
    </row>
    <row r="117" spans="1:16" ht="15.75" customHeight="1" x14ac:dyDescent="0.2">
      <c r="A117" s="495" t="s">
        <v>165</v>
      </c>
      <c r="B117" s="579" t="s">
        <v>102</v>
      </c>
      <c r="C117" s="579">
        <v>0.142400522</v>
      </c>
      <c r="D117" s="579">
        <v>-0.17531527</v>
      </c>
      <c r="E117" s="579">
        <v>0.84858599300000004</v>
      </c>
      <c r="F117" s="579">
        <v>0.73124814100000002</v>
      </c>
      <c r="G117" s="579">
        <v>-4.234600651</v>
      </c>
      <c r="H117" s="579">
        <v>0.64575878600000003</v>
      </c>
      <c r="I117" s="579">
        <v>-2.9744977459999999</v>
      </c>
      <c r="J117" s="579">
        <v>-6.3619181850000004</v>
      </c>
      <c r="K117" s="579">
        <v>6.7432820009999999</v>
      </c>
      <c r="L117" s="579">
        <v>-1.1109459749999999</v>
      </c>
      <c r="M117" s="580">
        <v>-0.14691779899999999</v>
      </c>
      <c r="N117" s="580">
        <v>-1.648108468</v>
      </c>
      <c r="O117" s="580">
        <v>-1.2487326839999999</v>
      </c>
      <c r="P117" s="579">
        <v>-2.0940267050000001</v>
      </c>
    </row>
    <row r="118" spans="1:16" ht="16.5" customHeight="1" x14ac:dyDescent="0.25">
      <c r="A118" s="498" t="s">
        <v>290</v>
      </c>
      <c r="B118" s="581" t="s">
        <v>102</v>
      </c>
      <c r="C118" s="581">
        <v>44.308857211999999</v>
      </c>
      <c r="D118" s="581">
        <v>3.7320885609999999</v>
      </c>
      <c r="E118" s="581">
        <v>4.3339747229999999</v>
      </c>
      <c r="F118" s="581">
        <v>3.0424832450000001</v>
      </c>
      <c r="G118" s="581">
        <v>3.525330232</v>
      </c>
      <c r="H118" s="581">
        <v>3.583339396</v>
      </c>
      <c r="I118" s="581">
        <v>3.0620899129999999</v>
      </c>
      <c r="J118" s="581">
        <v>2.7158002379999999</v>
      </c>
      <c r="K118" s="581">
        <v>3.8322214809999999</v>
      </c>
      <c r="L118" s="581">
        <v>1.783763118</v>
      </c>
      <c r="M118" s="582">
        <v>3.5552447140000001</v>
      </c>
      <c r="N118" s="582">
        <v>2.654287718</v>
      </c>
      <c r="O118" s="582">
        <v>2.8279899839999998</v>
      </c>
      <c r="P118" s="581">
        <v>3.0409965190000001</v>
      </c>
    </row>
    <row r="119" spans="1:16" ht="16.5" customHeight="1" x14ac:dyDescent="0.2">
      <c r="A119" s="490" t="s">
        <v>517</v>
      </c>
      <c r="B119" s="574" t="s">
        <v>102</v>
      </c>
      <c r="C119" s="574">
        <v>34.951822399000001</v>
      </c>
      <c r="D119" s="574">
        <v>2.4879640040000002</v>
      </c>
      <c r="E119" s="574">
        <v>4.734455037</v>
      </c>
      <c r="F119" s="574">
        <v>3.6061043220000002</v>
      </c>
      <c r="G119" s="574">
        <v>3.7971917199999998</v>
      </c>
      <c r="H119" s="574">
        <v>3.3578150080000002</v>
      </c>
      <c r="I119" s="574">
        <v>2.951109185</v>
      </c>
      <c r="J119" s="574">
        <v>2.5232605779999999</v>
      </c>
      <c r="K119" s="574">
        <v>2.4361694250000001</v>
      </c>
      <c r="L119" s="574">
        <v>0.76346247300000003</v>
      </c>
      <c r="M119" s="575">
        <v>3.5636640810000002</v>
      </c>
      <c r="N119" s="575">
        <v>1.9480144619999999</v>
      </c>
      <c r="O119" s="575">
        <v>2.2510169439999999</v>
      </c>
      <c r="P119" s="574">
        <v>2.5801110770000002</v>
      </c>
    </row>
    <row r="120" spans="1:16" ht="16.5" customHeight="1" x14ac:dyDescent="0.2">
      <c r="A120" s="693" t="s">
        <v>518</v>
      </c>
      <c r="B120" s="576" t="s">
        <v>102</v>
      </c>
      <c r="C120" s="576">
        <v>49.788710092999999</v>
      </c>
      <c r="D120" s="576">
        <v>5.224317697</v>
      </c>
      <c r="E120" s="576">
        <v>6.1015526360000001</v>
      </c>
      <c r="F120" s="576">
        <v>5.3340901250000003</v>
      </c>
      <c r="G120" s="576">
        <v>5.5672001450000002</v>
      </c>
      <c r="H120" s="576">
        <v>4.7952042209999997</v>
      </c>
      <c r="I120" s="576">
        <v>4.1728597230000002</v>
      </c>
      <c r="J120" s="576">
        <v>3.7427421750000001</v>
      </c>
      <c r="K120" s="576">
        <v>3.34669704</v>
      </c>
      <c r="L120" s="576">
        <v>3.3018951759999999</v>
      </c>
      <c r="M120" s="578">
        <v>5.0946172430000001</v>
      </c>
      <c r="N120" s="578">
        <v>3.6124251090000001</v>
      </c>
      <c r="O120" s="578">
        <v>3.9087987399999999</v>
      </c>
      <c r="P120" s="576">
        <v>4.3555070819999999</v>
      </c>
    </row>
    <row r="121" spans="1:16" ht="16.5" customHeight="1" x14ac:dyDescent="0.2">
      <c r="A121" s="490" t="s">
        <v>645</v>
      </c>
      <c r="B121" s="574" t="s">
        <v>102</v>
      </c>
      <c r="C121" s="574">
        <v>-40.411907798000001</v>
      </c>
      <c r="D121" s="574">
        <v>-1.0385785359999999</v>
      </c>
      <c r="E121" s="574">
        <v>2.4893955609999998</v>
      </c>
      <c r="F121" s="574">
        <v>2.666962131</v>
      </c>
      <c r="G121" s="574">
        <v>1.111961617</v>
      </c>
      <c r="H121" s="574">
        <v>3.2472246000000003E-2</v>
      </c>
      <c r="I121" s="574">
        <v>0.462834417</v>
      </c>
      <c r="J121" s="574">
        <v>4.1751429E-2</v>
      </c>
      <c r="K121" s="574">
        <v>-0.90880117000000005</v>
      </c>
      <c r="L121" s="574">
        <v>3.0503433549999999</v>
      </c>
      <c r="M121" s="575">
        <v>0.74726747199999999</v>
      </c>
      <c r="N121" s="575">
        <v>0.76277657899999995</v>
      </c>
      <c r="O121" s="575">
        <v>0.75952078000000001</v>
      </c>
      <c r="P121" s="574">
        <v>0.872639779</v>
      </c>
    </row>
    <row r="122" spans="1:16" ht="16.5" customHeight="1" x14ac:dyDescent="0.2">
      <c r="A122" s="492" t="s">
        <v>168</v>
      </c>
      <c r="B122" s="576" t="s">
        <v>102</v>
      </c>
      <c r="C122" s="576">
        <v>-32.700320992000002</v>
      </c>
      <c r="D122" s="576">
        <v>-13.005107121</v>
      </c>
      <c r="E122" s="576">
        <v>-7.3304946790000001</v>
      </c>
      <c r="F122" s="576">
        <v>-12.098566122999999</v>
      </c>
      <c r="G122" s="576">
        <v>-9.6420506889999995</v>
      </c>
      <c r="H122" s="576">
        <v>-7.1245062020000001</v>
      </c>
      <c r="I122" s="576">
        <v>-5.4615241880000003</v>
      </c>
      <c r="J122" s="576">
        <v>-8.1577291219999992</v>
      </c>
      <c r="K122" s="576">
        <v>-4.3593863580000001</v>
      </c>
      <c r="L122" s="576">
        <v>-4.9759739779999999</v>
      </c>
      <c r="M122" s="578">
        <v>-8.160569937</v>
      </c>
      <c r="N122" s="578">
        <v>-5.4783611490000004</v>
      </c>
      <c r="O122" s="578">
        <v>-5.8192932749999997</v>
      </c>
      <c r="P122" s="576">
        <v>-6.3222694539999997</v>
      </c>
    </row>
    <row r="123" spans="1:16" ht="16.5" customHeight="1" x14ac:dyDescent="0.2">
      <c r="A123" s="490" t="s">
        <v>519</v>
      </c>
      <c r="B123" s="574" t="s">
        <v>102</v>
      </c>
      <c r="C123" s="574">
        <v>-9.2036759939999992</v>
      </c>
      <c r="D123" s="574">
        <v>1.031301985</v>
      </c>
      <c r="E123" s="574">
        <v>2.9246550500000001</v>
      </c>
      <c r="F123" s="574">
        <v>1.7844349610000001</v>
      </c>
      <c r="G123" s="574">
        <v>2.7322860339999999</v>
      </c>
      <c r="H123" s="574">
        <v>3.097886651</v>
      </c>
      <c r="I123" s="574">
        <v>2.4651786580000001</v>
      </c>
      <c r="J123" s="574">
        <v>2.8497925529999999</v>
      </c>
      <c r="K123" s="574">
        <v>3.8138888710000001</v>
      </c>
      <c r="L123" s="574">
        <v>2.6579564229999999</v>
      </c>
      <c r="M123" s="575">
        <v>2.8501998479999999</v>
      </c>
      <c r="N123" s="575">
        <v>2.9128269549999999</v>
      </c>
      <c r="O123" s="575">
        <v>2.8997042390000001</v>
      </c>
      <c r="P123" s="574">
        <v>3.3060133010000001</v>
      </c>
    </row>
    <row r="124" spans="1:16" ht="16.5" customHeight="1" x14ac:dyDescent="0.2">
      <c r="A124" s="693" t="s">
        <v>646</v>
      </c>
      <c r="B124" s="576" t="s">
        <v>102</v>
      </c>
      <c r="C124" s="576">
        <v>0.48880885000000002</v>
      </c>
      <c r="D124" s="576">
        <v>1.306712404</v>
      </c>
      <c r="E124" s="576">
        <v>0.22605798099999999</v>
      </c>
      <c r="F124" s="576">
        <v>1.408341691</v>
      </c>
      <c r="G124" s="576">
        <v>1.52104347</v>
      </c>
      <c r="H124" s="576">
        <v>1.726813151</v>
      </c>
      <c r="I124" s="576">
        <v>1.3722095700000001</v>
      </c>
      <c r="J124" s="576">
        <v>2.8420080840000002</v>
      </c>
      <c r="K124" s="576">
        <v>3.076658997</v>
      </c>
      <c r="L124" s="576">
        <v>1.9634679070000001</v>
      </c>
      <c r="M124" s="578">
        <v>1.5448320179999999</v>
      </c>
      <c r="N124" s="578">
        <v>2.364636306</v>
      </c>
      <c r="O124" s="578">
        <v>2.2133462559999999</v>
      </c>
      <c r="P124" s="576">
        <v>1.991452765</v>
      </c>
    </row>
    <row r="125" spans="1:16" ht="15.75" customHeight="1" x14ac:dyDescent="0.2">
      <c r="A125" s="490" t="s">
        <v>171</v>
      </c>
      <c r="B125" s="574" t="s">
        <v>102</v>
      </c>
      <c r="C125" s="574">
        <v>18.141772496000002</v>
      </c>
      <c r="D125" s="574">
        <v>27.169428514</v>
      </c>
      <c r="E125" s="574">
        <v>30.144697122</v>
      </c>
      <c r="F125" s="574">
        <v>-0.25810772100000001</v>
      </c>
      <c r="G125" s="574">
        <v>12.038573339999999</v>
      </c>
      <c r="H125" s="574">
        <v>5.2281973949999996</v>
      </c>
      <c r="I125" s="574">
        <v>1.390225743</v>
      </c>
      <c r="J125" s="574">
        <v>-5.1341789990000004</v>
      </c>
      <c r="K125" s="574">
        <v>-0.97633376999999999</v>
      </c>
      <c r="L125" s="574">
        <v>0.523759329</v>
      </c>
      <c r="M125" s="575">
        <v>9.0225859059999998</v>
      </c>
      <c r="N125" s="575">
        <v>-1.0751610220000001</v>
      </c>
      <c r="O125" s="575">
        <v>0.38529272599999997</v>
      </c>
      <c r="P125" s="574">
        <v>4.8452199709999997</v>
      </c>
    </row>
    <row r="126" spans="1:16" ht="15.75" customHeight="1" x14ac:dyDescent="0.2">
      <c r="A126" s="693" t="s">
        <v>607</v>
      </c>
      <c r="B126" s="576" t="s">
        <v>102</v>
      </c>
      <c r="C126" s="576">
        <v>-21.677121241999998</v>
      </c>
      <c r="D126" s="576">
        <v>-5.551371133</v>
      </c>
      <c r="E126" s="576">
        <v>5.9601804239999998</v>
      </c>
      <c r="F126" s="576">
        <v>2.7949334459999999</v>
      </c>
      <c r="G126" s="576">
        <v>5.2103284810000003</v>
      </c>
      <c r="H126" s="576">
        <v>6.5109125189999997</v>
      </c>
      <c r="I126" s="576">
        <v>6.3367329540000004</v>
      </c>
      <c r="J126" s="576">
        <v>3.7162774930000002</v>
      </c>
      <c r="K126" s="576">
        <v>9.3499119499999992</v>
      </c>
      <c r="L126" s="576">
        <v>8.4633801070000008</v>
      </c>
      <c r="M126" s="578">
        <v>5.7274589809999998</v>
      </c>
      <c r="N126" s="578">
        <v>6.3616990050000002</v>
      </c>
      <c r="O126" s="578">
        <v>6.155584213</v>
      </c>
      <c r="P126" s="576">
        <v>8.2934490230000009</v>
      </c>
    </row>
    <row r="127" spans="1:16" ht="15.75" customHeight="1" x14ac:dyDescent="0.2">
      <c r="A127" s="490" t="s">
        <v>172</v>
      </c>
      <c r="B127" s="574" t="s">
        <v>102</v>
      </c>
      <c r="C127" s="574">
        <v>154.78097417500001</v>
      </c>
      <c r="D127" s="574">
        <v>9.3895971619999994</v>
      </c>
      <c r="E127" s="574">
        <v>-8.9674751690000001</v>
      </c>
      <c r="F127" s="574">
        <v>-4.1283338399999998</v>
      </c>
      <c r="G127" s="574">
        <v>-10.724939364000001</v>
      </c>
      <c r="H127" s="574">
        <v>0.13580294300000001</v>
      </c>
      <c r="I127" s="574">
        <v>-1.086414481</v>
      </c>
      <c r="J127" s="574">
        <v>-0.43260969300000002</v>
      </c>
      <c r="K127" s="574">
        <v>4.5800604519999997</v>
      </c>
      <c r="L127" s="574">
        <v>3.7216026069999999</v>
      </c>
      <c r="M127" s="575">
        <v>-2.63344311</v>
      </c>
      <c r="N127" s="575">
        <v>1.534114666</v>
      </c>
      <c r="O127" s="575">
        <v>0.72408096799999999</v>
      </c>
      <c r="P127" s="574">
        <v>-0.41747921700000001</v>
      </c>
    </row>
    <row r="128" spans="1:16" ht="15.75" customHeight="1" x14ac:dyDescent="0.2">
      <c r="A128" s="492" t="s">
        <v>173</v>
      </c>
      <c r="B128" s="576" t="s">
        <v>102</v>
      </c>
      <c r="C128" s="576">
        <v>43.579885695000002</v>
      </c>
      <c r="D128" s="576">
        <v>-3.8107406699999999</v>
      </c>
      <c r="E128" s="576">
        <v>6.3252028210000004</v>
      </c>
      <c r="F128" s="576">
        <v>5.3109051779999996</v>
      </c>
      <c r="G128" s="576">
        <v>4.8408191780000003</v>
      </c>
      <c r="H128" s="576">
        <v>5.0223698499999996</v>
      </c>
      <c r="I128" s="576">
        <v>7.2904467430000004</v>
      </c>
      <c r="J128" s="576">
        <v>6.204501574</v>
      </c>
      <c r="K128" s="576">
        <v>9.2512787440000004</v>
      </c>
      <c r="L128" s="576">
        <v>6.1885633640000002</v>
      </c>
      <c r="M128" s="578">
        <v>5.1249787869999999</v>
      </c>
      <c r="N128" s="578">
        <v>6.9063462680000001</v>
      </c>
      <c r="O128" s="578">
        <v>6.5606010589999997</v>
      </c>
      <c r="P128" s="576">
        <v>5.9775590489999999</v>
      </c>
    </row>
    <row r="129" spans="1:16" ht="15.75" customHeight="1" x14ac:dyDescent="0.2">
      <c r="A129" s="495" t="s">
        <v>174</v>
      </c>
      <c r="B129" s="579" t="s">
        <v>102</v>
      </c>
      <c r="C129" s="579">
        <v>892.54312972900004</v>
      </c>
      <c r="D129" s="579">
        <v>23.799042498999999</v>
      </c>
      <c r="E129" s="579">
        <v>9.0118534520000004</v>
      </c>
      <c r="F129" s="579">
        <v>1.668044504</v>
      </c>
      <c r="G129" s="579">
        <v>16.005745300000001</v>
      </c>
      <c r="H129" s="579">
        <v>11.963749284</v>
      </c>
      <c r="I129" s="579">
        <v>5.9220681979999998</v>
      </c>
      <c r="J129" s="579">
        <v>3.4267332540000002</v>
      </c>
      <c r="K129" s="579">
        <v>24.936306006999999</v>
      </c>
      <c r="L129" s="579">
        <v>7.1143843269999998</v>
      </c>
      <c r="M129" s="580">
        <v>10.607064553000001</v>
      </c>
      <c r="N129" s="580">
        <v>8.586831407</v>
      </c>
      <c r="O129" s="580">
        <v>9.0431497650000008</v>
      </c>
      <c r="P129" s="579">
        <v>7.484514302</v>
      </c>
    </row>
    <row r="130" spans="1:16" ht="16.5" customHeight="1" x14ac:dyDescent="0.25">
      <c r="A130" s="544" t="s">
        <v>224</v>
      </c>
      <c r="B130" s="583"/>
      <c r="C130" s="583"/>
      <c r="D130" s="583"/>
      <c r="E130" s="583"/>
      <c r="F130" s="583"/>
      <c r="G130" s="583"/>
      <c r="H130" s="583"/>
      <c r="I130" s="583"/>
      <c r="J130" s="583"/>
      <c r="K130" s="583"/>
      <c r="L130" s="583"/>
      <c r="M130" s="584"/>
      <c r="N130" s="584"/>
      <c r="O130" s="584"/>
      <c r="P130" s="583"/>
    </row>
    <row r="131" spans="1:16" ht="16.5" customHeight="1" x14ac:dyDescent="0.25">
      <c r="A131" s="487" t="s">
        <v>288</v>
      </c>
      <c r="B131" s="572" t="s">
        <v>102</v>
      </c>
      <c r="C131" s="572">
        <v>-13.988886086000001</v>
      </c>
      <c r="D131" s="572">
        <v>62.833057535999998</v>
      </c>
      <c r="E131" s="572">
        <v>9.3731217650000005</v>
      </c>
      <c r="F131" s="572">
        <v>17.840933742000001</v>
      </c>
      <c r="G131" s="572">
        <v>16.574956112999999</v>
      </c>
      <c r="H131" s="572">
        <v>13.049041351</v>
      </c>
      <c r="I131" s="572">
        <v>4.2005690170000003</v>
      </c>
      <c r="J131" s="572">
        <v>10.244117430999999</v>
      </c>
      <c r="K131" s="572">
        <v>6.5158762619999999</v>
      </c>
      <c r="L131" s="572">
        <v>10.147721717</v>
      </c>
      <c r="M131" s="573">
        <v>14.080262534999999</v>
      </c>
      <c r="N131" s="573">
        <v>8.2821410090000001</v>
      </c>
      <c r="O131" s="573">
        <v>9.6223105439999994</v>
      </c>
      <c r="P131" s="572">
        <v>9.5551566920000006</v>
      </c>
    </row>
    <row r="132" spans="1:16" ht="15.75" customHeight="1" x14ac:dyDescent="0.2">
      <c r="A132" s="545" t="s">
        <v>178</v>
      </c>
      <c r="B132" s="585" t="s">
        <v>102</v>
      </c>
      <c r="C132" s="585">
        <v>-13.988886086000001</v>
      </c>
      <c r="D132" s="585">
        <v>75.957959239999994</v>
      </c>
      <c r="E132" s="585">
        <v>11.621912703</v>
      </c>
      <c r="F132" s="585">
        <v>18.764869372</v>
      </c>
      <c r="G132" s="585">
        <v>17.534108889999999</v>
      </c>
      <c r="H132" s="585">
        <v>13.453709612000001</v>
      </c>
      <c r="I132" s="585">
        <v>4.9855406200000001</v>
      </c>
      <c r="J132" s="585">
        <v>10.489420769000001</v>
      </c>
      <c r="K132" s="585">
        <v>7.1386837700000001</v>
      </c>
      <c r="L132" s="585">
        <v>10.993675333000001</v>
      </c>
      <c r="M132" s="586">
        <v>14.84359989</v>
      </c>
      <c r="N132" s="586">
        <v>8.8050745559999992</v>
      </c>
      <c r="O132" s="586">
        <v>10.271481353</v>
      </c>
      <c r="P132" s="585">
        <v>10.066763818</v>
      </c>
    </row>
    <row r="133" spans="1:16" ht="15.75" customHeight="1" x14ac:dyDescent="0.2">
      <c r="A133" s="546" t="s">
        <v>179</v>
      </c>
      <c r="B133" s="847" t="s">
        <v>102</v>
      </c>
      <c r="C133" s="587" t="s">
        <v>102</v>
      </c>
      <c r="D133" s="587">
        <v>61.049589605000001</v>
      </c>
      <c r="E133" s="587">
        <v>-10.909410342999999</v>
      </c>
      <c r="F133" s="587">
        <v>-10.223400986</v>
      </c>
      <c r="G133" s="587">
        <v>-1.7733101579999999</v>
      </c>
      <c r="H133" s="587">
        <v>7.7450667160000002</v>
      </c>
      <c r="I133" s="587">
        <v>-8.762126383</v>
      </c>
      <c r="J133" s="587">
        <v>-0.73240185099999999</v>
      </c>
      <c r="K133" s="587">
        <v>-5.6319523260000004</v>
      </c>
      <c r="L133" s="587">
        <v>4.3169992800000001</v>
      </c>
      <c r="M133" s="588">
        <v>2.272681902</v>
      </c>
      <c r="N133" s="588">
        <v>0.85478763300000005</v>
      </c>
      <c r="O133" s="588">
        <v>1.029224828</v>
      </c>
      <c r="P133" s="587">
        <v>1.650074292</v>
      </c>
    </row>
    <row r="134" spans="1:16" ht="15.75" customHeight="1" x14ac:dyDescent="0.2">
      <c r="A134" s="545" t="s">
        <v>180</v>
      </c>
      <c r="B134" s="605" t="s">
        <v>102</v>
      </c>
      <c r="C134" s="585" t="s">
        <v>102</v>
      </c>
      <c r="D134" s="585">
        <v>-79.441750311999996</v>
      </c>
      <c r="E134" s="585">
        <v>-27.469005123999999</v>
      </c>
      <c r="F134" s="585">
        <v>28.393109969000001</v>
      </c>
      <c r="G134" s="585">
        <v>6.9140599150000002</v>
      </c>
      <c r="H134" s="585">
        <v>6.5227990660000001</v>
      </c>
      <c r="I134" s="585">
        <v>-0.11860921000000001</v>
      </c>
      <c r="J134" s="585">
        <v>18.174520320999999</v>
      </c>
      <c r="K134" s="585">
        <v>7.6173063409999999</v>
      </c>
      <c r="L134" s="585">
        <v>17.479575748999999</v>
      </c>
      <c r="M134" s="586">
        <v>4.3115958890000003</v>
      </c>
      <c r="N134" s="586">
        <v>12.433425142999999</v>
      </c>
      <c r="O134" s="586">
        <v>11.106012991</v>
      </c>
      <c r="P134" s="585">
        <v>10.124321709</v>
      </c>
    </row>
    <row r="135" spans="1:16" ht="16.5" customHeight="1" x14ac:dyDescent="0.25">
      <c r="A135" s="547" t="s">
        <v>289</v>
      </c>
      <c r="B135" s="589" t="s">
        <v>102</v>
      </c>
      <c r="C135" s="589">
        <v>3.5481300660000001</v>
      </c>
      <c r="D135" s="589">
        <v>-7.0617391280000001</v>
      </c>
      <c r="E135" s="589">
        <v>5.2795591750000002</v>
      </c>
      <c r="F135" s="589">
        <v>7.4621593940000004</v>
      </c>
      <c r="G135" s="589">
        <v>7.6987612089999997</v>
      </c>
      <c r="H135" s="589">
        <v>9.5841063500000008</v>
      </c>
      <c r="I135" s="589">
        <v>-1.3126759180000001</v>
      </c>
      <c r="J135" s="589">
        <v>-0.64057550799999996</v>
      </c>
      <c r="K135" s="589">
        <v>6.1817529699999998</v>
      </c>
      <c r="L135" s="589">
        <v>7.3617773580000003</v>
      </c>
      <c r="M135" s="590">
        <v>8.4558947480000004</v>
      </c>
      <c r="N135" s="590">
        <v>2.3295077059999998</v>
      </c>
      <c r="O135" s="590">
        <v>3.9169216050000002</v>
      </c>
      <c r="P135" s="589">
        <v>4.4835123899999996</v>
      </c>
    </row>
    <row r="136" spans="1:16" ht="15.75" customHeight="1" x14ac:dyDescent="0.2">
      <c r="A136" s="545" t="s">
        <v>182</v>
      </c>
      <c r="B136" s="585" t="s">
        <v>102</v>
      </c>
      <c r="C136" s="585">
        <v>-53.947412235000002</v>
      </c>
      <c r="D136" s="585">
        <v>41.520699547</v>
      </c>
      <c r="E136" s="585">
        <v>11.965688511</v>
      </c>
      <c r="F136" s="585">
        <v>6.3804190089999997</v>
      </c>
      <c r="G136" s="585">
        <v>9.9640885679999993</v>
      </c>
      <c r="H136" s="585">
        <v>17.833772590999999</v>
      </c>
      <c r="I136" s="585">
        <v>7.9014658420000004</v>
      </c>
      <c r="J136" s="585">
        <v>3.307925826</v>
      </c>
      <c r="K136" s="585">
        <v>16.945941212000001</v>
      </c>
      <c r="L136" s="585">
        <v>24.780777954000001</v>
      </c>
      <c r="M136" s="586">
        <v>14.176704871</v>
      </c>
      <c r="N136" s="586">
        <v>12.176789927</v>
      </c>
      <c r="O136" s="586">
        <v>12.671161453</v>
      </c>
      <c r="P136" s="585">
        <v>11.034858795</v>
      </c>
    </row>
    <row r="137" spans="1:16" ht="15.75" customHeight="1" x14ac:dyDescent="0.2">
      <c r="A137" s="548" t="s">
        <v>183</v>
      </c>
      <c r="B137" s="587" t="s">
        <v>102</v>
      </c>
      <c r="C137" s="587">
        <v>10.399567164</v>
      </c>
      <c r="D137" s="587">
        <v>9.5016574630000008</v>
      </c>
      <c r="E137" s="587">
        <v>8.2287725270000003</v>
      </c>
      <c r="F137" s="587">
        <v>9.5825166680000002</v>
      </c>
      <c r="G137" s="587">
        <v>6.3825253159999997</v>
      </c>
      <c r="H137" s="587">
        <v>12.540827295</v>
      </c>
      <c r="I137" s="587">
        <v>6.4365260449999999</v>
      </c>
      <c r="J137" s="587">
        <v>4.8226853680000001</v>
      </c>
      <c r="K137" s="587">
        <v>9.4143352450000002</v>
      </c>
      <c r="L137" s="587">
        <v>2.7013848619999998</v>
      </c>
      <c r="M137" s="588">
        <v>10.607622985000001</v>
      </c>
      <c r="N137" s="588">
        <v>5.8159541580000003</v>
      </c>
      <c r="O137" s="588">
        <v>7.2036673520000001</v>
      </c>
      <c r="P137" s="587">
        <v>6.0727480229999999</v>
      </c>
    </row>
    <row r="138" spans="1:16" ht="15.75" customHeight="1" x14ac:dyDescent="0.2">
      <c r="A138" s="545" t="s">
        <v>184</v>
      </c>
      <c r="B138" s="585" t="s">
        <v>102</v>
      </c>
      <c r="C138" s="585" t="s">
        <v>102</v>
      </c>
      <c r="D138" s="585">
        <v>-40.006979209999997</v>
      </c>
      <c r="E138" s="585">
        <v>-15.090213251</v>
      </c>
      <c r="F138" s="585">
        <v>2.7023848730000002</v>
      </c>
      <c r="G138" s="585">
        <v>9.0673177910000007</v>
      </c>
      <c r="H138" s="585">
        <v>-8.1956392650000005</v>
      </c>
      <c r="I138" s="585">
        <v>-29.261238038999998</v>
      </c>
      <c r="J138" s="585">
        <v>-15.151100336000001</v>
      </c>
      <c r="K138" s="585">
        <v>-6.3452233720000004</v>
      </c>
      <c r="L138" s="585">
        <v>-3.3341426190000001</v>
      </c>
      <c r="M138" s="586">
        <v>-4.5593822250000002</v>
      </c>
      <c r="N138" s="586">
        <v>-13.216400041</v>
      </c>
      <c r="O138" s="586">
        <v>-11.436280749</v>
      </c>
      <c r="P138" s="585">
        <v>-6.9354846710000002</v>
      </c>
    </row>
    <row r="139" spans="1:16" ht="16.5" customHeight="1" x14ac:dyDescent="0.25">
      <c r="A139" s="549" t="s">
        <v>226</v>
      </c>
      <c r="B139" s="591"/>
      <c r="C139" s="591"/>
      <c r="D139" s="591"/>
      <c r="E139" s="591"/>
      <c r="F139" s="591"/>
      <c r="G139" s="591"/>
      <c r="H139" s="591"/>
      <c r="I139" s="591"/>
      <c r="J139" s="591"/>
      <c r="K139" s="591"/>
      <c r="L139" s="591"/>
      <c r="M139" s="592"/>
      <c r="N139" s="592"/>
      <c r="O139" s="592"/>
      <c r="P139" s="591"/>
    </row>
    <row r="140" spans="1:16" ht="16.5" customHeight="1" x14ac:dyDescent="0.25">
      <c r="A140" s="550" t="s">
        <v>458</v>
      </c>
      <c r="B140" s="593" t="s">
        <v>102</v>
      </c>
      <c r="C140" s="593">
        <v>0.19123647499999999</v>
      </c>
      <c r="D140" s="593">
        <v>2.9677717819999998</v>
      </c>
      <c r="E140" s="593">
        <v>4.4391046540000003</v>
      </c>
      <c r="F140" s="593">
        <v>4.1555123099999998</v>
      </c>
      <c r="G140" s="593">
        <v>3.0006273650000002</v>
      </c>
      <c r="H140" s="593">
        <v>3.3861052639999998</v>
      </c>
      <c r="I140" s="593">
        <v>3.008064804</v>
      </c>
      <c r="J140" s="593">
        <v>2.5231824289999998</v>
      </c>
      <c r="K140" s="593">
        <v>3.0033632219999999</v>
      </c>
      <c r="L140" s="593">
        <v>5.0975875029999997</v>
      </c>
      <c r="M140" s="594">
        <v>3.517316702</v>
      </c>
      <c r="N140" s="594">
        <v>3.5742295620000002</v>
      </c>
      <c r="O140" s="594">
        <v>3.5688661829999999</v>
      </c>
      <c r="P140" s="593">
        <v>3.7846566080000001</v>
      </c>
    </row>
    <row r="141" spans="1:16" ht="16.5" customHeight="1" x14ac:dyDescent="0.2">
      <c r="A141" s="551" t="s">
        <v>402</v>
      </c>
      <c r="B141" s="595" t="s">
        <v>102</v>
      </c>
      <c r="C141" s="595">
        <v>12.76190705</v>
      </c>
      <c r="D141" s="595">
        <v>6.1809129299999999</v>
      </c>
      <c r="E141" s="595">
        <v>6.5052903139999998</v>
      </c>
      <c r="F141" s="595">
        <v>5.4020462589999996</v>
      </c>
      <c r="G141" s="595">
        <v>6.1786360650000001</v>
      </c>
      <c r="H141" s="595">
        <v>5.6499240899999998</v>
      </c>
      <c r="I141" s="595">
        <v>4.6867328060000002</v>
      </c>
      <c r="J141" s="595">
        <v>4.1272784280000003</v>
      </c>
      <c r="K141" s="595">
        <v>3.9019805010000002</v>
      </c>
      <c r="L141" s="595">
        <v>3.182925032</v>
      </c>
      <c r="M141" s="596">
        <v>5.7700421610000001</v>
      </c>
      <c r="N141" s="596">
        <v>3.8560569789999999</v>
      </c>
      <c r="O141" s="596">
        <v>4.2299122210000002</v>
      </c>
      <c r="P141" s="595">
        <v>4.786251622</v>
      </c>
    </row>
    <row r="142" spans="1:16" ht="16.5" customHeight="1" x14ac:dyDescent="0.25">
      <c r="A142" s="552" t="s">
        <v>403</v>
      </c>
      <c r="B142" s="597" t="s">
        <v>102</v>
      </c>
      <c r="C142" s="597">
        <v>53.424358396000002</v>
      </c>
      <c r="D142" s="597">
        <v>5.0623157450000003</v>
      </c>
      <c r="E142" s="597">
        <v>5.8708526409999999</v>
      </c>
      <c r="F142" s="597">
        <v>4.89070084</v>
      </c>
      <c r="G142" s="597">
        <v>5.0244485909999996</v>
      </c>
      <c r="H142" s="597">
        <v>4.3222488139999999</v>
      </c>
      <c r="I142" s="597">
        <v>3.535623009</v>
      </c>
      <c r="J142" s="597">
        <v>3.0998781989999999</v>
      </c>
      <c r="K142" s="597">
        <v>2.71444449</v>
      </c>
      <c r="L142" s="597">
        <v>3.0490245900000001</v>
      </c>
      <c r="M142" s="598">
        <v>4.6412034609999999</v>
      </c>
      <c r="N142" s="598">
        <v>3.0897269669999998</v>
      </c>
      <c r="O142" s="598">
        <v>3.4039276410000001</v>
      </c>
      <c r="P142" s="597">
        <v>3.9565682679999998</v>
      </c>
    </row>
    <row r="143" spans="1:16" ht="16.5" customHeight="1" x14ac:dyDescent="0.25">
      <c r="A143" s="553" t="s">
        <v>404</v>
      </c>
      <c r="B143" s="595" t="s">
        <v>102</v>
      </c>
      <c r="C143" s="595">
        <v>47.811499378000001</v>
      </c>
      <c r="D143" s="595">
        <v>3.5723840249999999</v>
      </c>
      <c r="E143" s="595">
        <v>4.1071180299999996</v>
      </c>
      <c r="F143" s="595">
        <v>2.6087401620000001</v>
      </c>
      <c r="G143" s="595">
        <v>2.9930765240000001</v>
      </c>
      <c r="H143" s="595">
        <v>3.1158533039999998</v>
      </c>
      <c r="I143" s="595">
        <v>2.4316478990000001</v>
      </c>
      <c r="J143" s="595">
        <v>2.079299926</v>
      </c>
      <c r="K143" s="595">
        <v>3.1969985990000001</v>
      </c>
      <c r="L143" s="595">
        <v>1.5346087369999999</v>
      </c>
      <c r="M143" s="596">
        <v>3.1084723059999999</v>
      </c>
      <c r="N143" s="596">
        <v>2.1364231340000002</v>
      </c>
      <c r="O143" s="596">
        <v>2.3283703089999999</v>
      </c>
      <c r="P143" s="595">
        <v>2.6470829230000001</v>
      </c>
    </row>
    <row r="144" spans="1:16" ht="16.5" customHeight="1" x14ac:dyDescent="0.25">
      <c r="A144" s="548" t="s">
        <v>471</v>
      </c>
      <c r="B144" s="599" t="s">
        <v>102</v>
      </c>
      <c r="C144" s="599">
        <v>-11.90123769</v>
      </c>
      <c r="D144" s="599">
        <v>73.570452951999997</v>
      </c>
      <c r="E144" s="599">
        <v>10.821321551</v>
      </c>
      <c r="F144" s="599">
        <v>18.123241927999999</v>
      </c>
      <c r="G144" s="599">
        <v>16.918151851000001</v>
      </c>
      <c r="H144" s="599">
        <v>12.979456217999999</v>
      </c>
      <c r="I144" s="599">
        <v>4.5054211190000002</v>
      </c>
      <c r="J144" s="599">
        <v>9.6573204419999996</v>
      </c>
      <c r="K144" s="599">
        <v>7.1525241450000001</v>
      </c>
      <c r="L144" s="599">
        <v>10.635167593</v>
      </c>
      <c r="M144" s="600">
        <v>14.285106947999999</v>
      </c>
      <c r="N144" s="600">
        <v>8.3514013289999998</v>
      </c>
      <c r="O144" s="600">
        <v>9.7869214739999997</v>
      </c>
      <c r="P144" s="599">
        <v>9.6611707110000005</v>
      </c>
    </row>
    <row r="145" spans="1:17" ht="16.5" customHeight="1" x14ac:dyDescent="0.25">
      <c r="A145" s="554" t="s">
        <v>405</v>
      </c>
      <c r="B145" s="595" t="s">
        <v>102</v>
      </c>
      <c r="C145" s="595">
        <v>-11.663333314000001</v>
      </c>
      <c r="D145" s="595">
        <v>-7.6198670020000003</v>
      </c>
      <c r="E145" s="595">
        <v>-3.4952795559999998</v>
      </c>
      <c r="F145" s="595">
        <v>-1.983833604</v>
      </c>
      <c r="G145" s="595">
        <v>-6.3044418000000005E-2</v>
      </c>
      <c r="H145" s="595">
        <v>-0.99411777499999998</v>
      </c>
      <c r="I145" s="595">
        <v>-0.27504712100000001</v>
      </c>
      <c r="J145" s="595">
        <v>0.34381736000000002</v>
      </c>
      <c r="K145" s="595">
        <v>0.58595339700000004</v>
      </c>
      <c r="L145" s="595">
        <v>5.5261000930000002</v>
      </c>
      <c r="M145" s="596">
        <v>-1.1926887239999999</v>
      </c>
      <c r="N145" s="596">
        <v>2.4804854160000001</v>
      </c>
      <c r="O145" s="596">
        <v>1.900765724</v>
      </c>
      <c r="P145" s="595">
        <v>1.0124698729999999</v>
      </c>
    </row>
    <row r="146" spans="1:17" ht="16.5" customHeight="1" x14ac:dyDescent="0.25">
      <c r="A146" s="546" t="s">
        <v>406</v>
      </c>
      <c r="B146" s="601" t="s">
        <v>102</v>
      </c>
      <c r="C146" s="601">
        <v>2.9278576090000001</v>
      </c>
      <c r="D146" s="601">
        <v>1.150741945</v>
      </c>
      <c r="E146" s="601">
        <v>8.1332620000000005E-3</v>
      </c>
      <c r="F146" s="601">
        <v>0.98147730099999997</v>
      </c>
      <c r="G146" s="601">
        <v>0.99909437999999995</v>
      </c>
      <c r="H146" s="601">
        <v>1.267705823</v>
      </c>
      <c r="I146" s="601">
        <v>0.75210473700000002</v>
      </c>
      <c r="J146" s="601">
        <v>2.2047256979999998</v>
      </c>
      <c r="K146" s="601">
        <v>2.4460584810000001</v>
      </c>
      <c r="L146" s="601">
        <v>1.7138736299999999</v>
      </c>
      <c r="M146" s="602">
        <v>1.106733212</v>
      </c>
      <c r="N146" s="602">
        <v>1.8482329399999999</v>
      </c>
      <c r="O146" s="602">
        <v>1.7167130049999999</v>
      </c>
      <c r="P146" s="601">
        <v>1.601551451</v>
      </c>
    </row>
    <row r="147" spans="1:17" ht="16.5" customHeight="1" x14ac:dyDescent="0.2">
      <c r="A147" s="551" t="s">
        <v>417</v>
      </c>
      <c r="B147" s="595" t="s">
        <v>102</v>
      </c>
      <c r="C147" s="595">
        <v>1.1674098900000001</v>
      </c>
      <c r="D147" s="595">
        <v>0.98264608600000003</v>
      </c>
      <c r="E147" s="595">
        <v>2.6872716000000001E-2</v>
      </c>
      <c r="F147" s="595">
        <v>0.346886894</v>
      </c>
      <c r="G147" s="595">
        <v>0.67310566000000005</v>
      </c>
      <c r="H147" s="595">
        <v>0.18665538700000001</v>
      </c>
      <c r="I147" s="595">
        <v>0.19406573299999999</v>
      </c>
      <c r="J147" s="595">
        <v>0.22175848500000001</v>
      </c>
      <c r="K147" s="595">
        <v>-0.322282283</v>
      </c>
      <c r="L147" s="595">
        <v>6.0046958999999997E-2</v>
      </c>
      <c r="M147" s="596">
        <v>0.265848062</v>
      </c>
      <c r="N147" s="596">
        <v>1.8043320000000002E-2</v>
      </c>
      <c r="O147" s="596">
        <v>6.4455798999999994E-2</v>
      </c>
      <c r="P147" s="595">
        <v>7.9956586999999996E-2</v>
      </c>
    </row>
    <row r="148" spans="1:17" ht="16.5" customHeight="1" x14ac:dyDescent="0.2">
      <c r="A148" s="552" t="s">
        <v>791</v>
      </c>
      <c r="B148" s="597" t="s">
        <v>102</v>
      </c>
      <c r="C148" s="597">
        <v>28.885455829000001</v>
      </c>
      <c r="D148" s="597">
        <v>0.443936734</v>
      </c>
      <c r="E148" s="597">
        <v>-0.239792593</v>
      </c>
      <c r="F148" s="597">
        <v>-1.2068508979999999</v>
      </c>
      <c r="G148" s="597">
        <v>3.707372E-3</v>
      </c>
      <c r="H148" s="597">
        <v>-0.19788186999999999</v>
      </c>
      <c r="I148" s="597">
        <v>-0.46620042</v>
      </c>
      <c r="J148" s="597">
        <v>-0.362620787</v>
      </c>
      <c r="K148" s="597">
        <v>0.171091198</v>
      </c>
      <c r="L148" s="597">
        <v>-3.0519352099999999</v>
      </c>
      <c r="M148" s="598">
        <v>-0.310727058</v>
      </c>
      <c r="N148" s="598">
        <v>-1.2065965439999999</v>
      </c>
      <c r="O148" s="598">
        <v>-1.0276829089999999</v>
      </c>
      <c r="P148" s="597">
        <v>-0.91864101399999998</v>
      </c>
    </row>
    <row r="149" spans="1:17" s="3" customFormat="1" ht="16.5" customHeight="1" x14ac:dyDescent="0.25">
      <c r="A149" s="553" t="s">
        <v>418</v>
      </c>
      <c r="B149" s="595" t="s">
        <v>102</v>
      </c>
      <c r="C149" s="595">
        <v>-29.229463956</v>
      </c>
      <c r="D149" s="595">
        <v>0.50113085599999996</v>
      </c>
      <c r="E149" s="595">
        <v>-0.45453033500000001</v>
      </c>
      <c r="F149" s="595">
        <v>0.73755045900000005</v>
      </c>
      <c r="G149" s="595">
        <v>-0.10232503499999999</v>
      </c>
      <c r="H149" s="595">
        <v>0.14501503299999999</v>
      </c>
      <c r="I149" s="595">
        <v>0.295441232</v>
      </c>
      <c r="J149" s="595">
        <v>0.20928249500000001</v>
      </c>
      <c r="K149" s="595">
        <v>-0.63993593500000001</v>
      </c>
      <c r="L149" s="595">
        <v>2.6451771810000002</v>
      </c>
      <c r="M149" s="596">
        <v>0.14456454699999999</v>
      </c>
      <c r="N149" s="596">
        <v>0.90897831399999995</v>
      </c>
      <c r="O149" s="596">
        <v>0.75528229300000005</v>
      </c>
      <c r="P149" s="595">
        <v>0.66951338699999996</v>
      </c>
      <c r="Q149"/>
    </row>
    <row r="150" spans="1:17" ht="16.5" customHeight="1" x14ac:dyDescent="0.25">
      <c r="A150" s="548" t="s">
        <v>463</v>
      </c>
      <c r="B150" s="599" t="s">
        <v>102</v>
      </c>
      <c r="C150" s="599">
        <v>-31.370542906000001</v>
      </c>
      <c r="D150" s="599">
        <v>25.069705429999999</v>
      </c>
      <c r="E150" s="599">
        <v>2.2906496600000001</v>
      </c>
      <c r="F150" s="599">
        <v>4.7583159589999999</v>
      </c>
      <c r="G150" s="599">
        <v>4.0084696869999998</v>
      </c>
      <c r="H150" s="599">
        <v>2.7147415659999998</v>
      </c>
      <c r="I150" s="599">
        <v>0.52895704399999999</v>
      </c>
      <c r="J150" s="599">
        <v>1.7337206780000001</v>
      </c>
      <c r="K150" s="599">
        <v>0.93486862400000004</v>
      </c>
      <c r="L150" s="599">
        <v>1.6019434319999999</v>
      </c>
      <c r="M150" s="600">
        <v>3.2053852049999998</v>
      </c>
      <c r="N150" s="600">
        <v>1.346987935</v>
      </c>
      <c r="O150" s="600">
        <v>1.717953858</v>
      </c>
      <c r="P150" s="599">
        <v>1.826993737</v>
      </c>
    </row>
    <row r="151" spans="1:17" ht="16.5" customHeight="1" x14ac:dyDescent="0.25">
      <c r="A151" s="554" t="s">
        <v>419</v>
      </c>
      <c r="B151" s="595" t="s">
        <v>102</v>
      </c>
      <c r="C151" s="595">
        <v>-13.545472481999999</v>
      </c>
      <c r="D151" s="595">
        <v>-5.9337537180000002</v>
      </c>
      <c r="E151" s="595">
        <v>-4.4562435760000003</v>
      </c>
      <c r="F151" s="595">
        <v>-2.730896553</v>
      </c>
      <c r="G151" s="595">
        <v>-1.707322652</v>
      </c>
      <c r="H151" s="595">
        <v>-2.37628817</v>
      </c>
      <c r="I151" s="595">
        <v>-1.5064992530000001</v>
      </c>
      <c r="J151" s="595">
        <v>-1.063235784</v>
      </c>
      <c r="K151" s="595">
        <v>-1.9708679490000001</v>
      </c>
      <c r="L151" s="595">
        <v>3.6502780229999998</v>
      </c>
      <c r="M151" s="596">
        <v>-2.4858367960000001</v>
      </c>
      <c r="N151" s="596">
        <v>0.25199121800000002</v>
      </c>
      <c r="O151" s="596">
        <v>-0.300333242</v>
      </c>
      <c r="P151" s="595">
        <v>-1.1097036600000001</v>
      </c>
    </row>
    <row r="152" spans="1:17" ht="16.5" customHeight="1" x14ac:dyDescent="0.2">
      <c r="A152" s="555" t="s">
        <v>796</v>
      </c>
      <c r="B152" s="603" t="s">
        <v>102</v>
      </c>
      <c r="C152" s="603">
        <v>-2.7426386680000001</v>
      </c>
      <c r="D152" s="603">
        <v>-0.28494534500000002</v>
      </c>
      <c r="E152" s="603">
        <v>-0.19229162399999999</v>
      </c>
      <c r="F152" s="603">
        <v>6.3910887999999999E-2</v>
      </c>
      <c r="G152" s="603">
        <v>-9.9895172000000004E-2</v>
      </c>
      <c r="H152" s="603">
        <v>-0.10389353699999999</v>
      </c>
      <c r="I152" s="603">
        <v>2.5211332999999999E-2</v>
      </c>
      <c r="J152" s="603">
        <v>5.0028247999999997E-2</v>
      </c>
      <c r="K152" s="603">
        <v>-0.219964672</v>
      </c>
      <c r="L152" s="603">
        <v>2.7609882649999999</v>
      </c>
      <c r="M152" s="604">
        <v>-8.3838437000000002E-2</v>
      </c>
      <c r="N152" s="604">
        <v>0.58920837500000001</v>
      </c>
      <c r="O152" s="604">
        <v>0.38805182300000002</v>
      </c>
      <c r="P152" s="603">
        <v>0.20504604300000001</v>
      </c>
    </row>
    <row r="153" spans="1:17" x14ac:dyDescent="0.2">
      <c r="A153" s="255" t="s">
        <v>909</v>
      </c>
      <c r="B153" s="13"/>
      <c r="C153" s="13"/>
      <c r="D153" s="13"/>
      <c r="E153" s="13"/>
      <c r="F153" s="13"/>
      <c r="G153" s="13"/>
      <c r="H153" s="13"/>
      <c r="I153" s="13"/>
      <c r="J153" s="13"/>
      <c r="K153" s="13"/>
      <c r="L153" s="13"/>
      <c r="M153" s="13"/>
      <c r="N153" s="13"/>
      <c r="O153" s="13"/>
      <c r="P153" s="39"/>
    </row>
    <row r="154" spans="1:17" x14ac:dyDescent="0.2">
      <c r="A154" s="255" t="s">
        <v>644</v>
      </c>
      <c r="B154" s="13"/>
      <c r="C154" s="13"/>
      <c r="D154" s="13"/>
      <c r="E154" s="13"/>
      <c r="F154" s="13"/>
      <c r="G154" s="13"/>
      <c r="H154" s="13"/>
      <c r="I154" s="13"/>
      <c r="J154" s="13"/>
      <c r="K154" s="13"/>
      <c r="L154" s="13"/>
      <c r="M154" s="13"/>
      <c r="N154" s="13"/>
      <c r="O154" s="13"/>
      <c r="P154" s="39"/>
    </row>
    <row r="155" spans="1:17" x14ac:dyDescent="0.2">
      <c r="A155" s="286" t="s">
        <v>904</v>
      </c>
      <c r="B155" s="13"/>
      <c r="C155" s="13"/>
      <c r="D155" s="13"/>
      <c r="E155" s="13"/>
      <c r="F155" s="13"/>
      <c r="G155" s="13"/>
      <c r="H155" s="13"/>
      <c r="I155" s="13"/>
      <c r="J155" s="13"/>
      <c r="K155" s="13"/>
      <c r="L155" s="13"/>
      <c r="M155" s="13"/>
      <c r="N155" s="13"/>
      <c r="O155" s="13"/>
      <c r="P155" s="39"/>
    </row>
    <row r="156" spans="1:17" x14ac:dyDescent="0.2">
      <c r="A156" s="37" t="s">
        <v>557</v>
      </c>
      <c r="B156" s="13"/>
      <c r="C156" s="13"/>
      <c r="D156" s="13"/>
      <c r="E156" s="13"/>
      <c r="F156" s="13"/>
      <c r="G156" s="13"/>
      <c r="H156" s="13"/>
      <c r="I156" s="13"/>
      <c r="J156" s="13"/>
      <c r="K156" s="13"/>
      <c r="L156" s="13"/>
      <c r="M156" s="13"/>
      <c r="N156" s="13"/>
      <c r="O156" s="13"/>
      <c r="P156" s="39"/>
    </row>
    <row r="157" spans="1:17" x14ac:dyDescent="0.2">
      <c r="A157" s="286" t="s">
        <v>905</v>
      </c>
      <c r="B157" s="13"/>
      <c r="C157" s="13"/>
      <c r="D157" s="13"/>
      <c r="E157" s="13"/>
      <c r="F157" s="13"/>
      <c r="G157" s="13"/>
      <c r="H157" s="13"/>
      <c r="I157" s="13"/>
      <c r="J157" s="13"/>
      <c r="K157" s="13"/>
      <c r="L157" s="13"/>
      <c r="M157" s="13"/>
      <c r="N157" s="13"/>
      <c r="O157" s="13"/>
      <c r="P157" s="39"/>
    </row>
    <row r="158" spans="1:17" x14ac:dyDescent="0.2">
      <c r="A158" s="255" t="s">
        <v>987</v>
      </c>
      <c r="B158" s="13"/>
      <c r="C158" s="13"/>
      <c r="D158" s="13"/>
      <c r="E158" s="13"/>
      <c r="F158" s="13"/>
      <c r="G158" s="13"/>
      <c r="H158" s="13"/>
      <c r="I158" s="13"/>
      <c r="J158" s="13"/>
      <c r="K158" s="13"/>
      <c r="L158" s="13"/>
      <c r="M158" s="13"/>
      <c r="N158" s="13"/>
      <c r="O158" s="13"/>
      <c r="P158" s="39"/>
    </row>
    <row r="159" spans="1:17" x14ac:dyDescent="0.2">
      <c r="A159" s="286" t="s">
        <v>916</v>
      </c>
      <c r="B159" s="13"/>
      <c r="C159" s="13"/>
      <c r="D159" s="13"/>
      <c r="E159" s="13"/>
      <c r="F159" s="13"/>
      <c r="G159" s="13"/>
      <c r="H159" s="13"/>
      <c r="I159" s="13"/>
      <c r="J159" s="13"/>
      <c r="K159" s="13"/>
      <c r="L159" s="13"/>
      <c r="M159" s="13"/>
      <c r="N159" s="13"/>
      <c r="O159" s="13"/>
      <c r="P159" s="39"/>
    </row>
    <row r="161" spans="1:16" ht="12.75" customHeight="1" x14ac:dyDescent="0.2">
      <c r="A161" s="1015" t="s">
        <v>669</v>
      </c>
      <c r="B161" s="1015"/>
      <c r="C161" s="1015"/>
      <c r="D161" s="1015"/>
      <c r="E161" s="1015"/>
      <c r="F161" s="1015"/>
      <c r="G161" s="1015"/>
      <c r="H161" s="1015"/>
      <c r="I161" s="1015"/>
      <c r="J161" s="1015"/>
      <c r="K161" s="1015"/>
      <c r="L161" s="1015"/>
      <c r="M161" s="1015"/>
      <c r="N161" s="1015"/>
      <c r="O161" s="1015"/>
      <c r="P161" s="1015"/>
    </row>
    <row r="162" spans="1:16" x14ac:dyDescent="0.2">
      <c r="A162" s="1015"/>
      <c r="B162" s="1015"/>
      <c r="C162" s="1015"/>
      <c r="D162" s="1015"/>
      <c r="E162" s="1015"/>
      <c r="F162" s="1015"/>
      <c r="G162" s="1015"/>
      <c r="H162" s="1015"/>
      <c r="I162" s="1015"/>
      <c r="J162" s="1015"/>
      <c r="K162" s="1015"/>
      <c r="L162" s="1015"/>
      <c r="M162" s="1015"/>
      <c r="N162" s="1015"/>
      <c r="O162" s="1015"/>
      <c r="P162" s="1015"/>
    </row>
    <row r="163" spans="1:16" x14ac:dyDescent="0.2">
      <c r="A163" s="931"/>
      <c r="B163" s="931"/>
      <c r="C163" s="931"/>
      <c r="D163" s="931"/>
      <c r="E163" s="931"/>
      <c r="F163" s="931"/>
      <c r="G163" s="306"/>
      <c r="H163" s="306"/>
      <c r="I163" s="306"/>
      <c r="J163" s="306"/>
      <c r="K163" s="306"/>
      <c r="L163" s="306"/>
      <c r="M163" s="306"/>
      <c r="N163" s="306"/>
      <c r="O163" s="306"/>
      <c r="P163" s="306"/>
    </row>
    <row r="164" spans="1:16" ht="162.75" customHeight="1" x14ac:dyDescent="0.2">
      <c r="A164" s="1015" t="s">
        <v>683</v>
      </c>
      <c r="B164" s="1015"/>
      <c r="C164" s="1015"/>
      <c r="D164" s="1015"/>
      <c r="E164" s="1015"/>
      <c r="F164" s="1015"/>
      <c r="G164" s="1015"/>
      <c r="H164" s="1015"/>
      <c r="I164" s="1015"/>
      <c r="J164" s="1015"/>
      <c r="K164" s="1015"/>
      <c r="L164" s="1015"/>
      <c r="M164" s="1015"/>
      <c r="N164" s="1015"/>
      <c r="O164" s="1015"/>
      <c r="P164" s="1015"/>
    </row>
  </sheetData>
  <mergeCells count="2">
    <mergeCell ref="A161:P162"/>
    <mergeCell ref="A164:P164"/>
  </mergeCells>
  <phoneticPr fontId="0" type="noConversion"/>
  <pageMargins left="0.59055118110236227" right="0.59055118110236227" top="0.78740157480314965" bottom="0.78740157480314965" header="0.39370078740157483" footer="0.39370078740157483"/>
  <pageSetup paperSize="9" scale="48" firstPageNumber="46" fitToHeight="0" orientation="landscape" useFirstPageNumber="1" r:id="rId1"/>
  <headerFooter alignWithMargins="0">
    <oddHeader xml:space="preserve">&amp;R&amp;12Les finances des communes en 2024
</oddHeader>
    <oddFooter>&amp;L&amp;12Direction Générale des Collectivités Locales / DESL&amp;C&amp;12&amp;P&amp;R&amp;12Mise en ligne : janvier 2026</oddFooter>
  </headerFooter>
  <rowBreaks count="2" manualBreakCount="2">
    <brk id="59" max="15" man="1"/>
    <brk id="104" max="15" man="1"/>
  </rowBreaks>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67"/>
  <sheetViews>
    <sheetView view="pageBreakPreview" zoomScale="60" zoomScaleNormal="85" zoomScalePageLayoutView="85" workbookViewId="0">
      <selection activeCell="P112" sqref="P112:P152"/>
    </sheetView>
  </sheetViews>
  <sheetFormatPr baseColWidth="10" defaultRowHeight="12.75" x14ac:dyDescent="0.2"/>
  <cols>
    <col min="1" max="1" width="91" customWidth="1"/>
    <col min="13" max="14" width="15.5703125" customWidth="1"/>
    <col min="15" max="15" width="14.28515625" customWidth="1"/>
    <col min="16" max="16" width="18.7109375" customWidth="1"/>
  </cols>
  <sheetData>
    <row r="1" spans="1:16" ht="25.5" customHeight="1" x14ac:dyDescent="0.2">
      <c r="A1" s="46" t="s">
        <v>930</v>
      </c>
    </row>
    <row r="3" spans="1:16" ht="13.5" thickBot="1" x14ac:dyDescent="0.25">
      <c r="A3" s="13"/>
      <c r="P3" s="259" t="s">
        <v>213</v>
      </c>
    </row>
    <row r="4" spans="1:16" ht="12.75" customHeight="1"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231</v>
      </c>
      <c r="O4" s="257" t="s">
        <v>77</v>
      </c>
      <c r="P4" s="281" t="s">
        <v>220</v>
      </c>
    </row>
    <row r="5" spans="1:16"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ht="12.75" customHeight="1" x14ac:dyDescent="0.2">
      <c r="A7" s="227"/>
    </row>
    <row r="8" spans="1:16" ht="15.75" customHeight="1" x14ac:dyDescent="0.25">
      <c r="A8" s="474" t="s">
        <v>160</v>
      </c>
      <c r="B8" s="466">
        <v>992.67735289500001</v>
      </c>
      <c r="C8" s="466">
        <v>817.74119318700002</v>
      </c>
      <c r="D8" s="466">
        <v>751.89223346999995</v>
      </c>
      <c r="E8" s="466">
        <v>708.23350031500001</v>
      </c>
      <c r="F8" s="466">
        <v>780.08557287199994</v>
      </c>
      <c r="G8" s="466">
        <v>897.25982192900005</v>
      </c>
      <c r="H8" s="466">
        <v>1023.495741621</v>
      </c>
      <c r="I8" s="466">
        <v>1160.819372572</v>
      </c>
      <c r="J8" s="466">
        <v>1247.6307033830001</v>
      </c>
      <c r="K8" s="466" t="s">
        <v>102</v>
      </c>
      <c r="L8" s="466">
        <v>1464.708249192</v>
      </c>
      <c r="M8" s="479">
        <v>810.72498087400004</v>
      </c>
      <c r="N8" s="479">
        <v>1282.1891345890001</v>
      </c>
      <c r="O8" s="479">
        <v>913.14906375800001</v>
      </c>
      <c r="P8" s="466">
        <v>1132.2923975839999</v>
      </c>
    </row>
    <row r="9" spans="1:16" ht="15.75" customHeight="1" x14ac:dyDescent="0.2">
      <c r="A9" s="465" t="s">
        <v>161</v>
      </c>
      <c r="B9" s="467">
        <v>407.25433895499998</v>
      </c>
      <c r="C9" s="467">
        <v>319.804963149</v>
      </c>
      <c r="D9" s="467">
        <v>274.69485386999997</v>
      </c>
      <c r="E9" s="467">
        <v>246.593319522</v>
      </c>
      <c r="F9" s="467">
        <v>260.78665050400002</v>
      </c>
      <c r="G9" s="467">
        <v>284.04879434700001</v>
      </c>
      <c r="H9" s="467">
        <v>295.16383075599998</v>
      </c>
      <c r="I9" s="467">
        <v>301.24054360500003</v>
      </c>
      <c r="J9" s="467">
        <v>304.01332550400002</v>
      </c>
      <c r="K9" s="467" t="s">
        <v>102</v>
      </c>
      <c r="L9" s="467">
        <v>304.36927479500002</v>
      </c>
      <c r="M9" s="480">
        <v>272.67846844600001</v>
      </c>
      <c r="N9" s="480">
        <v>302.910293287</v>
      </c>
      <c r="O9" s="480">
        <v>279.24623591800002</v>
      </c>
      <c r="P9" s="467">
        <v>298.70578327599998</v>
      </c>
    </row>
    <row r="10" spans="1:16" ht="15.75" customHeight="1" x14ac:dyDescent="0.2">
      <c r="A10" s="465" t="s">
        <v>162</v>
      </c>
      <c r="B10" s="467">
        <v>253.901760631</v>
      </c>
      <c r="C10" s="467">
        <v>265.318601715</v>
      </c>
      <c r="D10" s="467">
        <v>284.558334188</v>
      </c>
      <c r="E10" s="467">
        <v>311.21350406400001</v>
      </c>
      <c r="F10" s="467">
        <v>378.73127884500002</v>
      </c>
      <c r="G10" s="467">
        <v>470.151289507</v>
      </c>
      <c r="H10" s="467">
        <v>560.418148331</v>
      </c>
      <c r="I10" s="467">
        <v>654.80884537999998</v>
      </c>
      <c r="J10" s="467">
        <v>766.65708023100001</v>
      </c>
      <c r="K10" s="467" t="s">
        <v>102</v>
      </c>
      <c r="L10" s="467">
        <v>911.19634507000001</v>
      </c>
      <c r="M10" s="480">
        <v>370.85166384000001</v>
      </c>
      <c r="N10" s="480">
        <v>765.84002756500001</v>
      </c>
      <c r="O10" s="480">
        <v>456.661625394</v>
      </c>
      <c r="P10" s="467">
        <v>606.408680506</v>
      </c>
    </row>
    <row r="11" spans="1:16" ht="15.75" customHeight="1" x14ac:dyDescent="0.2">
      <c r="A11" s="465" t="s">
        <v>163</v>
      </c>
      <c r="B11" s="467">
        <v>18.511215747000001</v>
      </c>
      <c r="C11" s="467">
        <v>14.75994764</v>
      </c>
      <c r="D11" s="467">
        <v>16.162511568999999</v>
      </c>
      <c r="E11" s="467">
        <v>16.355896558000001</v>
      </c>
      <c r="F11" s="467">
        <v>16.969494908000001</v>
      </c>
      <c r="G11" s="467">
        <v>17.183177418</v>
      </c>
      <c r="H11" s="467">
        <v>23.213449201</v>
      </c>
      <c r="I11" s="467">
        <v>33.309504502999999</v>
      </c>
      <c r="J11" s="467">
        <v>15.893563555</v>
      </c>
      <c r="K11" s="467" t="s">
        <v>102</v>
      </c>
      <c r="L11" s="467">
        <v>39.072217991999999</v>
      </c>
      <c r="M11" s="480">
        <v>17.709715061000001</v>
      </c>
      <c r="N11" s="480">
        <v>31.348514910999999</v>
      </c>
      <c r="O11" s="480">
        <v>20.672700805000002</v>
      </c>
      <c r="P11" s="467">
        <v>23.645549684999999</v>
      </c>
    </row>
    <row r="12" spans="1:16" ht="15.75" customHeight="1" x14ac:dyDescent="0.2">
      <c r="A12" s="465" t="s">
        <v>164</v>
      </c>
      <c r="B12" s="467">
        <v>101.799420115</v>
      </c>
      <c r="C12" s="467">
        <v>87.260529039000005</v>
      </c>
      <c r="D12" s="467">
        <v>94.201106836999998</v>
      </c>
      <c r="E12" s="467">
        <v>69.840651543999996</v>
      </c>
      <c r="F12" s="467">
        <v>78.736070278</v>
      </c>
      <c r="G12" s="467">
        <v>83.799445629999994</v>
      </c>
      <c r="H12" s="467">
        <v>108.508253973</v>
      </c>
      <c r="I12" s="467">
        <v>137.27137227399999</v>
      </c>
      <c r="J12" s="467">
        <v>129.577574317</v>
      </c>
      <c r="K12" s="467" t="s">
        <v>102</v>
      </c>
      <c r="L12" s="467">
        <v>163.202812051</v>
      </c>
      <c r="M12" s="480">
        <v>84.741463233000005</v>
      </c>
      <c r="N12" s="480">
        <v>144.25118137199999</v>
      </c>
      <c r="O12" s="480">
        <v>97.669759593999999</v>
      </c>
      <c r="P12" s="467">
        <v>158.370302571</v>
      </c>
    </row>
    <row r="13" spans="1:16" ht="15.75" customHeight="1" x14ac:dyDescent="0.2">
      <c r="A13" s="465" t="s">
        <v>165</v>
      </c>
      <c r="B13" s="467">
        <v>211.210617447</v>
      </c>
      <c r="C13" s="467">
        <v>130.597151645</v>
      </c>
      <c r="D13" s="467">
        <v>82.275427007000005</v>
      </c>
      <c r="E13" s="467">
        <v>64.230128626999999</v>
      </c>
      <c r="F13" s="467">
        <v>44.862078337</v>
      </c>
      <c r="G13" s="467">
        <v>42.077115026999998</v>
      </c>
      <c r="H13" s="467">
        <v>36.192059360000002</v>
      </c>
      <c r="I13" s="467">
        <v>34.189106809999998</v>
      </c>
      <c r="J13" s="467">
        <v>31.489159775000001</v>
      </c>
      <c r="K13" s="467" t="s">
        <v>102</v>
      </c>
      <c r="L13" s="467">
        <v>46.867599284000001</v>
      </c>
      <c r="M13" s="480">
        <v>64.743670295000001</v>
      </c>
      <c r="N13" s="480">
        <v>37.839117453999997</v>
      </c>
      <c r="O13" s="480">
        <v>58.898742046999999</v>
      </c>
      <c r="P13" s="467">
        <v>45.162081544999999</v>
      </c>
    </row>
    <row r="14" spans="1:16" ht="15.75" customHeight="1" x14ac:dyDescent="0.25">
      <c r="A14" s="474" t="s">
        <v>166</v>
      </c>
      <c r="B14" s="466">
        <v>1409.66908816</v>
      </c>
      <c r="C14" s="466">
        <v>1119.9159314139999</v>
      </c>
      <c r="D14" s="466">
        <v>992.46455477100005</v>
      </c>
      <c r="E14" s="466">
        <v>907.01507230699997</v>
      </c>
      <c r="F14" s="466">
        <v>984.58729886499998</v>
      </c>
      <c r="G14" s="466">
        <v>1096.952482254</v>
      </c>
      <c r="H14" s="466">
        <v>1236.3236525520001</v>
      </c>
      <c r="I14" s="466">
        <v>1368.5873720039999</v>
      </c>
      <c r="J14" s="466">
        <v>1461.677186612</v>
      </c>
      <c r="K14" s="466" t="s">
        <v>102</v>
      </c>
      <c r="L14" s="466">
        <v>1767.0884874799999</v>
      </c>
      <c r="M14" s="479">
        <v>1030.3742043039999</v>
      </c>
      <c r="N14" s="479">
        <v>1523.104389632</v>
      </c>
      <c r="O14" s="479">
        <v>1137.4182646930001</v>
      </c>
      <c r="P14" s="466">
        <v>1329.451253362</v>
      </c>
    </row>
    <row r="15" spans="1:16" ht="15.75" customHeight="1" x14ac:dyDescent="0.2">
      <c r="A15" s="465" t="s">
        <v>79</v>
      </c>
      <c r="B15" s="467">
        <v>556.81439737100004</v>
      </c>
      <c r="C15" s="467">
        <v>450.758064359</v>
      </c>
      <c r="D15" s="467">
        <v>431.02238078599999</v>
      </c>
      <c r="E15" s="467">
        <v>492.659107199</v>
      </c>
      <c r="F15" s="467">
        <v>593.52227934999996</v>
      </c>
      <c r="G15" s="467">
        <v>675.60061320900002</v>
      </c>
      <c r="H15" s="467">
        <v>818.05381690000002</v>
      </c>
      <c r="I15" s="467">
        <v>910.16288557500002</v>
      </c>
      <c r="J15" s="467">
        <v>968.89558877000002</v>
      </c>
      <c r="K15" s="467" t="s">
        <v>102</v>
      </c>
      <c r="L15" s="467">
        <v>1192.6853452729999</v>
      </c>
      <c r="M15" s="480">
        <v>570.61561646799998</v>
      </c>
      <c r="N15" s="480">
        <v>1018.085259701</v>
      </c>
      <c r="O15" s="480">
        <v>667.82696852000004</v>
      </c>
      <c r="P15" s="467">
        <v>882.91849873499996</v>
      </c>
    </row>
    <row r="16" spans="1:16" ht="15.75" customHeight="1" x14ac:dyDescent="0.2">
      <c r="A16" s="465" t="s">
        <v>167</v>
      </c>
      <c r="B16" s="467">
        <v>379.50956072600002</v>
      </c>
      <c r="C16" s="467">
        <v>344.887187423</v>
      </c>
      <c r="D16" s="467">
        <v>356.39713025499998</v>
      </c>
      <c r="E16" s="467">
        <v>436.46804101800001</v>
      </c>
      <c r="F16" s="467">
        <v>544.19162779999999</v>
      </c>
      <c r="G16" s="467">
        <v>613.194953575</v>
      </c>
      <c r="H16" s="467">
        <v>746.14638847900005</v>
      </c>
      <c r="I16" s="467">
        <v>848.31208862599999</v>
      </c>
      <c r="J16" s="467">
        <v>904.57698063600003</v>
      </c>
      <c r="K16" s="467" t="s">
        <v>102</v>
      </c>
      <c r="L16" s="467">
        <v>1098.05269131</v>
      </c>
      <c r="M16" s="480">
        <v>503.41636898199999</v>
      </c>
      <c r="N16" s="480">
        <v>944.68400354799996</v>
      </c>
      <c r="O16" s="480">
        <v>599.28035444299996</v>
      </c>
      <c r="P16" s="467">
        <v>762.76738347100002</v>
      </c>
    </row>
    <row r="17" spans="1:16" ht="15.75" customHeight="1" x14ac:dyDescent="0.2">
      <c r="A17" s="465" t="s">
        <v>199</v>
      </c>
      <c r="B17" s="467">
        <v>75.149645970999998</v>
      </c>
      <c r="C17" s="467">
        <v>64.677657511000007</v>
      </c>
      <c r="D17" s="467">
        <v>67.330928963000005</v>
      </c>
      <c r="E17" s="467">
        <v>86.978395317999997</v>
      </c>
      <c r="F17" s="467">
        <v>131.49748198099999</v>
      </c>
      <c r="G17" s="467">
        <v>127.310566366</v>
      </c>
      <c r="H17" s="467">
        <v>187.39640504299999</v>
      </c>
      <c r="I17" s="467">
        <v>191.71859177100001</v>
      </c>
      <c r="J17" s="467">
        <v>215.04066561299999</v>
      </c>
      <c r="K17" s="467" t="s">
        <v>102</v>
      </c>
      <c r="L17" s="467">
        <v>341.767514183</v>
      </c>
      <c r="M17" s="480">
        <v>110.17955306499999</v>
      </c>
      <c r="N17" s="480">
        <v>247.27655263899999</v>
      </c>
      <c r="O17" s="480">
        <v>139.96343872599999</v>
      </c>
      <c r="P17" s="467">
        <v>153.50214644100001</v>
      </c>
    </row>
    <row r="18" spans="1:16" ht="15.75" customHeight="1" x14ac:dyDescent="0.2">
      <c r="A18" s="465" t="s">
        <v>168</v>
      </c>
      <c r="B18" s="467">
        <v>177.30483664400001</v>
      </c>
      <c r="C18" s="467">
        <v>105.870876936</v>
      </c>
      <c r="D18" s="467">
        <v>74.625250531000006</v>
      </c>
      <c r="E18" s="467">
        <v>56.191066182</v>
      </c>
      <c r="F18" s="467">
        <v>49.330651549999999</v>
      </c>
      <c r="G18" s="467">
        <v>62.405659634000003</v>
      </c>
      <c r="H18" s="467">
        <v>71.907428421000006</v>
      </c>
      <c r="I18" s="467">
        <v>61.850796948999999</v>
      </c>
      <c r="J18" s="467">
        <v>64.318608134000002</v>
      </c>
      <c r="K18" s="467" t="s">
        <v>102</v>
      </c>
      <c r="L18" s="467">
        <v>94.632653962000006</v>
      </c>
      <c r="M18" s="480">
        <v>67.199247486000004</v>
      </c>
      <c r="N18" s="480">
        <v>73.401256153000006</v>
      </c>
      <c r="O18" s="480">
        <v>68.546614077000001</v>
      </c>
      <c r="P18" s="467">
        <v>120.151115265</v>
      </c>
    </row>
    <row r="19" spans="1:16" ht="15.75" customHeight="1" x14ac:dyDescent="0.2">
      <c r="A19" s="465" t="s">
        <v>169</v>
      </c>
      <c r="B19" s="467">
        <v>514.39361040999995</v>
      </c>
      <c r="C19" s="467">
        <v>375.75116070399997</v>
      </c>
      <c r="D19" s="467">
        <v>318.35966857400001</v>
      </c>
      <c r="E19" s="467">
        <v>216.13454232800001</v>
      </c>
      <c r="F19" s="467">
        <v>183.898227271</v>
      </c>
      <c r="G19" s="467">
        <v>206.20454409800001</v>
      </c>
      <c r="H19" s="467">
        <v>182.30623356999999</v>
      </c>
      <c r="I19" s="467">
        <v>220.26229020400001</v>
      </c>
      <c r="J19" s="467">
        <v>265.59136183099997</v>
      </c>
      <c r="K19" s="467" t="s">
        <v>102</v>
      </c>
      <c r="L19" s="467">
        <v>207.603947928</v>
      </c>
      <c r="M19" s="480">
        <v>236.471484046</v>
      </c>
      <c r="N19" s="480">
        <v>226.15147595400001</v>
      </c>
      <c r="O19" s="480">
        <v>234.22949522100001</v>
      </c>
      <c r="P19" s="467">
        <v>220.77711797399999</v>
      </c>
    </row>
    <row r="20" spans="1:16" ht="15.75" customHeight="1" x14ac:dyDescent="0.2">
      <c r="A20" s="465" t="s">
        <v>170</v>
      </c>
      <c r="B20" s="467">
        <v>307.71672508199998</v>
      </c>
      <c r="C20" s="467">
        <v>257.27930535600001</v>
      </c>
      <c r="D20" s="467">
        <v>209.448946393</v>
      </c>
      <c r="E20" s="467">
        <v>169.110483141</v>
      </c>
      <c r="F20" s="467">
        <v>137.481089505</v>
      </c>
      <c r="G20" s="467">
        <v>150.72307982300001</v>
      </c>
      <c r="H20" s="467">
        <v>130.978369149</v>
      </c>
      <c r="I20" s="467">
        <v>163.18044772600001</v>
      </c>
      <c r="J20" s="467">
        <v>232.60827883799999</v>
      </c>
      <c r="K20" s="467" t="s">
        <v>102</v>
      </c>
      <c r="L20" s="467">
        <v>181.49870973500001</v>
      </c>
      <c r="M20" s="480">
        <v>170.81342959200001</v>
      </c>
      <c r="N20" s="480">
        <v>184.85137926300001</v>
      </c>
      <c r="O20" s="480">
        <v>173.86312936100001</v>
      </c>
      <c r="P20" s="467">
        <v>168.82118193599999</v>
      </c>
    </row>
    <row r="21" spans="1:16" ht="15.75" customHeight="1" x14ac:dyDescent="0.2">
      <c r="A21" s="465" t="s">
        <v>171</v>
      </c>
      <c r="B21" s="467">
        <v>78.473885046999996</v>
      </c>
      <c r="C21" s="467">
        <v>38.784062046999999</v>
      </c>
      <c r="D21" s="467">
        <v>17.911822996000001</v>
      </c>
      <c r="E21" s="467">
        <v>5.5679996799999998</v>
      </c>
      <c r="F21" s="467">
        <v>3.0086485679999999</v>
      </c>
      <c r="G21" s="467">
        <v>2.593030588</v>
      </c>
      <c r="H21" s="467">
        <v>2.3481865110000002</v>
      </c>
      <c r="I21" s="467">
        <v>2.7478904609999999</v>
      </c>
      <c r="J21" s="467">
        <v>5.5201144940000004</v>
      </c>
      <c r="K21" s="467" t="s">
        <v>102</v>
      </c>
      <c r="L21" s="467">
        <v>8.5828356429999992</v>
      </c>
      <c r="M21" s="480">
        <v>9.8997427649999992</v>
      </c>
      <c r="N21" s="480">
        <v>5.3254758620000002</v>
      </c>
      <c r="O21" s="480">
        <v>8.9059978780000009</v>
      </c>
      <c r="P21" s="467">
        <v>5.985235318</v>
      </c>
    </row>
    <row r="22" spans="1:16" ht="15.75" customHeight="1" x14ac:dyDescent="0.2">
      <c r="A22" s="687" t="s">
        <v>607</v>
      </c>
      <c r="B22" s="467">
        <v>128.20300028</v>
      </c>
      <c r="C22" s="467">
        <v>79.687793300999999</v>
      </c>
      <c r="D22" s="467">
        <v>90.998899184999999</v>
      </c>
      <c r="E22" s="467">
        <v>41.456059506999999</v>
      </c>
      <c r="F22" s="467">
        <v>43.408489197000002</v>
      </c>
      <c r="G22" s="467">
        <v>52.888433687000003</v>
      </c>
      <c r="H22" s="467">
        <v>48.979677909000003</v>
      </c>
      <c r="I22" s="467">
        <v>54.333952017000001</v>
      </c>
      <c r="J22" s="467">
        <v>27.462968498999999</v>
      </c>
      <c r="K22" s="467" t="s">
        <v>102</v>
      </c>
      <c r="L22" s="467">
        <v>17.522402549999999</v>
      </c>
      <c r="M22" s="480">
        <v>55.758311689000003</v>
      </c>
      <c r="N22" s="480">
        <v>35.974620827999999</v>
      </c>
      <c r="O22" s="480">
        <v>51.460367982000001</v>
      </c>
      <c r="P22" s="467">
        <v>45.970700719</v>
      </c>
    </row>
    <row r="23" spans="1:16" ht="15.75" customHeight="1" x14ac:dyDescent="0.2">
      <c r="A23" s="465" t="s">
        <v>172</v>
      </c>
      <c r="B23" s="467">
        <v>39.571685995999999</v>
      </c>
      <c r="C23" s="467">
        <v>32.358636394999998</v>
      </c>
      <c r="D23" s="467">
        <v>26.663514005</v>
      </c>
      <c r="E23" s="467">
        <v>36.539061066000002</v>
      </c>
      <c r="F23" s="467">
        <v>61.089103225000002</v>
      </c>
      <c r="G23" s="467">
        <v>64.905053941000006</v>
      </c>
      <c r="H23" s="467">
        <v>75.270553757000002</v>
      </c>
      <c r="I23" s="467">
        <v>83.754711037999996</v>
      </c>
      <c r="J23" s="467">
        <v>84.071566145999995</v>
      </c>
      <c r="K23" s="467" t="s">
        <v>102</v>
      </c>
      <c r="L23" s="467">
        <v>97.856613147999994</v>
      </c>
      <c r="M23" s="480">
        <v>47.546559979999998</v>
      </c>
      <c r="N23" s="480">
        <v>88.556885957999995</v>
      </c>
      <c r="O23" s="480">
        <v>56.455922428999997</v>
      </c>
      <c r="P23" s="467">
        <v>56.726830266999997</v>
      </c>
    </row>
    <row r="24" spans="1:16" ht="15.75" customHeight="1" x14ac:dyDescent="0.2">
      <c r="A24" s="465" t="s">
        <v>173</v>
      </c>
      <c r="B24" s="467">
        <v>116.506614715</v>
      </c>
      <c r="C24" s="467">
        <v>117.16183834900001</v>
      </c>
      <c r="D24" s="467">
        <v>94.844949139999997</v>
      </c>
      <c r="E24" s="467">
        <v>79.130831843999999</v>
      </c>
      <c r="F24" s="467">
        <v>76.825087338000003</v>
      </c>
      <c r="G24" s="467">
        <v>94.640022244999997</v>
      </c>
      <c r="H24" s="467">
        <v>105.925268976</v>
      </c>
      <c r="I24" s="467">
        <v>98.900618475000002</v>
      </c>
      <c r="J24" s="467">
        <v>115.72400364400001</v>
      </c>
      <c r="K24" s="467" t="s">
        <v>102</v>
      </c>
      <c r="L24" s="467">
        <v>201.31375116199999</v>
      </c>
      <c r="M24" s="480">
        <v>90.435453386999995</v>
      </c>
      <c r="N24" s="480">
        <v>137.02312731500001</v>
      </c>
      <c r="O24" s="480">
        <v>100.556476879</v>
      </c>
      <c r="P24" s="467">
        <v>108.30397019900001</v>
      </c>
    </row>
    <row r="25" spans="1:16" ht="15.75" customHeight="1" x14ac:dyDescent="0.2">
      <c r="A25" s="475" t="s">
        <v>174</v>
      </c>
      <c r="B25" s="468">
        <v>182.38277966800001</v>
      </c>
      <c r="C25" s="468">
        <v>143.88623160700001</v>
      </c>
      <c r="D25" s="468">
        <v>121.57404226600001</v>
      </c>
      <c r="E25" s="468">
        <v>82.551529869999996</v>
      </c>
      <c r="F25" s="468">
        <v>69.252601681000002</v>
      </c>
      <c r="G25" s="468">
        <v>55.602248760999998</v>
      </c>
      <c r="H25" s="468">
        <v>54.767779349000001</v>
      </c>
      <c r="I25" s="468">
        <v>55.506866711999997</v>
      </c>
      <c r="J25" s="468">
        <v>27.394666221000001</v>
      </c>
      <c r="K25" s="468" t="s">
        <v>102</v>
      </c>
      <c r="L25" s="468">
        <v>67.628829969999998</v>
      </c>
      <c r="M25" s="481">
        <v>85.305090422000006</v>
      </c>
      <c r="N25" s="481">
        <v>53.287640705000001</v>
      </c>
      <c r="O25" s="481">
        <v>78.349401642999993</v>
      </c>
      <c r="P25" s="468">
        <v>60.724836185999997</v>
      </c>
    </row>
    <row r="26" spans="1:16" ht="15.75" customHeight="1" x14ac:dyDescent="0.25">
      <c r="A26" s="474" t="s">
        <v>175</v>
      </c>
      <c r="B26" s="466">
        <v>416.99173526499999</v>
      </c>
      <c r="C26" s="466">
        <v>302.17473822699998</v>
      </c>
      <c r="D26" s="466">
        <v>240.5723213</v>
      </c>
      <c r="E26" s="466">
        <v>198.781571993</v>
      </c>
      <c r="F26" s="466">
        <v>204.50172599199999</v>
      </c>
      <c r="G26" s="466">
        <v>199.69266032499999</v>
      </c>
      <c r="H26" s="466">
        <v>212.82791093099999</v>
      </c>
      <c r="I26" s="466">
        <v>207.76799943200001</v>
      </c>
      <c r="J26" s="466">
        <v>214.04648322899999</v>
      </c>
      <c r="K26" s="466" t="s">
        <v>102</v>
      </c>
      <c r="L26" s="466">
        <v>302.38023828799999</v>
      </c>
      <c r="M26" s="479">
        <v>219.64922343000001</v>
      </c>
      <c r="N26" s="479">
        <v>240.915255043</v>
      </c>
      <c r="O26" s="479">
        <v>224.26920093499999</v>
      </c>
      <c r="P26" s="466">
        <v>197.158855778</v>
      </c>
    </row>
    <row r="27" spans="1:16" ht="15.75" customHeight="1" x14ac:dyDescent="0.25">
      <c r="A27" s="476" t="s">
        <v>176</v>
      </c>
      <c r="B27" s="469">
        <v>284.09209697699998</v>
      </c>
      <c r="C27" s="469">
        <v>208.378429361</v>
      </c>
      <c r="D27" s="469">
        <v>147.52535850699999</v>
      </c>
      <c r="E27" s="469">
        <v>115.223671595</v>
      </c>
      <c r="F27" s="469">
        <v>120.412700449</v>
      </c>
      <c r="G27" s="469">
        <v>118.252764146</v>
      </c>
      <c r="H27" s="469">
        <v>117.676191794</v>
      </c>
      <c r="I27" s="469">
        <v>90.391442186000006</v>
      </c>
      <c r="J27" s="469">
        <v>127.69093180199999</v>
      </c>
      <c r="K27" s="469" t="s">
        <v>102</v>
      </c>
      <c r="L27" s="469">
        <v>206.67647883999999</v>
      </c>
      <c r="M27" s="482">
        <v>130.82290306900001</v>
      </c>
      <c r="N27" s="482">
        <v>137.74683404300001</v>
      </c>
      <c r="O27" s="482">
        <v>132.32710497799999</v>
      </c>
      <c r="P27" s="469">
        <v>108.187236056</v>
      </c>
    </row>
    <row r="28" spans="1:16" ht="15.75" customHeight="1" x14ac:dyDescent="0.25">
      <c r="A28" s="474" t="s">
        <v>177</v>
      </c>
      <c r="B28" s="466">
        <v>814.73770558199999</v>
      </c>
      <c r="C28" s="466">
        <v>629.33744953600001</v>
      </c>
      <c r="D28" s="466">
        <v>506.23994113600003</v>
      </c>
      <c r="E28" s="466">
        <v>431.59129762600003</v>
      </c>
      <c r="F28" s="466">
        <v>452.73893789499999</v>
      </c>
      <c r="G28" s="466">
        <v>517.53204054900004</v>
      </c>
      <c r="H28" s="466">
        <v>462.08358678500002</v>
      </c>
      <c r="I28" s="466">
        <v>373.78438097100002</v>
      </c>
      <c r="J28" s="466">
        <v>413.29573301400001</v>
      </c>
      <c r="K28" s="466" t="s">
        <v>102</v>
      </c>
      <c r="L28" s="466">
        <v>358.97476256599998</v>
      </c>
      <c r="M28" s="479">
        <v>478.43950488600001</v>
      </c>
      <c r="N28" s="479">
        <v>377.65087416400002</v>
      </c>
      <c r="O28" s="479">
        <v>456.54349649300002</v>
      </c>
      <c r="P28" s="466">
        <v>411.49686769099998</v>
      </c>
    </row>
    <row r="29" spans="1:16" ht="15.75" customHeight="1" x14ac:dyDescent="0.2">
      <c r="A29" s="465" t="s">
        <v>178</v>
      </c>
      <c r="B29" s="467">
        <v>789.82480066799997</v>
      </c>
      <c r="C29" s="467">
        <v>601.90500761099997</v>
      </c>
      <c r="D29" s="467">
        <v>484.73000380799999</v>
      </c>
      <c r="E29" s="467">
        <v>410.14058713100002</v>
      </c>
      <c r="F29" s="467">
        <v>422.09238824099998</v>
      </c>
      <c r="G29" s="467">
        <v>492.56354635299999</v>
      </c>
      <c r="H29" s="467">
        <v>435.46779434600001</v>
      </c>
      <c r="I29" s="467">
        <v>340.39671702099997</v>
      </c>
      <c r="J29" s="467">
        <v>348.34209406299999</v>
      </c>
      <c r="K29" s="467" t="s">
        <v>102</v>
      </c>
      <c r="L29" s="467">
        <v>296.29686807000002</v>
      </c>
      <c r="M29" s="480">
        <v>454.10355806699999</v>
      </c>
      <c r="N29" s="480">
        <v>327.37749070799998</v>
      </c>
      <c r="O29" s="480">
        <v>426.57272433399999</v>
      </c>
      <c r="P29" s="467">
        <v>374.27712931899998</v>
      </c>
    </row>
    <row r="30" spans="1:16" ht="15.75" customHeight="1" x14ac:dyDescent="0.2">
      <c r="A30" s="465" t="s">
        <v>179</v>
      </c>
      <c r="B30" s="467">
        <v>11.895224453999999</v>
      </c>
      <c r="C30" s="467">
        <v>17.570502099999999</v>
      </c>
      <c r="D30" s="467">
        <v>12.319402675999999</v>
      </c>
      <c r="E30" s="467">
        <v>11.469590039</v>
      </c>
      <c r="F30" s="467">
        <v>12.768837422000001</v>
      </c>
      <c r="G30" s="467">
        <v>16.231746395999998</v>
      </c>
      <c r="H30" s="467">
        <v>13.277601303999999</v>
      </c>
      <c r="I30" s="467">
        <v>15.259805835</v>
      </c>
      <c r="J30" s="467">
        <v>51.753163323999999</v>
      </c>
      <c r="K30" s="467" t="s">
        <v>102</v>
      </c>
      <c r="L30" s="467">
        <v>22.792285225000001</v>
      </c>
      <c r="M30" s="480">
        <v>12.830509236999999</v>
      </c>
      <c r="N30" s="480">
        <v>25.947421296000002</v>
      </c>
      <c r="O30" s="480">
        <v>15.680116524000001</v>
      </c>
      <c r="P30" s="467">
        <v>23.810771989999999</v>
      </c>
    </row>
    <row r="31" spans="1:16" ht="15.75" customHeight="1" x14ac:dyDescent="0.2">
      <c r="A31" s="465" t="s">
        <v>180</v>
      </c>
      <c r="B31" s="467">
        <v>13.017680459999999</v>
      </c>
      <c r="C31" s="467">
        <v>9.8619398250000003</v>
      </c>
      <c r="D31" s="467">
        <v>9.1905346520000002</v>
      </c>
      <c r="E31" s="467">
        <v>9.9811204559999993</v>
      </c>
      <c r="F31" s="467">
        <v>17.877712233</v>
      </c>
      <c r="G31" s="467">
        <v>8.7367477999999998</v>
      </c>
      <c r="H31" s="467">
        <v>13.338191136000001</v>
      </c>
      <c r="I31" s="467">
        <v>18.127858115999999</v>
      </c>
      <c r="J31" s="467">
        <v>13.200475628</v>
      </c>
      <c r="K31" s="467" t="s">
        <v>102</v>
      </c>
      <c r="L31" s="467">
        <v>39.885609271</v>
      </c>
      <c r="M31" s="480">
        <v>11.505437582000001</v>
      </c>
      <c r="N31" s="480">
        <v>24.32596216</v>
      </c>
      <c r="O31" s="480">
        <v>14.290655634</v>
      </c>
      <c r="P31" s="467">
        <v>13.408966381999999</v>
      </c>
    </row>
    <row r="32" spans="1:16" ht="15.75" customHeight="1" x14ac:dyDescent="0.25">
      <c r="A32" s="474" t="s">
        <v>181</v>
      </c>
      <c r="B32" s="466">
        <v>517.860337931</v>
      </c>
      <c r="C32" s="466">
        <v>359.118784006</v>
      </c>
      <c r="D32" s="466">
        <v>261.42996625500001</v>
      </c>
      <c r="E32" s="466">
        <v>226.73583847099999</v>
      </c>
      <c r="F32" s="466">
        <v>236.29011004200001</v>
      </c>
      <c r="G32" s="466">
        <v>232.72898722299999</v>
      </c>
      <c r="H32" s="466">
        <v>197.63951649200001</v>
      </c>
      <c r="I32" s="466">
        <v>205.94193929599999</v>
      </c>
      <c r="J32" s="466">
        <v>154.42632346900001</v>
      </c>
      <c r="K32" s="466" t="s">
        <v>102</v>
      </c>
      <c r="L32" s="466">
        <v>112.705055153</v>
      </c>
      <c r="M32" s="479">
        <v>242.801932545</v>
      </c>
      <c r="N32" s="479">
        <v>163.14050748599999</v>
      </c>
      <c r="O32" s="479">
        <v>225.495742162</v>
      </c>
      <c r="P32" s="466">
        <v>177.39971704600001</v>
      </c>
    </row>
    <row r="33" spans="1:16" ht="15.75" customHeight="1" x14ac:dyDescent="0.2">
      <c r="A33" s="465" t="s">
        <v>182</v>
      </c>
      <c r="B33" s="467">
        <v>100.631935024</v>
      </c>
      <c r="C33" s="467">
        <v>74.223932011000002</v>
      </c>
      <c r="D33" s="467">
        <v>51.761093219000003</v>
      </c>
      <c r="E33" s="467">
        <v>48.834453484999997</v>
      </c>
      <c r="F33" s="467">
        <v>53.721074641999998</v>
      </c>
      <c r="G33" s="467">
        <v>49.563761663000001</v>
      </c>
      <c r="H33" s="467">
        <v>47.248590632999999</v>
      </c>
      <c r="I33" s="467">
        <v>50.738519525000001</v>
      </c>
      <c r="J33" s="467">
        <v>42.698973870000003</v>
      </c>
      <c r="K33" s="467" t="s">
        <v>102</v>
      </c>
      <c r="L33" s="467">
        <v>32.443973638000003</v>
      </c>
      <c r="M33" s="480">
        <v>52.369518349000003</v>
      </c>
      <c r="N33" s="480">
        <v>42.802777145999997</v>
      </c>
      <c r="O33" s="480">
        <v>50.291174351999999</v>
      </c>
      <c r="P33" s="467">
        <v>43.657640358999998</v>
      </c>
    </row>
    <row r="34" spans="1:16" ht="15.75" customHeight="1" x14ac:dyDescent="0.2">
      <c r="A34" s="465" t="s">
        <v>183</v>
      </c>
      <c r="B34" s="467">
        <v>386.660559519</v>
      </c>
      <c r="C34" s="467">
        <v>256.86523917599999</v>
      </c>
      <c r="D34" s="467">
        <v>184.70647975899999</v>
      </c>
      <c r="E34" s="467">
        <v>151.86618794399999</v>
      </c>
      <c r="F34" s="467">
        <v>139.24645970200001</v>
      </c>
      <c r="G34" s="467">
        <v>137.65084207000001</v>
      </c>
      <c r="H34" s="467">
        <v>107.23549842600001</v>
      </c>
      <c r="I34" s="467">
        <v>102.513358619</v>
      </c>
      <c r="J34" s="467">
        <v>93.979193558000006</v>
      </c>
      <c r="K34" s="467" t="s">
        <v>102</v>
      </c>
      <c r="L34" s="467">
        <v>44.452454191999998</v>
      </c>
      <c r="M34" s="480">
        <v>157.34515892100001</v>
      </c>
      <c r="N34" s="480">
        <v>81.125022286999993</v>
      </c>
      <c r="O34" s="480">
        <v>140.786577467</v>
      </c>
      <c r="P34" s="467">
        <v>99.615302452999998</v>
      </c>
    </row>
    <row r="35" spans="1:16" ht="15.75" customHeight="1" x14ac:dyDescent="0.2">
      <c r="A35" s="475" t="s">
        <v>184</v>
      </c>
      <c r="B35" s="468">
        <v>30.567843388</v>
      </c>
      <c r="C35" s="468">
        <v>28.029612820000001</v>
      </c>
      <c r="D35" s="468">
        <v>24.962393277</v>
      </c>
      <c r="E35" s="468">
        <v>26.035197042</v>
      </c>
      <c r="F35" s="468">
        <v>43.322575698999998</v>
      </c>
      <c r="G35" s="468">
        <v>45.514383488999997</v>
      </c>
      <c r="H35" s="468">
        <v>43.155427433</v>
      </c>
      <c r="I35" s="468">
        <v>52.690061151999998</v>
      </c>
      <c r="J35" s="468">
        <v>17.748156040000001</v>
      </c>
      <c r="K35" s="468" t="s">
        <v>102</v>
      </c>
      <c r="L35" s="468">
        <v>35.808627322</v>
      </c>
      <c r="M35" s="481">
        <v>33.087255274</v>
      </c>
      <c r="N35" s="481">
        <v>39.212708053</v>
      </c>
      <c r="O35" s="481">
        <v>34.417990343</v>
      </c>
      <c r="P35" s="468">
        <v>34.126774234000003</v>
      </c>
    </row>
    <row r="36" spans="1:16" ht="15.75" customHeight="1" x14ac:dyDescent="0.25">
      <c r="A36" s="477" t="s">
        <v>185</v>
      </c>
      <c r="B36" s="466">
        <v>1807.415058476</v>
      </c>
      <c r="C36" s="466">
        <v>1447.078642724</v>
      </c>
      <c r="D36" s="466">
        <v>1258.132174607</v>
      </c>
      <c r="E36" s="466">
        <v>1139.8247979400001</v>
      </c>
      <c r="F36" s="466">
        <v>1232.824510767</v>
      </c>
      <c r="G36" s="466">
        <v>1414.791862478</v>
      </c>
      <c r="H36" s="466">
        <v>1485.5793284060001</v>
      </c>
      <c r="I36" s="466">
        <v>1534.603753544</v>
      </c>
      <c r="J36" s="466">
        <v>1660.9264363970001</v>
      </c>
      <c r="K36" s="466" t="s">
        <v>102</v>
      </c>
      <c r="L36" s="466">
        <v>1823.683011758</v>
      </c>
      <c r="M36" s="479">
        <v>1289.1644857599999</v>
      </c>
      <c r="N36" s="479">
        <v>1659.8400087529999</v>
      </c>
      <c r="O36" s="479">
        <v>1369.692560251</v>
      </c>
      <c r="P36" s="466">
        <v>1543.7892652749999</v>
      </c>
    </row>
    <row r="37" spans="1:16" ht="15.75" customHeight="1" x14ac:dyDescent="0.25">
      <c r="A37" s="477" t="s">
        <v>186</v>
      </c>
      <c r="B37" s="466">
        <v>1927.529426091</v>
      </c>
      <c r="C37" s="466">
        <v>1479.0347154210001</v>
      </c>
      <c r="D37" s="466">
        <v>1253.8945210259999</v>
      </c>
      <c r="E37" s="466">
        <v>1133.7509107789999</v>
      </c>
      <c r="F37" s="466">
        <v>1220.877408907</v>
      </c>
      <c r="G37" s="466">
        <v>1329.6814694760001</v>
      </c>
      <c r="H37" s="466">
        <v>1433.9631690440001</v>
      </c>
      <c r="I37" s="466">
        <v>1574.5293113</v>
      </c>
      <c r="J37" s="466">
        <v>1616.103510081</v>
      </c>
      <c r="K37" s="466" t="s">
        <v>102</v>
      </c>
      <c r="L37" s="466">
        <v>1879.793542633</v>
      </c>
      <c r="M37" s="479">
        <v>1273.1761368479999</v>
      </c>
      <c r="N37" s="479">
        <v>1686.2448971179999</v>
      </c>
      <c r="O37" s="479">
        <v>1362.914006855</v>
      </c>
      <c r="P37" s="466">
        <v>1506.850970408</v>
      </c>
    </row>
    <row r="38" spans="1:16" ht="15.75" customHeight="1" x14ac:dyDescent="0.25">
      <c r="A38" s="476" t="s">
        <v>187</v>
      </c>
      <c r="B38" s="469">
        <v>120.114367614</v>
      </c>
      <c r="C38" s="469">
        <v>31.956072697</v>
      </c>
      <c r="D38" s="469">
        <v>-4.237653581</v>
      </c>
      <c r="E38" s="469">
        <v>-6.0738871620000001</v>
      </c>
      <c r="F38" s="469">
        <v>-11.94710186</v>
      </c>
      <c r="G38" s="469">
        <v>-85.110393001999995</v>
      </c>
      <c r="H38" s="469">
        <v>-51.616159361999998</v>
      </c>
      <c r="I38" s="469">
        <v>39.925557756000003</v>
      </c>
      <c r="J38" s="469">
        <v>-44.822926316999997</v>
      </c>
      <c r="K38" s="469" t="s">
        <v>102</v>
      </c>
      <c r="L38" s="469">
        <v>56.110530875000002</v>
      </c>
      <c r="M38" s="482">
        <v>-15.988348910999999</v>
      </c>
      <c r="N38" s="482">
        <v>26.404888365000001</v>
      </c>
      <c r="O38" s="482">
        <v>-6.7785533960000004</v>
      </c>
      <c r="P38" s="469">
        <v>-36.938294867000003</v>
      </c>
    </row>
    <row r="39" spans="1:16" ht="15.75" customHeight="1" x14ac:dyDescent="0.2">
      <c r="A39" s="465" t="s">
        <v>188</v>
      </c>
      <c r="B39" s="467">
        <v>132.89963828800001</v>
      </c>
      <c r="C39" s="467">
        <v>93.796308866000004</v>
      </c>
      <c r="D39" s="467">
        <v>93.046962793000006</v>
      </c>
      <c r="E39" s="467">
        <v>83.557900398000001</v>
      </c>
      <c r="F39" s="467">
        <v>84.089025543999995</v>
      </c>
      <c r="G39" s="467">
        <v>81.439896179000002</v>
      </c>
      <c r="H39" s="467">
        <v>95.151719137000001</v>
      </c>
      <c r="I39" s="467">
        <v>117.376557246</v>
      </c>
      <c r="J39" s="467">
        <v>86.355551427999998</v>
      </c>
      <c r="K39" s="467" t="s">
        <v>102</v>
      </c>
      <c r="L39" s="467">
        <v>95.703759448</v>
      </c>
      <c r="M39" s="480">
        <v>88.826320361000001</v>
      </c>
      <c r="N39" s="480">
        <v>103.168421</v>
      </c>
      <c r="O39" s="480">
        <v>91.942095957000006</v>
      </c>
      <c r="P39" s="467">
        <v>88.971619723000003</v>
      </c>
    </row>
    <row r="40" spans="1:16" ht="15.75" customHeight="1" x14ac:dyDescent="0.2">
      <c r="A40" s="465" t="s">
        <v>189</v>
      </c>
      <c r="B40" s="467">
        <v>99.696874596000001</v>
      </c>
      <c r="C40" s="467">
        <v>82.839875402999994</v>
      </c>
      <c r="D40" s="467">
        <v>78.610181157</v>
      </c>
      <c r="E40" s="467">
        <v>72.625289832000007</v>
      </c>
      <c r="F40" s="467">
        <v>69.598190854999999</v>
      </c>
      <c r="G40" s="467">
        <v>113.891634451</v>
      </c>
      <c r="H40" s="467">
        <v>117.492618913</v>
      </c>
      <c r="I40" s="467">
        <v>66.683384586000003</v>
      </c>
      <c r="J40" s="467">
        <v>87.090378974000004</v>
      </c>
      <c r="K40" s="467" t="s">
        <v>102</v>
      </c>
      <c r="L40" s="467">
        <v>72.761366289999998</v>
      </c>
      <c r="M40" s="480">
        <v>85.903272037999997</v>
      </c>
      <c r="N40" s="480">
        <v>73.285878827000005</v>
      </c>
      <c r="O40" s="480">
        <v>83.162183627000005</v>
      </c>
      <c r="P40" s="467">
        <v>101.995484976</v>
      </c>
    </row>
    <row r="41" spans="1:16" ht="15.75" customHeight="1" x14ac:dyDescent="0.2">
      <c r="A41" s="475" t="s">
        <v>190</v>
      </c>
      <c r="B41" s="468">
        <v>-33.202763691999998</v>
      </c>
      <c r="C41" s="468">
        <v>-10.956433462</v>
      </c>
      <c r="D41" s="468">
        <v>-14.436781635999999</v>
      </c>
      <c r="E41" s="468">
        <v>-10.932610565999999</v>
      </c>
      <c r="F41" s="468">
        <v>-14.490834688</v>
      </c>
      <c r="G41" s="468">
        <v>32.451738272</v>
      </c>
      <c r="H41" s="468">
        <v>22.340899776000001</v>
      </c>
      <c r="I41" s="468">
        <v>-50.693172660000002</v>
      </c>
      <c r="J41" s="468">
        <v>0.73482754699999997</v>
      </c>
      <c r="K41" s="468" t="s">
        <v>102</v>
      </c>
      <c r="L41" s="468">
        <v>-22.942393158000002</v>
      </c>
      <c r="M41" s="481">
        <v>-2.9230483230000002</v>
      </c>
      <c r="N41" s="481">
        <v>-29.882542173000001</v>
      </c>
      <c r="O41" s="481">
        <v>-8.7799123300000002</v>
      </c>
      <c r="P41" s="468">
        <v>13.023865253</v>
      </c>
    </row>
    <row r="42" spans="1:16" ht="15.75" customHeight="1" x14ac:dyDescent="0.25">
      <c r="A42" s="477" t="s">
        <v>191</v>
      </c>
      <c r="B42" s="466">
        <v>1940.314696765</v>
      </c>
      <c r="C42" s="466">
        <v>1540.8749515889999</v>
      </c>
      <c r="D42" s="466">
        <v>1351.1791373999999</v>
      </c>
      <c r="E42" s="466">
        <v>1223.382698338</v>
      </c>
      <c r="F42" s="466">
        <v>1316.9135363109999</v>
      </c>
      <c r="G42" s="466">
        <v>1496.231758657</v>
      </c>
      <c r="H42" s="466">
        <v>1580.7310475429999</v>
      </c>
      <c r="I42" s="466">
        <v>1651.98031079</v>
      </c>
      <c r="J42" s="466">
        <v>1747.281987825</v>
      </c>
      <c r="K42" s="466" t="s">
        <v>102</v>
      </c>
      <c r="L42" s="466">
        <v>1919.386771206</v>
      </c>
      <c r="M42" s="479">
        <v>1377.9908061210001</v>
      </c>
      <c r="N42" s="479">
        <v>1763.008429754</v>
      </c>
      <c r="O42" s="479">
        <v>1461.634656208</v>
      </c>
      <c r="P42" s="466">
        <v>1632.7608849979999</v>
      </c>
    </row>
    <row r="43" spans="1:16" ht="15.75" customHeight="1" x14ac:dyDescent="0.25">
      <c r="A43" s="477" t="s">
        <v>192</v>
      </c>
      <c r="B43" s="466">
        <v>2027.226300687</v>
      </c>
      <c r="C43" s="466">
        <v>1561.8745908240001</v>
      </c>
      <c r="D43" s="466">
        <v>1332.5047021830001</v>
      </c>
      <c r="E43" s="466">
        <v>1206.3762006110001</v>
      </c>
      <c r="F43" s="466">
        <v>1290.475599763</v>
      </c>
      <c r="G43" s="466">
        <v>1443.5731039269999</v>
      </c>
      <c r="H43" s="466">
        <v>1551.455787958</v>
      </c>
      <c r="I43" s="466">
        <v>1641.2126958859999</v>
      </c>
      <c r="J43" s="466">
        <v>1703.193889055</v>
      </c>
      <c r="K43" s="466" t="s">
        <v>102</v>
      </c>
      <c r="L43" s="466">
        <v>1952.5549089220001</v>
      </c>
      <c r="M43" s="479">
        <v>1359.079408886</v>
      </c>
      <c r="N43" s="479">
        <v>1759.530775945</v>
      </c>
      <c r="O43" s="479">
        <v>1446.0761904809999</v>
      </c>
      <c r="P43" s="466">
        <v>1608.8464553839999</v>
      </c>
    </row>
    <row r="44" spans="1:16" ht="15.75" customHeight="1" x14ac:dyDescent="0.2">
      <c r="A44" s="475" t="s">
        <v>193</v>
      </c>
      <c r="B44" s="468">
        <v>86.911603921999998</v>
      </c>
      <c r="C44" s="468">
        <v>20.999639235</v>
      </c>
      <c r="D44" s="468">
        <v>-18.674435216999999</v>
      </c>
      <c r="E44" s="468">
        <v>-17.006497726999999</v>
      </c>
      <c r="F44" s="468">
        <v>-26.437936548</v>
      </c>
      <c r="G44" s="468">
        <v>-52.658654728999998</v>
      </c>
      <c r="H44" s="468">
        <v>-29.275259586000001</v>
      </c>
      <c r="I44" s="468">
        <v>-10.767614904</v>
      </c>
      <c r="J44" s="468">
        <v>-44.088098770000002</v>
      </c>
      <c r="K44" s="468" t="s">
        <v>102</v>
      </c>
      <c r="L44" s="468">
        <v>33.168137717</v>
      </c>
      <c r="M44" s="481">
        <v>-18.911397233999999</v>
      </c>
      <c r="N44" s="481">
        <v>-3.4776538079999999</v>
      </c>
      <c r="O44" s="481">
        <v>-15.558465726</v>
      </c>
      <c r="P44" s="468">
        <v>-23.914429613999999</v>
      </c>
    </row>
    <row r="45" spans="1:16" s="8" customFormat="1" ht="15.75" customHeight="1" x14ac:dyDescent="0.25">
      <c r="A45" s="478" t="s">
        <v>283</v>
      </c>
      <c r="B45" s="469">
        <v>660.45254649399999</v>
      </c>
      <c r="C45" s="469">
        <v>643.83853633000001</v>
      </c>
      <c r="D45" s="469">
        <v>635.20979178100004</v>
      </c>
      <c r="E45" s="469">
        <v>636.25738913299995</v>
      </c>
      <c r="F45" s="469">
        <v>696.74037730800001</v>
      </c>
      <c r="G45" s="469">
        <v>755.07713639799999</v>
      </c>
      <c r="H45" s="469">
        <v>932.627735293</v>
      </c>
      <c r="I45" s="469">
        <v>1025.7452390010001</v>
      </c>
      <c r="J45" s="469">
        <v>828.76060525800006</v>
      </c>
      <c r="K45" s="469" t="s">
        <v>102</v>
      </c>
      <c r="L45" s="469">
        <v>966.41050481599996</v>
      </c>
      <c r="M45" s="482">
        <v>709.47906686500005</v>
      </c>
      <c r="N45" s="482">
        <v>961.78950460999999</v>
      </c>
      <c r="O45" s="482">
        <v>764.29270430600002</v>
      </c>
      <c r="P45" s="469">
        <v>922.65384219600003</v>
      </c>
    </row>
    <row r="46" spans="1:16" ht="15.75" customHeight="1" x14ac:dyDescent="0.25">
      <c r="A46" s="474" t="s">
        <v>442</v>
      </c>
      <c r="B46" s="467"/>
      <c r="C46" s="467"/>
      <c r="D46" s="467"/>
      <c r="E46" s="467"/>
      <c r="F46" s="467"/>
      <c r="G46" s="467"/>
      <c r="H46" s="467"/>
      <c r="I46" s="467"/>
      <c r="J46" s="467"/>
      <c r="K46" s="467"/>
      <c r="L46" s="467"/>
      <c r="M46" s="483"/>
      <c r="N46" s="483"/>
      <c r="O46" s="483"/>
      <c r="P46" s="470"/>
    </row>
    <row r="47" spans="1:16" ht="15.75" customHeight="1" x14ac:dyDescent="0.25">
      <c r="A47" s="465" t="s">
        <v>459</v>
      </c>
      <c r="B47" s="467">
        <v>991.894620788</v>
      </c>
      <c r="C47" s="467">
        <v>817.14561275699998</v>
      </c>
      <c r="D47" s="467">
        <v>751.14371894099997</v>
      </c>
      <c r="E47" s="467">
        <v>707.22937634300001</v>
      </c>
      <c r="F47" s="467">
        <v>777.96672732100001</v>
      </c>
      <c r="G47" s="467">
        <v>892.81182561900005</v>
      </c>
      <c r="H47" s="467">
        <v>1018.5245524870001</v>
      </c>
      <c r="I47" s="467">
        <v>1156.9352216970001</v>
      </c>
      <c r="J47" s="467">
        <v>1240.4370224859999</v>
      </c>
      <c r="K47" s="467" t="s">
        <v>102</v>
      </c>
      <c r="L47" s="467">
        <v>1464.708249192</v>
      </c>
      <c r="M47" s="480">
        <v>808.63490294600001</v>
      </c>
      <c r="N47" s="480">
        <v>1278.8680985139999</v>
      </c>
      <c r="O47" s="480">
        <v>910.79156410099995</v>
      </c>
      <c r="P47" s="467">
        <v>1129.889010739</v>
      </c>
    </row>
    <row r="48" spans="1:16" ht="15.75" customHeight="1" x14ac:dyDescent="0.25">
      <c r="A48" s="465" t="s">
        <v>410</v>
      </c>
      <c r="B48" s="467">
        <v>341.09740204100001</v>
      </c>
      <c r="C48" s="467">
        <v>293.76375327599999</v>
      </c>
      <c r="D48" s="467">
        <v>326.74193225400001</v>
      </c>
      <c r="E48" s="467">
        <v>355.77369335399999</v>
      </c>
      <c r="F48" s="467">
        <v>413.19109207399998</v>
      </c>
      <c r="G48" s="467">
        <v>475.631849837</v>
      </c>
      <c r="H48" s="467">
        <v>550.893736246</v>
      </c>
      <c r="I48" s="467">
        <v>632.111512748</v>
      </c>
      <c r="J48" s="467">
        <v>689.67165734299999</v>
      </c>
      <c r="K48" s="467" t="s">
        <v>102</v>
      </c>
      <c r="L48" s="467">
        <v>760.21246013799998</v>
      </c>
      <c r="M48" s="480">
        <v>400.74226437099998</v>
      </c>
      <c r="N48" s="480">
        <v>687.96180503999994</v>
      </c>
      <c r="O48" s="480">
        <v>463.13979302199999</v>
      </c>
      <c r="P48" s="467">
        <v>625.13532775199997</v>
      </c>
    </row>
    <row r="49" spans="1:25" ht="15.75" customHeight="1" x14ac:dyDescent="0.25">
      <c r="A49" s="465" t="s">
        <v>411</v>
      </c>
      <c r="B49" s="467">
        <v>379.50956072600002</v>
      </c>
      <c r="C49" s="467">
        <v>344.887187423</v>
      </c>
      <c r="D49" s="467">
        <v>356.39713025499998</v>
      </c>
      <c r="E49" s="467">
        <v>436.46804101800001</v>
      </c>
      <c r="F49" s="467">
        <v>544.19162779999999</v>
      </c>
      <c r="G49" s="467">
        <v>613.194953575</v>
      </c>
      <c r="H49" s="467">
        <v>746.14638847900005</v>
      </c>
      <c r="I49" s="467">
        <v>848.31208862599999</v>
      </c>
      <c r="J49" s="467">
        <v>904.57698063600003</v>
      </c>
      <c r="K49" s="467" t="s">
        <v>102</v>
      </c>
      <c r="L49" s="467">
        <v>1098.05269131</v>
      </c>
      <c r="M49" s="480">
        <v>503.41636898199999</v>
      </c>
      <c r="N49" s="480">
        <v>944.68400354799996</v>
      </c>
      <c r="O49" s="480">
        <v>599.28035444299996</v>
      </c>
      <c r="P49" s="467">
        <v>762.76738347100002</v>
      </c>
    </row>
    <row r="50" spans="1:25" ht="15.75" customHeight="1" x14ac:dyDescent="0.25">
      <c r="A50" s="465" t="s">
        <v>412</v>
      </c>
      <c r="B50" s="467">
        <v>1409.66908816</v>
      </c>
      <c r="C50" s="467">
        <v>1119.9159314139999</v>
      </c>
      <c r="D50" s="467">
        <v>992.46455477100005</v>
      </c>
      <c r="E50" s="467">
        <v>907.01507230699997</v>
      </c>
      <c r="F50" s="467">
        <v>984.58729886499998</v>
      </c>
      <c r="G50" s="467">
        <v>1096.952482254</v>
      </c>
      <c r="H50" s="467">
        <v>1236.3236525520001</v>
      </c>
      <c r="I50" s="467">
        <v>1368.5873720039999</v>
      </c>
      <c r="J50" s="467">
        <v>1461.677186612</v>
      </c>
      <c r="K50" s="467" t="s">
        <v>102</v>
      </c>
      <c r="L50" s="467">
        <v>1767.0884874799999</v>
      </c>
      <c r="M50" s="480">
        <v>1030.3742043039999</v>
      </c>
      <c r="N50" s="480">
        <v>1523.104389632</v>
      </c>
      <c r="O50" s="480">
        <v>1137.4182646930001</v>
      </c>
      <c r="P50" s="467">
        <v>1329.451253362</v>
      </c>
    </row>
    <row r="51" spans="1:25" ht="15.75" customHeight="1" x14ac:dyDescent="0.25">
      <c r="A51" s="465" t="s">
        <v>460</v>
      </c>
      <c r="B51" s="467">
        <v>791.83137550499998</v>
      </c>
      <c r="C51" s="467">
        <v>604.35605418</v>
      </c>
      <c r="D51" s="467">
        <v>487.94509198700001</v>
      </c>
      <c r="E51" s="467">
        <v>413.39399200000003</v>
      </c>
      <c r="F51" s="467">
        <v>427.35663198700001</v>
      </c>
      <c r="G51" s="467">
        <v>498.80545757200002</v>
      </c>
      <c r="H51" s="467">
        <v>444.73551837899998</v>
      </c>
      <c r="I51" s="467">
        <v>351.17204393499998</v>
      </c>
      <c r="J51" s="467">
        <v>356.163296038</v>
      </c>
      <c r="K51" s="467" t="s">
        <v>102</v>
      </c>
      <c r="L51" s="467">
        <v>297.53301488900001</v>
      </c>
      <c r="M51" s="480">
        <v>458.89342544300001</v>
      </c>
      <c r="N51" s="480">
        <v>334.29175082099999</v>
      </c>
      <c r="O51" s="480">
        <v>431.82410925300002</v>
      </c>
      <c r="P51" s="467">
        <v>381.33041176900002</v>
      </c>
    </row>
    <row r="52" spans="1:25" ht="15.75" customHeight="1" x14ac:dyDescent="0.25">
      <c r="A52" s="465" t="s">
        <v>413</v>
      </c>
      <c r="B52" s="467">
        <v>660.45254649399999</v>
      </c>
      <c r="C52" s="467">
        <v>643.83853633000001</v>
      </c>
      <c r="D52" s="467">
        <v>635.20979178100004</v>
      </c>
      <c r="E52" s="467">
        <v>636.25738913299995</v>
      </c>
      <c r="F52" s="467">
        <v>696.74037730800001</v>
      </c>
      <c r="G52" s="467">
        <v>755.07713639799999</v>
      </c>
      <c r="H52" s="467">
        <v>932.627735293</v>
      </c>
      <c r="I52" s="467">
        <v>1025.7452390010001</v>
      </c>
      <c r="J52" s="467">
        <v>828.76060525800006</v>
      </c>
      <c r="K52" s="467" t="s">
        <v>102</v>
      </c>
      <c r="L52" s="467">
        <v>966.41050481599996</v>
      </c>
      <c r="M52" s="480">
        <v>709.47906686500005</v>
      </c>
      <c r="N52" s="480">
        <v>961.78950460999999</v>
      </c>
      <c r="O52" s="480">
        <v>764.29270430600002</v>
      </c>
      <c r="P52" s="467">
        <v>922.65384219600003</v>
      </c>
    </row>
    <row r="53" spans="1:25" ht="15.75" customHeight="1" x14ac:dyDescent="0.25">
      <c r="A53" s="465" t="s">
        <v>414</v>
      </c>
      <c r="B53" s="467">
        <v>307.71672508199998</v>
      </c>
      <c r="C53" s="467">
        <v>257.27930535600001</v>
      </c>
      <c r="D53" s="467">
        <v>209.448946393</v>
      </c>
      <c r="E53" s="467">
        <v>169.110483141</v>
      </c>
      <c r="F53" s="467">
        <v>137.481089505</v>
      </c>
      <c r="G53" s="467">
        <v>150.72307982300001</v>
      </c>
      <c r="H53" s="467">
        <v>130.978369149</v>
      </c>
      <c r="I53" s="467">
        <v>163.18044772600001</v>
      </c>
      <c r="J53" s="467">
        <v>232.60827883799999</v>
      </c>
      <c r="K53" s="467" t="s">
        <v>102</v>
      </c>
      <c r="L53" s="467">
        <v>181.49870973500001</v>
      </c>
      <c r="M53" s="480">
        <v>170.81342959200001</v>
      </c>
      <c r="N53" s="480">
        <v>184.85137926300001</v>
      </c>
      <c r="O53" s="480">
        <v>173.86312936100001</v>
      </c>
      <c r="P53" s="467">
        <v>168.82118193599999</v>
      </c>
    </row>
    <row r="54" spans="1:25" ht="12.75" customHeight="1" x14ac:dyDescent="0.2">
      <c r="A54" s="37" t="s">
        <v>899</v>
      </c>
      <c r="B54" s="13"/>
      <c r="C54" s="13"/>
      <c r="D54" s="13"/>
      <c r="E54" s="13"/>
      <c r="F54" s="13"/>
      <c r="G54" s="13"/>
      <c r="H54" s="13"/>
      <c r="I54" s="13"/>
      <c r="J54" s="215"/>
      <c r="K54" s="215"/>
      <c r="L54" s="215"/>
      <c r="M54" s="39"/>
      <c r="N54" s="13"/>
      <c r="O54" s="13"/>
      <c r="P54" s="13"/>
      <c r="Q54" s="13"/>
      <c r="R54" s="13"/>
      <c r="S54" s="13"/>
      <c r="T54" s="13"/>
      <c r="U54" s="13"/>
      <c r="V54" s="215"/>
      <c r="W54" s="215"/>
      <c r="X54" s="215"/>
      <c r="Y54" s="39"/>
    </row>
    <row r="55" spans="1:25" ht="12.75" customHeight="1" x14ac:dyDescent="0.2">
      <c r="A55" s="255" t="s">
        <v>468</v>
      </c>
      <c r="B55" s="13"/>
      <c r="C55" s="13"/>
      <c r="D55" s="13"/>
      <c r="E55" s="13"/>
      <c r="F55" s="13"/>
      <c r="G55" s="13"/>
      <c r="H55" s="13"/>
      <c r="I55" s="13"/>
      <c r="J55" s="13"/>
      <c r="K55" s="13"/>
      <c r="L55" s="13"/>
      <c r="M55" s="215"/>
      <c r="N55" s="215"/>
      <c r="O55" s="215"/>
      <c r="P55" s="39"/>
    </row>
    <row r="56" spans="1:25" ht="12.75" customHeight="1" x14ac:dyDescent="0.2">
      <c r="A56" s="37" t="s">
        <v>461</v>
      </c>
      <c r="B56" s="13"/>
      <c r="C56" s="13"/>
      <c r="D56" s="13"/>
      <c r="E56" s="13"/>
      <c r="F56" s="13"/>
      <c r="G56" s="13"/>
      <c r="H56" s="13"/>
      <c r="I56" s="13"/>
      <c r="J56" s="13"/>
      <c r="K56" s="13"/>
      <c r="L56" s="13"/>
      <c r="M56" s="215"/>
      <c r="N56" s="215"/>
      <c r="O56" s="215"/>
      <c r="P56" s="39"/>
    </row>
    <row r="57" spans="1:25" ht="12.75" customHeight="1" x14ac:dyDescent="0.2">
      <c r="A57" s="168" t="s">
        <v>557</v>
      </c>
      <c r="B57" s="13"/>
      <c r="C57" s="13"/>
      <c r="D57" s="13"/>
      <c r="E57" s="13"/>
      <c r="F57" s="13"/>
      <c r="G57" s="13"/>
      <c r="H57" s="13"/>
      <c r="I57" s="13"/>
      <c r="J57" s="13"/>
      <c r="K57" s="13"/>
      <c r="L57" s="13"/>
      <c r="M57" s="215"/>
      <c r="N57" s="215"/>
      <c r="O57" s="215"/>
      <c r="P57" s="39"/>
    </row>
    <row r="58" spans="1:25" x14ac:dyDescent="0.2">
      <c r="A58" s="255" t="s">
        <v>992</v>
      </c>
      <c r="B58" s="3"/>
      <c r="C58" s="3"/>
      <c r="D58" s="3"/>
      <c r="G58" s="185"/>
      <c r="J58" s="185"/>
      <c r="M58" s="215"/>
      <c r="N58" s="215"/>
      <c r="O58" s="215"/>
    </row>
    <row r="59" spans="1:25" x14ac:dyDescent="0.2">
      <c r="A59" s="286" t="s">
        <v>916</v>
      </c>
      <c r="B59" s="3"/>
      <c r="C59" s="3"/>
      <c r="D59" s="3"/>
      <c r="G59" s="185"/>
      <c r="J59" s="185"/>
    </row>
    <row r="61" spans="1:25" ht="27.75" customHeight="1" x14ac:dyDescent="0.2">
      <c r="A61" s="46" t="s">
        <v>931</v>
      </c>
    </row>
    <row r="62" spans="1:25" ht="15" customHeight="1" thickBot="1" x14ac:dyDescent="0.25">
      <c r="P62" s="40"/>
    </row>
    <row r="63" spans="1:25" ht="15" customHeight="1" x14ac:dyDescent="0.2">
      <c r="A63" s="41"/>
      <c r="B63" s="42" t="s">
        <v>35</v>
      </c>
      <c r="C63" s="42" t="s">
        <v>121</v>
      </c>
      <c r="D63" s="42" t="s">
        <v>123</v>
      </c>
      <c r="E63" s="42" t="s">
        <v>36</v>
      </c>
      <c r="F63" s="42" t="s">
        <v>37</v>
      </c>
      <c r="G63" s="42" t="s">
        <v>38</v>
      </c>
      <c r="H63" s="42" t="s">
        <v>39</v>
      </c>
      <c r="I63" s="42" t="s">
        <v>125</v>
      </c>
      <c r="J63" s="42" t="s">
        <v>126</v>
      </c>
      <c r="K63" s="42" t="s">
        <v>127</v>
      </c>
      <c r="L63" s="252">
        <v>100000</v>
      </c>
      <c r="M63" s="250" t="s">
        <v>231</v>
      </c>
      <c r="N63" s="250" t="s">
        <v>231</v>
      </c>
      <c r="O63" s="257" t="s">
        <v>77</v>
      </c>
      <c r="P63" s="281" t="s">
        <v>220</v>
      </c>
    </row>
    <row r="64" spans="1:25" ht="15.95" customHeight="1" x14ac:dyDescent="0.2">
      <c r="A64" s="566" t="s">
        <v>81</v>
      </c>
      <c r="B64" s="43" t="s">
        <v>120</v>
      </c>
      <c r="C64" s="43" t="s">
        <v>40</v>
      </c>
      <c r="D64" s="43" t="s">
        <v>40</v>
      </c>
      <c r="E64" s="43" t="s">
        <v>40</v>
      </c>
      <c r="F64" s="43" t="s">
        <v>40</v>
      </c>
      <c r="G64" s="43" t="s">
        <v>40</v>
      </c>
      <c r="H64" s="43" t="s">
        <v>40</v>
      </c>
      <c r="I64" s="43" t="s">
        <v>40</v>
      </c>
      <c r="J64" s="43" t="s">
        <v>40</v>
      </c>
      <c r="K64" s="43" t="s">
        <v>40</v>
      </c>
      <c r="L64" s="43" t="s">
        <v>43</v>
      </c>
      <c r="M64" s="239" t="s">
        <v>230</v>
      </c>
      <c r="N64" s="239" t="s">
        <v>138</v>
      </c>
      <c r="O64" s="256" t="s">
        <v>137</v>
      </c>
      <c r="P64" s="282" t="s">
        <v>284</v>
      </c>
    </row>
    <row r="65" spans="1:16" ht="15.95" customHeight="1" thickBot="1" x14ac:dyDescent="0.25">
      <c r="A65" s="423" t="s">
        <v>99</v>
      </c>
      <c r="B65" s="44" t="s">
        <v>43</v>
      </c>
      <c r="C65" s="44" t="s">
        <v>122</v>
      </c>
      <c r="D65" s="44" t="s">
        <v>124</v>
      </c>
      <c r="E65" s="44" t="s">
        <v>44</v>
      </c>
      <c r="F65" s="44" t="s">
        <v>45</v>
      </c>
      <c r="G65" s="44" t="s">
        <v>46</v>
      </c>
      <c r="H65" s="44" t="s">
        <v>42</v>
      </c>
      <c r="I65" s="44" t="s">
        <v>128</v>
      </c>
      <c r="J65" s="44" t="s">
        <v>129</v>
      </c>
      <c r="K65" s="44" t="s">
        <v>130</v>
      </c>
      <c r="L65" s="44" t="s">
        <v>131</v>
      </c>
      <c r="M65" s="251" t="s">
        <v>138</v>
      </c>
      <c r="N65" s="251" t="s">
        <v>131</v>
      </c>
      <c r="O65" s="258" t="s">
        <v>41</v>
      </c>
      <c r="P65" s="283" t="s">
        <v>239</v>
      </c>
    </row>
    <row r="66" spans="1:16" ht="15.95" customHeight="1" x14ac:dyDescent="0.25">
      <c r="A66" s="544" t="s">
        <v>200</v>
      </c>
      <c r="B66" s="192"/>
      <c r="C66" s="192"/>
      <c r="D66" s="192"/>
      <c r="E66" s="192"/>
      <c r="F66" s="192"/>
      <c r="G66" s="192"/>
      <c r="H66" s="192"/>
      <c r="I66" s="192"/>
      <c r="J66" s="192"/>
      <c r="K66" s="192"/>
      <c r="L66" s="192"/>
      <c r="M66" s="192"/>
      <c r="N66" s="192"/>
      <c r="O66" s="192"/>
    </row>
    <row r="67" spans="1:16" s="465" customFormat="1" ht="16.5" customHeight="1" x14ac:dyDescent="0.25">
      <c r="A67" s="487" t="s">
        <v>291</v>
      </c>
      <c r="B67" s="719">
        <f t="shared" ref="B67:J72" si="0">B8/B$8</f>
        <v>1</v>
      </c>
      <c r="C67" s="719">
        <f t="shared" si="0"/>
        <v>1</v>
      </c>
      <c r="D67" s="719">
        <f t="shared" si="0"/>
        <v>1</v>
      </c>
      <c r="E67" s="719">
        <f t="shared" si="0"/>
        <v>1</v>
      </c>
      <c r="F67" s="719">
        <f t="shared" si="0"/>
        <v>1</v>
      </c>
      <c r="G67" s="719">
        <f t="shared" si="0"/>
        <v>1</v>
      </c>
      <c r="H67" s="719">
        <f t="shared" si="0"/>
        <v>1</v>
      </c>
      <c r="I67" s="719">
        <f t="shared" si="0"/>
        <v>1</v>
      </c>
      <c r="J67" s="719">
        <f t="shared" si="0"/>
        <v>1</v>
      </c>
      <c r="K67" s="719" t="s">
        <v>102</v>
      </c>
      <c r="L67" s="719">
        <f t="shared" ref="L67:O72" si="1">L8/L$8</f>
        <v>1</v>
      </c>
      <c r="M67" s="720">
        <f t="shared" si="1"/>
        <v>1</v>
      </c>
      <c r="N67" s="720">
        <f t="shared" si="1"/>
        <v>1</v>
      </c>
      <c r="O67" s="720">
        <f t="shared" si="1"/>
        <v>1</v>
      </c>
      <c r="P67" s="719">
        <f t="shared" ref="P67:P72" si="2">P8/P$8</f>
        <v>1</v>
      </c>
    </row>
    <row r="68" spans="1:16" s="465" customFormat="1" ht="15.75" customHeight="1" x14ac:dyDescent="0.2">
      <c r="A68" s="490" t="s">
        <v>161</v>
      </c>
      <c r="B68" s="721">
        <f t="shared" si="0"/>
        <v>0.41025851729900109</v>
      </c>
      <c r="C68" s="721">
        <f t="shared" si="0"/>
        <v>0.39108334741291112</v>
      </c>
      <c r="D68" s="721">
        <f t="shared" si="0"/>
        <v>0.36533806527336626</v>
      </c>
      <c r="E68" s="721">
        <f t="shared" si="0"/>
        <v>0.34818081806681417</v>
      </c>
      <c r="F68" s="721">
        <f t="shared" si="0"/>
        <v>0.33430518339657989</v>
      </c>
      <c r="G68" s="721">
        <f t="shared" si="0"/>
        <v>0.31657362494659513</v>
      </c>
      <c r="H68" s="721">
        <f t="shared" si="0"/>
        <v>0.28838794217992852</v>
      </c>
      <c r="I68" s="721">
        <f t="shared" si="0"/>
        <v>0.25950681968508887</v>
      </c>
      <c r="J68" s="721">
        <f t="shared" si="0"/>
        <v>0.24367252639715892</v>
      </c>
      <c r="K68" s="721" t="s">
        <v>102</v>
      </c>
      <c r="L68" s="721">
        <f t="shared" si="1"/>
        <v>0.20780198033492608</v>
      </c>
      <c r="M68" s="722">
        <f t="shared" si="1"/>
        <v>0.33633904823315014</v>
      </c>
      <c r="N68" s="722">
        <f t="shared" si="1"/>
        <v>0.23624462656525047</v>
      </c>
      <c r="O68" s="722">
        <f t="shared" si="1"/>
        <v>0.30580575176716712</v>
      </c>
      <c r="P68" s="721">
        <f t="shared" si="2"/>
        <v>0.26380622524125025</v>
      </c>
    </row>
    <row r="69" spans="1:16" s="465" customFormat="1" ht="15.75" customHeight="1" x14ac:dyDescent="0.2">
      <c r="A69" s="492" t="s">
        <v>162</v>
      </c>
      <c r="B69" s="723">
        <f t="shared" si="0"/>
        <v>0.25577470856017037</v>
      </c>
      <c r="C69" s="723">
        <f t="shared" si="0"/>
        <v>0.32445302245441277</v>
      </c>
      <c r="D69" s="723">
        <f t="shared" si="0"/>
        <v>0.37845627540898613</v>
      </c>
      <c r="E69" s="723">
        <f t="shared" si="0"/>
        <v>0.43942217351421814</v>
      </c>
      <c r="F69" s="723">
        <f t="shared" si="0"/>
        <v>0.48549965800629413</v>
      </c>
      <c r="G69" s="723">
        <f t="shared" si="0"/>
        <v>0.52398567061236689</v>
      </c>
      <c r="H69" s="723">
        <f t="shared" si="0"/>
        <v>0.5475529848745796</v>
      </c>
      <c r="I69" s="723">
        <f t="shared" si="0"/>
        <v>0.56409193441452954</v>
      </c>
      <c r="J69" s="723">
        <f t="shared" si="0"/>
        <v>0.61449039219071711</v>
      </c>
      <c r="K69" s="723" t="s">
        <v>102</v>
      </c>
      <c r="L69" s="723">
        <f t="shared" si="1"/>
        <v>0.62210091707523152</v>
      </c>
      <c r="M69" s="724">
        <f t="shared" si="1"/>
        <v>0.45743214109451064</v>
      </c>
      <c r="N69" s="724">
        <f t="shared" si="1"/>
        <v>0.59729099779845396</v>
      </c>
      <c r="O69" s="724">
        <f t="shared" si="1"/>
        <v>0.50009537710594765</v>
      </c>
      <c r="P69" s="723">
        <f t="shared" si="2"/>
        <v>0.5355583785600867</v>
      </c>
    </row>
    <row r="70" spans="1:16" s="465" customFormat="1" ht="15.75" customHeight="1" x14ac:dyDescent="0.2">
      <c r="A70" s="490" t="s">
        <v>163</v>
      </c>
      <c r="B70" s="721">
        <f t="shared" si="0"/>
        <v>1.8647766762296649E-2</v>
      </c>
      <c r="C70" s="721">
        <f t="shared" si="0"/>
        <v>1.8049656496422473E-2</v>
      </c>
      <c r="D70" s="721">
        <f t="shared" si="0"/>
        <v>2.1495782041010901E-2</v>
      </c>
      <c r="E70" s="721">
        <f t="shared" si="0"/>
        <v>2.3093932369374525E-2</v>
      </c>
      <c r="F70" s="721">
        <f t="shared" si="0"/>
        <v>2.1753376165545926E-2</v>
      </c>
      <c r="G70" s="721">
        <f t="shared" si="0"/>
        <v>1.9150726465226368E-2</v>
      </c>
      <c r="H70" s="721">
        <f t="shared" si="0"/>
        <v>2.2680552792759864E-2</v>
      </c>
      <c r="I70" s="721">
        <f t="shared" si="0"/>
        <v>2.8694821339169174E-2</v>
      </c>
      <c r="J70" s="721">
        <f t="shared" si="0"/>
        <v>1.2738996813643631E-2</v>
      </c>
      <c r="K70" s="721" t="s">
        <v>102</v>
      </c>
      <c r="L70" s="721">
        <f t="shared" si="1"/>
        <v>2.6675768374728563E-2</v>
      </c>
      <c r="M70" s="722">
        <f t="shared" si="1"/>
        <v>2.1844294278323687E-2</v>
      </c>
      <c r="N70" s="722">
        <f t="shared" si="1"/>
        <v>2.4449212729484426E-2</v>
      </c>
      <c r="O70" s="722">
        <f t="shared" si="1"/>
        <v>2.2638911460876904E-2</v>
      </c>
      <c r="P70" s="721">
        <f t="shared" si="2"/>
        <v>2.0882900684887656E-2</v>
      </c>
    </row>
    <row r="71" spans="1:16" s="465" customFormat="1" ht="15.75" customHeight="1" x14ac:dyDescent="0.2">
      <c r="A71" s="492" t="s">
        <v>164</v>
      </c>
      <c r="B71" s="723">
        <f t="shared" si="0"/>
        <v>0.10255036021333287</v>
      </c>
      <c r="C71" s="723">
        <f t="shared" si="0"/>
        <v>0.1067092250775795</v>
      </c>
      <c r="D71" s="723">
        <f t="shared" si="0"/>
        <v>0.1252853835213322</v>
      </c>
      <c r="E71" s="723">
        <f t="shared" si="0"/>
        <v>9.8612465398681459E-2</v>
      </c>
      <c r="F71" s="723">
        <f t="shared" si="0"/>
        <v>0.10093260664739839</v>
      </c>
      <c r="G71" s="723">
        <f t="shared" si="0"/>
        <v>9.3394849052575793E-2</v>
      </c>
      <c r="H71" s="723">
        <f t="shared" si="0"/>
        <v>0.10601729891044388</v>
      </c>
      <c r="I71" s="723">
        <f t="shared" si="0"/>
        <v>0.11825386060697028</v>
      </c>
      <c r="J71" s="723">
        <f t="shared" si="0"/>
        <v>0.1038589175191387</v>
      </c>
      <c r="K71" s="723" t="s">
        <v>102</v>
      </c>
      <c r="L71" s="723">
        <f t="shared" si="1"/>
        <v>0.11142342657046557</v>
      </c>
      <c r="M71" s="724">
        <f t="shared" si="1"/>
        <v>0.10452553607222598</v>
      </c>
      <c r="N71" s="724">
        <f t="shared" si="1"/>
        <v>0.11250382449874609</v>
      </c>
      <c r="O71" s="724">
        <f t="shared" si="1"/>
        <v>0.1069592725551807</v>
      </c>
      <c r="P71" s="723">
        <f t="shared" si="2"/>
        <v>0.13986696626146974</v>
      </c>
    </row>
    <row r="72" spans="1:16" s="465" customFormat="1" ht="15.75" customHeight="1" x14ac:dyDescent="0.2">
      <c r="A72" s="495" t="s">
        <v>165</v>
      </c>
      <c r="B72" s="725">
        <f t="shared" si="0"/>
        <v>0.21276864716519903</v>
      </c>
      <c r="C72" s="725">
        <f t="shared" si="0"/>
        <v>0.159704748559897</v>
      </c>
      <c r="D72" s="725">
        <f t="shared" si="0"/>
        <v>0.10942449375663453</v>
      </c>
      <c r="E72" s="725">
        <f t="shared" si="0"/>
        <v>9.0690610650911677E-2</v>
      </c>
      <c r="F72" s="725">
        <f t="shared" si="0"/>
        <v>5.7509175784181792E-2</v>
      </c>
      <c r="G72" s="725">
        <f t="shared" si="0"/>
        <v>4.6895128923235739E-2</v>
      </c>
      <c r="H72" s="725">
        <f t="shared" si="0"/>
        <v>3.5361221242288181E-2</v>
      </c>
      <c r="I72" s="725">
        <f t="shared" si="0"/>
        <v>2.9452563954242082E-2</v>
      </c>
      <c r="J72" s="725">
        <f t="shared" si="0"/>
        <v>2.5239167078540067E-2</v>
      </c>
      <c r="K72" s="725" t="s">
        <v>102</v>
      </c>
      <c r="L72" s="725">
        <f t="shared" si="1"/>
        <v>3.1997907644648216E-2</v>
      </c>
      <c r="M72" s="726">
        <f t="shared" si="1"/>
        <v>7.9858980323023049E-2</v>
      </c>
      <c r="N72" s="726">
        <f t="shared" si="1"/>
        <v>2.951133840806501E-2</v>
      </c>
      <c r="O72" s="726">
        <f t="shared" si="1"/>
        <v>6.4500687110827681E-2</v>
      </c>
      <c r="P72" s="725">
        <f t="shared" si="2"/>
        <v>3.9885529251422552E-2</v>
      </c>
    </row>
    <row r="73" spans="1:16" s="465" customFormat="1" ht="16.5" customHeight="1" x14ac:dyDescent="0.25">
      <c r="A73" s="498" t="s">
        <v>287</v>
      </c>
      <c r="B73" s="727">
        <f t="shared" ref="B73:J84" si="3">B14/B$14</f>
        <v>1</v>
      </c>
      <c r="C73" s="727">
        <f t="shared" si="3"/>
        <v>1</v>
      </c>
      <c r="D73" s="727">
        <f t="shared" si="3"/>
        <v>1</v>
      </c>
      <c r="E73" s="727">
        <f t="shared" si="3"/>
        <v>1</v>
      </c>
      <c r="F73" s="727">
        <f t="shared" si="3"/>
        <v>1</v>
      </c>
      <c r="G73" s="727">
        <f t="shared" si="3"/>
        <v>1</v>
      </c>
      <c r="H73" s="727">
        <f t="shared" si="3"/>
        <v>1</v>
      </c>
      <c r="I73" s="727">
        <f t="shared" si="3"/>
        <v>1</v>
      </c>
      <c r="J73" s="727">
        <f t="shared" si="3"/>
        <v>1</v>
      </c>
      <c r="K73" s="727" t="s">
        <v>102</v>
      </c>
      <c r="L73" s="727">
        <f t="shared" ref="L73:O84" si="4">L14/L$14</f>
        <v>1</v>
      </c>
      <c r="M73" s="728">
        <f t="shared" si="4"/>
        <v>1</v>
      </c>
      <c r="N73" s="728">
        <f t="shared" si="4"/>
        <v>1</v>
      </c>
      <c r="O73" s="728">
        <f t="shared" si="4"/>
        <v>1</v>
      </c>
      <c r="P73" s="727">
        <f t="shared" ref="P73:P84" si="5">P14/P$14</f>
        <v>1</v>
      </c>
    </row>
    <row r="74" spans="1:16" s="465" customFormat="1" ht="15.75" customHeight="1" x14ac:dyDescent="0.2">
      <c r="A74" s="490" t="s">
        <v>79</v>
      </c>
      <c r="B74" s="721">
        <f t="shared" si="3"/>
        <v>0.39499652936122309</v>
      </c>
      <c r="C74" s="721">
        <f t="shared" si="3"/>
        <v>0.402492769068724</v>
      </c>
      <c r="D74" s="721">
        <f t="shared" si="3"/>
        <v>0.43429498687280926</v>
      </c>
      <c r="E74" s="721">
        <f t="shared" si="3"/>
        <v>0.54316529266257696</v>
      </c>
      <c r="F74" s="721">
        <f t="shared" si="3"/>
        <v>0.60281325996607216</v>
      </c>
      <c r="G74" s="721">
        <f t="shared" si="3"/>
        <v>0.61588867716565709</v>
      </c>
      <c r="H74" s="721">
        <f t="shared" si="3"/>
        <v>0.66168257414746212</v>
      </c>
      <c r="I74" s="721">
        <f t="shared" si="3"/>
        <v>0.66503820230509914</v>
      </c>
      <c r="J74" s="721">
        <f t="shared" si="3"/>
        <v>0.66286564341596432</v>
      </c>
      <c r="K74" s="721" t="s">
        <v>102</v>
      </c>
      <c r="L74" s="721">
        <f t="shared" si="4"/>
        <v>0.67494375846104815</v>
      </c>
      <c r="M74" s="722">
        <f t="shared" si="4"/>
        <v>0.55379454773272496</v>
      </c>
      <c r="N74" s="722">
        <f t="shared" si="4"/>
        <v>0.66842776281866112</v>
      </c>
      <c r="O74" s="722">
        <f t="shared" si="4"/>
        <v>0.58714282093953607</v>
      </c>
      <c r="P74" s="721">
        <f t="shared" si="5"/>
        <v>0.66412250656217753</v>
      </c>
    </row>
    <row r="75" spans="1:16" s="465" customFormat="1" ht="15.75" customHeight="1" x14ac:dyDescent="0.2">
      <c r="A75" s="492" t="s">
        <v>167</v>
      </c>
      <c r="B75" s="723">
        <f t="shared" si="3"/>
        <v>0.26921889960810785</v>
      </c>
      <c r="C75" s="723">
        <f t="shared" si="3"/>
        <v>0.30795810448695665</v>
      </c>
      <c r="D75" s="723">
        <f t="shared" si="3"/>
        <v>0.35910313223955348</v>
      </c>
      <c r="E75" s="723">
        <f t="shared" si="3"/>
        <v>0.48121365823374923</v>
      </c>
      <c r="F75" s="723">
        <f t="shared" si="3"/>
        <v>0.5527103878217059</v>
      </c>
      <c r="G75" s="723">
        <f t="shared" si="3"/>
        <v>0.55899864715654513</v>
      </c>
      <c r="H75" s="723">
        <f t="shared" si="3"/>
        <v>0.60352027314111178</v>
      </c>
      <c r="I75" s="723">
        <f t="shared" si="3"/>
        <v>0.61984503582247041</v>
      </c>
      <c r="J75" s="723">
        <f t="shared" si="3"/>
        <v>0.61886235136001932</v>
      </c>
      <c r="K75" s="723" t="s">
        <v>102</v>
      </c>
      <c r="L75" s="723">
        <f t="shared" si="4"/>
        <v>0.62139089190485597</v>
      </c>
      <c r="M75" s="724">
        <f t="shared" si="4"/>
        <v>0.48857625402418636</v>
      </c>
      <c r="N75" s="724">
        <f t="shared" si="4"/>
        <v>0.62023588795266149</v>
      </c>
      <c r="O75" s="724">
        <f t="shared" si="4"/>
        <v>0.52687773095040935</v>
      </c>
      <c r="P75" s="723">
        <f t="shared" si="5"/>
        <v>0.573746033592481</v>
      </c>
    </row>
    <row r="76" spans="1:16" s="465" customFormat="1" ht="15.75" customHeight="1" x14ac:dyDescent="0.2">
      <c r="A76" s="490" t="s">
        <v>322</v>
      </c>
      <c r="B76" s="721">
        <f t="shared" si="3"/>
        <v>5.3310132570964328E-2</v>
      </c>
      <c r="C76" s="721">
        <f t="shared" si="3"/>
        <v>5.7752243446825814E-2</v>
      </c>
      <c r="D76" s="721">
        <f t="shared" si="3"/>
        <v>6.7842149766785223E-2</v>
      </c>
      <c r="E76" s="721">
        <f t="shared" si="3"/>
        <v>9.5895203920668887E-2</v>
      </c>
      <c r="F76" s="721">
        <f t="shared" si="3"/>
        <v>0.1335559397654083</v>
      </c>
      <c r="G76" s="721">
        <f t="shared" si="3"/>
        <v>0.11605841495012104</v>
      </c>
      <c r="H76" s="721">
        <f t="shared" si="3"/>
        <v>0.15157552365529789</v>
      </c>
      <c r="I76" s="721">
        <f t="shared" si="3"/>
        <v>0.14008502174784035</v>
      </c>
      <c r="J76" s="721">
        <f t="shared" si="3"/>
        <v>0.14711912286969436</v>
      </c>
      <c r="K76" s="721" t="s">
        <v>102</v>
      </c>
      <c r="L76" s="721">
        <f t="shared" si="4"/>
        <v>0.19340713077158123</v>
      </c>
      <c r="M76" s="722">
        <f t="shared" si="4"/>
        <v>0.10693159107125007</v>
      </c>
      <c r="N76" s="722">
        <f t="shared" si="4"/>
        <v>0.16235036437571093</v>
      </c>
      <c r="O76" s="722">
        <f t="shared" si="4"/>
        <v>0.12305362334213742</v>
      </c>
      <c r="P76" s="721">
        <f t="shared" si="5"/>
        <v>0.11546278665939358</v>
      </c>
    </row>
    <row r="77" spans="1:16" s="465" customFormat="1" ht="15.75" customHeight="1" x14ac:dyDescent="0.2">
      <c r="A77" s="492" t="s">
        <v>168</v>
      </c>
      <c r="B77" s="723">
        <f t="shared" si="3"/>
        <v>0.12577762975240583</v>
      </c>
      <c r="C77" s="723">
        <f t="shared" si="3"/>
        <v>9.4534664581767305E-2</v>
      </c>
      <c r="D77" s="723">
        <f t="shared" si="3"/>
        <v>7.5191854633255825E-2</v>
      </c>
      <c r="E77" s="723">
        <f t="shared" si="3"/>
        <v>6.1951634429930236E-2</v>
      </c>
      <c r="F77" s="723">
        <f t="shared" si="3"/>
        <v>5.0102872144366234E-2</v>
      </c>
      <c r="G77" s="723">
        <f t="shared" si="3"/>
        <v>5.6890030009112046E-2</v>
      </c>
      <c r="H77" s="723">
        <f t="shared" si="3"/>
        <v>5.8162301006350406E-2</v>
      </c>
      <c r="I77" s="723">
        <f t="shared" si="3"/>
        <v>4.5193166482628652E-2</v>
      </c>
      <c r="J77" s="723">
        <f t="shared" si="3"/>
        <v>4.4003292055945095E-2</v>
      </c>
      <c r="K77" s="723" t="s">
        <v>102</v>
      </c>
      <c r="L77" s="723">
        <f t="shared" si="4"/>
        <v>5.3552866555626334E-2</v>
      </c>
      <c r="M77" s="724">
        <f t="shared" si="4"/>
        <v>6.5218293708538586E-2</v>
      </c>
      <c r="N77" s="724">
        <f t="shared" si="4"/>
        <v>4.8191874865999573E-2</v>
      </c>
      <c r="O77" s="724">
        <f t="shared" si="4"/>
        <v>6.0265089989126719E-2</v>
      </c>
      <c r="P77" s="723">
        <f t="shared" si="5"/>
        <v>9.0376472970448749E-2</v>
      </c>
    </row>
    <row r="78" spans="1:16" s="465" customFormat="1" ht="15.75" customHeight="1" x14ac:dyDescent="0.2">
      <c r="A78" s="490" t="s">
        <v>169</v>
      </c>
      <c r="B78" s="721">
        <f t="shared" si="3"/>
        <v>0.36490380241041032</v>
      </c>
      <c r="C78" s="721">
        <f t="shared" si="3"/>
        <v>0.33551729211457731</v>
      </c>
      <c r="D78" s="721">
        <f t="shared" si="3"/>
        <v>0.3207768650714764</v>
      </c>
      <c r="E78" s="721">
        <f t="shared" si="3"/>
        <v>0.23829211765826569</v>
      </c>
      <c r="F78" s="721">
        <f t="shared" si="3"/>
        <v>0.18677696480849576</v>
      </c>
      <c r="G78" s="721">
        <f t="shared" si="3"/>
        <v>0.18797946805707966</v>
      </c>
      <c r="H78" s="721">
        <f t="shared" si="3"/>
        <v>0.14745834005010441</v>
      </c>
      <c r="I78" s="721">
        <f t="shared" si="3"/>
        <v>0.16094134339517804</v>
      </c>
      <c r="J78" s="721">
        <f t="shared" si="3"/>
        <v>0.18170315871633069</v>
      </c>
      <c r="K78" s="721" t="s">
        <v>102</v>
      </c>
      <c r="L78" s="721">
        <f t="shared" si="4"/>
        <v>0.11748361748655764</v>
      </c>
      <c r="M78" s="722">
        <f t="shared" si="4"/>
        <v>0.22950058634836693</v>
      </c>
      <c r="N78" s="722">
        <f t="shared" si="4"/>
        <v>0.14848061465349782</v>
      </c>
      <c r="O78" s="722">
        <f t="shared" si="4"/>
        <v>0.2059308369592788</v>
      </c>
      <c r="P78" s="721">
        <f t="shared" si="5"/>
        <v>0.1660663506207429</v>
      </c>
    </row>
    <row r="79" spans="1:16" s="465" customFormat="1" ht="15.75" customHeight="1" x14ac:dyDescent="0.2">
      <c r="A79" s="492" t="s">
        <v>170</v>
      </c>
      <c r="B79" s="723">
        <f t="shared" si="3"/>
        <v>0.21829004244084949</v>
      </c>
      <c r="C79" s="723">
        <f t="shared" si="3"/>
        <v>0.22973090938277888</v>
      </c>
      <c r="D79" s="723">
        <f t="shared" si="3"/>
        <v>0.2110392208831357</v>
      </c>
      <c r="E79" s="723">
        <f t="shared" si="3"/>
        <v>0.18644726896419281</v>
      </c>
      <c r="F79" s="723">
        <f t="shared" si="3"/>
        <v>0.13963321450874261</v>
      </c>
      <c r="G79" s="723">
        <f t="shared" si="3"/>
        <v>0.13740164889667481</v>
      </c>
      <c r="H79" s="723">
        <f t="shared" si="3"/>
        <v>0.10594181295378155</v>
      </c>
      <c r="I79" s="723">
        <f t="shared" si="3"/>
        <v>0.11923275858307648</v>
      </c>
      <c r="J79" s="723">
        <f t="shared" si="3"/>
        <v>0.15913792796969028</v>
      </c>
      <c r="K79" s="723" t="s">
        <v>102</v>
      </c>
      <c r="L79" s="723">
        <f t="shared" si="4"/>
        <v>0.10271059486886858</v>
      </c>
      <c r="M79" s="724">
        <f t="shared" si="4"/>
        <v>0.16577805313690044</v>
      </c>
      <c r="N79" s="724">
        <f t="shared" si="4"/>
        <v>0.12136487854759731</v>
      </c>
      <c r="O79" s="724">
        <f t="shared" si="4"/>
        <v>0.1528576907527745</v>
      </c>
      <c r="P79" s="723">
        <f t="shared" si="5"/>
        <v>0.12698561267972358</v>
      </c>
    </row>
    <row r="80" spans="1:16" s="465" customFormat="1" ht="15.75" customHeight="1" x14ac:dyDescent="0.2">
      <c r="A80" s="490" t="s">
        <v>171</v>
      </c>
      <c r="B80" s="721">
        <f t="shared" si="3"/>
        <v>5.566830237402004E-2</v>
      </c>
      <c r="C80" s="721">
        <f t="shared" si="3"/>
        <v>3.4631226290380068E-2</v>
      </c>
      <c r="D80" s="721">
        <f t="shared" si="3"/>
        <v>1.8047821365401763E-2</v>
      </c>
      <c r="E80" s="721">
        <f t="shared" si="3"/>
        <v>6.138817148691641E-3</v>
      </c>
      <c r="F80" s="721">
        <f t="shared" si="3"/>
        <v>3.0557458657736814E-3</v>
      </c>
      <c r="G80" s="721">
        <f t="shared" si="3"/>
        <v>2.3638495103013792E-3</v>
      </c>
      <c r="H80" s="721">
        <f t="shared" si="3"/>
        <v>1.8993299255845426E-3</v>
      </c>
      <c r="I80" s="721">
        <f t="shared" si="3"/>
        <v>2.007829764625337E-3</v>
      </c>
      <c r="J80" s="721">
        <f t="shared" si="3"/>
        <v>3.7765619827418886E-3</v>
      </c>
      <c r="K80" s="721" t="s">
        <v>102</v>
      </c>
      <c r="L80" s="721">
        <f t="shared" si="4"/>
        <v>4.857049153910659E-3</v>
      </c>
      <c r="M80" s="722">
        <f t="shared" si="4"/>
        <v>9.6079101394886974E-3</v>
      </c>
      <c r="N80" s="722">
        <f t="shared" si="4"/>
        <v>3.496461502081744E-3</v>
      </c>
      <c r="O80" s="722">
        <f t="shared" si="4"/>
        <v>7.8300113111018262E-3</v>
      </c>
      <c r="P80" s="721">
        <f t="shared" si="5"/>
        <v>4.5020344317733803E-3</v>
      </c>
    </row>
    <row r="81" spans="1:16" s="465" customFormat="1" ht="15.75" customHeight="1" x14ac:dyDescent="0.2">
      <c r="A81" s="693" t="s">
        <v>607</v>
      </c>
      <c r="B81" s="723">
        <f t="shared" si="3"/>
        <v>9.0945457594831455E-2</v>
      </c>
      <c r="C81" s="723">
        <f t="shared" si="3"/>
        <v>7.1155156441418427E-2</v>
      </c>
      <c r="D81" s="723">
        <f t="shared" si="3"/>
        <v>9.1689822822938971E-2</v>
      </c>
      <c r="E81" s="723">
        <f t="shared" si="3"/>
        <v>4.5706031545381255E-2</v>
      </c>
      <c r="F81" s="723">
        <f t="shared" si="3"/>
        <v>4.4088004432963832E-2</v>
      </c>
      <c r="G81" s="723">
        <f t="shared" si="3"/>
        <v>4.8213969650103453E-2</v>
      </c>
      <c r="H81" s="723">
        <f t="shared" si="3"/>
        <v>3.9617197169929501E-2</v>
      </c>
      <c r="I81" s="723">
        <f t="shared" si="3"/>
        <v>3.9700755047476208E-2</v>
      </c>
      <c r="J81" s="723">
        <f t="shared" si="3"/>
        <v>1.878866876389855E-2</v>
      </c>
      <c r="K81" s="723" t="s">
        <v>102</v>
      </c>
      <c r="L81" s="723">
        <f t="shared" si="4"/>
        <v>9.9159734637784061E-3</v>
      </c>
      <c r="M81" s="724">
        <f t="shared" si="4"/>
        <v>5.4114623071977799E-2</v>
      </c>
      <c r="N81" s="724">
        <f t="shared" si="4"/>
        <v>2.3619274603162224E-2</v>
      </c>
      <c r="O81" s="724">
        <f t="shared" si="4"/>
        <v>4.5243134895402472E-2</v>
      </c>
      <c r="P81" s="723">
        <f t="shared" si="5"/>
        <v>3.4578703508493749E-2</v>
      </c>
    </row>
    <row r="82" spans="1:16" s="465" customFormat="1" ht="15.75" customHeight="1" x14ac:dyDescent="0.2">
      <c r="A82" s="490" t="s">
        <v>172</v>
      </c>
      <c r="B82" s="721">
        <f t="shared" si="3"/>
        <v>2.8071613634978523E-2</v>
      </c>
      <c r="C82" s="721">
        <f t="shared" si="3"/>
        <v>2.8893808443410707E-2</v>
      </c>
      <c r="D82" s="721">
        <f t="shared" si="3"/>
        <v>2.6865960982508139E-2</v>
      </c>
      <c r="E82" s="721">
        <f t="shared" si="3"/>
        <v>4.0284954662398953E-2</v>
      </c>
      <c r="F82" s="721">
        <f t="shared" si="3"/>
        <v>6.2045390282224361E-2</v>
      </c>
      <c r="G82" s="721">
        <f t="shared" si="3"/>
        <v>5.9168519139164683E-2</v>
      </c>
      <c r="H82" s="721">
        <f t="shared" si="3"/>
        <v>6.0882563883355049E-2</v>
      </c>
      <c r="I82" s="721">
        <f t="shared" si="3"/>
        <v>6.1197927696321902E-2</v>
      </c>
      <c r="J82" s="721">
        <f t="shared" si="3"/>
        <v>5.7517191152766253E-2</v>
      </c>
      <c r="K82" s="721" t="s">
        <v>102</v>
      </c>
      <c r="L82" s="721">
        <f t="shared" si="4"/>
        <v>5.5377313496932361E-2</v>
      </c>
      <c r="M82" s="722">
        <f t="shared" si="4"/>
        <v>4.6144944022659111E-2</v>
      </c>
      <c r="N82" s="722">
        <f t="shared" si="4"/>
        <v>5.8142361456522615E-2</v>
      </c>
      <c r="O82" s="722">
        <f t="shared" si="4"/>
        <v>4.9635146701497698E-2</v>
      </c>
      <c r="P82" s="721">
        <f t="shared" si="5"/>
        <v>4.2669357092669342E-2</v>
      </c>
    </row>
    <row r="83" spans="1:16" s="465" customFormat="1" ht="15.75" customHeight="1" x14ac:dyDescent="0.2">
      <c r="A83" s="492" t="s">
        <v>173</v>
      </c>
      <c r="B83" s="723">
        <f t="shared" si="3"/>
        <v>8.2648201406666788E-2</v>
      </c>
      <c r="C83" s="723">
        <f t="shared" si="3"/>
        <v>0.10461663689440696</v>
      </c>
      <c r="D83" s="723">
        <f t="shared" si="3"/>
        <v>9.5565074524887592E-2</v>
      </c>
      <c r="E83" s="723">
        <f t="shared" si="3"/>
        <v>8.7243127771548606E-2</v>
      </c>
      <c r="F83" s="723">
        <f t="shared" si="3"/>
        <v>7.8027705035969327E-2</v>
      </c>
      <c r="G83" s="723">
        <f t="shared" si="3"/>
        <v>8.6275407345389507E-2</v>
      </c>
      <c r="H83" s="723">
        <f t="shared" si="3"/>
        <v>8.5677620708259281E-2</v>
      </c>
      <c r="I83" s="723">
        <f t="shared" si="3"/>
        <v>7.2264745750343626E-2</v>
      </c>
      <c r="J83" s="723">
        <f t="shared" si="3"/>
        <v>7.9172066653263554E-2</v>
      </c>
      <c r="K83" s="723" t="s">
        <v>102</v>
      </c>
      <c r="L83" s="723">
        <f t="shared" si="4"/>
        <v>0.11392397867357985</v>
      </c>
      <c r="M83" s="724">
        <f t="shared" si="4"/>
        <v>8.7769523935323668E-2</v>
      </c>
      <c r="N83" s="724">
        <f t="shared" si="4"/>
        <v>8.996305719275513E-2</v>
      </c>
      <c r="O83" s="724">
        <f t="shared" si="4"/>
        <v>8.8407650905923466E-2</v>
      </c>
      <c r="P83" s="723">
        <f t="shared" si="5"/>
        <v>8.1465168373126964E-2</v>
      </c>
    </row>
    <row r="84" spans="1:16" s="465" customFormat="1" ht="15.75" customHeight="1" x14ac:dyDescent="0.2">
      <c r="A84" s="495" t="s">
        <v>174</v>
      </c>
      <c r="B84" s="725">
        <f t="shared" si="3"/>
        <v>0.12937985318672124</v>
      </c>
      <c r="C84" s="725">
        <f t="shared" si="3"/>
        <v>0.12847949347888105</v>
      </c>
      <c r="D84" s="725">
        <f t="shared" si="3"/>
        <v>0.12249711254831851</v>
      </c>
      <c r="E84" s="725">
        <f t="shared" si="3"/>
        <v>9.1014507245209861E-2</v>
      </c>
      <c r="F84" s="725">
        <f t="shared" si="3"/>
        <v>7.0336679907238422E-2</v>
      </c>
      <c r="G84" s="725">
        <f t="shared" si="3"/>
        <v>5.06879282927091E-2</v>
      </c>
      <c r="H84" s="725">
        <f t="shared" si="3"/>
        <v>4.4298901210819031E-2</v>
      </c>
      <c r="I84" s="725">
        <f t="shared" si="3"/>
        <v>4.0557780853057418E-2</v>
      </c>
      <c r="J84" s="725">
        <f t="shared" si="3"/>
        <v>1.8741940061675105E-2</v>
      </c>
      <c r="K84" s="725" t="s">
        <v>102</v>
      </c>
      <c r="L84" s="725">
        <f t="shared" si="4"/>
        <v>3.8271331882447926E-2</v>
      </c>
      <c r="M84" s="726">
        <f t="shared" si="4"/>
        <v>8.2790397959954881E-2</v>
      </c>
      <c r="N84" s="726">
        <f t="shared" si="4"/>
        <v>3.498620387921994E-2</v>
      </c>
      <c r="O84" s="726">
        <f t="shared" si="4"/>
        <v>6.888354449288471E-2</v>
      </c>
      <c r="P84" s="725">
        <f t="shared" si="5"/>
        <v>4.5676617350531065E-2</v>
      </c>
    </row>
    <row r="85" spans="1:16" s="465" customFormat="1" ht="16.5" customHeight="1" x14ac:dyDescent="0.25">
      <c r="A85" s="501" t="s">
        <v>201</v>
      </c>
      <c r="B85" s="729"/>
      <c r="C85" s="729"/>
      <c r="D85" s="729"/>
      <c r="E85" s="729"/>
      <c r="F85" s="729"/>
      <c r="G85" s="729"/>
      <c r="H85" s="729"/>
      <c r="I85" s="729"/>
      <c r="J85" s="729"/>
      <c r="K85" s="729"/>
      <c r="L85" s="729"/>
      <c r="M85" s="730"/>
      <c r="N85" s="730"/>
      <c r="O85" s="730"/>
      <c r="P85" s="731"/>
    </row>
    <row r="86" spans="1:16" s="465" customFormat="1" ht="16.5" customHeight="1" x14ac:dyDescent="0.25">
      <c r="A86" s="498" t="s">
        <v>288</v>
      </c>
      <c r="B86" s="727">
        <f t="shared" ref="B86:J89" si="6">B28/B$28</f>
        <v>1</v>
      </c>
      <c r="C86" s="727">
        <f t="shared" si="6"/>
        <v>1</v>
      </c>
      <c r="D86" s="727">
        <f t="shared" si="6"/>
        <v>1</v>
      </c>
      <c r="E86" s="727">
        <f t="shared" si="6"/>
        <v>1</v>
      </c>
      <c r="F86" s="727">
        <f t="shared" si="6"/>
        <v>1</v>
      </c>
      <c r="G86" s="727">
        <f t="shared" si="6"/>
        <v>1</v>
      </c>
      <c r="H86" s="727">
        <f t="shared" si="6"/>
        <v>1</v>
      </c>
      <c r="I86" s="727">
        <f t="shared" si="6"/>
        <v>1</v>
      </c>
      <c r="J86" s="727">
        <f t="shared" si="6"/>
        <v>1</v>
      </c>
      <c r="K86" s="727" t="s">
        <v>102</v>
      </c>
      <c r="L86" s="727">
        <f t="shared" ref="L86:O89" si="7">L28/L$28</f>
        <v>1</v>
      </c>
      <c r="M86" s="728">
        <f t="shared" si="7"/>
        <v>1</v>
      </c>
      <c r="N86" s="728">
        <f t="shared" si="7"/>
        <v>1</v>
      </c>
      <c r="O86" s="728">
        <f t="shared" si="7"/>
        <v>1</v>
      </c>
      <c r="P86" s="727">
        <f t="shared" ref="P86:P89" si="8">P28/P$28</f>
        <v>1</v>
      </c>
    </row>
    <row r="87" spans="1:16" s="465" customFormat="1" ht="16.5" customHeight="1" x14ac:dyDescent="0.2">
      <c r="A87" s="490" t="s">
        <v>178</v>
      </c>
      <c r="B87" s="721">
        <f t="shared" si="6"/>
        <v>0.96942217753847082</v>
      </c>
      <c r="C87" s="721">
        <f t="shared" si="6"/>
        <v>0.95641059983761412</v>
      </c>
      <c r="D87" s="721">
        <f t="shared" si="6"/>
        <v>0.9575103906662682</v>
      </c>
      <c r="E87" s="721">
        <f t="shared" si="6"/>
        <v>0.9502985564977996</v>
      </c>
      <c r="F87" s="721">
        <f t="shared" si="6"/>
        <v>0.93230856220034775</v>
      </c>
      <c r="G87" s="721">
        <f t="shared" si="6"/>
        <v>0.95175468910192806</v>
      </c>
      <c r="H87" s="721">
        <f t="shared" si="6"/>
        <v>0.94240048077841831</v>
      </c>
      <c r="I87" s="721">
        <f t="shared" si="6"/>
        <v>0.91067667444191458</v>
      </c>
      <c r="J87" s="721">
        <f t="shared" si="6"/>
        <v>0.84283980268240566</v>
      </c>
      <c r="K87" s="721" t="s">
        <v>102</v>
      </c>
      <c r="L87" s="721">
        <f t="shared" si="7"/>
        <v>0.82539749020803044</v>
      </c>
      <c r="M87" s="722">
        <f t="shared" si="7"/>
        <v>0.94913474625219618</v>
      </c>
      <c r="N87" s="722">
        <f t="shared" si="7"/>
        <v>0.86687867844265032</v>
      </c>
      <c r="O87" s="722">
        <f t="shared" si="7"/>
        <v>0.93435286585128352</v>
      </c>
      <c r="P87" s="721">
        <f t="shared" si="8"/>
        <v>0.90955037256820892</v>
      </c>
    </row>
    <row r="88" spans="1:16" s="465" customFormat="1" ht="16.5" customHeight="1" x14ac:dyDescent="0.2">
      <c r="A88" s="492" t="s">
        <v>179</v>
      </c>
      <c r="B88" s="723">
        <f t="shared" si="6"/>
        <v>1.4600066220701988E-2</v>
      </c>
      <c r="C88" s="723">
        <f t="shared" si="6"/>
        <v>2.7919047425120556E-2</v>
      </c>
      <c r="D88" s="723">
        <f t="shared" si="6"/>
        <v>2.4335106092884171E-2</v>
      </c>
      <c r="E88" s="723">
        <f t="shared" si="6"/>
        <v>2.6575118873085096E-2</v>
      </c>
      <c r="F88" s="723">
        <f t="shared" si="6"/>
        <v>2.8203532661379729E-2</v>
      </c>
      <c r="G88" s="723">
        <f t="shared" si="6"/>
        <v>3.1363751660247539E-2</v>
      </c>
      <c r="H88" s="723">
        <f t="shared" si="6"/>
        <v>2.873419806226065E-2</v>
      </c>
      <c r="I88" s="723">
        <f t="shared" si="6"/>
        <v>4.082515645880861E-2</v>
      </c>
      <c r="J88" s="723">
        <f t="shared" si="6"/>
        <v>0.1252206572436278</v>
      </c>
      <c r="K88" s="723" t="s">
        <v>102</v>
      </c>
      <c r="L88" s="723">
        <f t="shared" si="7"/>
        <v>6.3492723171059917E-2</v>
      </c>
      <c r="M88" s="724">
        <f t="shared" si="7"/>
        <v>2.6817411827347294E-2</v>
      </c>
      <c r="N88" s="724">
        <f t="shared" si="7"/>
        <v>6.8707430780981016E-2</v>
      </c>
      <c r="O88" s="724">
        <f t="shared" si="7"/>
        <v>3.4345285048300797E-2</v>
      </c>
      <c r="P88" s="723">
        <f t="shared" si="8"/>
        <v>5.7863798875572275E-2</v>
      </c>
    </row>
    <row r="89" spans="1:16" s="465" customFormat="1" ht="16.5" customHeight="1" x14ac:dyDescent="0.2">
      <c r="A89" s="495" t="s">
        <v>180</v>
      </c>
      <c r="B89" s="725">
        <f t="shared" si="6"/>
        <v>1.5977756240827156E-2</v>
      </c>
      <c r="C89" s="725">
        <f t="shared" si="6"/>
        <v>1.5670352737265268E-2</v>
      </c>
      <c r="D89" s="725">
        <f t="shared" si="6"/>
        <v>1.815450324084758E-2</v>
      </c>
      <c r="E89" s="725">
        <f t="shared" si="6"/>
        <v>2.3126324629115309E-2</v>
      </c>
      <c r="F89" s="725">
        <f t="shared" si="6"/>
        <v>3.9487905140481269E-2</v>
      </c>
      <c r="G89" s="725">
        <f t="shared" si="6"/>
        <v>1.6881559237824237E-2</v>
      </c>
      <c r="H89" s="725">
        <f t="shared" si="6"/>
        <v>2.8865321161485106E-2</v>
      </c>
      <c r="I89" s="725">
        <f t="shared" si="6"/>
        <v>4.8498169101951975E-2</v>
      </c>
      <c r="J89" s="725">
        <f t="shared" si="6"/>
        <v>3.1939540076386046E-2</v>
      </c>
      <c r="K89" s="725" t="s">
        <v>102</v>
      </c>
      <c r="L89" s="725">
        <f t="shared" si="7"/>
        <v>0.11110978662090976</v>
      </c>
      <c r="M89" s="726">
        <f t="shared" si="7"/>
        <v>2.4047841920456496E-2</v>
      </c>
      <c r="N89" s="726">
        <f t="shared" si="7"/>
        <v>6.4413890776368554E-2</v>
      </c>
      <c r="O89" s="726">
        <f t="shared" si="7"/>
        <v>3.1301849098225219E-2</v>
      </c>
      <c r="P89" s="725">
        <f t="shared" si="8"/>
        <v>3.2585828556218853E-2</v>
      </c>
    </row>
    <row r="90" spans="1:16" s="465" customFormat="1" ht="16.5" customHeight="1" x14ac:dyDescent="0.25">
      <c r="A90" s="498" t="s">
        <v>289</v>
      </c>
      <c r="B90" s="727">
        <f t="shared" ref="B90:J93" si="9">B32/B$32</f>
        <v>1</v>
      </c>
      <c r="C90" s="727">
        <f t="shared" si="9"/>
        <v>1</v>
      </c>
      <c r="D90" s="727">
        <f t="shared" si="9"/>
        <v>1</v>
      </c>
      <c r="E90" s="727">
        <f t="shared" si="9"/>
        <v>1</v>
      </c>
      <c r="F90" s="727">
        <f t="shared" si="9"/>
        <v>1</v>
      </c>
      <c r="G90" s="727">
        <f t="shared" si="9"/>
        <v>1</v>
      </c>
      <c r="H90" s="727">
        <f t="shared" si="9"/>
        <v>1</v>
      </c>
      <c r="I90" s="727">
        <f t="shared" si="9"/>
        <v>1</v>
      </c>
      <c r="J90" s="727">
        <f t="shared" si="9"/>
        <v>1</v>
      </c>
      <c r="K90" s="727" t="s">
        <v>102</v>
      </c>
      <c r="L90" s="727">
        <f t="shared" ref="L90:O93" si="10">L32/L$32</f>
        <v>1</v>
      </c>
      <c r="M90" s="728">
        <f t="shared" si="10"/>
        <v>1</v>
      </c>
      <c r="N90" s="728">
        <f t="shared" si="10"/>
        <v>1</v>
      </c>
      <c r="O90" s="728">
        <f t="shared" si="10"/>
        <v>1</v>
      </c>
      <c r="P90" s="727">
        <f t="shared" ref="P90:P93" si="11">P32/P$32</f>
        <v>1</v>
      </c>
    </row>
    <row r="91" spans="1:16" s="465" customFormat="1" ht="16.5" customHeight="1" x14ac:dyDescent="0.2">
      <c r="A91" s="490" t="s">
        <v>182</v>
      </c>
      <c r="B91" s="721">
        <f t="shared" si="9"/>
        <v>0.19432253766730492</v>
      </c>
      <c r="C91" s="721">
        <f t="shared" si="9"/>
        <v>0.20668351341309926</v>
      </c>
      <c r="D91" s="721">
        <f t="shared" si="9"/>
        <v>0.19799219638238408</v>
      </c>
      <c r="E91" s="721">
        <f t="shared" si="9"/>
        <v>0.21538039074156348</v>
      </c>
      <c r="F91" s="721">
        <f t="shared" si="9"/>
        <v>0.2273521927449744</v>
      </c>
      <c r="G91" s="721">
        <f t="shared" si="9"/>
        <v>0.21296771946808757</v>
      </c>
      <c r="H91" s="721">
        <f t="shared" si="9"/>
        <v>0.23906449211998812</v>
      </c>
      <c r="I91" s="721">
        <f t="shared" si="9"/>
        <v>0.24637293257724263</v>
      </c>
      <c r="J91" s="721">
        <f t="shared" si="9"/>
        <v>0.27650061796991182</v>
      </c>
      <c r="K91" s="721" t="s">
        <v>102</v>
      </c>
      <c r="L91" s="721">
        <f t="shared" si="10"/>
        <v>0.28786617950682403</v>
      </c>
      <c r="M91" s="722">
        <f t="shared" si="10"/>
        <v>0.2156882270255161</v>
      </c>
      <c r="N91" s="722">
        <f t="shared" si="10"/>
        <v>0.26236756159210273</v>
      </c>
      <c r="O91" s="722">
        <f t="shared" si="10"/>
        <v>0.22302493993820052</v>
      </c>
      <c r="P91" s="721">
        <f t="shared" si="11"/>
        <v>0.24609757606140661</v>
      </c>
    </row>
    <row r="92" spans="1:16" s="465" customFormat="1" ht="16.5" customHeight="1" x14ac:dyDescent="0.2">
      <c r="A92" s="492" t="s">
        <v>183</v>
      </c>
      <c r="B92" s="723">
        <f t="shared" si="9"/>
        <v>0.74665026687276226</v>
      </c>
      <c r="C92" s="723">
        <f t="shared" si="9"/>
        <v>0.71526539578533543</v>
      </c>
      <c r="D92" s="723">
        <f t="shared" si="9"/>
        <v>0.70652374861585843</v>
      </c>
      <c r="E92" s="723">
        <f t="shared" si="9"/>
        <v>0.66979348729391097</v>
      </c>
      <c r="F92" s="723">
        <f t="shared" si="9"/>
        <v>0.58930295337900207</v>
      </c>
      <c r="G92" s="723">
        <f t="shared" si="9"/>
        <v>0.59146410471895161</v>
      </c>
      <c r="H92" s="723">
        <f t="shared" si="9"/>
        <v>0.5425812627422647</v>
      </c>
      <c r="I92" s="723">
        <f t="shared" si="9"/>
        <v>0.49777796096043231</v>
      </c>
      <c r="J92" s="723">
        <f t="shared" si="9"/>
        <v>0.60856977908216314</v>
      </c>
      <c r="K92" s="723" t="s">
        <v>102</v>
      </c>
      <c r="L92" s="723">
        <f t="shared" si="10"/>
        <v>0.39441402279298521</v>
      </c>
      <c r="M92" s="724">
        <f t="shared" si="10"/>
        <v>0.64803915385573896</v>
      </c>
      <c r="N92" s="724">
        <f t="shared" si="10"/>
        <v>0.49727087120874497</v>
      </c>
      <c r="O92" s="724">
        <f t="shared" si="10"/>
        <v>0.62434250916301792</v>
      </c>
      <c r="P92" s="723">
        <f t="shared" si="11"/>
        <v>0.56153022175999079</v>
      </c>
    </row>
    <row r="93" spans="1:16" s="465" customFormat="1" ht="16.5" customHeight="1" x14ac:dyDescent="0.2">
      <c r="A93" s="490" t="s">
        <v>184</v>
      </c>
      <c r="B93" s="725">
        <f t="shared" si="9"/>
        <v>5.9027195459932819E-2</v>
      </c>
      <c r="C93" s="725">
        <f t="shared" si="9"/>
        <v>7.805109080434984E-2</v>
      </c>
      <c r="D93" s="725">
        <f t="shared" si="9"/>
        <v>9.5484055001757398E-2</v>
      </c>
      <c r="E93" s="725">
        <f t="shared" si="9"/>
        <v>0.1148261219645255</v>
      </c>
      <c r="F93" s="725">
        <f t="shared" si="9"/>
        <v>0.18334485388025556</v>
      </c>
      <c r="G93" s="725">
        <f t="shared" si="9"/>
        <v>0.19556817580866406</v>
      </c>
      <c r="H93" s="725">
        <f t="shared" si="9"/>
        <v>0.2183542451377472</v>
      </c>
      <c r="I93" s="725">
        <f t="shared" si="9"/>
        <v>0.25584910646232512</v>
      </c>
      <c r="J93" s="725">
        <f t="shared" si="9"/>
        <v>0.11492960294144941</v>
      </c>
      <c r="K93" s="725" t="s">
        <v>102</v>
      </c>
      <c r="L93" s="725">
        <f t="shared" si="10"/>
        <v>0.31771979769131803</v>
      </c>
      <c r="M93" s="726">
        <f t="shared" si="10"/>
        <v>0.1362726191146264</v>
      </c>
      <c r="N93" s="726">
        <f t="shared" si="10"/>
        <v>0.24036156719915233</v>
      </c>
      <c r="O93" s="726">
        <f t="shared" si="10"/>
        <v>0.15263255089878161</v>
      </c>
      <c r="P93" s="725">
        <f t="shared" si="11"/>
        <v>0.19237220217860257</v>
      </c>
    </row>
    <row r="94" spans="1:16" s="465" customFormat="1" ht="16.5" customHeight="1" x14ac:dyDescent="0.25">
      <c r="A94" s="544" t="s">
        <v>226</v>
      </c>
      <c r="B94" s="732"/>
      <c r="C94" s="732"/>
      <c r="D94" s="732"/>
      <c r="E94" s="732"/>
      <c r="F94" s="732"/>
      <c r="G94" s="732"/>
      <c r="H94" s="732"/>
      <c r="I94" s="732"/>
      <c r="J94" s="732"/>
      <c r="K94" s="732"/>
      <c r="L94" s="732"/>
      <c r="M94" s="733"/>
      <c r="N94" s="733"/>
      <c r="O94" s="733"/>
      <c r="P94" s="734"/>
    </row>
    <row r="95" spans="1:16" s="465" customFormat="1" ht="16.5" customHeight="1" x14ac:dyDescent="0.2">
      <c r="A95" s="550" t="s">
        <v>793</v>
      </c>
      <c r="B95" s="735">
        <v>0.295808242</v>
      </c>
      <c r="C95" s="735">
        <v>0.26981912600000002</v>
      </c>
      <c r="D95" s="735">
        <v>0.242398905</v>
      </c>
      <c r="E95" s="735">
        <v>0.21916016399999999</v>
      </c>
      <c r="F95" s="735">
        <v>0.20770299</v>
      </c>
      <c r="G95" s="735">
        <v>0.182043127</v>
      </c>
      <c r="H95" s="735">
        <v>0.17214578899999999</v>
      </c>
      <c r="I95" s="735">
        <v>0.15181201</v>
      </c>
      <c r="J95" s="735">
        <v>0.14643895700000001</v>
      </c>
      <c r="K95" s="735" t="s">
        <v>102</v>
      </c>
      <c r="L95" s="735">
        <v>0.171117768</v>
      </c>
      <c r="M95" s="736">
        <v>0.21317422599999999</v>
      </c>
      <c r="N95" s="736">
        <v>0.15817382999999999</v>
      </c>
      <c r="O95" s="736">
        <v>0.19717390500000001</v>
      </c>
      <c r="P95" s="735">
        <v>0.148300929</v>
      </c>
    </row>
    <row r="96" spans="1:16" s="465" customFormat="1" ht="16.5" customHeight="1" x14ac:dyDescent="0.2">
      <c r="A96" s="562" t="s">
        <v>407</v>
      </c>
      <c r="B96" s="741">
        <v>0.25577470899999999</v>
      </c>
      <c r="C96" s="741">
        <v>0.32445302199999998</v>
      </c>
      <c r="D96" s="741">
        <v>0.37845627500000001</v>
      </c>
      <c r="E96" s="741">
        <v>0.439422174</v>
      </c>
      <c r="F96" s="741">
        <v>0.485499658</v>
      </c>
      <c r="G96" s="741">
        <v>0.52398567100000004</v>
      </c>
      <c r="H96" s="741">
        <v>0.54755298500000005</v>
      </c>
      <c r="I96" s="741">
        <v>0.56409193400000002</v>
      </c>
      <c r="J96" s="741">
        <v>0.614490392</v>
      </c>
      <c r="K96" s="741" t="s">
        <v>102</v>
      </c>
      <c r="L96" s="741">
        <v>0.62210091700000003</v>
      </c>
      <c r="M96" s="742">
        <v>0.45743214100000001</v>
      </c>
      <c r="N96" s="742">
        <v>0.59729099799999996</v>
      </c>
      <c r="O96" s="742">
        <v>0.50009537699999995</v>
      </c>
      <c r="P96" s="721">
        <v>0.53555837900000003</v>
      </c>
    </row>
    <row r="97" spans="1:16" s="465" customFormat="1" ht="16.5" customHeight="1" x14ac:dyDescent="0.25">
      <c r="A97" s="546" t="s">
        <v>420</v>
      </c>
      <c r="B97" s="737">
        <v>0.79791368699999998</v>
      </c>
      <c r="C97" s="737">
        <v>0.81340205600000004</v>
      </c>
      <c r="D97" s="737">
        <v>0.85060033400000001</v>
      </c>
      <c r="E97" s="737">
        <v>0.87185681999999998</v>
      </c>
      <c r="F97" s="737">
        <v>0.87555034899999995</v>
      </c>
      <c r="G97" s="737">
        <v>0.88814395999999995</v>
      </c>
      <c r="H97" s="737">
        <v>0.900796704</v>
      </c>
      <c r="I97" s="737">
        <v>0.93111467000000003</v>
      </c>
      <c r="J97" s="737">
        <v>0.90771928700000004</v>
      </c>
      <c r="K97" s="737" t="s">
        <v>102</v>
      </c>
      <c r="L97" s="737">
        <v>0.88304123999999995</v>
      </c>
      <c r="M97" s="738">
        <v>0.87100513499999999</v>
      </c>
      <c r="N97" s="738">
        <v>0.90738135099999995</v>
      </c>
      <c r="O97" s="738">
        <v>0.88158744300000003</v>
      </c>
      <c r="P97" s="723">
        <v>0.91681483399999997</v>
      </c>
    </row>
    <row r="98" spans="1:16" s="465" customFormat="1" ht="16.5" customHeight="1" x14ac:dyDescent="0.2">
      <c r="A98" s="562" t="s">
        <v>462</v>
      </c>
      <c r="B98" s="721">
        <v>0.56171436399999997</v>
      </c>
      <c r="C98" s="721">
        <v>0.539644126</v>
      </c>
      <c r="D98" s="721">
        <v>0.491649893</v>
      </c>
      <c r="E98" s="721">
        <v>0.45577411499999998</v>
      </c>
      <c r="F98" s="721">
        <v>0.43404646000000002</v>
      </c>
      <c r="G98" s="721">
        <v>0.45471929300000002</v>
      </c>
      <c r="H98" s="721">
        <v>0.35972418499999997</v>
      </c>
      <c r="I98" s="721">
        <v>0.25659453799999998</v>
      </c>
      <c r="J98" s="721">
        <v>0.24366754800000001</v>
      </c>
      <c r="K98" s="721" t="s">
        <v>102</v>
      </c>
      <c r="L98" s="721">
        <v>0.16837471200000001</v>
      </c>
      <c r="M98" s="722">
        <v>0.44536579399999998</v>
      </c>
      <c r="N98" s="722">
        <v>0.21948052500000001</v>
      </c>
      <c r="O98" s="722">
        <v>0.379652871</v>
      </c>
      <c r="P98" s="721">
        <v>0.28683293999999998</v>
      </c>
    </row>
    <row r="99" spans="1:16" s="465" customFormat="1" ht="16.5" customHeight="1" x14ac:dyDescent="0.25">
      <c r="A99" s="492" t="s">
        <v>409</v>
      </c>
      <c r="B99" s="723">
        <v>0.46851601700000001</v>
      </c>
      <c r="C99" s="723">
        <v>0.57489898900000003</v>
      </c>
      <c r="D99" s="723">
        <v>0.64003272300000003</v>
      </c>
      <c r="E99" s="723">
        <v>0.70148491300000004</v>
      </c>
      <c r="F99" s="723">
        <v>0.70764713099999998</v>
      </c>
      <c r="G99" s="723">
        <v>0.68834078799999998</v>
      </c>
      <c r="H99" s="723">
        <v>0.75435565199999999</v>
      </c>
      <c r="I99" s="723">
        <v>0.74949196500000004</v>
      </c>
      <c r="J99" s="723">
        <v>0.56699291299999999</v>
      </c>
      <c r="K99" s="723" t="s">
        <v>102</v>
      </c>
      <c r="L99" s="723">
        <v>0.54689423400000003</v>
      </c>
      <c r="M99" s="724">
        <v>0.68856446900000001</v>
      </c>
      <c r="N99" s="724">
        <v>0.63146656999999995</v>
      </c>
      <c r="O99" s="724">
        <v>0.67195395800000002</v>
      </c>
      <c r="P99" s="737">
        <v>0.69401103600000003</v>
      </c>
    </row>
    <row r="100" spans="1:16" s="465" customFormat="1" ht="16.5" customHeight="1" x14ac:dyDescent="0.2">
      <c r="A100" s="495" t="s">
        <v>790</v>
      </c>
      <c r="B100" s="739">
        <v>1.5838504470000001</v>
      </c>
      <c r="C100" s="739">
        <v>2.1306828630000001</v>
      </c>
      <c r="D100" s="739">
        <v>2.6404109509999998</v>
      </c>
      <c r="E100" s="739">
        <v>3.200786586</v>
      </c>
      <c r="F100" s="739">
        <v>3.4070146540000001</v>
      </c>
      <c r="G100" s="739">
        <v>3.7811962399999999</v>
      </c>
      <c r="H100" s="739">
        <v>4.3820743770000004</v>
      </c>
      <c r="I100" s="739">
        <v>4.9369741339999997</v>
      </c>
      <c r="J100" s="739">
        <v>3.871872094</v>
      </c>
      <c r="K100" s="743" t="s">
        <v>102</v>
      </c>
      <c r="L100" s="739">
        <v>3.196010792</v>
      </c>
      <c r="M100" s="740">
        <v>3.2300549749999998</v>
      </c>
      <c r="N100" s="740">
        <v>3.9922316439999999</v>
      </c>
      <c r="O100" s="740">
        <v>3.407925391</v>
      </c>
      <c r="P100" s="739">
        <v>4.6797484120000004</v>
      </c>
    </row>
    <row r="101" spans="1:16" ht="15" customHeight="1" x14ac:dyDescent="0.2">
      <c r="A101" s="255" t="s">
        <v>297</v>
      </c>
      <c r="B101" s="13"/>
      <c r="C101" s="13"/>
      <c r="D101" s="13"/>
      <c r="E101" s="13"/>
      <c r="F101" s="13"/>
      <c r="G101" s="13"/>
      <c r="H101" s="13"/>
      <c r="I101" s="13"/>
      <c r="J101" s="13"/>
      <c r="K101" s="13"/>
      <c r="L101" s="13"/>
      <c r="M101" s="215"/>
      <c r="N101" s="215"/>
      <c r="O101" s="215"/>
      <c r="P101" s="39"/>
    </row>
    <row r="102" spans="1:16" ht="15" customHeight="1" x14ac:dyDescent="0.2">
      <c r="A102" s="168" t="s">
        <v>616</v>
      </c>
      <c r="B102" s="13"/>
      <c r="C102" s="13"/>
      <c r="D102" s="13"/>
      <c r="E102" s="13"/>
      <c r="F102" s="13"/>
      <c r="G102" s="13"/>
      <c r="H102" s="13"/>
      <c r="I102" s="13"/>
      <c r="J102" s="13"/>
      <c r="K102" s="13"/>
      <c r="L102" s="13"/>
      <c r="M102" s="215"/>
      <c r="N102" s="215"/>
      <c r="O102" s="215"/>
      <c r="P102" s="39"/>
    </row>
    <row r="103" spans="1:16" ht="15" customHeight="1" x14ac:dyDescent="0.2">
      <c r="A103" s="255" t="s">
        <v>991</v>
      </c>
      <c r="B103" s="13"/>
      <c r="C103" s="13"/>
      <c r="D103" s="13"/>
      <c r="E103" s="13"/>
      <c r="F103" s="13"/>
      <c r="G103" s="13"/>
      <c r="H103" s="13"/>
      <c r="I103" s="13"/>
      <c r="J103" s="13"/>
      <c r="K103" s="13"/>
      <c r="L103" s="13"/>
      <c r="M103" s="215"/>
      <c r="N103" s="215"/>
      <c r="O103" s="215"/>
      <c r="P103" s="39"/>
    </row>
    <row r="104" spans="1:16" ht="15" customHeight="1" x14ac:dyDescent="0.2">
      <c r="A104" s="286" t="s">
        <v>916</v>
      </c>
      <c r="B104" s="3"/>
      <c r="C104" s="3"/>
      <c r="D104" s="3"/>
      <c r="G104" s="185"/>
      <c r="J104" s="185"/>
      <c r="M104" s="215"/>
      <c r="N104" s="215"/>
      <c r="O104" s="215"/>
    </row>
    <row r="105" spans="1:16" ht="15" customHeight="1" x14ac:dyDescent="0.2">
      <c r="A105" s="13"/>
      <c r="B105" s="13"/>
      <c r="C105" s="13"/>
      <c r="D105" s="13"/>
      <c r="E105" s="13"/>
      <c r="F105" s="13"/>
      <c r="G105" s="13"/>
      <c r="H105" s="13"/>
      <c r="I105" s="13"/>
      <c r="J105" s="13"/>
      <c r="K105" s="13"/>
      <c r="L105" s="13"/>
      <c r="M105" s="215"/>
      <c r="N105" s="215"/>
      <c r="O105" s="215"/>
      <c r="P105" s="39"/>
    </row>
    <row r="106" spans="1:16" ht="24.75" customHeight="1" x14ac:dyDescent="0.25">
      <c r="A106" s="280" t="s">
        <v>932</v>
      </c>
      <c r="B106" s="13"/>
      <c r="C106" s="13"/>
      <c r="D106" s="13"/>
      <c r="E106" s="13"/>
      <c r="F106" s="13"/>
      <c r="G106" s="13"/>
      <c r="H106" s="13"/>
      <c r="I106" s="13"/>
      <c r="J106" s="13"/>
      <c r="K106" s="13"/>
      <c r="L106" s="13"/>
      <c r="M106" s="215"/>
      <c r="N106" s="215"/>
      <c r="O106" s="215"/>
      <c r="P106" s="39"/>
    </row>
    <row r="107" spans="1:16" ht="15" customHeight="1" thickBot="1" x14ac:dyDescent="0.25">
      <c r="A107" s="13"/>
      <c r="B107" s="13"/>
      <c r="C107" s="13"/>
      <c r="D107" s="13"/>
      <c r="E107" s="13"/>
      <c r="F107" s="13"/>
      <c r="G107" s="13"/>
      <c r="H107" s="13"/>
      <c r="I107" s="13"/>
      <c r="J107" s="13"/>
      <c r="K107" s="13"/>
      <c r="L107" s="13"/>
      <c r="M107" s="215"/>
      <c r="N107" s="215"/>
      <c r="O107" s="215"/>
      <c r="P107" s="285" t="s">
        <v>23</v>
      </c>
    </row>
    <row r="108" spans="1:16" ht="15" customHeight="1" x14ac:dyDescent="0.2">
      <c r="A108" s="565" t="s">
        <v>81</v>
      </c>
      <c r="B108" s="42" t="s">
        <v>35</v>
      </c>
      <c r="C108" s="42" t="s">
        <v>121</v>
      </c>
      <c r="D108" s="42" t="s">
        <v>123</v>
      </c>
      <c r="E108" s="42" t="s">
        <v>36</v>
      </c>
      <c r="F108" s="42" t="s">
        <v>37</v>
      </c>
      <c r="G108" s="42" t="s">
        <v>38</v>
      </c>
      <c r="H108" s="42" t="s">
        <v>39</v>
      </c>
      <c r="I108" s="42" t="s">
        <v>125</v>
      </c>
      <c r="J108" s="42" t="s">
        <v>126</v>
      </c>
      <c r="K108" s="42" t="s">
        <v>127</v>
      </c>
      <c r="L108" s="252">
        <v>100000</v>
      </c>
      <c r="M108" s="250" t="s">
        <v>231</v>
      </c>
      <c r="N108" s="250" t="s">
        <v>229</v>
      </c>
      <c r="O108" s="257" t="s">
        <v>77</v>
      </c>
      <c r="P108" s="281" t="s">
        <v>220</v>
      </c>
    </row>
    <row r="109" spans="1:16" ht="15" customHeight="1" x14ac:dyDescent="0.2">
      <c r="A109" s="229" t="s">
        <v>225</v>
      </c>
      <c r="B109" s="43" t="s">
        <v>120</v>
      </c>
      <c r="C109" s="43" t="s">
        <v>40</v>
      </c>
      <c r="D109" s="43" t="s">
        <v>40</v>
      </c>
      <c r="E109" s="43" t="s">
        <v>40</v>
      </c>
      <c r="F109" s="43" t="s">
        <v>40</v>
      </c>
      <c r="G109" s="43" t="s">
        <v>40</v>
      </c>
      <c r="H109" s="43" t="s">
        <v>40</v>
      </c>
      <c r="I109" s="43" t="s">
        <v>40</v>
      </c>
      <c r="J109" s="43" t="s">
        <v>40</v>
      </c>
      <c r="K109" s="43" t="s">
        <v>40</v>
      </c>
      <c r="L109" s="43" t="s">
        <v>43</v>
      </c>
      <c r="M109" s="239" t="s">
        <v>230</v>
      </c>
      <c r="N109" s="239" t="s">
        <v>138</v>
      </c>
      <c r="O109" s="256" t="s">
        <v>137</v>
      </c>
      <c r="P109" s="282" t="s">
        <v>284</v>
      </c>
    </row>
    <row r="110" spans="1:16" ht="15" customHeight="1" thickBot="1" x14ac:dyDescent="0.25">
      <c r="A110" s="423" t="s">
        <v>82</v>
      </c>
      <c r="B110" s="44" t="s">
        <v>43</v>
      </c>
      <c r="C110" s="44" t="s">
        <v>122</v>
      </c>
      <c r="D110" s="44" t="s">
        <v>124</v>
      </c>
      <c r="E110" s="44" t="s">
        <v>44</v>
      </c>
      <c r="F110" s="44" t="s">
        <v>45</v>
      </c>
      <c r="G110" s="44" t="s">
        <v>46</v>
      </c>
      <c r="H110" s="44" t="s">
        <v>42</v>
      </c>
      <c r="I110" s="44" t="s">
        <v>128</v>
      </c>
      <c r="J110" s="44" t="s">
        <v>129</v>
      </c>
      <c r="K110" s="44" t="s">
        <v>130</v>
      </c>
      <c r="L110" s="44" t="s">
        <v>131</v>
      </c>
      <c r="M110" s="251" t="s">
        <v>138</v>
      </c>
      <c r="N110" s="251" t="s">
        <v>131</v>
      </c>
      <c r="O110" s="258" t="s">
        <v>41</v>
      </c>
      <c r="P110" s="283" t="s">
        <v>239</v>
      </c>
    </row>
    <row r="111" spans="1:16" ht="15" customHeight="1" x14ac:dyDescent="0.25">
      <c r="A111" s="544" t="s">
        <v>223</v>
      </c>
      <c r="B111" s="192"/>
      <c r="C111" s="192"/>
      <c r="D111" s="192"/>
      <c r="E111" s="192"/>
      <c r="F111" s="192"/>
      <c r="G111" s="192"/>
      <c r="H111" s="192"/>
      <c r="I111" s="192"/>
      <c r="J111" s="192"/>
      <c r="K111" s="192"/>
      <c r="L111" s="192"/>
      <c r="M111" s="253"/>
      <c r="N111" s="253"/>
      <c r="O111" s="253"/>
    </row>
    <row r="112" spans="1:16" s="465" customFormat="1" ht="16.5" customHeight="1" x14ac:dyDescent="0.25">
      <c r="A112" s="487" t="s">
        <v>286</v>
      </c>
      <c r="B112" s="572">
        <v>4.7871215070000002</v>
      </c>
      <c r="C112" s="572">
        <v>4.3942485280000003</v>
      </c>
      <c r="D112" s="572">
        <v>4.6678072549999996</v>
      </c>
      <c r="E112" s="572">
        <v>4.5702579209999996</v>
      </c>
      <c r="F112" s="572">
        <v>5.5625616400000002</v>
      </c>
      <c r="G112" s="572">
        <v>4.4703341490000001</v>
      </c>
      <c r="H112" s="572">
        <v>3.7182734640000001</v>
      </c>
      <c r="I112" s="572">
        <v>2.3738765530000001</v>
      </c>
      <c r="J112" s="572">
        <v>4.1186282240000001</v>
      </c>
      <c r="K112" s="572" t="s">
        <v>102</v>
      </c>
      <c r="L112" s="572">
        <v>9.5724096549999995</v>
      </c>
      <c r="M112" s="573">
        <v>4.4954022929999997</v>
      </c>
      <c r="N112" s="573">
        <v>5.4124581589999998</v>
      </c>
      <c r="O112" s="573">
        <v>4.7735417399999998</v>
      </c>
      <c r="P112" s="572">
        <v>4.1179418459999999</v>
      </c>
    </row>
    <row r="113" spans="1:16" s="465" customFormat="1" ht="15.75" customHeight="1" x14ac:dyDescent="0.2">
      <c r="A113" s="490" t="s">
        <v>161</v>
      </c>
      <c r="B113" s="574">
        <v>5.6583711839999999</v>
      </c>
      <c r="C113" s="574">
        <v>5.970710918</v>
      </c>
      <c r="D113" s="574">
        <v>5.6154544519999998</v>
      </c>
      <c r="E113" s="574">
        <v>4.2990293069999996</v>
      </c>
      <c r="F113" s="574">
        <v>6.3496653170000004</v>
      </c>
      <c r="G113" s="574">
        <v>4.8476556119999996</v>
      </c>
      <c r="H113" s="574">
        <v>4.1784511550000003</v>
      </c>
      <c r="I113" s="574">
        <v>1.570867947</v>
      </c>
      <c r="J113" s="574">
        <v>8.7883414309999992</v>
      </c>
      <c r="K113" s="574" t="s">
        <v>102</v>
      </c>
      <c r="L113" s="574">
        <v>1.2153511379999999</v>
      </c>
      <c r="M113" s="575">
        <v>4.9333149709999997</v>
      </c>
      <c r="N113" s="575">
        <v>2.9822721510000001</v>
      </c>
      <c r="O113" s="575">
        <v>4.4667554029999996</v>
      </c>
      <c r="P113" s="574">
        <v>4.0108692530000001</v>
      </c>
    </row>
    <row r="114" spans="1:16" s="465" customFormat="1" ht="15.75" customHeight="1" x14ac:dyDescent="0.2">
      <c r="A114" s="492" t="s">
        <v>162</v>
      </c>
      <c r="B114" s="576">
        <v>3.4544422909999999</v>
      </c>
      <c r="C114" s="577">
        <v>4.8372341900000002</v>
      </c>
      <c r="D114" s="576">
        <v>4.8092137920000004</v>
      </c>
      <c r="E114" s="576">
        <v>4.9956119750000001</v>
      </c>
      <c r="F114" s="576">
        <v>5.4110126799999998</v>
      </c>
      <c r="G114" s="576">
        <v>4.966716087</v>
      </c>
      <c r="H114" s="576">
        <v>3.6195134200000001</v>
      </c>
      <c r="I114" s="576">
        <v>3.8676093210000002</v>
      </c>
      <c r="J114" s="576">
        <v>2.5409250160000001</v>
      </c>
      <c r="K114" s="576" t="s">
        <v>102</v>
      </c>
      <c r="L114" s="576">
        <v>15.439843636999999</v>
      </c>
      <c r="M114" s="578">
        <v>4.6044086179999999</v>
      </c>
      <c r="N114" s="578">
        <v>7.8718541249999996</v>
      </c>
      <c r="O114" s="578">
        <v>5.7718591359999998</v>
      </c>
      <c r="P114" s="576">
        <v>4.3575204349999996</v>
      </c>
    </row>
    <row r="115" spans="1:16" s="465" customFormat="1" ht="15.75" customHeight="1" x14ac:dyDescent="0.2">
      <c r="A115" s="490" t="s">
        <v>163</v>
      </c>
      <c r="B115" s="574">
        <v>16.926484780999999</v>
      </c>
      <c r="C115" s="574">
        <v>18.163691651000001</v>
      </c>
      <c r="D115" s="574">
        <v>11.236178110000001</v>
      </c>
      <c r="E115" s="574">
        <v>8.3730930800000003</v>
      </c>
      <c r="F115" s="574">
        <v>2.984906096</v>
      </c>
      <c r="G115" s="574">
        <v>8.9938763880000003</v>
      </c>
      <c r="H115" s="574">
        <v>8.8711280220000006</v>
      </c>
      <c r="I115" s="574">
        <v>10.257688299</v>
      </c>
      <c r="J115" s="574">
        <v>10.604488181000001</v>
      </c>
      <c r="K115" s="574" t="s">
        <v>102</v>
      </c>
      <c r="L115" s="574">
        <v>-2.7915480860000002</v>
      </c>
      <c r="M115" s="575">
        <v>8.8299974510000006</v>
      </c>
      <c r="N115" s="575">
        <v>4.4324518839999998</v>
      </c>
      <c r="O115" s="575">
        <v>7.3404979079999997</v>
      </c>
      <c r="P115" s="574">
        <v>9.3167023919999998</v>
      </c>
    </row>
    <row r="116" spans="1:16" s="465" customFormat="1" ht="15.75" customHeight="1" x14ac:dyDescent="0.2">
      <c r="A116" s="492" t="s">
        <v>164</v>
      </c>
      <c r="B116" s="576">
        <v>10.800757207</v>
      </c>
      <c r="C116" s="576">
        <v>0.88262326999999996</v>
      </c>
      <c r="D116" s="576">
        <v>5.0275349159999996</v>
      </c>
      <c r="E116" s="576">
        <v>7.4491001939999997</v>
      </c>
      <c r="F116" s="576">
        <v>5.5746854150000003</v>
      </c>
      <c r="G116" s="576">
        <v>2.0021643650000001</v>
      </c>
      <c r="H116" s="576">
        <v>4.5346651979999999</v>
      </c>
      <c r="I116" s="576">
        <v>0.857480401</v>
      </c>
      <c r="J116" s="576">
        <v>4.6833604370000002</v>
      </c>
      <c r="K116" s="576" t="s">
        <v>102</v>
      </c>
      <c r="L116" s="576">
        <v>-2.7048655000000001E-2</v>
      </c>
      <c r="M116" s="578">
        <v>5.3720561</v>
      </c>
      <c r="N116" s="578">
        <v>1.260764483</v>
      </c>
      <c r="O116" s="578">
        <v>4.0158114429999996</v>
      </c>
      <c r="P116" s="576">
        <v>4.601181585</v>
      </c>
    </row>
    <row r="117" spans="1:16" s="465" customFormat="1" ht="15.75" customHeight="1" x14ac:dyDescent="0.2">
      <c r="A117" s="495" t="s">
        <v>165</v>
      </c>
      <c r="B117" s="579">
        <v>1.1778548689999999</v>
      </c>
      <c r="C117" s="579">
        <v>0.871291394</v>
      </c>
      <c r="D117" s="579">
        <v>-0.330110026</v>
      </c>
      <c r="E117" s="579">
        <v>-0.191954345</v>
      </c>
      <c r="F117" s="579">
        <v>3.319310894</v>
      </c>
      <c r="G117" s="579">
        <v>-0.113592337</v>
      </c>
      <c r="H117" s="579">
        <v>-3.5212889879999998</v>
      </c>
      <c r="I117" s="579">
        <v>-15.746772449</v>
      </c>
      <c r="J117" s="579">
        <v>-4.6196377010000003</v>
      </c>
      <c r="K117" s="579" t="s">
        <v>102</v>
      </c>
      <c r="L117" s="579">
        <v>8.3200938640000004</v>
      </c>
      <c r="M117" s="580">
        <v>-3.6607395000000001E-2</v>
      </c>
      <c r="N117" s="580">
        <v>-4.9017706109999999</v>
      </c>
      <c r="O117" s="580">
        <v>-0.74578765899999999</v>
      </c>
      <c r="P117" s="579">
        <v>-2.2468260189999998</v>
      </c>
    </row>
    <row r="118" spans="1:16" s="465" customFormat="1" ht="16.5" customHeight="1" x14ac:dyDescent="0.25">
      <c r="A118" s="498" t="s">
        <v>287</v>
      </c>
      <c r="B118" s="581">
        <v>-0.66433938000000003</v>
      </c>
      <c r="C118" s="581">
        <v>3.4802841830000002</v>
      </c>
      <c r="D118" s="581">
        <v>3.910462635</v>
      </c>
      <c r="E118" s="581">
        <v>4.498834199</v>
      </c>
      <c r="F118" s="581">
        <v>4.4616470159999997</v>
      </c>
      <c r="G118" s="581">
        <v>1.7153537510000001</v>
      </c>
      <c r="H118" s="581">
        <v>3.1084033020000001</v>
      </c>
      <c r="I118" s="581">
        <v>3.9585903849999999</v>
      </c>
      <c r="J118" s="581">
        <v>3.3652056950000002</v>
      </c>
      <c r="K118" s="581" t="s">
        <v>102</v>
      </c>
      <c r="L118" s="581">
        <v>15.332779916</v>
      </c>
      <c r="M118" s="582">
        <v>3.621650759</v>
      </c>
      <c r="N118" s="582">
        <v>7.9704015339999996</v>
      </c>
      <c r="O118" s="582">
        <v>4.8507479360000003</v>
      </c>
      <c r="P118" s="581">
        <v>2.9986089869999999</v>
      </c>
    </row>
    <row r="119" spans="1:16" s="465" customFormat="1" ht="15.75" customHeight="1" x14ac:dyDescent="0.2">
      <c r="A119" s="490" t="s">
        <v>79</v>
      </c>
      <c r="B119" s="574">
        <v>-1.387943828</v>
      </c>
      <c r="C119" s="574">
        <v>-0.409404934</v>
      </c>
      <c r="D119" s="574">
        <v>2.1150092960000002</v>
      </c>
      <c r="E119" s="574">
        <v>3.5615476109999999</v>
      </c>
      <c r="F119" s="574">
        <v>3.3286581700000002</v>
      </c>
      <c r="G119" s="574">
        <v>2.211769517</v>
      </c>
      <c r="H119" s="574">
        <v>3.0726905950000001</v>
      </c>
      <c r="I119" s="574">
        <v>2.4365238140000001</v>
      </c>
      <c r="J119" s="574">
        <v>3.0141609539999998</v>
      </c>
      <c r="K119" s="574" t="s">
        <v>102</v>
      </c>
      <c r="L119" s="574">
        <v>20.777625705999998</v>
      </c>
      <c r="M119" s="575">
        <v>2.804028116</v>
      </c>
      <c r="N119" s="575">
        <v>9.0772659190000002</v>
      </c>
      <c r="O119" s="575">
        <v>4.8006445229999999</v>
      </c>
      <c r="P119" s="574">
        <v>2.5542567570000001</v>
      </c>
    </row>
    <row r="120" spans="1:16" s="465" customFormat="1" ht="15.75" customHeight="1" x14ac:dyDescent="0.2">
      <c r="A120" s="492" t="s">
        <v>167</v>
      </c>
      <c r="B120" s="576">
        <v>5.9836870549999999</v>
      </c>
      <c r="C120" s="576">
        <v>4.5257251099999998</v>
      </c>
      <c r="D120" s="576">
        <v>5.3308538590000003</v>
      </c>
      <c r="E120" s="576">
        <v>5.7035580379999997</v>
      </c>
      <c r="F120" s="576">
        <v>4.7577385190000001</v>
      </c>
      <c r="G120" s="576">
        <v>4.1043762600000004</v>
      </c>
      <c r="H120" s="576">
        <v>4.3327747060000004</v>
      </c>
      <c r="I120" s="576">
        <v>3.5335891080000001</v>
      </c>
      <c r="J120" s="576">
        <v>3.7614336970000002</v>
      </c>
      <c r="K120" s="576" t="s">
        <v>102</v>
      </c>
      <c r="L120" s="576">
        <v>21.850550758000001</v>
      </c>
      <c r="M120" s="578">
        <v>4.9546087239999999</v>
      </c>
      <c r="N120" s="578">
        <v>10.035952832</v>
      </c>
      <c r="O120" s="578">
        <v>6.6413780420000004</v>
      </c>
      <c r="P120" s="576">
        <v>4.3767579660000004</v>
      </c>
    </row>
    <row r="121" spans="1:16" s="465" customFormat="1" ht="15.75" customHeight="1" x14ac:dyDescent="0.2">
      <c r="A121" s="490" t="s">
        <v>322</v>
      </c>
      <c r="B121" s="574">
        <v>0.76657757400000004</v>
      </c>
      <c r="C121" s="574">
        <v>-0.73034980900000002</v>
      </c>
      <c r="D121" s="574">
        <v>1.2339126760000001</v>
      </c>
      <c r="E121" s="574">
        <v>1.807207743</v>
      </c>
      <c r="F121" s="574">
        <v>0.85581750899999998</v>
      </c>
      <c r="G121" s="574">
        <v>-0.599467521</v>
      </c>
      <c r="H121" s="574">
        <v>-0.429993187</v>
      </c>
      <c r="I121" s="574">
        <v>-1.182482823</v>
      </c>
      <c r="J121" s="574">
        <v>0.39103141200000002</v>
      </c>
      <c r="K121" s="574" t="s">
        <v>102</v>
      </c>
      <c r="L121" s="574">
        <v>37.310005855</v>
      </c>
      <c r="M121" s="575">
        <v>0.56886961599999997</v>
      </c>
      <c r="N121" s="575">
        <v>13.982016624</v>
      </c>
      <c r="O121" s="575">
        <v>5.3267384809999996</v>
      </c>
      <c r="P121" s="574">
        <v>0.87048807299999997</v>
      </c>
    </row>
    <row r="122" spans="1:16" s="465" customFormat="1" ht="15.75" customHeight="1" x14ac:dyDescent="0.2">
      <c r="A122" s="492" t="s">
        <v>168</v>
      </c>
      <c r="B122" s="576">
        <v>-14.166544328000001</v>
      </c>
      <c r="C122" s="576">
        <v>-13.685218312</v>
      </c>
      <c r="D122" s="576">
        <v>-10.879645471</v>
      </c>
      <c r="E122" s="576">
        <v>-10.5225983</v>
      </c>
      <c r="F122" s="576">
        <v>-10.276516619000001</v>
      </c>
      <c r="G122" s="576">
        <v>-13.279522818</v>
      </c>
      <c r="H122" s="576">
        <v>-8.4060877719999993</v>
      </c>
      <c r="I122" s="576">
        <v>-10.561728423</v>
      </c>
      <c r="J122" s="576">
        <v>-6.4601719219999998</v>
      </c>
      <c r="K122" s="576" t="s">
        <v>102</v>
      </c>
      <c r="L122" s="576">
        <v>9.5816514510000008</v>
      </c>
      <c r="M122" s="578">
        <v>-10.884396679</v>
      </c>
      <c r="N122" s="578">
        <v>-1.9204779359999999</v>
      </c>
      <c r="O122" s="578">
        <v>-8.9471289550000002</v>
      </c>
      <c r="P122" s="576">
        <v>-7.6748749969999999</v>
      </c>
    </row>
    <row r="123" spans="1:16" s="465" customFormat="1" ht="15.75" customHeight="1" x14ac:dyDescent="0.2">
      <c r="A123" s="490" t="s">
        <v>169</v>
      </c>
      <c r="B123" s="574">
        <v>7.9101154449999997</v>
      </c>
      <c r="C123" s="574">
        <v>9.8330840449999997</v>
      </c>
      <c r="D123" s="574">
        <v>6.8901054149999998</v>
      </c>
      <c r="E123" s="574">
        <v>4.5674057909999997</v>
      </c>
      <c r="F123" s="574">
        <v>4.2709615940000001</v>
      </c>
      <c r="G123" s="574">
        <v>2.2732569489999999</v>
      </c>
      <c r="H123" s="574">
        <v>4.5460359329999998</v>
      </c>
      <c r="I123" s="574">
        <v>2.753059575</v>
      </c>
      <c r="J123" s="574">
        <v>2.259638759</v>
      </c>
      <c r="K123" s="574" t="s">
        <v>102</v>
      </c>
      <c r="L123" s="574">
        <v>1.733708628</v>
      </c>
      <c r="M123" s="575">
        <v>5.4659292759999998</v>
      </c>
      <c r="N123" s="575">
        <v>2.3076968180000001</v>
      </c>
      <c r="O123" s="575">
        <v>4.786954454</v>
      </c>
      <c r="P123" s="574">
        <v>3.1945914609999999</v>
      </c>
    </row>
    <row r="124" spans="1:16" s="465" customFormat="1" ht="15.75" customHeight="1" x14ac:dyDescent="0.2">
      <c r="A124" s="492" t="s">
        <v>170</v>
      </c>
      <c r="B124" s="576">
        <v>-1.3726910539999999</v>
      </c>
      <c r="C124" s="576">
        <v>1.848604948</v>
      </c>
      <c r="D124" s="576">
        <v>3.1133699689999998</v>
      </c>
      <c r="E124" s="576">
        <v>2.311613387</v>
      </c>
      <c r="F124" s="576">
        <v>3.2168472659999998</v>
      </c>
      <c r="G124" s="576">
        <v>-0.23468735499999999</v>
      </c>
      <c r="H124" s="576">
        <v>4.2954343460000004</v>
      </c>
      <c r="I124" s="576">
        <v>1.7538578300000001</v>
      </c>
      <c r="J124" s="576">
        <v>2.4441724530000002</v>
      </c>
      <c r="K124" s="576" t="s">
        <v>102</v>
      </c>
      <c r="L124" s="576">
        <v>1.91929208</v>
      </c>
      <c r="M124" s="578">
        <v>2.4479088070000001</v>
      </c>
      <c r="N124" s="578">
        <v>2.0018049809999998</v>
      </c>
      <c r="O124" s="578">
        <v>2.3444385990000001</v>
      </c>
      <c r="P124" s="576">
        <v>1.9501974019999999</v>
      </c>
    </row>
    <row r="125" spans="1:16" s="465" customFormat="1" ht="15.75" customHeight="1" x14ac:dyDescent="0.2">
      <c r="A125" s="490" t="s">
        <v>171</v>
      </c>
      <c r="B125" s="574">
        <v>21.902495245000001</v>
      </c>
      <c r="C125" s="574">
        <v>14.339971835</v>
      </c>
      <c r="D125" s="574">
        <v>11.168026084999999</v>
      </c>
      <c r="E125" s="574">
        <v>6.2411374740000003</v>
      </c>
      <c r="F125" s="574">
        <v>-3.1502379079999998</v>
      </c>
      <c r="G125" s="574">
        <v>-17.686110773999999</v>
      </c>
      <c r="H125" s="574">
        <v>12.157109623</v>
      </c>
      <c r="I125" s="574">
        <v>-2.2986221200000001</v>
      </c>
      <c r="J125" s="574">
        <v>-3.1504675199999999</v>
      </c>
      <c r="K125" s="574" t="s">
        <v>102</v>
      </c>
      <c r="L125" s="574">
        <v>-3.4331650140000001</v>
      </c>
      <c r="M125" s="575">
        <v>11.246448036</v>
      </c>
      <c r="N125" s="575">
        <v>-3.1116662119999998</v>
      </c>
      <c r="O125" s="575">
        <v>9.1437344370000009</v>
      </c>
      <c r="P125" s="574">
        <v>4.6835640789999999</v>
      </c>
    </row>
    <row r="126" spans="1:16" s="465" customFormat="1" ht="15.75" customHeight="1" x14ac:dyDescent="0.2">
      <c r="A126" s="693" t="s">
        <v>607</v>
      </c>
      <c r="B126" s="576">
        <v>27.802608217</v>
      </c>
      <c r="C126" s="576">
        <v>43.370850828000002</v>
      </c>
      <c r="D126" s="576">
        <v>15.773219161</v>
      </c>
      <c r="E126" s="576">
        <v>14.635227121</v>
      </c>
      <c r="F126" s="576">
        <v>8.3141858769999999</v>
      </c>
      <c r="G126" s="576">
        <v>11.594599788</v>
      </c>
      <c r="H126" s="576">
        <v>4.8787156469999999</v>
      </c>
      <c r="I126" s="576">
        <v>6.1615462809999997</v>
      </c>
      <c r="J126" s="576">
        <v>1.8493157760000001</v>
      </c>
      <c r="K126" s="576" t="s">
        <v>102</v>
      </c>
      <c r="L126" s="576">
        <v>2.4867064659999998</v>
      </c>
      <c r="M126" s="578">
        <v>14.756295269000001</v>
      </c>
      <c r="N126" s="578">
        <v>4.7901322640000004</v>
      </c>
      <c r="O126" s="578">
        <v>13.121962726</v>
      </c>
      <c r="P126" s="576">
        <v>7.8328566080000002</v>
      </c>
    </row>
    <row r="127" spans="1:16" s="465" customFormat="1" ht="15.75" customHeight="1" x14ac:dyDescent="0.2">
      <c r="A127" s="490" t="s">
        <v>172</v>
      </c>
      <c r="B127" s="574">
        <v>-38.078614131999998</v>
      </c>
      <c r="C127" s="574">
        <v>-13.784684089000001</v>
      </c>
      <c r="D127" s="574">
        <v>-5.2647585430000001</v>
      </c>
      <c r="E127" s="574">
        <v>-3.618457147</v>
      </c>
      <c r="F127" s="574">
        <v>-1.522659102</v>
      </c>
      <c r="G127" s="574">
        <v>-5.3656266930000003</v>
      </c>
      <c r="H127" s="574">
        <v>-3.0653857269999998</v>
      </c>
      <c r="I127" s="574">
        <v>7.7959833080000003</v>
      </c>
      <c r="J127" s="574">
        <v>9.8286711120000003</v>
      </c>
      <c r="K127" s="574" t="s">
        <v>102</v>
      </c>
      <c r="L127" s="574">
        <v>4.487066542</v>
      </c>
      <c r="M127" s="575">
        <v>-4.9325840940000001</v>
      </c>
      <c r="N127" s="575">
        <v>6.9604321149999997</v>
      </c>
      <c r="O127" s="575">
        <v>-1.188262368</v>
      </c>
      <c r="P127" s="574">
        <v>-0.97563886200000005</v>
      </c>
    </row>
    <row r="128" spans="1:16" s="465" customFormat="1" ht="15.75" customHeight="1" x14ac:dyDescent="0.2">
      <c r="A128" s="492" t="s">
        <v>173</v>
      </c>
      <c r="B128" s="576">
        <v>0.57868805199999995</v>
      </c>
      <c r="C128" s="576">
        <v>8.154291379</v>
      </c>
      <c r="D128" s="576">
        <v>4.9087711540000001</v>
      </c>
      <c r="E128" s="576">
        <v>8.432465015</v>
      </c>
      <c r="F128" s="576">
        <v>5.855730286</v>
      </c>
      <c r="G128" s="576">
        <v>5.1071218000000002E-2</v>
      </c>
      <c r="H128" s="576">
        <v>7.2454619070000001</v>
      </c>
      <c r="I128" s="576">
        <v>5.3645402009999996</v>
      </c>
      <c r="J128" s="576">
        <v>3.4485979379999998</v>
      </c>
      <c r="K128" s="576" t="s">
        <v>102</v>
      </c>
      <c r="L128" s="576">
        <v>5.9235287679999997</v>
      </c>
      <c r="M128" s="578">
        <v>6.3153186249999997</v>
      </c>
      <c r="N128" s="578">
        <v>5.270176846</v>
      </c>
      <c r="O128" s="578">
        <v>6.0036234589999999</v>
      </c>
      <c r="P128" s="576">
        <v>5.9018008740000001</v>
      </c>
    </row>
    <row r="129" spans="1:16" s="465" customFormat="1" ht="15.75" customHeight="1" x14ac:dyDescent="0.2">
      <c r="A129" s="495" t="s">
        <v>174</v>
      </c>
      <c r="B129" s="579">
        <v>-7.8947135199999998</v>
      </c>
      <c r="C129" s="579">
        <v>1.5660859760000001</v>
      </c>
      <c r="D129" s="579">
        <v>4.2395851130000004</v>
      </c>
      <c r="E129" s="579">
        <v>10.557312047</v>
      </c>
      <c r="F129" s="579">
        <v>21.506909948000001</v>
      </c>
      <c r="G129" s="579">
        <v>5.5591911449999998</v>
      </c>
      <c r="H129" s="579">
        <v>0.33186295100000002</v>
      </c>
      <c r="I129" s="579">
        <v>32.045642927000003</v>
      </c>
      <c r="J129" s="579">
        <v>7.8214111659999999</v>
      </c>
      <c r="K129" s="579" t="s">
        <v>102</v>
      </c>
      <c r="L129" s="579">
        <v>18.889592530000002</v>
      </c>
      <c r="M129" s="580">
        <v>6.6188944999999997</v>
      </c>
      <c r="N129" s="580">
        <v>23.068299863</v>
      </c>
      <c r="O129" s="580">
        <v>8.7708029070000002</v>
      </c>
      <c r="P129" s="579">
        <v>7.8138926639999999</v>
      </c>
    </row>
    <row r="130" spans="1:16" s="465" customFormat="1" ht="16.5" customHeight="1" x14ac:dyDescent="0.25">
      <c r="A130" s="544" t="s">
        <v>224</v>
      </c>
      <c r="B130" s="583"/>
      <c r="C130" s="583"/>
      <c r="D130" s="583"/>
      <c r="E130" s="583"/>
      <c r="F130" s="583"/>
      <c r="G130" s="583"/>
      <c r="H130" s="583"/>
      <c r="I130" s="583"/>
      <c r="J130" s="583"/>
      <c r="K130" s="583"/>
      <c r="L130" s="583"/>
      <c r="M130" s="584"/>
      <c r="N130" s="584"/>
      <c r="O130" s="584"/>
      <c r="P130" s="583"/>
    </row>
    <row r="131" spans="1:16" s="465" customFormat="1" ht="16.5" customHeight="1" x14ac:dyDescent="0.25">
      <c r="A131" s="487" t="s">
        <v>292</v>
      </c>
      <c r="B131" s="572">
        <v>-1.1309259869999999</v>
      </c>
      <c r="C131" s="572">
        <v>5.5594517760000004</v>
      </c>
      <c r="D131" s="572">
        <v>17.676641797999999</v>
      </c>
      <c r="E131" s="572">
        <v>14.996124278</v>
      </c>
      <c r="F131" s="572">
        <v>6.4262483479999997</v>
      </c>
      <c r="G131" s="572">
        <v>18.996429639999999</v>
      </c>
      <c r="H131" s="572">
        <v>18.911787611000001</v>
      </c>
      <c r="I131" s="572">
        <v>-0.22154494499999999</v>
      </c>
      <c r="J131" s="572">
        <v>4.0807437689999997</v>
      </c>
      <c r="K131" s="572" t="s">
        <v>102</v>
      </c>
      <c r="L131" s="572">
        <v>16.754519737999999</v>
      </c>
      <c r="M131" s="573">
        <v>13.744583828</v>
      </c>
      <c r="N131" s="573">
        <v>5.7519828520000003</v>
      </c>
      <c r="O131" s="573">
        <v>12.219238374</v>
      </c>
      <c r="P131" s="572">
        <v>10.163335259</v>
      </c>
    </row>
    <row r="132" spans="1:16" s="465" customFormat="1" ht="15.75" customHeight="1" x14ac:dyDescent="0.2">
      <c r="A132" s="545" t="s">
        <v>178</v>
      </c>
      <c r="B132" s="585">
        <v>-1.429560884</v>
      </c>
      <c r="C132" s="585">
        <v>4.7001905820000003</v>
      </c>
      <c r="D132" s="585">
        <v>18.280682102</v>
      </c>
      <c r="E132" s="585">
        <v>15.089198198</v>
      </c>
      <c r="F132" s="585">
        <v>4.4114055319999999</v>
      </c>
      <c r="G132" s="585">
        <v>20.248154298999999</v>
      </c>
      <c r="H132" s="585">
        <v>21.656986051000001</v>
      </c>
      <c r="I132" s="585">
        <v>0.40233413299999998</v>
      </c>
      <c r="J132" s="585">
        <v>6.4305655780000004</v>
      </c>
      <c r="K132" s="585" t="s">
        <v>102</v>
      </c>
      <c r="L132" s="585">
        <v>14.570737876999999</v>
      </c>
      <c r="M132" s="586">
        <v>14.015911367999999</v>
      </c>
      <c r="N132" s="586">
        <v>5.8011877930000004</v>
      </c>
      <c r="O132" s="586">
        <v>12.557981673</v>
      </c>
      <c r="P132" s="585">
        <v>10.725448594</v>
      </c>
    </row>
    <row r="133" spans="1:16" s="465" customFormat="1" ht="15.75" customHeight="1" x14ac:dyDescent="0.2">
      <c r="A133" s="546" t="s">
        <v>179</v>
      </c>
      <c r="B133" s="587">
        <v>32.740269081999998</v>
      </c>
      <c r="C133" s="587">
        <v>52.221967261000003</v>
      </c>
      <c r="D133" s="587">
        <v>9.4977120859999999</v>
      </c>
      <c r="E133" s="587">
        <v>6.1103652080000002</v>
      </c>
      <c r="F133" s="587">
        <v>34.551828243999999</v>
      </c>
      <c r="G133" s="587">
        <v>20.652023768999999</v>
      </c>
      <c r="H133" s="587">
        <v>-24.387301228999998</v>
      </c>
      <c r="I133" s="587">
        <v>-18.052078737999999</v>
      </c>
      <c r="J133" s="587">
        <v>3.6520406040000002</v>
      </c>
      <c r="K133" s="587" t="s">
        <v>102</v>
      </c>
      <c r="L133" s="587">
        <v>174.677148082</v>
      </c>
      <c r="M133" s="588">
        <v>5.514575657</v>
      </c>
      <c r="N133" s="588">
        <v>17.098238861999999</v>
      </c>
      <c r="O133" s="588">
        <v>9.4073805159999999</v>
      </c>
      <c r="P133" s="587">
        <v>2.2363989449999999</v>
      </c>
    </row>
    <row r="134" spans="1:16" s="465" customFormat="1" ht="15.75" customHeight="1" x14ac:dyDescent="0.2">
      <c r="A134" s="545" t="s">
        <v>180</v>
      </c>
      <c r="B134" s="585">
        <v>-5.7804367210000001</v>
      </c>
      <c r="C134" s="585">
        <v>0.988726137</v>
      </c>
      <c r="D134" s="585">
        <v>0.64525608000000001</v>
      </c>
      <c r="E134" s="585">
        <v>22.72767172</v>
      </c>
      <c r="F134" s="585">
        <v>57.159757962999997</v>
      </c>
      <c r="G134" s="585">
        <v>-26.197589832999999</v>
      </c>
      <c r="H134" s="585">
        <v>1.924369738</v>
      </c>
      <c r="I134" s="585">
        <v>6.8840566890000003</v>
      </c>
      <c r="J134" s="585">
        <v>-33.554344690999997</v>
      </c>
      <c r="K134" s="585" t="s">
        <v>102</v>
      </c>
      <c r="L134" s="585">
        <v>-1.6348005290000001</v>
      </c>
      <c r="M134" s="586">
        <v>12.950604045</v>
      </c>
      <c r="N134" s="586">
        <v>-4.694687075</v>
      </c>
      <c r="O134" s="586">
        <v>5.662846847</v>
      </c>
      <c r="P134" s="585">
        <v>9.7225327549999996</v>
      </c>
    </row>
    <row r="135" spans="1:16" s="465" customFormat="1" ht="16.5" customHeight="1" x14ac:dyDescent="0.25">
      <c r="A135" s="547" t="s">
        <v>289</v>
      </c>
      <c r="B135" s="589">
        <v>8.8431847619999999</v>
      </c>
      <c r="C135" s="589">
        <v>9.9114022720000001</v>
      </c>
      <c r="D135" s="589">
        <v>8.4622532360000005</v>
      </c>
      <c r="E135" s="589">
        <v>6.3406698349999999</v>
      </c>
      <c r="F135" s="589">
        <v>10.868713837</v>
      </c>
      <c r="G135" s="589">
        <v>39.701582483000003</v>
      </c>
      <c r="H135" s="589">
        <v>11.306240314</v>
      </c>
      <c r="I135" s="589">
        <v>15.542030895</v>
      </c>
      <c r="J135" s="589">
        <v>-17.430205922999999</v>
      </c>
      <c r="K135" s="589" t="s">
        <v>102</v>
      </c>
      <c r="L135" s="589">
        <v>-14.87569538</v>
      </c>
      <c r="M135" s="590">
        <v>10.411910623000001</v>
      </c>
      <c r="N135" s="590">
        <v>-1.021899876</v>
      </c>
      <c r="O135" s="590">
        <v>8.4422238959999998</v>
      </c>
      <c r="P135" s="589">
        <v>4.5805366169999999</v>
      </c>
    </row>
    <row r="136" spans="1:16" s="465" customFormat="1" ht="15.75" customHeight="1" x14ac:dyDescent="0.2">
      <c r="A136" s="545" t="s">
        <v>182</v>
      </c>
      <c r="B136" s="585">
        <v>8.3587855609999995</v>
      </c>
      <c r="C136" s="585">
        <v>10.381989384000001</v>
      </c>
      <c r="D136" s="585">
        <v>4.9699723410000001</v>
      </c>
      <c r="E136" s="585">
        <v>9.8649343460000001</v>
      </c>
      <c r="F136" s="585">
        <v>12.196251248999999</v>
      </c>
      <c r="G136" s="585">
        <v>23.287849871999999</v>
      </c>
      <c r="H136" s="585">
        <v>9.7375213820000006</v>
      </c>
      <c r="I136" s="585">
        <v>27.915541546</v>
      </c>
      <c r="J136" s="585">
        <v>4.2626960660000002</v>
      </c>
      <c r="K136" s="585" t="s">
        <v>102</v>
      </c>
      <c r="L136" s="585">
        <v>24.606412855999999</v>
      </c>
      <c r="M136" s="586">
        <v>10.234312637</v>
      </c>
      <c r="N136" s="586">
        <v>20.97643729</v>
      </c>
      <c r="O136" s="586">
        <v>12.076463884000001</v>
      </c>
      <c r="P136" s="585">
        <v>10.330488277000001</v>
      </c>
    </row>
    <row r="137" spans="1:16" s="465" customFormat="1" ht="15.75" customHeight="1" x14ac:dyDescent="0.2">
      <c r="A137" s="548" t="s">
        <v>183</v>
      </c>
      <c r="B137" s="587">
        <v>9.6768033859999996</v>
      </c>
      <c r="C137" s="587">
        <v>10.815020075</v>
      </c>
      <c r="D137" s="587">
        <v>10.317549783</v>
      </c>
      <c r="E137" s="587">
        <v>8.5764407259999995</v>
      </c>
      <c r="F137" s="587">
        <v>8.2228091209999992</v>
      </c>
      <c r="G137" s="587">
        <v>40.507552834999998</v>
      </c>
      <c r="H137" s="587">
        <v>9.9700333570000002</v>
      </c>
      <c r="I137" s="587">
        <v>1.750856207</v>
      </c>
      <c r="J137" s="587">
        <v>-17.306243299999998</v>
      </c>
      <c r="K137" s="587" t="s">
        <v>102</v>
      </c>
      <c r="L137" s="587">
        <v>-15.316358429999999</v>
      </c>
      <c r="M137" s="588">
        <v>11.008774172000001</v>
      </c>
      <c r="N137" s="588">
        <v>-7.2250781100000001</v>
      </c>
      <c r="O137" s="588">
        <v>8.3425783649999996</v>
      </c>
      <c r="P137" s="587">
        <v>5.9774797599999996</v>
      </c>
    </row>
    <row r="138" spans="1:16" s="465" customFormat="1" ht="15.75" customHeight="1" x14ac:dyDescent="0.2">
      <c r="A138" s="545" t="s">
        <v>184</v>
      </c>
      <c r="B138" s="585">
        <v>0.64780526299999996</v>
      </c>
      <c r="C138" s="585">
        <v>1.206080372</v>
      </c>
      <c r="D138" s="585">
        <v>2.763476437</v>
      </c>
      <c r="E138" s="585">
        <v>-9.902382158</v>
      </c>
      <c r="F138" s="585">
        <v>18.435044812000001</v>
      </c>
      <c r="G138" s="585">
        <v>60.140320697</v>
      </c>
      <c r="H138" s="585">
        <v>16.654106430999999</v>
      </c>
      <c r="I138" s="585">
        <v>39.300213734000003</v>
      </c>
      <c r="J138" s="585">
        <v>-45.263425607999999</v>
      </c>
      <c r="K138" s="585" t="s">
        <v>102</v>
      </c>
      <c r="L138" s="585">
        <v>-33.528962999999997</v>
      </c>
      <c r="M138" s="586">
        <v>7.9278725489999999</v>
      </c>
      <c r="N138" s="586">
        <v>-6.6384792250000002</v>
      </c>
      <c r="O138" s="586">
        <v>3.9149956829999999</v>
      </c>
      <c r="P138" s="585">
        <v>-5.3640444059999997</v>
      </c>
    </row>
    <row r="139" spans="1:16" s="465" customFormat="1" ht="16.5" customHeight="1" x14ac:dyDescent="0.25">
      <c r="A139" s="549" t="s">
        <v>226</v>
      </c>
      <c r="B139" s="591"/>
      <c r="C139" s="591"/>
      <c r="D139" s="591"/>
      <c r="E139" s="591"/>
      <c r="F139" s="591"/>
      <c r="G139" s="591"/>
      <c r="H139" s="591"/>
      <c r="I139" s="591"/>
      <c r="J139" s="591"/>
      <c r="K139" s="591"/>
      <c r="L139" s="591"/>
      <c r="M139" s="592"/>
      <c r="N139" s="592"/>
      <c r="O139" s="592"/>
      <c r="P139" s="591"/>
    </row>
    <row r="140" spans="1:16" s="465" customFormat="1" ht="16.5" customHeight="1" x14ac:dyDescent="0.25">
      <c r="A140" s="550" t="s">
        <v>458</v>
      </c>
      <c r="B140" s="593">
        <v>4.6518894929999997</v>
      </c>
      <c r="C140" s="593">
        <v>4.2689170880000002</v>
      </c>
      <c r="D140" s="593">
        <v>4.6115077019999999</v>
      </c>
      <c r="E140" s="593">
        <v>4.4750139019999997</v>
      </c>
      <c r="F140" s="593">
        <v>5.3478176069999996</v>
      </c>
      <c r="G140" s="593">
        <v>4.5819040129999999</v>
      </c>
      <c r="H140" s="593">
        <v>3.5960064460000001</v>
      </c>
      <c r="I140" s="593">
        <v>1.893994215</v>
      </c>
      <c r="J140" s="593">
        <v>3.5330487609999999</v>
      </c>
      <c r="K140" s="593" t="s">
        <v>102</v>
      </c>
      <c r="L140" s="593">
        <v>10.063683454</v>
      </c>
      <c r="M140" s="594">
        <v>4.4015301420000004</v>
      </c>
      <c r="N140" s="594">
        <v>5.2220962860000002</v>
      </c>
      <c r="O140" s="594">
        <v>4.6572760039999999</v>
      </c>
      <c r="P140" s="593">
        <v>3.761913233</v>
      </c>
    </row>
    <row r="141" spans="1:16" s="465" customFormat="1" ht="16.5" customHeight="1" x14ac:dyDescent="0.2">
      <c r="A141" s="551" t="s">
        <v>402</v>
      </c>
      <c r="B141" s="595">
        <v>8.8651042310000001</v>
      </c>
      <c r="C141" s="595">
        <v>6.4445262530000003</v>
      </c>
      <c r="D141" s="595">
        <v>5.5994086789999997</v>
      </c>
      <c r="E141" s="595">
        <v>6.1425858519999998</v>
      </c>
      <c r="F141" s="595">
        <v>5.557480924</v>
      </c>
      <c r="G141" s="595">
        <v>5.4463344109999996</v>
      </c>
      <c r="H141" s="595">
        <v>5.94592455</v>
      </c>
      <c r="I141" s="595">
        <v>4.1647174419999997</v>
      </c>
      <c r="J141" s="595">
        <v>3.8158716340000001</v>
      </c>
      <c r="K141" s="595" t="s">
        <v>102</v>
      </c>
      <c r="L141" s="595">
        <v>16.741301171</v>
      </c>
      <c r="M141" s="596">
        <v>5.9515987949999998</v>
      </c>
      <c r="N141" s="596">
        <v>8.4013984429999997</v>
      </c>
      <c r="O141" s="596">
        <v>6.7381356710000002</v>
      </c>
      <c r="P141" s="595">
        <v>4.845576178</v>
      </c>
    </row>
    <row r="142" spans="1:16" s="465" customFormat="1" ht="16.5" customHeight="1" x14ac:dyDescent="0.25">
      <c r="A142" s="552" t="s">
        <v>403</v>
      </c>
      <c r="B142" s="597">
        <v>5.8893345730000002</v>
      </c>
      <c r="C142" s="597">
        <v>4.3513123599999997</v>
      </c>
      <c r="D142" s="597">
        <v>5.2013250610000004</v>
      </c>
      <c r="E142" s="597">
        <v>5.5420983540000002</v>
      </c>
      <c r="F142" s="597">
        <v>4.4982115110000001</v>
      </c>
      <c r="G142" s="597">
        <v>4.08264125</v>
      </c>
      <c r="H142" s="597">
        <v>4.0996456390000002</v>
      </c>
      <c r="I142" s="597">
        <v>2.8857597949999998</v>
      </c>
      <c r="J142" s="597">
        <v>3.2523575629999999</v>
      </c>
      <c r="K142" s="597" t="s">
        <v>102</v>
      </c>
      <c r="L142" s="597">
        <v>22.3888736</v>
      </c>
      <c r="M142" s="598">
        <v>4.7835524459999998</v>
      </c>
      <c r="N142" s="598">
        <v>9.7747822230000008</v>
      </c>
      <c r="O142" s="598">
        <v>6.4503344509999998</v>
      </c>
      <c r="P142" s="597">
        <v>3.9967386170000001</v>
      </c>
    </row>
    <row r="143" spans="1:16" s="465" customFormat="1" ht="16.5" customHeight="1" x14ac:dyDescent="0.25">
      <c r="A143" s="553" t="s">
        <v>404</v>
      </c>
      <c r="B143" s="595">
        <v>-0.752773425</v>
      </c>
      <c r="C143" s="595">
        <v>3.307615867</v>
      </c>
      <c r="D143" s="595">
        <v>3.7826805389999998</v>
      </c>
      <c r="E143" s="595">
        <v>4.3392147019999996</v>
      </c>
      <c r="F143" s="595">
        <v>4.2028535460000001</v>
      </c>
      <c r="G143" s="595">
        <v>1.6941175230000001</v>
      </c>
      <c r="H143" s="595">
        <v>2.8780100640000001</v>
      </c>
      <c r="I143" s="595">
        <v>3.3081017579999998</v>
      </c>
      <c r="J143" s="595">
        <v>2.8580735420000001</v>
      </c>
      <c r="K143" s="595" t="s">
        <v>102</v>
      </c>
      <c r="L143" s="595">
        <v>15.842307936999999</v>
      </c>
      <c r="M143" s="596">
        <v>3.4527669510000001</v>
      </c>
      <c r="N143" s="596">
        <v>7.7141335150000003</v>
      </c>
      <c r="O143" s="596">
        <v>4.6629121849999997</v>
      </c>
      <c r="P143" s="595">
        <v>2.6236072610000001</v>
      </c>
    </row>
    <row r="144" spans="1:16" s="465" customFormat="1" ht="16.5" customHeight="1" x14ac:dyDescent="0.25">
      <c r="A144" s="548" t="s">
        <v>649</v>
      </c>
      <c r="B144" s="599">
        <v>-2.0902229110000001</v>
      </c>
      <c r="C144" s="599">
        <v>4.4465460720000003</v>
      </c>
      <c r="D144" s="599">
        <v>18.038109458000001</v>
      </c>
      <c r="E144" s="599">
        <v>14.841371302000001</v>
      </c>
      <c r="F144" s="599">
        <v>4.3216457039999998</v>
      </c>
      <c r="G144" s="599">
        <v>19.95456265</v>
      </c>
      <c r="H144" s="599">
        <v>21.424576442999999</v>
      </c>
      <c r="I144" s="599">
        <v>-0.48964637</v>
      </c>
      <c r="J144" s="599">
        <v>6.0432160619999999</v>
      </c>
      <c r="K144" s="599" t="s">
        <v>102</v>
      </c>
      <c r="L144" s="599">
        <v>13.579540975</v>
      </c>
      <c r="M144" s="600">
        <v>13.782790337</v>
      </c>
      <c r="N144" s="600">
        <v>4.9971427290000001</v>
      </c>
      <c r="O144" s="600">
        <v>12.199793553999999</v>
      </c>
      <c r="P144" s="599">
        <v>10.323270634</v>
      </c>
    </row>
    <row r="145" spans="1:17" s="465" customFormat="1" ht="16.5" customHeight="1" x14ac:dyDescent="0.25">
      <c r="A145" s="554" t="s">
        <v>405</v>
      </c>
      <c r="B145" s="595">
        <v>-4.3432613890000002</v>
      </c>
      <c r="C145" s="595">
        <v>-0.72698661399999998</v>
      </c>
      <c r="D145" s="595">
        <v>-1.538857122</v>
      </c>
      <c r="E145" s="595">
        <v>-2.1336444729999999</v>
      </c>
      <c r="F145" s="595">
        <v>-2.456717115</v>
      </c>
      <c r="G145" s="595">
        <v>5.4029186180000002</v>
      </c>
      <c r="H145" s="595">
        <v>1.6235746639999999</v>
      </c>
      <c r="I145" s="595">
        <v>-4.0973921400000002</v>
      </c>
      <c r="J145" s="595">
        <v>-0.40791076799999998</v>
      </c>
      <c r="K145" s="595" t="s">
        <v>102</v>
      </c>
      <c r="L145" s="595">
        <v>-1.887384554</v>
      </c>
      <c r="M145" s="596">
        <v>-0.58423250699999996</v>
      </c>
      <c r="N145" s="596">
        <v>-2.6576884129999998</v>
      </c>
      <c r="O145" s="596">
        <v>-1.1556138709999999</v>
      </c>
      <c r="P145" s="595">
        <v>1.1807607760000001</v>
      </c>
    </row>
    <row r="146" spans="1:17" s="465" customFormat="1" ht="16.5" customHeight="1" x14ac:dyDescent="0.25">
      <c r="A146" s="546" t="s">
        <v>406</v>
      </c>
      <c r="B146" s="601">
        <v>-1.4604944849999999</v>
      </c>
      <c r="C146" s="601">
        <v>1.67865927</v>
      </c>
      <c r="D146" s="601">
        <v>2.986568084</v>
      </c>
      <c r="E146" s="601">
        <v>2.155334818</v>
      </c>
      <c r="F146" s="601">
        <v>2.9611376649999999</v>
      </c>
      <c r="G146" s="601">
        <v>-0.25551645200000001</v>
      </c>
      <c r="H146" s="601">
        <v>4.0623887170000001</v>
      </c>
      <c r="I146" s="601">
        <v>1.1171646340000001</v>
      </c>
      <c r="J146" s="601">
        <v>1.9415590890000001</v>
      </c>
      <c r="K146" s="601" t="s">
        <v>102</v>
      </c>
      <c r="L146" s="601">
        <v>2.3695607299999999</v>
      </c>
      <c r="M146" s="602">
        <v>2.2809379789999999</v>
      </c>
      <c r="N146" s="602">
        <v>1.7597034410000001</v>
      </c>
      <c r="O146" s="602">
        <v>2.1610927969999998</v>
      </c>
      <c r="P146" s="601">
        <v>1.5790127780000001</v>
      </c>
    </row>
    <row r="147" spans="1:17" s="465" customFormat="1" ht="16.5" customHeight="1" x14ac:dyDescent="0.2">
      <c r="A147" s="551" t="s">
        <v>417</v>
      </c>
      <c r="B147" s="595">
        <v>-0.32948380999999999</v>
      </c>
      <c r="C147" s="595">
        <v>0.137096365</v>
      </c>
      <c r="D147" s="595">
        <v>5.1060579000000002E-2</v>
      </c>
      <c r="E147" s="595">
        <v>0.178016966</v>
      </c>
      <c r="F147" s="595">
        <v>-6.9927006999999999E-2</v>
      </c>
      <c r="G147" s="595">
        <v>0.24778999700000001</v>
      </c>
      <c r="H147" s="595">
        <v>-5.2187426000000002E-2</v>
      </c>
      <c r="I147" s="595">
        <v>0.81122749699999996</v>
      </c>
      <c r="J147" s="595">
        <v>-0.94546003199999995</v>
      </c>
      <c r="K147" s="595" t="s">
        <v>102</v>
      </c>
      <c r="L147" s="595">
        <v>3.1619378079999998</v>
      </c>
      <c r="M147" s="596">
        <v>4.7678501999999998E-2</v>
      </c>
      <c r="N147" s="596">
        <v>1.361777901</v>
      </c>
      <c r="O147" s="596">
        <v>0.47208852699999998</v>
      </c>
      <c r="P147" s="595">
        <v>0.122944939</v>
      </c>
    </row>
    <row r="148" spans="1:17" s="465" customFormat="1" ht="16.5" customHeight="1" x14ac:dyDescent="0.2">
      <c r="A148" s="552" t="s">
        <v>791</v>
      </c>
      <c r="B148" s="597">
        <v>-3.6634977360000001</v>
      </c>
      <c r="C148" s="597">
        <v>-0.63926824800000004</v>
      </c>
      <c r="D148" s="597">
        <v>-0.548177256</v>
      </c>
      <c r="E148" s="597">
        <v>-5.3333029999999997E-2</v>
      </c>
      <c r="F148" s="597">
        <v>-0.82728177800000002</v>
      </c>
      <c r="G148" s="597">
        <v>-2.157028757</v>
      </c>
      <c r="H148" s="597">
        <v>-0.48678363499999999</v>
      </c>
      <c r="I148" s="597">
        <v>1.312967024</v>
      </c>
      <c r="J148" s="597">
        <v>-0.61765327699999995</v>
      </c>
      <c r="K148" s="597" t="s">
        <v>102</v>
      </c>
      <c r="L148" s="597">
        <v>4.3575463689999996</v>
      </c>
      <c r="M148" s="598">
        <v>-0.65801220800000004</v>
      </c>
      <c r="N148" s="598">
        <v>2.042779109</v>
      </c>
      <c r="O148" s="598">
        <v>5.9165797999999999E-2</v>
      </c>
      <c r="P148" s="597">
        <v>-0.91563832599999995</v>
      </c>
    </row>
    <row r="149" spans="1:17" s="517" customFormat="1" ht="16.5" customHeight="1" x14ac:dyDescent="0.25">
      <c r="A149" s="553" t="s">
        <v>418</v>
      </c>
      <c r="B149" s="595">
        <v>4.9192363889999999</v>
      </c>
      <c r="C149" s="595">
        <v>-0.16605395100000001</v>
      </c>
      <c r="D149" s="595">
        <v>0.64897619799999995</v>
      </c>
      <c r="E149" s="595">
        <v>-0.26238430400000001</v>
      </c>
      <c r="F149" s="595">
        <v>0.99177005900000004</v>
      </c>
      <c r="G149" s="595">
        <v>1.2990766659999999</v>
      </c>
      <c r="H149" s="595">
        <v>0.29420358899999999</v>
      </c>
      <c r="I149" s="595">
        <v>-0.82570300699999999</v>
      </c>
      <c r="J149" s="595">
        <v>0.39615606199999998</v>
      </c>
      <c r="K149" s="595" t="s">
        <v>102</v>
      </c>
      <c r="L149" s="595">
        <v>-5.377382002</v>
      </c>
      <c r="M149" s="596">
        <v>0.473589763</v>
      </c>
      <c r="N149" s="596">
        <v>-2.3075621650000002</v>
      </c>
      <c r="O149" s="596">
        <v>-0.28196858800000002</v>
      </c>
      <c r="P149" s="595">
        <v>0.65463221599999999</v>
      </c>
      <c r="Q149" s="465"/>
    </row>
    <row r="150" spans="1:17" s="465" customFormat="1" ht="16.5" customHeight="1" x14ac:dyDescent="0.25">
      <c r="A150" s="548" t="s">
        <v>463</v>
      </c>
      <c r="B150" s="599">
        <v>-0.76730293000000005</v>
      </c>
      <c r="C150" s="599">
        <v>0.58845124000000004</v>
      </c>
      <c r="D150" s="599">
        <v>5.9376417769999996</v>
      </c>
      <c r="E150" s="599">
        <v>4.1680198319999997</v>
      </c>
      <c r="F150" s="599">
        <v>4.9396265000000002E-2</v>
      </c>
      <c r="G150" s="599">
        <v>6.9221016029999998</v>
      </c>
      <c r="H150" s="599">
        <v>5.4944795129999999</v>
      </c>
      <c r="I150" s="599">
        <v>-0.97927641700000001</v>
      </c>
      <c r="J150" s="599">
        <v>0.73188639200000005</v>
      </c>
      <c r="K150" s="599" t="s">
        <v>102</v>
      </c>
      <c r="L150" s="599">
        <v>-0.335441341</v>
      </c>
      <c r="M150" s="600">
        <v>4.0431232939999999</v>
      </c>
      <c r="N150" s="600">
        <v>-0.56794551599999998</v>
      </c>
      <c r="O150" s="600">
        <v>2.54995554</v>
      </c>
      <c r="P150" s="599">
        <v>2.0024005030000001</v>
      </c>
    </row>
    <row r="151" spans="1:17" s="465" customFormat="1" ht="16.5" customHeight="1" x14ac:dyDescent="0.25">
      <c r="A151" s="554" t="s">
        <v>419</v>
      </c>
      <c r="B151" s="595">
        <v>-1.758580885</v>
      </c>
      <c r="C151" s="595">
        <v>-2.3364747449999999</v>
      </c>
      <c r="D151" s="595">
        <v>-3.4591902370000001</v>
      </c>
      <c r="E151" s="595">
        <v>-4.6396057470000001</v>
      </c>
      <c r="F151" s="595">
        <v>-4.8325228920000001</v>
      </c>
      <c r="G151" s="595">
        <v>2.4220572850000002</v>
      </c>
      <c r="H151" s="595">
        <v>-0.93117215900000005</v>
      </c>
      <c r="I151" s="595">
        <v>-5.7874945210000002</v>
      </c>
      <c r="J151" s="595">
        <v>-1.8593745450000001</v>
      </c>
      <c r="K151" s="595" t="s">
        <v>102</v>
      </c>
      <c r="L151" s="595">
        <v>-9.8827929010000002</v>
      </c>
      <c r="M151" s="596">
        <v>-2.7961122629999999</v>
      </c>
      <c r="N151" s="596">
        <v>-6.7282754139999996</v>
      </c>
      <c r="O151" s="596">
        <v>-3.9554920820000001</v>
      </c>
      <c r="P151" s="595">
        <v>-0.98957892700000005</v>
      </c>
    </row>
    <row r="152" spans="1:17" s="465" customFormat="1" ht="16.5" customHeight="1" x14ac:dyDescent="0.2">
      <c r="A152" s="555" t="s">
        <v>794</v>
      </c>
      <c r="B152" s="603">
        <v>0.121640371</v>
      </c>
      <c r="C152" s="603">
        <v>-3.5277161000000001E-2</v>
      </c>
      <c r="D152" s="603">
        <v>-8.1159089000000004E-2</v>
      </c>
      <c r="E152" s="603">
        <v>-0.203415131</v>
      </c>
      <c r="F152" s="603">
        <v>-9.3025776000000004E-2</v>
      </c>
      <c r="G152" s="603">
        <v>0.51952403599999997</v>
      </c>
      <c r="H152" s="603">
        <v>6.7901549000000005E-2</v>
      </c>
      <c r="I152" s="603">
        <v>-0.88472539500000003</v>
      </c>
      <c r="J152" s="603">
        <v>3.4865395E-2</v>
      </c>
      <c r="K152" s="603" t="s">
        <v>102</v>
      </c>
      <c r="L152" s="603">
        <v>-1.866796919</v>
      </c>
      <c r="M152" s="604">
        <v>-3.0481925E-2</v>
      </c>
      <c r="N152" s="604">
        <v>-1.0805045950000001</v>
      </c>
      <c r="O152" s="604">
        <v>-0.21157161399999999</v>
      </c>
      <c r="P152" s="603">
        <v>0.209288696</v>
      </c>
    </row>
    <row r="153" spans="1:17" x14ac:dyDescent="0.2">
      <c r="A153" s="284" t="s">
        <v>929</v>
      </c>
      <c r="B153" s="3"/>
      <c r="C153" s="3"/>
      <c r="D153" s="3"/>
      <c r="G153" s="185"/>
      <c r="J153" s="185"/>
    </row>
    <row r="154" spans="1:17" x14ac:dyDescent="0.2">
      <c r="A154" s="284" t="s">
        <v>468</v>
      </c>
      <c r="B154" s="3"/>
      <c r="C154" s="3"/>
      <c r="D154" s="3"/>
      <c r="G154" s="185"/>
      <c r="J154" s="185"/>
    </row>
    <row r="155" spans="1:17" x14ac:dyDescent="0.2">
      <c r="A155" s="286" t="s">
        <v>904</v>
      </c>
      <c r="B155" s="13"/>
      <c r="C155" s="13"/>
      <c r="D155" s="13"/>
      <c r="E155" s="13"/>
      <c r="F155" s="13"/>
      <c r="G155" s="13"/>
      <c r="H155" s="13"/>
      <c r="I155" s="13"/>
      <c r="J155" s="13"/>
      <c r="K155" s="13"/>
      <c r="L155" s="13"/>
      <c r="M155" s="13"/>
      <c r="N155" s="13"/>
      <c r="O155" s="13"/>
      <c r="P155" s="39"/>
    </row>
    <row r="156" spans="1:17" x14ac:dyDescent="0.2">
      <c r="A156" s="37" t="s">
        <v>557</v>
      </c>
      <c r="B156" s="13"/>
      <c r="C156" s="13"/>
      <c r="D156" s="13"/>
      <c r="E156" s="13"/>
      <c r="F156" s="13"/>
      <c r="G156" s="13"/>
      <c r="H156" s="13"/>
      <c r="I156" s="13"/>
      <c r="J156" s="13"/>
      <c r="K156" s="13"/>
      <c r="L156" s="13"/>
      <c r="M156" s="13"/>
      <c r="N156" s="13"/>
      <c r="O156" s="13"/>
      <c r="P156" s="39"/>
    </row>
    <row r="157" spans="1:17" x14ac:dyDescent="0.2">
      <c r="A157" s="286" t="s">
        <v>905</v>
      </c>
      <c r="B157" s="13"/>
      <c r="C157" s="13"/>
      <c r="D157" s="13"/>
      <c r="E157" s="13"/>
      <c r="F157" s="13"/>
      <c r="G157" s="13"/>
      <c r="H157" s="13"/>
      <c r="I157" s="13"/>
      <c r="J157" s="13"/>
      <c r="K157" s="13"/>
      <c r="L157" s="13"/>
      <c r="M157" s="13"/>
      <c r="N157" s="13"/>
      <c r="O157" s="13"/>
      <c r="P157" s="39"/>
    </row>
    <row r="158" spans="1:17" x14ac:dyDescent="0.2">
      <c r="A158" s="255" t="s">
        <v>990</v>
      </c>
      <c r="B158" s="13"/>
      <c r="C158" s="13"/>
      <c r="D158" s="13"/>
      <c r="E158" s="13"/>
      <c r="F158" s="13"/>
      <c r="G158" s="13"/>
      <c r="H158" s="13"/>
      <c r="I158" s="13"/>
      <c r="J158" s="13"/>
      <c r="K158" s="13"/>
      <c r="L158" s="13"/>
      <c r="M158" s="13"/>
      <c r="N158" s="13"/>
      <c r="O158" s="13"/>
      <c r="P158" s="39"/>
    </row>
    <row r="159" spans="1:17" x14ac:dyDescent="0.2">
      <c r="A159" s="286" t="s">
        <v>916</v>
      </c>
      <c r="B159" s="13"/>
      <c r="C159" s="13"/>
      <c r="D159" s="13"/>
      <c r="E159" s="13"/>
      <c r="F159" s="13"/>
      <c r="G159" s="13"/>
      <c r="H159" s="13"/>
      <c r="I159" s="13"/>
      <c r="J159" s="13"/>
      <c r="K159" s="13"/>
      <c r="L159" s="13"/>
      <c r="M159" s="13"/>
      <c r="N159" s="13"/>
      <c r="O159" s="13"/>
      <c r="P159" s="39"/>
    </row>
    <row r="160" spans="1:17" x14ac:dyDescent="0.2">
      <c r="A160" s="254"/>
      <c r="B160" s="3"/>
      <c r="C160" s="3"/>
      <c r="D160" s="3"/>
      <c r="G160" s="185"/>
      <c r="J160" s="185"/>
    </row>
    <row r="161" spans="1:16" ht="12.75" customHeight="1" x14ac:dyDescent="0.2">
      <c r="A161" s="1015" t="s">
        <v>690</v>
      </c>
      <c r="B161" s="1015"/>
      <c r="C161" s="1015"/>
      <c r="D161" s="1015"/>
      <c r="E161" s="1015"/>
      <c r="F161" s="1015"/>
      <c r="G161" s="1015"/>
      <c r="H161" s="1015"/>
      <c r="I161" s="1015"/>
      <c r="J161" s="1015"/>
      <c r="K161" s="1015"/>
      <c r="L161" s="1015"/>
      <c r="M161" s="1015"/>
      <c r="N161" s="1015"/>
      <c r="O161" s="1015"/>
      <c r="P161" s="1015"/>
    </row>
    <row r="162" spans="1:16" x14ac:dyDescent="0.2">
      <c r="A162" s="1015"/>
      <c r="B162" s="1015"/>
      <c r="C162" s="1015"/>
      <c r="D162" s="1015"/>
      <c r="E162" s="1015"/>
      <c r="F162" s="1015"/>
      <c r="G162" s="1015"/>
      <c r="H162" s="1015"/>
      <c r="I162" s="1015"/>
      <c r="J162" s="1015"/>
      <c r="K162" s="1015"/>
      <c r="L162" s="1015"/>
      <c r="M162" s="1015"/>
      <c r="N162" s="1015"/>
      <c r="O162" s="1015"/>
      <c r="P162" s="1015"/>
    </row>
    <row r="163" spans="1:16" ht="13.5" customHeight="1" x14ac:dyDescent="0.2">
      <c r="A163" s="1015"/>
      <c r="B163" s="1015"/>
      <c r="C163" s="1015"/>
      <c r="D163" s="1015"/>
      <c r="E163" s="1015"/>
      <c r="F163" s="1015"/>
      <c r="G163" s="1015"/>
      <c r="H163" s="1015"/>
      <c r="I163" s="1015"/>
      <c r="J163" s="1015"/>
      <c r="K163" s="1015"/>
      <c r="L163" s="1015"/>
      <c r="M163" s="1015"/>
      <c r="N163" s="1015"/>
      <c r="O163" s="1015"/>
      <c r="P163" s="1015"/>
    </row>
    <row r="164" spans="1:16" x14ac:dyDescent="0.2">
      <c r="A164" s="1015"/>
      <c r="B164" s="1015"/>
      <c r="C164" s="1015"/>
      <c r="D164" s="1015"/>
      <c r="E164" s="1015"/>
      <c r="F164" s="1015"/>
      <c r="G164" s="1015"/>
      <c r="H164" s="1015"/>
      <c r="I164" s="1015"/>
      <c r="J164" s="1015"/>
      <c r="K164" s="1015"/>
      <c r="L164" s="1015"/>
      <c r="M164" s="1015"/>
      <c r="N164" s="1015"/>
      <c r="O164" s="1015"/>
      <c r="P164" s="1015"/>
    </row>
    <row r="165" spans="1:16" ht="57.75" customHeight="1" x14ac:dyDescent="0.2">
      <c r="A165" s="1015" t="s">
        <v>684</v>
      </c>
      <c r="B165" s="1015"/>
      <c r="C165" s="1015"/>
      <c r="D165" s="1015"/>
      <c r="E165" s="1015"/>
      <c r="F165" s="1015"/>
      <c r="G165" s="1015"/>
      <c r="H165" s="1015"/>
      <c r="I165" s="1015"/>
      <c r="J165" s="1015"/>
      <c r="K165" s="1015"/>
      <c r="L165" s="1015"/>
      <c r="M165" s="1015"/>
      <c r="N165" s="1015"/>
      <c r="O165" s="1015"/>
      <c r="P165" s="1015"/>
    </row>
    <row r="166" spans="1:16" x14ac:dyDescent="0.2">
      <c r="A166" s="303"/>
      <c r="B166" s="303"/>
      <c r="C166" s="303"/>
      <c r="D166" s="303"/>
      <c r="E166" s="303"/>
      <c r="F166" s="303"/>
      <c r="G166" s="303"/>
      <c r="H166" s="303"/>
      <c r="I166" s="303"/>
      <c r="J166" s="303"/>
      <c r="K166" s="303"/>
      <c r="L166" s="303"/>
      <c r="M166" s="303"/>
      <c r="N166" s="303"/>
      <c r="O166" s="303"/>
      <c r="P166" s="303"/>
    </row>
    <row r="167" spans="1:16" ht="165" customHeight="1" x14ac:dyDescent="0.2">
      <c r="A167" s="1015" t="s">
        <v>691</v>
      </c>
      <c r="B167" s="1015"/>
      <c r="C167" s="1015"/>
      <c r="D167" s="1015"/>
      <c r="E167" s="1015"/>
      <c r="F167" s="1015"/>
      <c r="G167" s="1015"/>
      <c r="H167" s="1015"/>
      <c r="I167" s="1015"/>
      <c r="J167" s="1015"/>
      <c r="K167" s="1015"/>
      <c r="L167" s="1015"/>
      <c r="M167" s="1015"/>
      <c r="N167" s="1015"/>
      <c r="O167" s="1015"/>
      <c r="P167" s="1015"/>
    </row>
  </sheetData>
  <mergeCells count="3">
    <mergeCell ref="A161:P164"/>
    <mergeCell ref="A165:P165"/>
    <mergeCell ref="A167:P167"/>
  </mergeCells>
  <phoneticPr fontId="2" type="noConversion"/>
  <pageMargins left="0.59055118110236227" right="0.59055118110236227" top="0.78740157480314965" bottom="0.78740157480314965" header="0.39370078740157483" footer="0.39370078740157483"/>
  <pageSetup paperSize="9" scale="48" firstPageNumber="50" fitToHeight="0" orientation="landscape" useFirstPageNumber="1" r:id="rId1"/>
  <headerFooter alignWithMargins="0">
    <oddHeader xml:space="preserve">&amp;R&amp;12Les finances des communes en 2024
</oddHeader>
    <oddFooter>&amp;L&amp;12Direction Générale des Collectivités Locales / DESL&amp;C&amp;12&amp;P&amp;R&amp;12Mise en ligne : janvier 2026</oddFooter>
  </headerFooter>
  <rowBreaks count="3" manualBreakCount="3">
    <brk id="59" max="15" man="1"/>
    <brk id="104" max="15" man="1"/>
    <brk id="159" max="15" man="1"/>
  </rowBreaks>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63"/>
  <sheetViews>
    <sheetView view="pageBreakPreview" zoomScale="60" zoomScaleNormal="85" zoomScalePageLayoutView="85" workbookViewId="0">
      <selection activeCell="B56" sqref="B56"/>
    </sheetView>
  </sheetViews>
  <sheetFormatPr baseColWidth="10" defaultRowHeight="12.75" x14ac:dyDescent="0.2"/>
  <cols>
    <col min="1" max="1" width="90.140625" customWidth="1"/>
    <col min="13" max="15" width="13.7109375" customWidth="1"/>
    <col min="16" max="16" width="19" customWidth="1"/>
  </cols>
  <sheetData>
    <row r="1" spans="1:16" s="677" customFormat="1" ht="23.25" customHeight="1" x14ac:dyDescent="0.2">
      <c r="A1" s="46" t="s">
        <v>933</v>
      </c>
    </row>
    <row r="2" spans="1:16" ht="18" x14ac:dyDescent="0.2">
      <c r="A2" s="46"/>
    </row>
    <row r="3" spans="1:16" ht="13.5" thickBot="1" x14ac:dyDescent="0.25">
      <c r="P3" s="259" t="s">
        <v>213</v>
      </c>
    </row>
    <row r="4" spans="1:16"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229</v>
      </c>
      <c r="O4" s="257" t="s">
        <v>77</v>
      </c>
      <c r="P4" s="281" t="s">
        <v>220</v>
      </c>
    </row>
    <row r="5" spans="1:16"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3.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x14ac:dyDescent="0.2">
      <c r="A7" s="227"/>
    </row>
    <row r="8" spans="1:16" ht="16.5" customHeight="1" x14ac:dyDescent="0.25">
      <c r="A8" s="474" t="s">
        <v>160</v>
      </c>
      <c r="B8" s="466">
        <v>809.70465295999998</v>
      </c>
      <c r="C8" s="466">
        <v>653.841759088</v>
      </c>
      <c r="D8" s="466">
        <v>605.01717562700003</v>
      </c>
      <c r="E8" s="466">
        <v>674.862583567</v>
      </c>
      <c r="F8" s="466">
        <v>793.61741085200003</v>
      </c>
      <c r="G8" s="466">
        <v>913.68254888700005</v>
      </c>
      <c r="H8" s="466">
        <v>1042.8012671409999</v>
      </c>
      <c r="I8" s="466">
        <v>1194.20112632</v>
      </c>
      <c r="J8" s="466">
        <v>1357.4509453779999</v>
      </c>
      <c r="K8" s="466">
        <v>1465.8664220810001</v>
      </c>
      <c r="L8" s="466">
        <v>1735.365383009</v>
      </c>
      <c r="M8" s="479">
        <v>814.28542344699997</v>
      </c>
      <c r="N8" s="479">
        <v>1457.5315830510001</v>
      </c>
      <c r="O8" s="479">
        <v>1147.2604691480001</v>
      </c>
      <c r="P8" s="466">
        <v>1132.2923975839999</v>
      </c>
    </row>
    <row r="9" spans="1:16" ht="16.5" customHeight="1" x14ac:dyDescent="0.2">
      <c r="A9" s="465" t="s">
        <v>161</v>
      </c>
      <c r="B9" s="467">
        <v>327.10268936699998</v>
      </c>
      <c r="C9" s="467">
        <v>251.78864530600001</v>
      </c>
      <c r="D9" s="467">
        <v>217.63791101000001</v>
      </c>
      <c r="E9" s="467">
        <v>233.481253772</v>
      </c>
      <c r="F9" s="467">
        <v>264.31507721999998</v>
      </c>
      <c r="G9" s="467">
        <v>284.341041663</v>
      </c>
      <c r="H9" s="467">
        <v>302.07762681399998</v>
      </c>
      <c r="I9" s="467">
        <v>319.11209782999998</v>
      </c>
      <c r="J9" s="467">
        <v>343.13079325199999</v>
      </c>
      <c r="K9" s="467">
        <v>343.69752710799997</v>
      </c>
      <c r="L9" s="467">
        <v>317.19434979099998</v>
      </c>
      <c r="M9" s="480">
        <v>262.46839079599999</v>
      </c>
      <c r="N9" s="480">
        <v>330.339487668</v>
      </c>
      <c r="O9" s="480">
        <v>297.60172388400002</v>
      </c>
      <c r="P9" s="467">
        <v>298.70578327599998</v>
      </c>
    </row>
    <row r="10" spans="1:16" ht="16.5" customHeight="1" x14ac:dyDescent="0.2">
      <c r="A10" s="465" t="s">
        <v>162</v>
      </c>
      <c r="B10" s="467">
        <v>165.116406657</v>
      </c>
      <c r="C10" s="467">
        <v>167.71227231099999</v>
      </c>
      <c r="D10" s="467">
        <v>205.81105597800001</v>
      </c>
      <c r="E10" s="467">
        <v>302.95890363900003</v>
      </c>
      <c r="F10" s="467">
        <v>407.72306679600001</v>
      </c>
      <c r="G10" s="467">
        <v>495.31795844700002</v>
      </c>
      <c r="H10" s="467">
        <v>593.08149871800003</v>
      </c>
      <c r="I10" s="467">
        <v>710.12217375499995</v>
      </c>
      <c r="J10" s="467">
        <v>822.36220618699997</v>
      </c>
      <c r="K10" s="467">
        <v>877.16136087799998</v>
      </c>
      <c r="L10" s="467">
        <v>855.68602926400001</v>
      </c>
      <c r="M10" s="480">
        <v>407.72343134200003</v>
      </c>
      <c r="N10" s="480">
        <v>818.70293898399996</v>
      </c>
      <c r="O10" s="480">
        <v>620.46612447099994</v>
      </c>
      <c r="P10" s="467">
        <v>606.408680506</v>
      </c>
    </row>
    <row r="11" spans="1:16" ht="16.5" customHeight="1" x14ac:dyDescent="0.2">
      <c r="A11" s="465" t="s">
        <v>163</v>
      </c>
      <c r="B11" s="467">
        <v>9.8385499260000007</v>
      </c>
      <c r="C11" s="467">
        <v>9.7520964840000008</v>
      </c>
      <c r="D11" s="467">
        <v>9.6763722699999999</v>
      </c>
      <c r="E11" s="467">
        <v>12.024078190000001</v>
      </c>
      <c r="F11" s="467">
        <v>15.383159092</v>
      </c>
      <c r="G11" s="467">
        <v>16.482798848000002</v>
      </c>
      <c r="H11" s="467">
        <v>18.562655021000001</v>
      </c>
      <c r="I11" s="467">
        <v>20.230900801000001</v>
      </c>
      <c r="J11" s="467">
        <v>27.2621784</v>
      </c>
      <c r="K11" s="467">
        <v>38.372286721999998</v>
      </c>
      <c r="L11" s="467">
        <v>42.053959194000001</v>
      </c>
      <c r="M11" s="480">
        <v>14.589339276</v>
      </c>
      <c r="N11" s="480">
        <v>32.231371297000003</v>
      </c>
      <c r="O11" s="480">
        <v>23.721700707</v>
      </c>
      <c r="P11" s="467">
        <v>23.645549684999999</v>
      </c>
    </row>
    <row r="12" spans="1:16" ht="16.5" customHeight="1" x14ac:dyDescent="0.2">
      <c r="A12" s="465" t="s">
        <v>164</v>
      </c>
      <c r="B12" s="467">
        <v>109.389960825</v>
      </c>
      <c r="C12" s="467">
        <v>98.771113412000005</v>
      </c>
      <c r="D12" s="467">
        <v>96.974667527999998</v>
      </c>
      <c r="E12" s="467">
        <v>68.480446048000005</v>
      </c>
      <c r="F12" s="467">
        <v>62.903154716000003</v>
      </c>
      <c r="G12" s="467">
        <v>76.535593323000001</v>
      </c>
      <c r="H12" s="467">
        <v>94.075138777999996</v>
      </c>
      <c r="I12" s="467">
        <v>112.358256367</v>
      </c>
      <c r="J12" s="467">
        <v>131.64286301300001</v>
      </c>
      <c r="K12" s="467">
        <v>166.958455687</v>
      </c>
      <c r="L12" s="467">
        <v>479.72496651099999</v>
      </c>
      <c r="M12" s="480">
        <v>78.418766672999993</v>
      </c>
      <c r="N12" s="480">
        <v>239.86832024500001</v>
      </c>
      <c r="O12" s="480">
        <v>161.992794557</v>
      </c>
      <c r="P12" s="467">
        <v>158.370302571</v>
      </c>
    </row>
    <row r="13" spans="1:16" ht="16.5" customHeight="1" x14ac:dyDescent="0.2">
      <c r="A13" s="465" t="s">
        <v>165</v>
      </c>
      <c r="B13" s="467">
        <v>198.257046186</v>
      </c>
      <c r="C13" s="467">
        <v>125.81763157499999</v>
      </c>
      <c r="D13" s="467">
        <v>74.917168841999995</v>
      </c>
      <c r="E13" s="467">
        <v>57.917901917999998</v>
      </c>
      <c r="F13" s="467">
        <v>43.29295303</v>
      </c>
      <c r="G13" s="467">
        <v>41.005156606</v>
      </c>
      <c r="H13" s="467">
        <v>35.004347809999999</v>
      </c>
      <c r="I13" s="467">
        <v>32.377697568000002</v>
      </c>
      <c r="J13" s="467">
        <v>33.052904525000002</v>
      </c>
      <c r="K13" s="467">
        <v>39.676791686000001</v>
      </c>
      <c r="L13" s="467">
        <v>40.706078249000001</v>
      </c>
      <c r="M13" s="480">
        <v>51.085495361</v>
      </c>
      <c r="N13" s="480">
        <v>36.389464855999996</v>
      </c>
      <c r="O13" s="480">
        <v>43.478125529000003</v>
      </c>
      <c r="P13" s="467">
        <v>45.162081544999999</v>
      </c>
    </row>
    <row r="14" spans="1:16" ht="16.5" customHeight="1" x14ac:dyDescent="0.25">
      <c r="A14" s="474" t="s">
        <v>166</v>
      </c>
      <c r="B14" s="466">
        <v>1102.816277997</v>
      </c>
      <c r="C14" s="466">
        <v>868.22387857000001</v>
      </c>
      <c r="D14" s="466">
        <v>773.99286739800004</v>
      </c>
      <c r="E14" s="466">
        <v>840.27033005099997</v>
      </c>
      <c r="F14" s="466">
        <v>977.36431633500001</v>
      </c>
      <c r="G14" s="466">
        <v>1113.567687151</v>
      </c>
      <c r="H14" s="466">
        <v>1244.285221048</v>
      </c>
      <c r="I14" s="466">
        <v>1390.0074484449999</v>
      </c>
      <c r="J14" s="466">
        <v>1561.998042942</v>
      </c>
      <c r="K14" s="466">
        <v>1699.8540883569999</v>
      </c>
      <c r="L14" s="466">
        <v>1911.5181211910001</v>
      </c>
      <c r="M14" s="479">
        <v>998.65730382799995</v>
      </c>
      <c r="N14" s="479">
        <v>1656.689352398</v>
      </c>
      <c r="O14" s="479">
        <v>1339.2862344069999</v>
      </c>
      <c r="P14" s="466">
        <v>1329.451253362</v>
      </c>
    </row>
    <row r="15" spans="1:16" ht="16.5" customHeight="1" x14ac:dyDescent="0.2">
      <c r="A15" s="465" t="s">
        <v>79</v>
      </c>
      <c r="B15" s="467">
        <v>494.296911163</v>
      </c>
      <c r="C15" s="467">
        <v>421.870068484</v>
      </c>
      <c r="D15" s="467">
        <v>408.840356574</v>
      </c>
      <c r="E15" s="467">
        <v>486.18139926200001</v>
      </c>
      <c r="F15" s="467">
        <v>615.16326812</v>
      </c>
      <c r="G15" s="467">
        <v>727.03664507200006</v>
      </c>
      <c r="H15" s="467">
        <v>832.876134331</v>
      </c>
      <c r="I15" s="467">
        <v>945.05984588900003</v>
      </c>
      <c r="J15" s="467">
        <v>1070.9124793579999</v>
      </c>
      <c r="K15" s="467">
        <v>1163.652609516</v>
      </c>
      <c r="L15" s="467">
        <v>1389.083383229</v>
      </c>
      <c r="M15" s="480">
        <v>619.98410459599995</v>
      </c>
      <c r="N15" s="480">
        <v>1157.8277073009999</v>
      </c>
      <c r="O15" s="480">
        <v>898.39773445799995</v>
      </c>
      <c r="P15" s="467">
        <v>882.91849873499996</v>
      </c>
    </row>
    <row r="16" spans="1:16" ht="16.5" customHeight="1" x14ac:dyDescent="0.2">
      <c r="A16" s="465" t="s">
        <v>167</v>
      </c>
      <c r="B16" s="467">
        <v>337.538612253</v>
      </c>
      <c r="C16" s="467">
        <v>321.11588074600002</v>
      </c>
      <c r="D16" s="467">
        <v>338.07063350099997</v>
      </c>
      <c r="E16" s="467">
        <v>434.28651482499998</v>
      </c>
      <c r="F16" s="467">
        <v>560.51560226699996</v>
      </c>
      <c r="G16" s="467">
        <v>656.08250866900005</v>
      </c>
      <c r="H16" s="467">
        <v>755.34174517400004</v>
      </c>
      <c r="I16" s="467">
        <v>864.45528313099999</v>
      </c>
      <c r="J16" s="467">
        <v>999.15068501600001</v>
      </c>
      <c r="K16" s="467">
        <v>1079.6565777549999</v>
      </c>
      <c r="L16" s="467">
        <v>984.00591203800002</v>
      </c>
      <c r="M16" s="480">
        <v>555.32548738399998</v>
      </c>
      <c r="N16" s="480">
        <v>980.49289395400001</v>
      </c>
      <c r="O16" s="480">
        <v>775.412517084</v>
      </c>
      <c r="P16" s="467">
        <v>762.76738347100002</v>
      </c>
    </row>
    <row r="17" spans="1:16" ht="16.5" customHeight="1" x14ac:dyDescent="0.2">
      <c r="A17" s="465" t="s">
        <v>199</v>
      </c>
      <c r="B17" s="467">
        <v>37.881451134000002</v>
      </c>
      <c r="C17" s="467">
        <v>29.714884055999999</v>
      </c>
      <c r="D17" s="467">
        <v>33.238287206999999</v>
      </c>
      <c r="E17" s="467">
        <v>69.956411380000006</v>
      </c>
      <c r="F17" s="467">
        <v>106.660635216</v>
      </c>
      <c r="G17" s="467">
        <v>134.11566750399999</v>
      </c>
      <c r="H17" s="467">
        <v>162.32804349899999</v>
      </c>
      <c r="I17" s="467">
        <v>198.12422221</v>
      </c>
      <c r="J17" s="467">
        <v>202.58396040900001</v>
      </c>
      <c r="K17" s="467">
        <v>249.12734899899999</v>
      </c>
      <c r="L17" s="467">
        <v>188.25263347699999</v>
      </c>
      <c r="M17" s="480">
        <v>103.902960345</v>
      </c>
      <c r="N17" s="480">
        <v>205.32183810699999</v>
      </c>
      <c r="O17" s="480">
        <v>156.40223290700001</v>
      </c>
      <c r="P17" s="467">
        <v>153.50214644100001</v>
      </c>
    </row>
    <row r="18" spans="1:16" ht="16.5" customHeight="1" x14ac:dyDescent="0.2">
      <c r="A18" s="465" t="s">
        <v>168</v>
      </c>
      <c r="B18" s="467">
        <v>156.75829891000001</v>
      </c>
      <c r="C18" s="467">
        <v>100.754187738</v>
      </c>
      <c r="D18" s="467">
        <v>70.769723072000005</v>
      </c>
      <c r="E18" s="467">
        <v>51.894884437000002</v>
      </c>
      <c r="F18" s="467">
        <v>54.647665852999999</v>
      </c>
      <c r="G18" s="467">
        <v>70.954136403000007</v>
      </c>
      <c r="H18" s="467">
        <v>77.534389157000007</v>
      </c>
      <c r="I18" s="467">
        <v>80.604562759000004</v>
      </c>
      <c r="J18" s="467">
        <v>71.761794342000002</v>
      </c>
      <c r="K18" s="467">
        <v>83.996031759999994</v>
      </c>
      <c r="L18" s="467">
        <v>405.07747119099997</v>
      </c>
      <c r="M18" s="480">
        <v>64.658617211999996</v>
      </c>
      <c r="N18" s="480">
        <v>177.33481334699999</v>
      </c>
      <c r="O18" s="480">
        <v>122.985217375</v>
      </c>
      <c r="P18" s="467">
        <v>120.151115265</v>
      </c>
    </row>
    <row r="19" spans="1:16" ht="16.5" customHeight="1" x14ac:dyDescent="0.2">
      <c r="A19" s="465" t="s">
        <v>169</v>
      </c>
      <c r="B19" s="467">
        <v>353.43381407999999</v>
      </c>
      <c r="C19" s="467">
        <v>258.00765187899998</v>
      </c>
      <c r="D19" s="467">
        <v>210.01457037500001</v>
      </c>
      <c r="E19" s="467">
        <v>204.812895387</v>
      </c>
      <c r="F19" s="467">
        <v>202.11856287699999</v>
      </c>
      <c r="G19" s="467">
        <v>204.67267421700001</v>
      </c>
      <c r="H19" s="467">
        <v>212.474223854</v>
      </c>
      <c r="I19" s="467">
        <v>226.32033844399999</v>
      </c>
      <c r="J19" s="467">
        <v>240.42923161100001</v>
      </c>
      <c r="K19" s="467">
        <v>257.82561705400002</v>
      </c>
      <c r="L19" s="467">
        <v>200.29151509799999</v>
      </c>
      <c r="M19" s="480">
        <v>208.71585259899999</v>
      </c>
      <c r="N19" s="480">
        <v>228.26753226899999</v>
      </c>
      <c r="O19" s="480">
        <v>218.83673919</v>
      </c>
      <c r="P19" s="467">
        <v>220.77711797399999</v>
      </c>
    </row>
    <row r="20" spans="1:16" ht="16.5" customHeight="1" x14ac:dyDescent="0.2">
      <c r="A20" s="465" t="s">
        <v>170</v>
      </c>
      <c r="B20" s="467">
        <v>171.300234227</v>
      </c>
      <c r="C20" s="467">
        <v>159.98214146000001</v>
      </c>
      <c r="D20" s="467">
        <v>143.082631357</v>
      </c>
      <c r="E20" s="467">
        <v>145.78797715900001</v>
      </c>
      <c r="F20" s="467">
        <v>150.804384064</v>
      </c>
      <c r="G20" s="467">
        <v>149.67221604900001</v>
      </c>
      <c r="H20" s="467">
        <v>153.03281451000001</v>
      </c>
      <c r="I20" s="467">
        <v>170.14700501499999</v>
      </c>
      <c r="J20" s="467">
        <v>197.46480273700001</v>
      </c>
      <c r="K20" s="467">
        <v>214.62678115200001</v>
      </c>
      <c r="L20" s="467">
        <v>167.04876692100001</v>
      </c>
      <c r="M20" s="480">
        <v>149.245883472</v>
      </c>
      <c r="N20" s="480">
        <v>185.487466216</v>
      </c>
      <c r="O20" s="480">
        <v>168.00626391200001</v>
      </c>
      <c r="P20" s="467">
        <v>168.82118193599999</v>
      </c>
    </row>
    <row r="21" spans="1:16" ht="16.5" customHeight="1" x14ac:dyDescent="0.2">
      <c r="A21" s="465" t="s">
        <v>171</v>
      </c>
      <c r="B21" s="467">
        <v>92.146401885000003</v>
      </c>
      <c r="C21" s="467">
        <v>45.763627122000003</v>
      </c>
      <c r="D21" s="467">
        <v>18.703839933000001</v>
      </c>
      <c r="E21" s="467">
        <v>5.320124571</v>
      </c>
      <c r="F21" s="467">
        <v>3.0019071560000001</v>
      </c>
      <c r="G21" s="467">
        <v>2.697649696</v>
      </c>
      <c r="H21" s="467">
        <v>2.5697184489999998</v>
      </c>
      <c r="I21" s="467">
        <v>2.334257504</v>
      </c>
      <c r="J21" s="467">
        <v>3.809575793</v>
      </c>
      <c r="K21" s="467">
        <v>6.0445642590000004</v>
      </c>
      <c r="L21" s="467">
        <v>8.0873862649999992</v>
      </c>
      <c r="M21" s="480">
        <v>6.4268162919999998</v>
      </c>
      <c r="N21" s="480">
        <v>5.1936306700000001</v>
      </c>
      <c r="O21" s="480">
        <v>5.7884603019999998</v>
      </c>
      <c r="P21" s="467">
        <v>5.985235318</v>
      </c>
    </row>
    <row r="22" spans="1:16" ht="16.5" customHeight="1" x14ac:dyDescent="0.2">
      <c r="A22" s="687" t="s">
        <v>607</v>
      </c>
      <c r="B22" s="467">
        <v>89.987177967999997</v>
      </c>
      <c r="C22" s="467">
        <v>52.261883296999997</v>
      </c>
      <c r="D22" s="467">
        <v>48.228099084999997</v>
      </c>
      <c r="E22" s="467">
        <v>53.704793657000003</v>
      </c>
      <c r="F22" s="467">
        <v>48.312271656</v>
      </c>
      <c r="G22" s="467">
        <v>52.302808472000002</v>
      </c>
      <c r="H22" s="467">
        <v>56.871690895</v>
      </c>
      <c r="I22" s="467">
        <v>53.839075923999999</v>
      </c>
      <c r="J22" s="467">
        <v>39.154853080999999</v>
      </c>
      <c r="K22" s="467">
        <v>37.154271643000001</v>
      </c>
      <c r="L22" s="467">
        <v>25.155361913</v>
      </c>
      <c r="M22" s="480">
        <v>53.043152835000001</v>
      </c>
      <c r="N22" s="480">
        <v>37.586435383000001</v>
      </c>
      <c r="O22" s="480">
        <v>45.042014977000001</v>
      </c>
      <c r="P22" s="467">
        <v>45.970700719</v>
      </c>
    </row>
    <row r="23" spans="1:16" ht="16.5" customHeight="1" x14ac:dyDescent="0.2">
      <c r="A23" s="465" t="s">
        <v>172</v>
      </c>
      <c r="B23" s="467">
        <v>18.414009837999998</v>
      </c>
      <c r="C23" s="467">
        <v>15.672838404</v>
      </c>
      <c r="D23" s="467">
        <v>16.082985406999999</v>
      </c>
      <c r="E23" s="467">
        <v>22.192131444000001</v>
      </c>
      <c r="F23" s="467">
        <v>32.922656283000002</v>
      </c>
      <c r="G23" s="467">
        <v>43.177333247</v>
      </c>
      <c r="H23" s="467">
        <v>57.254187639999998</v>
      </c>
      <c r="I23" s="467">
        <v>67.900740350999996</v>
      </c>
      <c r="J23" s="467">
        <v>82.609767488000003</v>
      </c>
      <c r="K23" s="467">
        <v>82.539063506999995</v>
      </c>
      <c r="L23" s="467">
        <v>75.146888258999994</v>
      </c>
      <c r="M23" s="480">
        <v>35.004141838999999</v>
      </c>
      <c r="N23" s="480">
        <v>77.271715104999998</v>
      </c>
      <c r="O23" s="480">
        <v>56.883863824000002</v>
      </c>
      <c r="P23" s="467">
        <v>56.726830266999997</v>
      </c>
    </row>
    <row r="24" spans="1:16" ht="16.5" customHeight="1" x14ac:dyDescent="0.2">
      <c r="A24" s="465" t="s">
        <v>173</v>
      </c>
      <c r="B24" s="467">
        <v>120.352970486</v>
      </c>
      <c r="C24" s="467">
        <v>74.512392907999995</v>
      </c>
      <c r="D24" s="467">
        <v>58.842628103999999</v>
      </c>
      <c r="E24" s="467">
        <v>66.943094699</v>
      </c>
      <c r="F24" s="467">
        <v>75.827077895000002</v>
      </c>
      <c r="G24" s="467">
        <v>89.901741639999997</v>
      </c>
      <c r="H24" s="467">
        <v>95.998935052999997</v>
      </c>
      <c r="I24" s="467">
        <v>107.821186751</v>
      </c>
      <c r="J24" s="467">
        <v>126.596048313</v>
      </c>
      <c r="K24" s="467">
        <v>140.130286539</v>
      </c>
      <c r="L24" s="467">
        <v>159.776807803</v>
      </c>
      <c r="M24" s="480">
        <v>78.595727961999998</v>
      </c>
      <c r="N24" s="480">
        <v>135.15494940100001</v>
      </c>
      <c r="O24" s="480">
        <v>107.87349210000001</v>
      </c>
      <c r="P24" s="467">
        <v>108.30397019900001</v>
      </c>
    </row>
    <row r="25" spans="1:16" ht="16.5" customHeight="1" x14ac:dyDescent="0.2">
      <c r="A25" s="475" t="s">
        <v>174</v>
      </c>
      <c r="B25" s="468">
        <v>116.31857243</v>
      </c>
      <c r="C25" s="468">
        <v>98.160926893999999</v>
      </c>
      <c r="D25" s="468">
        <v>80.212326938000004</v>
      </c>
      <c r="E25" s="468">
        <v>60.140809257999997</v>
      </c>
      <c r="F25" s="468">
        <v>51.332751160000001</v>
      </c>
      <c r="G25" s="468">
        <v>48.779292974999997</v>
      </c>
      <c r="H25" s="468">
        <v>45.681740169999998</v>
      </c>
      <c r="I25" s="468">
        <v>42.905337009999997</v>
      </c>
      <c r="J25" s="468">
        <v>41.450516172</v>
      </c>
      <c r="K25" s="468">
        <v>55.706511742000004</v>
      </c>
      <c r="L25" s="468">
        <v>87.219526802999994</v>
      </c>
      <c r="M25" s="481">
        <v>56.357476831</v>
      </c>
      <c r="N25" s="481">
        <v>58.167448321999998</v>
      </c>
      <c r="O25" s="481">
        <v>57.294404833999998</v>
      </c>
      <c r="P25" s="468">
        <v>60.724836185999997</v>
      </c>
    </row>
    <row r="26" spans="1:16" ht="16.5" customHeight="1" x14ac:dyDescent="0.25">
      <c r="A26" s="474" t="s">
        <v>175</v>
      </c>
      <c r="B26" s="466">
        <v>293.11162503700001</v>
      </c>
      <c r="C26" s="466">
        <v>214.38211948200001</v>
      </c>
      <c r="D26" s="466">
        <v>168.97569177099999</v>
      </c>
      <c r="E26" s="466">
        <v>165.407746484</v>
      </c>
      <c r="F26" s="466">
        <v>183.74690548300001</v>
      </c>
      <c r="G26" s="466">
        <v>199.88513826400001</v>
      </c>
      <c r="H26" s="466">
        <v>201.48395390600001</v>
      </c>
      <c r="I26" s="466">
        <v>195.80632212500001</v>
      </c>
      <c r="J26" s="466">
        <v>204.54709756400001</v>
      </c>
      <c r="K26" s="466">
        <v>233.98766627699999</v>
      </c>
      <c r="L26" s="466">
        <v>176.152738183</v>
      </c>
      <c r="M26" s="479">
        <v>184.37188038100001</v>
      </c>
      <c r="N26" s="479">
        <v>199.157769347</v>
      </c>
      <c r="O26" s="479">
        <v>192.02576525999999</v>
      </c>
      <c r="P26" s="466">
        <v>197.158855778</v>
      </c>
    </row>
    <row r="27" spans="1:16" ht="16.5" customHeight="1" x14ac:dyDescent="0.25">
      <c r="A27" s="476" t="s">
        <v>176</v>
      </c>
      <c r="B27" s="469">
        <v>215.69801843900001</v>
      </c>
      <c r="C27" s="469">
        <v>143.197448116</v>
      </c>
      <c r="D27" s="469">
        <v>106.263313158</v>
      </c>
      <c r="E27" s="469">
        <v>100.334861636</v>
      </c>
      <c r="F27" s="469">
        <v>117.648282439</v>
      </c>
      <c r="G27" s="469">
        <v>131.544223571</v>
      </c>
      <c r="H27" s="469">
        <v>124.40000209599999</v>
      </c>
      <c r="I27" s="469">
        <v>115.29756219799999</v>
      </c>
      <c r="J27" s="469">
        <v>104.05429850100001</v>
      </c>
      <c r="K27" s="469">
        <v>102.270184832</v>
      </c>
      <c r="L27" s="469">
        <v>62.867513658999997</v>
      </c>
      <c r="M27" s="482">
        <v>115.64873664300001</v>
      </c>
      <c r="N27" s="482">
        <v>93.520243367999996</v>
      </c>
      <c r="O27" s="482">
        <v>104.193967812</v>
      </c>
      <c r="P27" s="469">
        <v>108.187236056</v>
      </c>
    </row>
    <row r="28" spans="1:16" ht="16.5" customHeight="1" x14ac:dyDescent="0.25">
      <c r="A28" s="474" t="s">
        <v>177</v>
      </c>
      <c r="B28" s="466">
        <v>466.69147210599999</v>
      </c>
      <c r="C28" s="466">
        <v>374.65565034399998</v>
      </c>
      <c r="D28" s="466">
        <v>322.15960376800001</v>
      </c>
      <c r="E28" s="466">
        <v>343.228293635</v>
      </c>
      <c r="F28" s="466">
        <v>381.885927063</v>
      </c>
      <c r="G28" s="466">
        <v>390.82374952999999</v>
      </c>
      <c r="H28" s="466">
        <v>402.08205484400003</v>
      </c>
      <c r="I28" s="466">
        <v>388.86677955900001</v>
      </c>
      <c r="J28" s="466">
        <v>424.10894594299998</v>
      </c>
      <c r="K28" s="466">
        <v>465.81364304800002</v>
      </c>
      <c r="L28" s="466">
        <v>454.05487208099998</v>
      </c>
      <c r="M28" s="479">
        <v>370.72996441700002</v>
      </c>
      <c r="N28" s="479">
        <v>433.12809299399999</v>
      </c>
      <c r="O28" s="479">
        <v>403.03022677299998</v>
      </c>
      <c r="P28" s="466">
        <v>411.49686769099998</v>
      </c>
    </row>
    <row r="29" spans="1:16" ht="16.5" customHeight="1" x14ac:dyDescent="0.2">
      <c r="A29" s="465" t="s">
        <v>178</v>
      </c>
      <c r="B29" s="467">
        <v>441.09778597899998</v>
      </c>
      <c r="C29" s="467">
        <v>354.08535068600003</v>
      </c>
      <c r="D29" s="467">
        <v>301.98910352799999</v>
      </c>
      <c r="E29" s="467">
        <v>324.89413060700002</v>
      </c>
      <c r="F29" s="467">
        <v>360.32328689100001</v>
      </c>
      <c r="G29" s="467">
        <v>367.30701402599999</v>
      </c>
      <c r="H29" s="467">
        <v>378.81957476299999</v>
      </c>
      <c r="I29" s="467">
        <v>361.367282574</v>
      </c>
      <c r="J29" s="467">
        <v>388.55385184300002</v>
      </c>
      <c r="K29" s="467">
        <v>418.89711161700001</v>
      </c>
      <c r="L29" s="467">
        <v>363.49878851400001</v>
      </c>
      <c r="M29" s="480">
        <v>349.65058692500003</v>
      </c>
      <c r="N29" s="480">
        <v>380.51308966099998</v>
      </c>
      <c r="O29" s="480">
        <v>365.62649771000002</v>
      </c>
      <c r="P29" s="467">
        <v>374.27712931899998</v>
      </c>
    </row>
    <row r="30" spans="1:16" ht="16.5" customHeight="1" x14ac:dyDescent="0.2">
      <c r="A30" s="465" t="s">
        <v>179</v>
      </c>
      <c r="B30" s="467">
        <v>19.218803122000001</v>
      </c>
      <c r="C30" s="467">
        <v>14.611975856999999</v>
      </c>
      <c r="D30" s="467">
        <v>11.680587192999999</v>
      </c>
      <c r="E30" s="467">
        <v>10.603658441</v>
      </c>
      <c r="F30" s="467">
        <v>12.005986719999999</v>
      </c>
      <c r="G30" s="467">
        <v>14.633332230000001</v>
      </c>
      <c r="H30" s="467">
        <v>14.780288741</v>
      </c>
      <c r="I30" s="467">
        <v>16.380275125000001</v>
      </c>
      <c r="J30" s="467">
        <v>18.333263741</v>
      </c>
      <c r="K30" s="467">
        <v>22.700297785</v>
      </c>
      <c r="L30" s="467">
        <v>72.685888714000001</v>
      </c>
      <c r="M30" s="480">
        <v>12.661649462</v>
      </c>
      <c r="N30" s="480">
        <v>35.253990987999998</v>
      </c>
      <c r="O30" s="480">
        <v>24.356528381</v>
      </c>
      <c r="P30" s="467">
        <v>23.810771989999999</v>
      </c>
    </row>
    <row r="31" spans="1:16" ht="16.5" customHeight="1" x14ac:dyDescent="0.2">
      <c r="A31" s="465" t="s">
        <v>180</v>
      </c>
      <c r="B31" s="467">
        <v>6.374883004</v>
      </c>
      <c r="C31" s="467">
        <v>5.9583238009999997</v>
      </c>
      <c r="D31" s="467">
        <v>8.4899130469999999</v>
      </c>
      <c r="E31" s="467">
        <v>7.7305045870000004</v>
      </c>
      <c r="F31" s="467">
        <v>9.5566534520000008</v>
      </c>
      <c r="G31" s="467">
        <v>8.8834032740000008</v>
      </c>
      <c r="H31" s="467">
        <v>8.48219134</v>
      </c>
      <c r="I31" s="467">
        <v>11.11922186</v>
      </c>
      <c r="J31" s="467">
        <v>17.221830358999998</v>
      </c>
      <c r="K31" s="467">
        <v>24.216233645999999</v>
      </c>
      <c r="L31" s="467">
        <v>17.870194853000001</v>
      </c>
      <c r="M31" s="480">
        <v>8.4177280299999993</v>
      </c>
      <c r="N31" s="480">
        <v>17.361012344999999</v>
      </c>
      <c r="O31" s="480">
        <v>13.047200681</v>
      </c>
      <c r="P31" s="467">
        <v>13.408966381999999</v>
      </c>
    </row>
    <row r="32" spans="1:16" ht="16.5" customHeight="1" x14ac:dyDescent="0.25">
      <c r="A32" s="474" t="s">
        <v>181</v>
      </c>
      <c r="B32" s="466">
        <v>222.93009490399999</v>
      </c>
      <c r="C32" s="466">
        <v>194.24174710099999</v>
      </c>
      <c r="D32" s="466">
        <v>171.91328267</v>
      </c>
      <c r="E32" s="466">
        <v>174.77838825699999</v>
      </c>
      <c r="F32" s="466">
        <v>178.52416939899999</v>
      </c>
      <c r="G32" s="466">
        <v>178.194931645</v>
      </c>
      <c r="H32" s="466">
        <v>173.33709683800001</v>
      </c>
      <c r="I32" s="466">
        <v>164.29186438599999</v>
      </c>
      <c r="J32" s="466">
        <v>181.909966889</v>
      </c>
      <c r="K32" s="466">
        <v>208.556635927</v>
      </c>
      <c r="L32" s="466">
        <v>117.461404305</v>
      </c>
      <c r="M32" s="479">
        <v>175.965428694</v>
      </c>
      <c r="N32" s="479">
        <v>163.20454313100001</v>
      </c>
      <c r="O32" s="479">
        <v>169.35978264299999</v>
      </c>
      <c r="P32" s="466">
        <v>177.39971704600001</v>
      </c>
    </row>
    <row r="33" spans="1:16" ht="16.5" customHeight="1" x14ac:dyDescent="0.2">
      <c r="A33" s="465" t="s">
        <v>182</v>
      </c>
      <c r="B33" s="467">
        <v>56.242959823</v>
      </c>
      <c r="C33" s="467">
        <v>42.705769601</v>
      </c>
      <c r="D33" s="467">
        <v>36.937939620000002</v>
      </c>
      <c r="E33" s="467">
        <v>39.042964306999998</v>
      </c>
      <c r="F33" s="467">
        <v>42.271113618999998</v>
      </c>
      <c r="G33" s="467">
        <v>44.341174404</v>
      </c>
      <c r="H33" s="467">
        <v>44.264911388999998</v>
      </c>
      <c r="I33" s="467">
        <v>42.356957805</v>
      </c>
      <c r="J33" s="467">
        <v>45.362115152999998</v>
      </c>
      <c r="K33" s="467">
        <v>49.686123469999998</v>
      </c>
      <c r="L33" s="467">
        <v>39.645213212999998</v>
      </c>
      <c r="M33" s="480">
        <v>41.615949835000002</v>
      </c>
      <c r="N33" s="480">
        <v>43.742041129999997</v>
      </c>
      <c r="O33" s="480">
        <v>42.716516601999999</v>
      </c>
      <c r="P33" s="467">
        <v>43.657640358999998</v>
      </c>
    </row>
    <row r="34" spans="1:16" ht="16.5" customHeight="1" x14ac:dyDescent="0.2">
      <c r="A34" s="465" t="s">
        <v>183</v>
      </c>
      <c r="B34" s="467">
        <v>153.22819122199999</v>
      </c>
      <c r="C34" s="467">
        <v>135.53762315700001</v>
      </c>
      <c r="D34" s="467">
        <v>114.25310536800001</v>
      </c>
      <c r="E34" s="467">
        <v>114.387131556</v>
      </c>
      <c r="F34" s="467">
        <v>110.871892316</v>
      </c>
      <c r="G34" s="467">
        <v>104.195737102</v>
      </c>
      <c r="H34" s="467">
        <v>98.420535333999993</v>
      </c>
      <c r="I34" s="467">
        <v>94.311546398000004</v>
      </c>
      <c r="J34" s="467">
        <v>95.558853459000005</v>
      </c>
      <c r="K34" s="467">
        <v>96.527622692999998</v>
      </c>
      <c r="L34" s="467">
        <v>48.543480998</v>
      </c>
      <c r="M34" s="480">
        <v>109.07054664</v>
      </c>
      <c r="N34" s="480">
        <v>81.132403302</v>
      </c>
      <c r="O34" s="480">
        <v>94.608424455999995</v>
      </c>
      <c r="P34" s="467">
        <v>99.615302452999998</v>
      </c>
    </row>
    <row r="35" spans="1:16" ht="16.5" customHeight="1" x14ac:dyDescent="0.2">
      <c r="A35" s="475" t="s">
        <v>184</v>
      </c>
      <c r="B35" s="468">
        <v>13.458943859</v>
      </c>
      <c r="C35" s="468">
        <v>15.998354343000001</v>
      </c>
      <c r="D35" s="468">
        <v>20.722237681999999</v>
      </c>
      <c r="E35" s="468">
        <v>21.348292393000001</v>
      </c>
      <c r="F35" s="468">
        <v>25.381163465</v>
      </c>
      <c r="G35" s="468">
        <v>29.658020139000001</v>
      </c>
      <c r="H35" s="468">
        <v>30.651650114999999</v>
      </c>
      <c r="I35" s="468">
        <v>27.623360182999999</v>
      </c>
      <c r="J35" s="468">
        <v>40.988998277999997</v>
      </c>
      <c r="K35" s="468">
        <v>62.342889763000002</v>
      </c>
      <c r="L35" s="468">
        <v>29.272710094000001</v>
      </c>
      <c r="M35" s="481">
        <v>25.278932219000001</v>
      </c>
      <c r="N35" s="481">
        <v>38.330098698</v>
      </c>
      <c r="O35" s="481">
        <v>32.034841585999999</v>
      </c>
      <c r="P35" s="468">
        <v>34.126774234000003</v>
      </c>
    </row>
    <row r="36" spans="1:16" ht="16.5" customHeight="1" x14ac:dyDescent="0.25">
      <c r="A36" s="477" t="s">
        <v>185</v>
      </c>
      <c r="B36" s="466">
        <v>1276.396125066</v>
      </c>
      <c r="C36" s="466">
        <v>1028.497409432</v>
      </c>
      <c r="D36" s="466">
        <v>927.17677939500004</v>
      </c>
      <c r="E36" s="466">
        <v>1018.090877202</v>
      </c>
      <c r="F36" s="466">
        <v>1175.503337915</v>
      </c>
      <c r="G36" s="466">
        <v>1304.5062984169999</v>
      </c>
      <c r="H36" s="466">
        <v>1444.8833219860001</v>
      </c>
      <c r="I36" s="466">
        <v>1583.0679058789999</v>
      </c>
      <c r="J36" s="466">
        <v>1781.5598913209999</v>
      </c>
      <c r="K36" s="466">
        <v>1931.680065129</v>
      </c>
      <c r="L36" s="466">
        <v>2189.42025509</v>
      </c>
      <c r="M36" s="479">
        <v>1185.0153878640001</v>
      </c>
      <c r="N36" s="479">
        <v>1890.659676045</v>
      </c>
      <c r="O36" s="479">
        <v>1550.29069592</v>
      </c>
      <c r="P36" s="466">
        <v>1543.7892652749999</v>
      </c>
    </row>
    <row r="37" spans="1:16" ht="16.5" customHeight="1" x14ac:dyDescent="0.25">
      <c r="A37" s="477" t="s">
        <v>186</v>
      </c>
      <c r="B37" s="466">
        <v>1325.7463729010001</v>
      </c>
      <c r="C37" s="466">
        <v>1062.465625671</v>
      </c>
      <c r="D37" s="466">
        <v>945.90615006799999</v>
      </c>
      <c r="E37" s="466">
        <v>1015.048718308</v>
      </c>
      <c r="F37" s="466">
        <v>1155.8884857349999</v>
      </c>
      <c r="G37" s="466">
        <v>1291.762618796</v>
      </c>
      <c r="H37" s="466">
        <v>1417.622317885</v>
      </c>
      <c r="I37" s="466">
        <v>1554.29931283</v>
      </c>
      <c r="J37" s="466">
        <v>1743.9080098320001</v>
      </c>
      <c r="K37" s="466">
        <v>1908.410724285</v>
      </c>
      <c r="L37" s="466">
        <v>2028.979525496</v>
      </c>
      <c r="M37" s="479">
        <v>1174.622732521</v>
      </c>
      <c r="N37" s="479">
        <v>1819.893895529</v>
      </c>
      <c r="O37" s="479">
        <v>1508.6460170509999</v>
      </c>
      <c r="P37" s="466">
        <v>1506.850970408</v>
      </c>
    </row>
    <row r="38" spans="1:16" ht="16.5" customHeight="1" x14ac:dyDescent="0.25">
      <c r="A38" s="476" t="s">
        <v>187</v>
      </c>
      <c r="B38" s="469">
        <v>49.350247834999998</v>
      </c>
      <c r="C38" s="469">
        <v>33.968216239</v>
      </c>
      <c r="D38" s="469">
        <v>18.729370672999998</v>
      </c>
      <c r="E38" s="469">
        <v>-3.0421588939999999</v>
      </c>
      <c r="F38" s="469">
        <v>-19.61485218</v>
      </c>
      <c r="G38" s="469">
        <v>-12.743679621</v>
      </c>
      <c r="H38" s="469">
        <v>-27.261004100000001</v>
      </c>
      <c r="I38" s="469">
        <v>-28.768593049</v>
      </c>
      <c r="J38" s="469">
        <v>-37.651881490000001</v>
      </c>
      <c r="K38" s="469">
        <v>-23.269340843999998</v>
      </c>
      <c r="L38" s="469">
        <v>-160.44072959299999</v>
      </c>
      <c r="M38" s="482">
        <v>-10.392655342999999</v>
      </c>
      <c r="N38" s="482">
        <v>-70.765780516000007</v>
      </c>
      <c r="O38" s="482">
        <v>-41.64467887</v>
      </c>
      <c r="P38" s="469">
        <v>-36.938294867000003</v>
      </c>
    </row>
    <row r="39" spans="1:16" ht="16.5" customHeight="1" x14ac:dyDescent="0.2">
      <c r="A39" s="465" t="s">
        <v>188</v>
      </c>
      <c r="B39" s="467">
        <v>77.413606598000001</v>
      </c>
      <c r="C39" s="467">
        <v>71.184671365</v>
      </c>
      <c r="D39" s="467">
        <v>62.712378612000002</v>
      </c>
      <c r="E39" s="467">
        <v>65.072884848000001</v>
      </c>
      <c r="F39" s="467">
        <v>66.098623044000007</v>
      </c>
      <c r="G39" s="467">
        <v>68.340914693000002</v>
      </c>
      <c r="H39" s="467">
        <v>77.083951810000002</v>
      </c>
      <c r="I39" s="467">
        <v>80.508759927</v>
      </c>
      <c r="J39" s="467">
        <v>100.492799064</v>
      </c>
      <c r="K39" s="467">
        <v>131.717481445</v>
      </c>
      <c r="L39" s="467">
        <v>113.285224524</v>
      </c>
      <c r="M39" s="480">
        <v>68.723143738000005</v>
      </c>
      <c r="N39" s="480">
        <v>105.63752598000001</v>
      </c>
      <c r="O39" s="480">
        <v>87.831797448000003</v>
      </c>
      <c r="P39" s="467">
        <v>88.971619723000003</v>
      </c>
    </row>
    <row r="40" spans="1:16" ht="16.5" customHeight="1" x14ac:dyDescent="0.2">
      <c r="A40" s="465" t="s">
        <v>189</v>
      </c>
      <c r="B40" s="467">
        <v>63.124699440000001</v>
      </c>
      <c r="C40" s="467">
        <v>52.573576668999998</v>
      </c>
      <c r="D40" s="467">
        <v>47.571774081000001</v>
      </c>
      <c r="E40" s="467">
        <v>49.353041224000002</v>
      </c>
      <c r="F40" s="467">
        <v>58.508280593999999</v>
      </c>
      <c r="G40" s="467">
        <v>65.567515232000005</v>
      </c>
      <c r="H40" s="467">
        <v>64.973991573999996</v>
      </c>
      <c r="I40" s="467">
        <v>80.957212867999999</v>
      </c>
      <c r="J40" s="467">
        <v>110.230792603</v>
      </c>
      <c r="K40" s="467">
        <v>158.02555995399999</v>
      </c>
      <c r="L40" s="467">
        <v>220.121622492</v>
      </c>
      <c r="M40" s="480">
        <v>57.025210704999999</v>
      </c>
      <c r="N40" s="480">
        <v>145.91391062100001</v>
      </c>
      <c r="O40" s="480">
        <v>103.03826259</v>
      </c>
      <c r="P40" s="467">
        <v>101.995484976</v>
      </c>
    </row>
    <row r="41" spans="1:16" ht="16.5" customHeight="1" x14ac:dyDescent="0.2">
      <c r="A41" s="475" t="s">
        <v>190</v>
      </c>
      <c r="B41" s="468">
        <v>-14.288907158000001</v>
      </c>
      <c r="C41" s="468">
        <v>-18.611094695999999</v>
      </c>
      <c r="D41" s="468">
        <v>-15.140604531999999</v>
      </c>
      <c r="E41" s="468">
        <v>-15.719843623999999</v>
      </c>
      <c r="F41" s="468">
        <v>-7.5903424490000004</v>
      </c>
      <c r="G41" s="468">
        <v>-2.7733994609999999</v>
      </c>
      <c r="H41" s="468">
        <v>-12.109960235999999</v>
      </c>
      <c r="I41" s="468">
        <v>0.44845294200000002</v>
      </c>
      <c r="J41" s="468">
        <v>9.7379935389999996</v>
      </c>
      <c r="K41" s="468">
        <v>26.308078509000001</v>
      </c>
      <c r="L41" s="468">
        <v>106.836397969</v>
      </c>
      <c r="M41" s="481">
        <v>-11.697933033</v>
      </c>
      <c r="N41" s="481">
        <v>40.276384641999996</v>
      </c>
      <c r="O41" s="481">
        <v>15.206465143000001</v>
      </c>
      <c r="P41" s="468">
        <v>13.023865253</v>
      </c>
    </row>
    <row r="42" spans="1:16" ht="16.5" customHeight="1" x14ac:dyDescent="0.25">
      <c r="A42" s="477" t="s">
        <v>191</v>
      </c>
      <c r="B42" s="466">
        <v>1353.8097316640001</v>
      </c>
      <c r="C42" s="466">
        <v>1099.682080797</v>
      </c>
      <c r="D42" s="466">
        <v>989.88915800799998</v>
      </c>
      <c r="E42" s="466">
        <v>1083.1637620500001</v>
      </c>
      <c r="F42" s="466">
        <v>1241.6019609580001</v>
      </c>
      <c r="G42" s="466">
        <v>1372.84721311</v>
      </c>
      <c r="H42" s="466">
        <v>1521.967273796</v>
      </c>
      <c r="I42" s="466">
        <v>1663.5766658059999</v>
      </c>
      <c r="J42" s="466">
        <v>1882.052690385</v>
      </c>
      <c r="K42" s="466">
        <v>2063.397546573</v>
      </c>
      <c r="L42" s="466">
        <v>2302.7054796130001</v>
      </c>
      <c r="M42" s="479">
        <v>1253.738531602</v>
      </c>
      <c r="N42" s="479">
        <v>1996.2972020239999</v>
      </c>
      <c r="O42" s="479">
        <v>1638.1224933680001</v>
      </c>
      <c r="P42" s="466">
        <v>1632.7608849979999</v>
      </c>
    </row>
    <row r="43" spans="1:16" ht="16.5" customHeight="1" x14ac:dyDescent="0.25">
      <c r="A43" s="477" t="s">
        <v>192</v>
      </c>
      <c r="B43" s="466">
        <v>1388.8710723419999</v>
      </c>
      <c r="C43" s="466">
        <v>1115.03920234</v>
      </c>
      <c r="D43" s="466">
        <v>993.47792414900005</v>
      </c>
      <c r="E43" s="466">
        <v>1064.4017595319999</v>
      </c>
      <c r="F43" s="466">
        <v>1214.396766329</v>
      </c>
      <c r="G43" s="466">
        <v>1357.330134028</v>
      </c>
      <c r="H43" s="466">
        <v>1482.5963094589999</v>
      </c>
      <c r="I43" s="466">
        <v>1635.2565256989999</v>
      </c>
      <c r="J43" s="466">
        <v>1854.1388024349999</v>
      </c>
      <c r="K43" s="466">
        <v>2066.4362842390001</v>
      </c>
      <c r="L43" s="466">
        <v>2249.1011479889999</v>
      </c>
      <c r="M43" s="479">
        <v>1231.6479432260001</v>
      </c>
      <c r="N43" s="479">
        <v>1965.80780615</v>
      </c>
      <c r="O43" s="479">
        <v>1611.6842796410001</v>
      </c>
      <c r="P43" s="466">
        <v>1608.8464553839999</v>
      </c>
    </row>
    <row r="44" spans="1:16" ht="16.5" customHeight="1" x14ac:dyDescent="0.2">
      <c r="A44" s="475" t="s">
        <v>193</v>
      </c>
      <c r="B44" s="468">
        <v>35.061340676999997</v>
      </c>
      <c r="C44" s="468">
        <v>15.357121542</v>
      </c>
      <c r="D44" s="468">
        <v>3.5887661409999998</v>
      </c>
      <c r="E44" s="468">
        <v>-18.762002517999999</v>
      </c>
      <c r="F44" s="468">
        <v>-27.205194630000001</v>
      </c>
      <c r="G44" s="468">
        <v>-15.517079082</v>
      </c>
      <c r="H44" s="468">
        <v>-39.370964336999997</v>
      </c>
      <c r="I44" s="468">
        <v>-28.320140107</v>
      </c>
      <c r="J44" s="468">
        <v>-27.913887949999999</v>
      </c>
      <c r="K44" s="468">
        <v>3.0387376650000002</v>
      </c>
      <c r="L44" s="468">
        <v>-53.604331625</v>
      </c>
      <c r="M44" s="481">
        <v>-22.090588375999999</v>
      </c>
      <c r="N44" s="481">
        <v>-30.489395874</v>
      </c>
      <c r="O44" s="481">
        <v>-26.438213727000001</v>
      </c>
      <c r="P44" s="468">
        <v>-23.914429613999999</v>
      </c>
    </row>
    <row r="45" spans="1:16" s="8" customFormat="1" ht="16.5" customHeight="1" x14ac:dyDescent="0.25">
      <c r="A45" s="478" t="s">
        <v>283</v>
      </c>
      <c r="B45" s="469">
        <v>434.33690597899999</v>
      </c>
      <c r="C45" s="469">
        <v>419.81306854399998</v>
      </c>
      <c r="D45" s="469">
        <v>397.46188060200001</v>
      </c>
      <c r="E45" s="469">
        <v>479.126556988</v>
      </c>
      <c r="F45" s="469">
        <v>583.75263838399997</v>
      </c>
      <c r="G45" s="469">
        <v>647.89351620699995</v>
      </c>
      <c r="H45" s="469">
        <v>705.19852509999998</v>
      </c>
      <c r="I45" s="469">
        <v>768.73774834999995</v>
      </c>
      <c r="J45" s="469">
        <v>974.39407827699995</v>
      </c>
      <c r="K45" s="469">
        <v>1312.0764302519999</v>
      </c>
      <c r="L45" s="469">
        <v>1883.2326888289999</v>
      </c>
      <c r="M45" s="482">
        <v>568.14722871399999</v>
      </c>
      <c r="N45" s="482">
        <v>1267.125277675</v>
      </c>
      <c r="O45" s="482">
        <v>929.97177180999995</v>
      </c>
      <c r="P45" s="469">
        <v>922.65384219600003</v>
      </c>
    </row>
    <row r="46" spans="1:16" ht="16.5" customHeight="1" x14ac:dyDescent="0.25">
      <c r="A46" s="474" t="s">
        <v>442</v>
      </c>
      <c r="B46" s="467"/>
      <c r="C46" s="467"/>
      <c r="D46" s="467"/>
      <c r="E46" s="467"/>
      <c r="F46" s="467"/>
      <c r="G46" s="467"/>
      <c r="H46" s="467"/>
      <c r="I46" s="467"/>
      <c r="J46" s="467"/>
      <c r="K46" s="467"/>
      <c r="L46" s="467"/>
      <c r="M46" s="483"/>
      <c r="N46" s="483"/>
      <c r="O46" s="483"/>
      <c r="P46" s="470"/>
    </row>
    <row r="47" spans="1:16" ht="16.5" customHeight="1" x14ac:dyDescent="0.25">
      <c r="A47" s="465" t="s">
        <v>459</v>
      </c>
      <c r="B47" s="467">
        <v>809.56493849799995</v>
      </c>
      <c r="C47" s="467">
        <v>653.73586296200006</v>
      </c>
      <c r="D47" s="467">
        <v>604.62495965999994</v>
      </c>
      <c r="E47" s="467">
        <v>674.02977943999997</v>
      </c>
      <c r="F47" s="467">
        <v>791.55076929300003</v>
      </c>
      <c r="G47" s="467">
        <v>910.44409119800002</v>
      </c>
      <c r="H47" s="467">
        <v>1038.915967358</v>
      </c>
      <c r="I47" s="467">
        <v>1190.1053460810001</v>
      </c>
      <c r="J47" s="467">
        <v>1354.5713492039999</v>
      </c>
      <c r="K47" s="467">
        <v>1463.591333096</v>
      </c>
      <c r="L47" s="467">
        <v>1733.7157645740001</v>
      </c>
      <c r="M47" s="480">
        <v>812.20723867799995</v>
      </c>
      <c r="N47" s="480">
        <v>1454.8791137789999</v>
      </c>
      <c r="O47" s="480">
        <v>1144.8850071920001</v>
      </c>
      <c r="P47" s="467">
        <v>1129.889010739</v>
      </c>
    </row>
    <row r="48" spans="1:16" ht="16.5" customHeight="1" x14ac:dyDescent="0.25">
      <c r="A48" s="465" t="s">
        <v>410</v>
      </c>
      <c r="B48" s="467">
        <v>352.18203399100003</v>
      </c>
      <c r="C48" s="467">
        <v>317.79398967100002</v>
      </c>
      <c r="D48" s="467">
        <v>329.50067433300001</v>
      </c>
      <c r="E48" s="467">
        <v>378.97669710500003</v>
      </c>
      <c r="F48" s="467">
        <v>452.056406299</v>
      </c>
      <c r="G48" s="467">
        <v>519.97476714899994</v>
      </c>
      <c r="H48" s="467">
        <v>592.42467847</v>
      </c>
      <c r="I48" s="467">
        <v>664.58689087499999</v>
      </c>
      <c r="J48" s="467">
        <v>792.56340674399996</v>
      </c>
      <c r="K48" s="467">
        <v>838.04507173299999</v>
      </c>
      <c r="L48" s="467">
        <v>879.95176591899997</v>
      </c>
      <c r="M48" s="480">
        <v>458.46902911000001</v>
      </c>
      <c r="N48" s="480">
        <v>800.51689765000003</v>
      </c>
      <c r="O48" s="480">
        <v>635.52940165699999</v>
      </c>
      <c r="P48" s="467">
        <v>625.13532775199997</v>
      </c>
    </row>
    <row r="49" spans="1:25" ht="16.5" customHeight="1" x14ac:dyDescent="0.25">
      <c r="A49" s="465" t="s">
        <v>411</v>
      </c>
      <c r="B49" s="467">
        <v>337.538612253</v>
      </c>
      <c r="C49" s="467">
        <v>321.11588074600002</v>
      </c>
      <c r="D49" s="467">
        <v>338.07063350099997</v>
      </c>
      <c r="E49" s="467">
        <v>434.28651482499998</v>
      </c>
      <c r="F49" s="467">
        <v>560.51560226699996</v>
      </c>
      <c r="G49" s="467">
        <v>656.08250866900005</v>
      </c>
      <c r="H49" s="467">
        <v>755.34174517400004</v>
      </c>
      <c r="I49" s="467">
        <v>864.45528313099999</v>
      </c>
      <c r="J49" s="467">
        <v>999.15068501600001</v>
      </c>
      <c r="K49" s="467">
        <v>1079.6565777549999</v>
      </c>
      <c r="L49" s="467">
        <v>984.00591203800002</v>
      </c>
      <c r="M49" s="480">
        <v>555.32548738399998</v>
      </c>
      <c r="N49" s="480">
        <v>980.49289395400001</v>
      </c>
      <c r="O49" s="480">
        <v>775.412517084</v>
      </c>
      <c r="P49" s="467">
        <v>762.76738347100002</v>
      </c>
    </row>
    <row r="50" spans="1:25" ht="16.5" customHeight="1" x14ac:dyDescent="0.25">
      <c r="A50" s="465" t="s">
        <v>412</v>
      </c>
      <c r="B50" s="467">
        <v>1102.816277997</v>
      </c>
      <c r="C50" s="467">
        <v>868.22387857000001</v>
      </c>
      <c r="D50" s="467">
        <v>773.99286739800004</v>
      </c>
      <c r="E50" s="467">
        <v>840.27033005099997</v>
      </c>
      <c r="F50" s="467">
        <v>977.36431633500001</v>
      </c>
      <c r="G50" s="467">
        <v>1113.567687151</v>
      </c>
      <c r="H50" s="467">
        <v>1244.285221048</v>
      </c>
      <c r="I50" s="467">
        <v>1390.0074484449999</v>
      </c>
      <c r="J50" s="467">
        <v>1561.998042942</v>
      </c>
      <c r="K50" s="467">
        <v>1699.8540883569999</v>
      </c>
      <c r="L50" s="467">
        <v>1911.5181211910001</v>
      </c>
      <c r="M50" s="480">
        <v>998.65730382799995</v>
      </c>
      <c r="N50" s="480">
        <v>1656.689352398</v>
      </c>
      <c r="O50" s="480">
        <v>1339.2862344069999</v>
      </c>
      <c r="P50" s="467">
        <v>1329.451253362</v>
      </c>
    </row>
    <row r="51" spans="1:25" ht="16.5" customHeight="1" x14ac:dyDescent="0.25">
      <c r="A51" s="465" t="s">
        <v>460</v>
      </c>
      <c r="B51" s="467">
        <v>443.15744388799999</v>
      </c>
      <c r="C51" s="467">
        <v>356.583746932</v>
      </c>
      <c r="D51" s="467">
        <v>305.57687689699998</v>
      </c>
      <c r="E51" s="467">
        <v>328.148440634</v>
      </c>
      <c r="F51" s="467">
        <v>365.143103586</v>
      </c>
      <c r="G51" s="467">
        <v>373.61114873899999</v>
      </c>
      <c r="H51" s="467">
        <v>386.55757910900002</v>
      </c>
      <c r="I51" s="467">
        <v>370.54039520700002</v>
      </c>
      <c r="J51" s="467">
        <v>397.170302709</v>
      </c>
      <c r="K51" s="467">
        <v>430.92406830099998</v>
      </c>
      <c r="L51" s="467">
        <v>370.87567816500001</v>
      </c>
      <c r="M51" s="480">
        <v>354.72081158399999</v>
      </c>
      <c r="N51" s="480">
        <v>389.45562063800003</v>
      </c>
      <c r="O51" s="480">
        <v>372.70121373500001</v>
      </c>
      <c r="P51" s="467">
        <v>381.33041176900002</v>
      </c>
    </row>
    <row r="52" spans="1:25" ht="16.5" customHeight="1" x14ac:dyDescent="0.25">
      <c r="A52" s="465" t="s">
        <v>413</v>
      </c>
      <c r="B52" s="467">
        <v>434.33690597899999</v>
      </c>
      <c r="C52" s="467">
        <v>419.81306854399998</v>
      </c>
      <c r="D52" s="467">
        <v>397.46188060200001</v>
      </c>
      <c r="E52" s="467">
        <v>479.126556988</v>
      </c>
      <c r="F52" s="467">
        <v>583.75263838399997</v>
      </c>
      <c r="G52" s="467">
        <v>647.89351620699995</v>
      </c>
      <c r="H52" s="467">
        <v>705.19852509999998</v>
      </c>
      <c r="I52" s="467">
        <v>768.73774834999995</v>
      </c>
      <c r="J52" s="467">
        <v>974.39407827699995</v>
      </c>
      <c r="K52" s="467">
        <v>1312.0764302519999</v>
      </c>
      <c r="L52" s="467">
        <v>1883.2326888289999</v>
      </c>
      <c r="M52" s="480">
        <v>568.14722871399999</v>
      </c>
      <c r="N52" s="480">
        <v>1267.125277675</v>
      </c>
      <c r="O52" s="480">
        <v>929.97177180999995</v>
      </c>
      <c r="P52" s="467">
        <v>922.65384219600003</v>
      </c>
    </row>
    <row r="53" spans="1:25" ht="16.5" customHeight="1" x14ac:dyDescent="0.25">
      <c r="A53" s="465" t="s">
        <v>414</v>
      </c>
      <c r="B53" s="467">
        <v>171.300234227</v>
      </c>
      <c r="C53" s="467">
        <v>159.98214146000001</v>
      </c>
      <c r="D53" s="467">
        <v>143.082631357</v>
      </c>
      <c r="E53" s="467">
        <v>145.78797715900001</v>
      </c>
      <c r="F53" s="467">
        <v>150.804384064</v>
      </c>
      <c r="G53" s="467">
        <v>149.67221604900001</v>
      </c>
      <c r="H53" s="467">
        <v>153.03281451000001</v>
      </c>
      <c r="I53" s="467">
        <v>170.14700501499999</v>
      </c>
      <c r="J53" s="467">
        <v>197.46480273700001</v>
      </c>
      <c r="K53" s="467">
        <v>214.62678115200001</v>
      </c>
      <c r="L53" s="467">
        <v>167.04876692100001</v>
      </c>
      <c r="M53" s="480">
        <v>149.245883472</v>
      </c>
      <c r="N53" s="480">
        <v>185.487466216</v>
      </c>
      <c r="O53" s="480">
        <v>168.00626391200001</v>
      </c>
      <c r="P53" s="467">
        <v>168.82118193599999</v>
      </c>
    </row>
    <row r="54" spans="1:25" ht="12.75" customHeight="1" x14ac:dyDescent="0.2">
      <c r="A54" s="235" t="s">
        <v>899</v>
      </c>
      <c r="B54" s="473"/>
      <c r="C54" s="473"/>
      <c r="D54" s="473"/>
      <c r="E54" s="473"/>
      <c r="F54" s="473"/>
      <c r="G54" s="473"/>
      <c r="H54" s="473"/>
      <c r="I54" s="473"/>
      <c r="J54" s="486"/>
      <c r="K54" s="486"/>
      <c r="L54" s="486"/>
      <c r="M54" s="569"/>
      <c r="N54" s="486"/>
      <c r="O54" s="714"/>
      <c r="P54" s="994"/>
      <c r="Q54" s="13"/>
      <c r="R54" s="13"/>
      <c r="S54" s="13"/>
      <c r="T54" s="13"/>
      <c r="U54" s="13"/>
      <c r="V54" s="215"/>
      <c r="W54" s="215"/>
      <c r="X54" s="215"/>
      <c r="Y54" s="39"/>
    </row>
    <row r="55" spans="1:25" ht="15" customHeight="1" x14ac:dyDescent="0.2">
      <c r="A55" s="255" t="s">
        <v>504</v>
      </c>
      <c r="B55" s="13"/>
      <c r="C55" s="13"/>
      <c r="D55" s="13"/>
      <c r="E55" s="13"/>
      <c r="F55" s="13"/>
      <c r="G55" s="13"/>
      <c r="H55" s="13"/>
      <c r="I55" s="13"/>
      <c r="J55" s="13"/>
      <c r="K55" s="13"/>
      <c r="L55" s="13"/>
      <c r="M55" s="215"/>
      <c r="N55" s="215"/>
      <c r="O55" s="215"/>
      <c r="P55" s="39"/>
    </row>
    <row r="56" spans="1:25" ht="15" customHeight="1" x14ac:dyDescent="0.2">
      <c r="A56" s="37" t="s">
        <v>461</v>
      </c>
      <c r="B56" s="13"/>
      <c r="C56" s="13"/>
      <c r="D56" s="13"/>
      <c r="E56" s="13"/>
      <c r="F56" s="13"/>
      <c r="G56" s="13"/>
      <c r="H56" s="13"/>
      <c r="I56" s="13"/>
      <c r="J56" s="13"/>
      <c r="K56" s="13"/>
      <c r="L56" s="13"/>
      <c r="M56" s="215"/>
      <c r="N56" s="215"/>
      <c r="O56" s="215"/>
      <c r="P56" s="39"/>
    </row>
    <row r="57" spans="1:25" ht="15" customHeight="1" x14ac:dyDescent="0.2">
      <c r="A57" s="168" t="s">
        <v>557</v>
      </c>
      <c r="B57" s="13"/>
      <c r="C57" s="13"/>
      <c r="D57" s="13"/>
      <c r="E57" s="13"/>
      <c r="F57" s="13"/>
      <c r="G57" s="13"/>
      <c r="H57" s="13"/>
      <c r="I57" s="13"/>
      <c r="J57" s="13"/>
      <c r="K57" s="13"/>
      <c r="L57" s="13"/>
      <c r="M57" s="215"/>
      <c r="N57" s="215"/>
      <c r="O57" s="215"/>
      <c r="P57" s="39"/>
    </row>
    <row r="58" spans="1:25" ht="15" customHeight="1" x14ac:dyDescent="0.2">
      <c r="A58" s="255" t="s">
        <v>995</v>
      </c>
      <c r="B58" s="13"/>
      <c r="C58" s="13"/>
      <c r="D58" s="13"/>
      <c r="E58" s="13"/>
      <c r="F58" s="13"/>
      <c r="G58" s="13"/>
      <c r="H58" s="13"/>
      <c r="I58" s="13"/>
      <c r="J58" s="13"/>
      <c r="K58" s="13"/>
      <c r="L58" s="13"/>
      <c r="M58" s="215"/>
      <c r="N58" s="215"/>
      <c r="O58" s="215"/>
      <c r="P58" s="39"/>
    </row>
    <row r="59" spans="1:25" x14ac:dyDescent="0.2">
      <c r="A59" s="286" t="s">
        <v>916</v>
      </c>
      <c r="B59" s="3"/>
      <c r="C59" s="3"/>
      <c r="D59" s="3"/>
      <c r="G59" s="185"/>
      <c r="J59" s="185"/>
    </row>
    <row r="60" spans="1:25" ht="18" x14ac:dyDescent="0.2">
      <c r="A60" s="46"/>
    </row>
    <row r="61" spans="1:25" s="677" customFormat="1" ht="23.25" customHeight="1" x14ac:dyDescent="0.2">
      <c r="A61" s="46" t="s">
        <v>934</v>
      </c>
    </row>
    <row r="62" spans="1:25" ht="15" customHeight="1" thickBot="1" x14ac:dyDescent="0.25">
      <c r="P62" s="259" t="s">
        <v>23</v>
      </c>
    </row>
    <row r="63" spans="1:25" ht="18" customHeight="1" x14ac:dyDescent="0.2">
      <c r="A63" s="41"/>
      <c r="B63" s="42" t="s">
        <v>35</v>
      </c>
      <c r="C63" s="42" t="s">
        <v>121</v>
      </c>
      <c r="D63" s="42" t="s">
        <v>123</v>
      </c>
      <c r="E63" s="42" t="s">
        <v>36</v>
      </c>
      <c r="F63" s="42" t="s">
        <v>37</v>
      </c>
      <c r="G63" s="42" t="s">
        <v>38</v>
      </c>
      <c r="H63" s="42" t="s">
        <v>39</v>
      </c>
      <c r="I63" s="42" t="s">
        <v>125</v>
      </c>
      <c r="J63" s="42" t="s">
        <v>126</v>
      </c>
      <c r="K63" s="42" t="s">
        <v>127</v>
      </c>
      <c r="L63" s="252">
        <v>100000</v>
      </c>
      <c r="M63" s="250" t="s">
        <v>231</v>
      </c>
      <c r="N63" s="250" t="s">
        <v>229</v>
      </c>
      <c r="O63" s="257" t="s">
        <v>77</v>
      </c>
      <c r="P63" s="281" t="s">
        <v>220</v>
      </c>
    </row>
    <row r="64" spans="1:25" ht="18" customHeight="1" x14ac:dyDescent="0.2">
      <c r="A64" s="566" t="s">
        <v>81</v>
      </c>
      <c r="B64" s="43" t="s">
        <v>120</v>
      </c>
      <c r="C64" s="43" t="s">
        <v>40</v>
      </c>
      <c r="D64" s="43" t="s">
        <v>40</v>
      </c>
      <c r="E64" s="43" t="s">
        <v>40</v>
      </c>
      <c r="F64" s="43" t="s">
        <v>40</v>
      </c>
      <c r="G64" s="43" t="s">
        <v>40</v>
      </c>
      <c r="H64" s="43" t="s">
        <v>40</v>
      </c>
      <c r="I64" s="43" t="s">
        <v>40</v>
      </c>
      <c r="J64" s="43" t="s">
        <v>40</v>
      </c>
      <c r="K64" s="43" t="s">
        <v>40</v>
      </c>
      <c r="L64" s="43" t="s">
        <v>43</v>
      </c>
      <c r="M64" s="239" t="s">
        <v>230</v>
      </c>
      <c r="N64" s="239" t="s">
        <v>138</v>
      </c>
      <c r="O64" s="256" t="s">
        <v>137</v>
      </c>
      <c r="P64" s="282" t="s">
        <v>284</v>
      </c>
    </row>
    <row r="65" spans="1:16" ht="18" customHeight="1" thickBot="1" x14ac:dyDescent="0.25">
      <c r="A65" s="423" t="s">
        <v>99</v>
      </c>
      <c r="B65" s="44" t="s">
        <v>43</v>
      </c>
      <c r="C65" s="44" t="s">
        <v>122</v>
      </c>
      <c r="D65" s="44" t="s">
        <v>124</v>
      </c>
      <c r="E65" s="44" t="s">
        <v>44</v>
      </c>
      <c r="F65" s="44" t="s">
        <v>45</v>
      </c>
      <c r="G65" s="44" t="s">
        <v>46</v>
      </c>
      <c r="H65" s="44" t="s">
        <v>42</v>
      </c>
      <c r="I65" s="44" t="s">
        <v>128</v>
      </c>
      <c r="J65" s="44" t="s">
        <v>129</v>
      </c>
      <c r="K65" s="44" t="s">
        <v>130</v>
      </c>
      <c r="L65" s="44" t="s">
        <v>131</v>
      </c>
      <c r="M65" s="251" t="s">
        <v>138</v>
      </c>
      <c r="N65" s="251" t="s">
        <v>131</v>
      </c>
      <c r="O65" s="258" t="s">
        <v>41</v>
      </c>
      <c r="P65" s="283" t="s">
        <v>239</v>
      </c>
    </row>
    <row r="66" spans="1:16" ht="15" customHeight="1" x14ac:dyDescent="0.25">
      <c r="A66" s="544" t="s">
        <v>200</v>
      </c>
      <c r="B66" s="192"/>
      <c r="C66" s="192"/>
      <c r="D66" s="192"/>
      <c r="E66" s="192"/>
      <c r="F66" s="192"/>
      <c r="G66" s="192"/>
      <c r="H66" s="192"/>
      <c r="I66" s="192"/>
      <c r="J66" s="192"/>
      <c r="K66" s="192"/>
      <c r="L66" s="192"/>
      <c r="M66" s="192"/>
      <c r="N66" s="192"/>
      <c r="O66" s="192"/>
    </row>
    <row r="67" spans="1:16" s="465" customFormat="1" ht="16.5" customHeight="1" x14ac:dyDescent="0.25">
      <c r="A67" s="487" t="s">
        <v>286</v>
      </c>
      <c r="B67" s="719">
        <f t="shared" ref="B67:O72" si="0">B8/B$8</f>
        <v>1</v>
      </c>
      <c r="C67" s="719">
        <f t="shared" si="0"/>
        <v>1</v>
      </c>
      <c r="D67" s="719">
        <f t="shared" si="0"/>
        <v>1</v>
      </c>
      <c r="E67" s="719">
        <f t="shared" si="0"/>
        <v>1</v>
      </c>
      <c r="F67" s="719">
        <f t="shared" si="0"/>
        <v>1</v>
      </c>
      <c r="G67" s="719">
        <f t="shared" si="0"/>
        <v>1</v>
      </c>
      <c r="H67" s="719">
        <f t="shared" si="0"/>
        <v>1</v>
      </c>
      <c r="I67" s="719">
        <f t="shared" si="0"/>
        <v>1</v>
      </c>
      <c r="J67" s="719">
        <f t="shared" si="0"/>
        <v>1</v>
      </c>
      <c r="K67" s="719">
        <f t="shared" si="0"/>
        <v>1</v>
      </c>
      <c r="L67" s="719">
        <f t="shared" si="0"/>
        <v>1</v>
      </c>
      <c r="M67" s="720">
        <f t="shared" si="0"/>
        <v>1</v>
      </c>
      <c r="N67" s="720">
        <f t="shared" si="0"/>
        <v>1</v>
      </c>
      <c r="O67" s="720">
        <f t="shared" si="0"/>
        <v>1</v>
      </c>
      <c r="P67" s="719">
        <f t="shared" ref="P67:P72" si="1">P8/P$8</f>
        <v>1</v>
      </c>
    </row>
    <row r="68" spans="1:16" s="465" customFormat="1" ht="16.5" customHeight="1" x14ac:dyDescent="0.2">
      <c r="A68" s="490" t="s">
        <v>161</v>
      </c>
      <c r="B68" s="721">
        <f t="shared" si="0"/>
        <v>0.40397778149257974</v>
      </c>
      <c r="C68" s="721">
        <f t="shared" si="0"/>
        <v>0.38509110469971064</v>
      </c>
      <c r="D68" s="721">
        <f t="shared" si="0"/>
        <v>0.35972187200215333</v>
      </c>
      <c r="E68" s="721">
        <f t="shared" si="0"/>
        <v>0.34596858598669089</v>
      </c>
      <c r="F68" s="721">
        <f t="shared" si="0"/>
        <v>0.33305100619735711</v>
      </c>
      <c r="G68" s="721">
        <f t="shared" si="0"/>
        <v>0.31120331893103276</v>
      </c>
      <c r="H68" s="721">
        <f t="shared" si="0"/>
        <v>0.28967899860938245</v>
      </c>
      <c r="I68" s="721">
        <f t="shared" si="0"/>
        <v>0.26721805129539816</v>
      </c>
      <c r="J68" s="721">
        <f t="shared" si="0"/>
        <v>0.2527758328360446</v>
      </c>
      <c r="K68" s="721">
        <f t="shared" si="0"/>
        <v>0.23446715330314599</v>
      </c>
      <c r="L68" s="721">
        <f t="shared" si="0"/>
        <v>0.18278245774443624</v>
      </c>
      <c r="M68" s="722">
        <f t="shared" si="0"/>
        <v>0.32232971785854825</v>
      </c>
      <c r="N68" s="722">
        <f t="shared" si="0"/>
        <v>0.22664310777850305</v>
      </c>
      <c r="O68" s="722">
        <f t="shared" si="0"/>
        <v>0.25940205549399831</v>
      </c>
      <c r="P68" s="721">
        <f t="shared" si="1"/>
        <v>0.26380622524125025</v>
      </c>
    </row>
    <row r="69" spans="1:16" s="465" customFormat="1" ht="16.5" customHeight="1" x14ac:dyDescent="0.2">
      <c r="A69" s="492" t="s">
        <v>162</v>
      </c>
      <c r="B69" s="723">
        <f t="shared" si="0"/>
        <v>0.20392177080049073</v>
      </c>
      <c r="C69" s="723">
        <f t="shared" si="0"/>
        <v>0.25650284641490412</v>
      </c>
      <c r="D69" s="723">
        <f t="shared" si="0"/>
        <v>0.34017390624441524</v>
      </c>
      <c r="E69" s="723">
        <f t="shared" si="0"/>
        <v>0.44891939635726213</v>
      </c>
      <c r="F69" s="723">
        <f t="shared" si="0"/>
        <v>0.51375267379565515</v>
      </c>
      <c r="G69" s="723">
        <f t="shared" si="0"/>
        <v>0.54211165469929379</v>
      </c>
      <c r="H69" s="723">
        <f t="shared" si="0"/>
        <v>0.56873875915400851</v>
      </c>
      <c r="I69" s="723">
        <f t="shared" si="0"/>
        <v>0.59464202310986147</v>
      </c>
      <c r="J69" s="723">
        <f t="shared" si="0"/>
        <v>0.60581357211254694</v>
      </c>
      <c r="K69" s="723">
        <f t="shared" si="0"/>
        <v>0.59839105914763235</v>
      </c>
      <c r="L69" s="723">
        <f t="shared" si="0"/>
        <v>0.49308695312355566</v>
      </c>
      <c r="M69" s="724">
        <f t="shared" si="0"/>
        <v>0.50071316469849325</v>
      </c>
      <c r="N69" s="724">
        <f t="shared" si="0"/>
        <v>0.56170511054740757</v>
      </c>
      <c r="O69" s="724">
        <f t="shared" si="0"/>
        <v>0.54082411200987512</v>
      </c>
      <c r="P69" s="723">
        <f t="shared" si="1"/>
        <v>0.5355583785600867</v>
      </c>
    </row>
    <row r="70" spans="1:16" s="465" customFormat="1" ht="16.5" customHeight="1" x14ac:dyDescent="0.2">
      <c r="A70" s="490" t="s">
        <v>163</v>
      </c>
      <c r="B70" s="721">
        <f t="shared" si="0"/>
        <v>1.2150788426414086E-2</v>
      </c>
      <c r="C70" s="721">
        <f t="shared" si="0"/>
        <v>1.4915071343259791E-2</v>
      </c>
      <c r="D70" s="721">
        <f t="shared" si="0"/>
        <v>1.5993549703728731E-2</v>
      </c>
      <c r="E70" s="721">
        <f t="shared" si="0"/>
        <v>1.7817076369009064E-2</v>
      </c>
      <c r="F70" s="721">
        <f t="shared" si="0"/>
        <v>1.9383595775053844E-2</v>
      </c>
      <c r="G70" s="721">
        <f t="shared" si="0"/>
        <v>1.8039962422483038E-2</v>
      </c>
      <c r="H70" s="721">
        <f t="shared" si="0"/>
        <v>1.7800759939515968E-2</v>
      </c>
      <c r="I70" s="721">
        <f t="shared" si="0"/>
        <v>1.6940949355275434E-2</v>
      </c>
      <c r="J70" s="721">
        <f t="shared" si="0"/>
        <v>2.0083361754489399E-2</v>
      </c>
      <c r="K70" s="721">
        <f t="shared" si="0"/>
        <v>2.6177205606173332E-2</v>
      </c>
      <c r="L70" s="721">
        <f t="shared" si="0"/>
        <v>2.4233489734064782E-2</v>
      </c>
      <c r="M70" s="722">
        <f t="shared" si="0"/>
        <v>1.7916738843538428E-2</v>
      </c>
      <c r="N70" s="722">
        <f t="shared" si="0"/>
        <v>2.2113669214310398E-2</v>
      </c>
      <c r="O70" s="722">
        <f t="shared" si="0"/>
        <v>2.0676822173273914E-2</v>
      </c>
      <c r="P70" s="721">
        <f t="shared" si="1"/>
        <v>2.0882900684887656E-2</v>
      </c>
    </row>
    <row r="71" spans="1:16" s="465" customFormat="1" ht="16.5" customHeight="1" x14ac:dyDescent="0.2">
      <c r="A71" s="492" t="s">
        <v>164</v>
      </c>
      <c r="B71" s="723">
        <f t="shared" si="0"/>
        <v>0.13509859480874684</v>
      </c>
      <c r="C71" s="723">
        <f t="shared" si="0"/>
        <v>0.15106271821758402</v>
      </c>
      <c r="D71" s="723">
        <f t="shared" si="0"/>
        <v>0.16028415627622775</v>
      </c>
      <c r="E71" s="723">
        <f t="shared" si="0"/>
        <v>0.10147317056169451</v>
      </c>
      <c r="F71" s="723">
        <f t="shared" si="0"/>
        <v>7.9261308857210389E-2</v>
      </c>
      <c r="G71" s="723">
        <f t="shared" si="0"/>
        <v>8.3766066689389684E-2</v>
      </c>
      <c r="H71" s="723">
        <f t="shared" si="0"/>
        <v>9.021387079430912E-2</v>
      </c>
      <c r="I71" s="723">
        <f t="shared" si="0"/>
        <v>9.4086543623718127E-2</v>
      </c>
      <c r="J71" s="723">
        <f t="shared" si="0"/>
        <v>9.6977989120882999E-2</v>
      </c>
      <c r="K71" s="723">
        <f t="shared" si="0"/>
        <v>0.11389745557441679</v>
      </c>
      <c r="L71" s="723">
        <f t="shared" si="0"/>
        <v>0.2764403227170471</v>
      </c>
      <c r="M71" s="724">
        <f t="shared" si="0"/>
        <v>9.6303782942645411E-2</v>
      </c>
      <c r="N71" s="724">
        <f t="shared" si="0"/>
        <v>0.16457161068365461</v>
      </c>
      <c r="O71" s="724">
        <f t="shared" si="0"/>
        <v>0.14119966556269659</v>
      </c>
      <c r="P71" s="723">
        <f t="shared" si="1"/>
        <v>0.13986696626146974</v>
      </c>
    </row>
    <row r="72" spans="1:16" s="465" customFormat="1" ht="16.5" customHeight="1" x14ac:dyDescent="0.2">
      <c r="A72" s="495" t="s">
        <v>165</v>
      </c>
      <c r="B72" s="725">
        <f t="shared" si="0"/>
        <v>0.24485106447300364</v>
      </c>
      <c r="C72" s="725">
        <f t="shared" si="0"/>
        <v>0.19242825932454141</v>
      </c>
      <c r="D72" s="725">
        <f t="shared" si="0"/>
        <v>0.12382651577512782</v>
      </c>
      <c r="E72" s="725">
        <f t="shared" si="0"/>
        <v>8.582177072534343E-2</v>
      </c>
      <c r="F72" s="725">
        <f t="shared" si="0"/>
        <v>5.4551415377243541E-2</v>
      </c>
      <c r="G72" s="725">
        <f t="shared" si="0"/>
        <v>4.4878997257800667E-2</v>
      </c>
      <c r="H72" s="725">
        <f t="shared" si="0"/>
        <v>3.3567611502784034E-2</v>
      </c>
      <c r="I72" s="725">
        <f t="shared" si="0"/>
        <v>2.7112432616584241E-2</v>
      </c>
      <c r="J72" s="725">
        <f t="shared" si="0"/>
        <v>2.4349244175299455E-2</v>
      </c>
      <c r="K72" s="725">
        <f t="shared" si="0"/>
        <v>2.70671263686314E-2</v>
      </c>
      <c r="L72" s="725">
        <f t="shared" si="0"/>
        <v>2.3456776680896192E-2</v>
      </c>
      <c r="M72" s="726">
        <f t="shared" si="0"/>
        <v>6.2736595658002769E-2</v>
      </c>
      <c r="N72" s="726">
        <f t="shared" si="0"/>
        <v>2.4966501775438167E-2</v>
      </c>
      <c r="O72" s="726">
        <f t="shared" si="0"/>
        <v>3.7897344760155938E-2</v>
      </c>
      <c r="P72" s="725">
        <f t="shared" si="1"/>
        <v>3.9885529251422552E-2</v>
      </c>
    </row>
    <row r="73" spans="1:16" s="465" customFormat="1" ht="16.5" customHeight="1" x14ac:dyDescent="0.25">
      <c r="A73" s="498" t="s">
        <v>287</v>
      </c>
      <c r="B73" s="727">
        <f t="shared" ref="B73:O84" si="2">B14/B$14</f>
        <v>1</v>
      </c>
      <c r="C73" s="727">
        <f t="shared" si="2"/>
        <v>1</v>
      </c>
      <c r="D73" s="727">
        <f t="shared" si="2"/>
        <v>1</v>
      </c>
      <c r="E73" s="727">
        <f t="shared" si="2"/>
        <v>1</v>
      </c>
      <c r="F73" s="727">
        <f t="shared" si="2"/>
        <v>1</v>
      </c>
      <c r="G73" s="727">
        <f t="shared" si="2"/>
        <v>1</v>
      </c>
      <c r="H73" s="727">
        <f t="shared" si="2"/>
        <v>1</v>
      </c>
      <c r="I73" s="727">
        <f t="shared" si="2"/>
        <v>1</v>
      </c>
      <c r="J73" s="727">
        <f t="shared" si="2"/>
        <v>1</v>
      </c>
      <c r="K73" s="727">
        <f t="shared" si="2"/>
        <v>1</v>
      </c>
      <c r="L73" s="727">
        <f t="shared" si="2"/>
        <v>1</v>
      </c>
      <c r="M73" s="728">
        <f t="shared" si="2"/>
        <v>1</v>
      </c>
      <c r="N73" s="728">
        <f t="shared" si="2"/>
        <v>1</v>
      </c>
      <c r="O73" s="728">
        <f t="shared" si="2"/>
        <v>1</v>
      </c>
      <c r="P73" s="727">
        <f t="shared" ref="P73:P84" si="3">P14/P$14</f>
        <v>1</v>
      </c>
    </row>
    <row r="74" spans="1:16" s="465" customFormat="1" ht="16.5" customHeight="1" x14ac:dyDescent="0.2">
      <c r="A74" s="490" t="s">
        <v>79</v>
      </c>
      <c r="B74" s="721">
        <f t="shared" si="2"/>
        <v>0.44821328903556917</v>
      </c>
      <c r="C74" s="721">
        <f t="shared" si="2"/>
        <v>0.48590009892245434</v>
      </c>
      <c r="D74" s="721">
        <f t="shared" si="2"/>
        <v>0.52822238265377641</v>
      </c>
      <c r="E74" s="721">
        <f t="shared" si="2"/>
        <v>0.57860117378236042</v>
      </c>
      <c r="F74" s="721">
        <f t="shared" si="2"/>
        <v>0.62941040289540051</v>
      </c>
      <c r="G74" s="721">
        <f t="shared" si="2"/>
        <v>0.65288949514338213</v>
      </c>
      <c r="H74" s="721">
        <f t="shared" si="2"/>
        <v>0.66936110808220439</v>
      </c>
      <c r="I74" s="721">
        <f t="shared" si="2"/>
        <v>0.67989552642055096</v>
      </c>
      <c r="J74" s="721">
        <f t="shared" si="2"/>
        <v>0.68560423887660726</v>
      </c>
      <c r="K74" s="721">
        <f t="shared" si="2"/>
        <v>0.68456029107811989</v>
      </c>
      <c r="L74" s="721">
        <f t="shared" si="2"/>
        <v>0.72669119263358628</v>
      </c>
      <c r="M74" s="722">
        <f t="shared" si="2"/>
        <v>0.62081767411053812</v>
      </c>
      <c r="N74" s="722">
        <f t="shared" si="2"/>
        <v>0.69888039397674928</v>
      </c>
      <c r="O74" s="722">
        <f t="shared" si="2"/>
        <v>0.67080338121729921</v>
      </c>
      <c r="P74" s="721">
        <f t="shared" si="3"/>
        <v>0.66412250656217753</v>
      </c>
    </row>
    <row r="75" spans="1:16" s="465" customFormat="1" ht="16.5" customHeight="1" x14ac:dyDescent="0.2">
      <c r="A75" s="492" t="s">
        <v>167</v>
      </c>
      <c r="B75" s="723">
        <f t="shared" si="2"/>
        <v>0.30606966816454462</v>
      </c>
      <c r="C75" s="723">
        <f t="shared" si="2"/>
        <v>0.3698537769715467</v>
      </c>
      <c r="D75" s="723">
        <f t="shared" si="2"/>
        <v>0.43678778932100731</v>
      </c>
      <c r="E75" s="723">
        <f t="shared" si="2"/>
        <v>0.516841425066908</v>
      </c>
      <c r="F75" s="723">
        <f t="shared" si="2"/>
        <v>0.57349710123331166</v>
      </c>
      <c r="G75" s="723">
        <f t="shared" si="2"/>
        <v>0.58917164734507521</v>
      </c>
      <c r="H75" s="723">
        <f t="shared" si="2"/>
        <v>0.60704871551702022</v>
      </c>
      <c r="I75" s="723">
        <f t="shared" si="2"/>
        <v>0.62190694308729444</v>
      </c>
      <c r="J75" s="723">
        <f t="shared" si="2"/>
        <v>0.63966193141581318</v>
      </c>
      <c r="K75" s="723">
        <f t="shared" si="2"/>
        <v>0.63514661943634576</v>
      </c>
      <c r="L75" s="723">
        <f t="shared" si="2"/>
        <v>0.5147771821409155</v>
      </c>
      <c r="M75" s="724">
        <f t="shared" si="2"/>
        <v>0.55607212329530453</v>
      </c>
      <c r="N75" s="724">
        <f t="shared" si="2"/>
        <v>0.59183871287321954</v>
      </c>
      <c r="O75" s="724">
        <f t="shared" si="2"/>
        <v>0.57897445457380659</v>
      </c>
      <c r="P75" s="723">
        <f t="shared" si="3"/>
        <v>0.573746033592481</v>
      </c>
    </row>
    <row r="76" spans="1:16" s="465" customFormat="1" ht="16.5" customHeight="1" x14ac:dyDescent="0.2">
      <c r="A76" s="490" t="s">
        <v>322</v>
      </c>
      <c r="B76" s="721">
        <f t="shared" si="2"/>
        <v>3.4349738836646958E-2</v>
      </c>
      <c r="C76" s="721">
        <f t="shared" si="2"/>
        <v>3.4224909944819325E-2</v>
      </c>
      <c r="D76" s="721">
        <f t="shared" si="2"/>
        <v>4.2943919262124569E-2</v>
      </c>
      <c r="E76" s="721">
        <f t="shared" si="2"/>
        <v>8.3254648983921667E-2</v>
      </c>
      <c r="F76" s="721">
        <f t="shared" si="2"/>
        <v>0.10913088746268608</v>
      </c>
      <c r="G76" s="721">
        <f t="shared" si="2"/>
        <v>0.12043782255134158</v>
      </c>
      <c r="H76" s="721">
        <f t="shared" si="2"/>
        <v>0.13045886968124487</v>
      </c>
      <c r="I76" s="721">
        <f t="shared" si="2"/>
        <v>0.14253464787662928</v>
      </c>
      <c r="J76" s="721">
        <f t="shared" si="2"/>
        <v>0.12969539963535176</v>
      </c>
      <c r="K76" s="721">
        <f t="shared" si="2"/>
        <v>0.14655807854649155</v>
      </c>
      <c r="L76" s="721">
        <f t="shared" si="2"/>
        <v>9.8483310929695173E-2</v>
      </c>
      <c r="M76" s="722">
        <f t="shared" si="2"/>
        <v>0.10404265802365306</v>
      </c>
      <c r="N76" s="722">
        <f t="shared" si="2"/>
        <v>0.12393502608669743</v>
      </c>
      <c r="O76" s="722">
        <f t="shared" si="2"/>
        <v>0.11678028855142436</v>
      </c>
      <c r="P76" s="721">
        <f t="shared" si="3"/>
        <v>0.11546278665939358</v>
      </c>
    </row>
    <row r="77" spans="1:16" s="465" customFormat="1" ht="16.5" customHeight="1" x14ac:dyDescent="0.2">
      <c r="A77" s="492" t="s">
        <v>168</v>
      </c>
      <c r="B77" s="723">
        <f t="shared" si="2"/>
        <v>0.14214362087102456</v>
      </c>
      <c r="C77" s="723">
        <f t="shared" si="2"/>
        <v>0.11604632195090768</v>
      </c>
      <c r="D77" s="723">
        <f t="shared" si="2"/>
        <v>9.143459333147709E-2</v>
      </c>
      <c r="E77" s="723">
        <f t="shared" si="2"/>
        <v>6.1759748715452388E-2</v>
      </c>
      <c r="F77" s="723">
        <f t="shared" si="2"/>
        <v>5.5913301662088757E-2</v>
      </c>
      <c r="G77" s="723">
        <f t="shared" si="2"/>
        <v>6.3717847798306859E-2</v>
      </c>
      <c r="H77" s="723">
        <f t="shared" si="2"/>
        <v>6.2312392565184227E-2</v>
      </c>
      <c r="I77" s="723">
        <f t="shared" si="2"/>
        <v>5.7988583333975843E-2</v>
      </c>
      <c r="J77" s="723">
        <f t="shared" si="2"/>
        <v>4.5942307460794085E-2</v>
      </c>
      <c r="K77" s="723">
        <f t="shared" si="2"/>
        <v>4.9413671641185777E-2</v>
      </c>
      <c r="L77" s="723">
        <f t="shared" si="2"/>
        <v>0.21191401049267081</v>
      </c>
      <c r="M77" s="724">
        <f t="shared" si="2"/>
        <v>6.4745550815233643E-2</v>
      </c>
      <c r="N77" s="724">
        <f t="shared" si="2"/>
        <v>0.10704168110352978</v>
      </c>
      <c r="O77" s="724">
        <f t="shared" si="2"/>
        <v>9.1828926644239389E-2</v>
      </c>
      <c r="P77" s="723">
        <f t="shared" si="3"/>
        <v>9.0376472970448749E-2</v>
      </c>
    </row>
    <row r="78" spans="1:16" s="465" customFormat="1" ht="16.5" customHeight="1" x14ac:dyDescent="0.2">
      <c r="A78" s="490" t="s">
        <v>169</v>
      </c>
      <c r="B78" s="721">
        <f t="shared" si="2"/>
        <v>0.32048294999954779</v>
      </c>
      <c r="C78" s="721">
        <f t="shared" si="2"/>
        <v>0.29716719183530066</v>
      </c>
      <c r="D78" s="721">
        <f t="shared" si="2"/>
        <v>0.27133915468888553</v>
      </c>
      <c r="E78" s="721">
        <f t="shared" si="2"/>
        <v>0.24374643262076021</v>
      </c>
      <c r="F78" s="721">
        <f t="shared" si="2"/>
        <v>0.20679961351046719</v>
      </c>
      <c r="G78" s="721">
        <f t="shared" si="2"/>
        <v>0.18379904210461018</v>
      </c>
      <c r="H78" s="721">
        <f t="shared" si="2"/>
        <v>0.17076006389840703</v>
      </c>
      <c r="I78" s="721">
        <f t="shared" si="2"/>
        <v>0.16281951488618593</v>
      </c>
      <c r="J78" s="721">
        <f t="shared" si="2"/>
        <v>0.15392415675384274</v>
      </c>
      <c r="K78" s="721">
        <f t="shared" si="2"/>
        <v>0.15167514601397483</v>
      </c>
      <c r="L78" s="721">
        <f t="shared" si="2"/>
        <v>0.10478138442820796</v>
      </c>
      <c r="M78" s="722">
        <f t="shared" si="2"/>
        <v>0.20899647136105801</v>
      </c>
      <c r="N78" s="722">
        <f t="shared" si="2"/>
        <v>0.13778535604070294</v>
      </c>
      <c r="O78" s="722">
        <f t="shared" si="2"/>
        <v>0.16339803513839224</v>
      </c>
      <c r="P78" s="721">
        <f t="shared" si="3"/>
        <v>0.1660663506207429</v>
      </c>
    </row>
    <row r="79" spans="1:16" s="465" customFormat="1" ht="16.5" customHeight="1" x14ac:dyDescent="0.2">
      <c r="A79" s="492" t="s">
        <v>170</v>
      </c>
      <c r="B79" s="723">
        <f t="shared" si="2"/>
        <v>0.15532980211184913</v>
      </c>
      <c r="C79" s="723">
        <f t="shared" si="2"/>
        <v>0.18426369673625781</v>
      </c>
      <c r="D79" s="723">
        <f t="shared" si="2"/>
        <v>0.18486298438125595</v>
      </c>
      <c r="E79" s="723">
        <f t="shared" si="2"/>
        <v>0.1735012792254029</v>
      </c>
      <c r="F79" s="723">
        <f t="shared" si="2"/>
        <v>0.15429700219617032</v>
      </c>
      <c r="G79" s="723">
        <f t="shared" si="2"/>
        <v>0.13440782969549694</v>
      </c>
      <c r="H79" s="723">
        <f t="shared" si="2"/>
        <v>0.1229885334337637</v>
      </c>
      <c r="I79" s="723">
        <f t="shared" si="2"/>
        <v>0.12240726134622033</v>
      </c>
      <c r="J79" s="723">
        <f t="shared" si="2"/>
        <v>0.12641808587997844</v>
      </c>
      <c r="K79" s="723">
        <f t="shared" si="2"/>
        <v>0.12626188484180328</v>
      </c>
      <c r="L79" s="723">
        <f t="shared" si="2"/>
        <v>8.7390626889227593E-2</v>
      </c>
      <c r="M79" s="724">
        <f t="shared" si="2"/>
        <v>0.14944654477558883</v>
      </c>
      <c r="N79" s="724">
        <f t="shared" si="2"/>
        <v>0.11196273214861517</v>
      </c>
      <c r="O79" s="724">
        <f t="shared" si="2"/>
        <v>0.12544462833696537</v>
      </c>
      <c r="P79" s="723">
        <f t="shared" si="3"/>
        <v>0.12698561267972358</v>
      </c>
    </row>
    <row r="80" spans="1:16" s="465" customFormat="1" ht="16.5" customHeight="1" x14ac:dyDescent="0.2">
      <c r="A80" s="490" t="s">
        <v>171</v>
      </c>
      <c r="B80" s="721">
        <f t="shared" si="2"/>
        <v>8.3555532978132799E-2</v>
      </c>
      <c r="C80" s="721">
        <f t="shared" si="2"/>
        <v>5.2709477649214805E-2</v>
      </c>
      <c r="D80" s="721">
        <f t="shared" si="2"/>
        <v>2.4165390562161569E-2</v>
      </c>
      <c r="E80" s="721">
        <f t="shared" si="2"/>
        <v>6.3314440373934142E-3</v>
      </c>
      <c r="F80" s="721">
        <f t="shared" si="2"/>
        <v>3.0714310987501521E-3</v>
      </c>
      <c r="G80" s="721">
        <f t="shared" si="2"/>
        <v>2.4225287130069158E-3</v>
      </c>
      <c r="H80" s="721">
        <f t="shared" si="2"/>
        <v>2.0652165641215706E-3</v>
      </c>
      <c r="I80" s="721">
        <f t="shared" si="2"/>
        <v>1.679312946568259E-3</v>
      </c>
      <c r="J80" s="721">
        <f t="shared" si="2"/>
        <v>2.4389120141435779E-3</v>
      </c>
      <c r="K80" s="721">
        <f t="shared" si="2"/>
        <v>3.5559312416293307E-3</v>
      </c>
      <c r="L80" s="721">
        <f t="shared" si="2"/>
        <v>4.230870832634865E-3</v>
      </c>
      <c r="M80" s="722">
        <f t="shared" si="2"/>
        <v>6.4354571556880123E-3</v>
      </c>
      <c r="N80" s="722">
        <f t="shared" si="2"/>
        <v>3.1349454033023157E-3</v>
      </c>
      <c r="O80" s="722">
        <f t="shared" si="2"/>
        <v>4.3220486803278281E-3</v>
      </c>
      <c r="P80" s="721">
        <f t="shared" si="3"/>
        <v>4.5020344317733803E-3</v>
      </c>
    </row>
    <row r="81" spans="1:23" s="465" customFormat="1" ht="16.5" customHeight="1" x14ac:dyDescent="0.2">
      <c r="A81" s="693" t="s">
        <v>607</v>
      </c>
      <c r="B81" s="723">
        <f t="shared" si="2"/>
        <v>8.1597614909565908E-2</v>
      </c>
      <c r="C81" s="723">
        <f t="shared" si="2"/>
        <v>6.019401744982808E-2</v>
      </c>
      <c r="D81" s="723">
        <f t="shared" si="2"/>
        <v>6.2310779745467997E-2</v>
      </c>
      <c r="E81" s="723">
        <f t="shared" si="2"/>
        <v>6.3913709357963894E-2</v>
      </c>
      <c r="F81" s="723">
        <f t="shared" si="2"/>
        <v>4.9431180214523564E-2</v>
      </c>
      <c r="G81" s="723">
        <f t="shared" si="2"/>
        <v>4.6968683696106329E-2</v>
      </c>
      <c r="H81" s="723">
        <f t="shared" si="2"/>
        <v>4.5706313900521767E-2</v>
      </c>
      <c r="I81" s="723">
        <f t="shared" si="2"/>
        <v>3.8732940592677921E-2</v>
      </c>
      <c r="J81" s="723">
        <f t="shared" si="2"/>
        <v>2.5067158859720731E-2</v>
      </c>
      <c r="K81" s="723">
        <f t="shared" si="2"/>
        <v>2.1857329930542214E-2</v>
      </c>
      <c r="L81" s="723">
        <f t="shared" si="2"/>
        <v>1.3159886706868662E-2</v>
      </c>
      <c r="M81" s="724">
        <f t="shared" si="2"/>
        <v>5.311446942978118E-2</v>
      </c>
      <c r="N81" s="724">
        <f t="shared" si="2"/>
        <v>2.2687678488785449E-2</v>
      </c>
      <c r="O81" s="724">
        <f t="shared" si="2"/>
        <v>3.36313581218457E-2</v>
      </c>
      <c r="P81" s="723">
        <f t="shared" si="3"/>
        <v>3.4578703508493749E-2</v>
      </c>
    </row>
    <row r="82" spans="1:23" s="465" customFormat="1" ht="16.5" customHeight="1" x14ac:dyDescent="0.2">
      <c r="A82" s="490" t="s">
        <v>172</v>
      </c>
      <c r="B82" s="721">
        <f t="shared" si="2"/>
        <v>1.6697259738897408E-2</v>
      </c>
      <c r="C82" s="721">
        <f t="shared" si="2"/>
        <v>1.8051609487882092E-2</v>
      </c>
      <c r="D82" s="721">
        <f t="shared" si="2"/>
        <v>2.0779242399309939E-2</v>
      </c>
      <c r="E82" s="721">
        <f t="shared" si="2"/>
        <v>2.6410704567722931E-2</v>
      </c>
      <c r="F82" s="721">
        <f t="shared" si="2"/>
        <v>3.3685142513137832E-2</v>
      </c>
      <c r="G82" s="721">
        <f t="shared" si="2"/>
        <v>3.8773874049333065E-2</v>
      </c>
      <c r="H82" s="721">
        <f t="shared" si="2"/>
        <v>4.601371668770414E-2</v>
      </c>
      <c r="I82" s="721">
        <f t="shared" si="2"/>
        <v>4.8849191726965557E-2</v>
      </c>
      <c r="J82" s="721">
        <f t="shared" si="2"/>
        <v>5.288724135172778E-2</v>
      </c>
      <c r="K82" s="721">
        <f t="shared" si="2"/>
        <v>4.8556557925967886E-2</v>
      </c>
      <c r="L82" s="721">
        <f t="shared" si="2"/>
        <v>3.9312673746549988E-2</v>
      </c>
      <c r="M82" s="722">
        <f t="shared" si="2"/>
        <v>3.5051204957720718E-2</v>
      </c>
      <c r="N82" s="722">
        <f t="shared" si="2"/>
        <v>4.6642247680986113E-2</v>
      </c>
      <c r="O82" s="722">
        <f t="shared" si="2"/>
        <v>4.247326849378591E-2</v>
      </c>
      <c r="P82" s="721">
        <f t="shared" si="3"/>
        <v>4.2669357092669342E-2</v>
      </c>
    </row>
    <row r="83" spans="1:23" s="465" customFormat="1" ht="16.5" customHeight="1" x14ac:dyDescent="0.2">
      <c r="A83" s="492" t="s">
        <v>173</v>
      </c>
      <c r="B83" s="723">
        <f t="shared" si="2"/>
        <v>0.10913238486522177</v>
      </c>
      <c r="C83" s="723">
        <f t="shared" si="2"/>
        <v>8.5821635118726439E-2</v>
      </c>
      <c r="D83" s="723">
        <f t="shared" si="2"/>
        <v>7.6024767904924559E-2</v>
      </c>
      <c r="E83" s="723">
        <f t="shared" si="2"/>
        <v>7.9668521313773999E-2</v>
      </c>
      <c r="F83" s="723">
        <f t="shared" si="2"/>
        <v>7.7583227285545397E-2</v>
      </c>
      <c r="G83" s="723">
        <f t="shared" si="2"/>
        <v>8.073307323599567E-2</v>
      </c>
      <c r="H83" s="723">
        <f t="shared" si="2"/>
        <v>7.7151872761250698E-2</v>
      </c>
      <c r="I83" s="723">
        <f t="shared" si="2"/>
        <v>7.756878344185815E-2</v>
      </c>
      <c r="J83" s="723">
        <f t="shared" si="2"/>
        <v>8.1047507636154412E-2</v>
      </c>
      <c r="K83" s="723">
        <f t="shared" si="2"/>
        <v>8.2436655886414009E-2</v>
      </c>
      <c r="L83" s="723">
        <f t="shared" si="2"/>
        <v>8.3586342201897965E-2</v>
      </c>
      <c r="M83" s="724">
        <f t="shared" si="2"/>
        <v>7.8701400030552066E-2</v>
      </c>
      <c r="N83" s="724">
        <f t="shared" si="2"/>
        <v>8.1581347284792979E-2</v>
      </c>
      <c r="O83" s="724">
        <f t="shared" si="2"/>
        <v>8.0545509487569319E-2</v>
      </c>
      <c r="P83" s="723">
        <f t="shared" si="3"/>
        <v>8.1465168373126964E-2</v>
      </c>
    </row>
    <row r="84" spans="1:23" s="465" customFormat="1" ht="16.5" customHeight="1" x14ac:dyDescent="0.2">
      <c r="A84" s="495" t="s">
        <v>174</v>
      </c>
      <c r="B84" s="725">
        <f t="shared" si="2"/>
        <v>0.10547411636076379</v>
      </c>
      <c r="C84" s="725">
        <f t="shared" si="2"/>
        <v>0.11305946463448463</v>
      </c>
      <c r="D84" s="725">
        <f t="shared" si="2"/>
        <v>0.10363445235310352</v>
      </c>
      <c r="E84" s="725">
        <f t="shared" si="2"/>
        <v>7.1573167714192365E-2</v>
      </c>
      <c r="F84" s="725">
        <f t="shared" si="2"/>
        <v>5.2521613795449083E-2</v>
      </c>
      <c r="G84" s="725">
        <f t="shared" si="2"/>
        <v>4.3804515466679052E-2</v>
      </c>
      <c r="H84" s="725">
        <f t="shared" si="2"/>
        <v>3.6713238570433654E-2</v>
      </c>
      <c r="I84" s="725">
        <f t="shared" si="2"/>
        <v>3.0866983524439499E-2</v>
      </c>
      <c r="J84" s="725">
        <f t="shared" si="2"/>
        <v>2.653685538166781E-2</v>
      </c>
      <c r="K84" s="725">
        <f t="shared" si="2"/>
        <v>3.2771349096111735E-2</v>
      </c>
      <c r="L84" s="725">
        <f t="shared" si="2"/>
        <v>4.5628406990280874E-2</v>
      </c>
      <c r="M84" s="726">
        <f t="shared" si="2"/>
        <v>5.6433249539129711E-2</v>
      </c>
      <c r="N84" s="726">
        <f t="shared" si="2"/>
        <v>3.5110655016768626E-2</v>
      </c>
      <c r="O84" s="726">
        <f t="shared" si="2"/>
        <v>4.2779805662206648E-2</v>
      </c>
      <c r="P84" s="725">
        <f t="shared" si="3"/>
        <v>4.5676617350531065E-2</v>
      </c>
    </row>
    <row r="85" spans="1:23" s="465" customFormat="1" ht="16.5" customHeight="1" x14ac:dyDescent="0.25">
      <c r="A85" s="501" t="s">
        <v>201</v>
      </c>
      <c r="B85" s="729"/>
      <c r="C85" s="729"/>
      <c r="D85" s="729"/>
      <c r="E85" s="729"/>
      <c r="F85" s="729"/>
      <c r="G85" s="729"/>
      <c r="H85" s="729"/>
      <c r="I85" s="729"/>
      <c r="J85" s="729"/>
      <c r="K85" s="729"/>
      <c r="L85" s="729"/>
      <c r="M85" s="730"/>
      <c r="N85" s="730"/>
      <c r="O85" s="730"/>
      <c r="P85" s="731"/>
    </row>
    <row r="86" spans="1:23" s="465" customFormat="1" ht="16.5" customHeight="1" x14ac:dyDescent="0.25">
      <c r="A86" s="498" t="s">
        <v>288</v>
      </c>
      <c r="B86" s="727">
        <f t="shared" ref="B86:O89" si="4">B28/B$28</f>
        <v>1</v>
      </c>
      <c r="C86" s="727">
        <f t="shared" si="4"/>
        <v>1</v>
      </c>
      <c r="D86" s="727">
        <f t="shared" si="4"/>
        <v>1</v>
      </c>
      <c r="E86" s="727">
        <f t="shared" si="4"/>
        <v>1</v>
      </c>
      <c r="F86" s="727">
        <f t="shared" si="4"/>
        <v>1</v>
      </c>
      <c r="G86" s="727">
        <f t="shared" si="4"/>
        <v>1</v>
      </c>
      <c r="H86" s="727">
        <f t="shared" si="4"/>
        <v>1</v>
      </c>
      <c r="I86" s="727">
        <f t="shared" si="4"/>
        <v>1</v>
      </c>
      <c r="J86" s="727">
        <f t="shared" si="4"/>
        <v>1</v>
      </c>
      <c r="K86" s="727">
        <f t="shared" si="4"/>
        <v>1</v>
      </c>
      <c r="L86" s="727">
        <f t="shared" si="4"/>
        <v>1</v>
      </c>
      <c r="M86" s="728">
        <f t="shared" si="4"/>
        <v>1</v>
      </c>
      <c r="N86" s="728">
        <f t="shared" si="4"/>
        <v>1</v>
      </c>
      <c r="O86" s="728">
        <f t="shared" si="4"/>
        <v>1</v>
      </c>
      <c r="P86" s="727">
        <f t="shared" ref="P86:P89" si="5">P28/P$28</f>
        <v>1</v>
      </c>
    </row>
    <row r="87" spans="1:23" s="465" customFormat="1" ht="16.5" customHeight="1" x14ac:dyDescent="0.2">
      <c r="A87" s="490" t="s">
        <v>178</v>
      </c>
      <c r="B87" s="721">
        <f t="shared" si="4"/>
        <v>0.94515930190130648</v>
      </c>
      <c r="C87" s="721">
        <f t="shared" si="4"/>
        <v>0.9450954506114807</v>
      </c>
      <c r="D87" s="721">
        <f t="shared" si="4"/>
        <v>0.93738972855663927</v>
      </c>
      <c r="E87" s="721">
        <f t="shared" si="4"/>
        <v>0.94658318277368736</v>
      </c>
      <c r="F87" s="721">
        <f t="shared" si="4"/>
        <v>0.94353643681548183</v>
      </c>
      <c r="G87" s="721">
        <f t="shared" si="4"/>
        <v>0.93982777266662798</v>
      </c>
      <c r="H87" s="721">
        <f t="shared" si="4"/>
        <v>0.94214494330012954</v>
      </c>
      <c r="I87" s="721">
        <f t="shared" si="4"/>
        <v>0.92928298730946823</v>
      </c>
      <c r="J87" s="721">
        <f t="shared" si="4"/>
        <v>0.91616518717627204</v>
      </c>
      <c r="K87" s="721">
        <f t="shared" si="4"/>
        <v>0.89928046949418039</v>
      </c>
      <c r="L87" s="721">
        <f t="shared" si="4"/>
        <v>0.80056136573985393</v>
      </c>
      <c r="M87" s="722">
        <f t="shared" si="4"/>
        <v>0.94314088550908248</v>
      </c>
      <c r="N87" s="722">
        <f t="shared" si="4"/>
        <v>0.87852322630633695</v>
      </c>
      <c r="O87" s="722">
        <f t="shared" si="4"/>
        <v>0.90719373739660725</v>
      </c>
      <c r="P87" s="721">
        <f t="shared" si="5"/>
        <v>0.90955037256820892</v>
      </c>
    </row>
    <row r="88" spans="1:23" s="465" customFormat="1" ht="16.5" customHeight="1" x14ac:dyDescent="0.2">
      <c r="A88" s="492" t="s">
        <v>179</v>
      </c>
      <c r="B88" s="723">
        <f t="shared" si="4"/>
        <v>4.1180960593243533E-2</v>
      </c>
      <c r="C88" s="723">
        <f t="shared" si="4"/>
        <v>3.9001082310072266E-2</v>
      </c>
      <c r="D88" s="723">
        <f t="shared" si="4"/>
        <v>3.6257144149617393E-2</v>
      </c>
      <c r="E88" s="723">
        <f t="shared" si="4"/>
        <v>3.0893893765868475E-2</v>
      </c>
      <c r="F88" s="723">
        <f t="shared" si="4"/>
        <v>3.1438672831793989E-2</v>
      </c>
      <c r="G88" s="723">
        <f t="shared" si="4"/>
        <v>3.7442279921826326E-2</v>
      </c>
      <c r="H88" s="723">
        <f t="shared" si="4"/>
        <v>3.6759384217568386E-2</v>
      </c>
      <c r="I88" s="723">
        <f t="shared" si="4"/>
        <v>4.2123102270593259E-2</v>
      </c>
      <c r="J88" s="723">
        <f t="shared" si="4"/>
        <v>4.3227722301957719E-2</v>
      </c>
      <c r="K88" s="723">
        <f t="shared" si="4"/>
        <v>4.8732573903295565E-2</v>
      </c>
      <c r="L88" s="723">
        <f t="shared" si="4"/>
        <v>0.16008172840623849</v>
      </c>
      <c r="M88" s="724">
        <f t="shared" si="4"/>
        <v>3.4153293980192213E-2</v>
      </c>
      <c r="N88" s="724">
        <f t="shared" si="4"/>
        <v>8.1393914544555676E-2</v>
      </c>
      <c r="O88" s="724">
        <f t="shared" si="4"/>
        <v>6.0433502906268137E-2</v>
      </c>
      <c r="P88" s="723">
        <f t="shared" si="5"/>
        <v>5.7863798875572275E-2</v>
      </c>
    </row>
    <row r="89" spans="1:23" s="465" customFormat="1" ht="16.5" customHeight="1" x14ac:dyDescent="0.2">
      <c r="A89" s="495" t="s">
        <v>180</v>
      </c>
      <c r="B89" s="725">
        <f t="shared" si="4"/>
        <v>1.3659737503307255E-2</v>
      </c>
      <c r="C89" s="725">
        <f t="shared" si="4"/>
        <v>1.5903467078447121E-2</v>
      </c>
      <c r="D89" s="725">
        <f t="shared" si="4"/>
        <v>2.6353127293743277E-2</v>
      </c>
      <c r="E89" s="725">
        <f t="shared" si="4"/>
        <v>2.2522923460444284E-2</v>
      </c>
      <c r="F89" s="725">
        <f t="shared" si="4"/>
        <v>2.5024890352724188E-2</v>
      </c>
      <c r="G89" s="725">
        <f t="shared" si="4"/>
        <v>2.272994741154568E-2</v>
      </c>
      <c r="H89" s="725">
        <f t="shared" si="4"/>
        <v>2.1095672482301962E-2</v>
      </c>
      <c r="I89" s="725">
        <f t="shared" si="4"/>
        <v>2.8593910419938452E-2</v>
      </c>
      <c r="J89" s="725">
        <f t="shared" si="4"/>
        <v>4.0607090521770327E-2</v>
      </c>
      <c r="K89" s="725">
        <f t="shared" si="4"/>
        <v>5.1986956602524038E-2</v>
      </c>
      <c r="L89" s="725">
        <f t="shared" si="4"/>
        <v>3.9356905853907657E-2</v>
      </c>
      <c r="M89" s="726">
        <f t="shared" si="4"/>
        <v>2.2705820510725352E-2</v>
      </c>
      <c r="N89" s="726">
        <f t="shared" si="4"/>
        <v>4.0082859149107412E-2</v>
      </c>
      <c r="O89" s="726">
        <f t="shared" si="4"/>
        <v>3.237275969464349E-2</v>
      </c>
      <c r="P89" s="725">
        <f t="shared" si="5"/>
        <v>3.2585828556218853E-2</v>
      </c>
    </row>
    <row r="90" spans="1:23" s="465" customFormat="1" ht="16.5" customHeight="1" x14ac:dyDescent="0.25">
      <c r="A90" s="498" t="s">
        <v>289</v>
      </c>
      <c r="B90" s="727">
        <f t="shared" ref="B90:O93" si="6">B32/B$32</f>
        <v>1</v>
      </c>
      <c r="C90" s="727">
        <f t="shared" si="6"/>
        <v>1</v>
      </c>
      <c r="D90" s="727">
        <f t="shared" si="6"/>
        <v>1</v>
      </c>
      <c r="E90" s="727">
        <f t="shared" si="6"/>
        <v>1</v>
      </c>
      <c r="F90" s="727">
        <f t="shared" si="6"/>
        <v>1</v>
      </c>
      <c r="G90" s="727">
        <f t="shared" si="6"/>
        <v>1</v>
      </c>
      <c r="H90" s="727">
        <f t="shared" si="6"/>
        <v>1</v>
      </c>
      <c r="I90" s="727">
        <f t="shared" si="6"/>
        <v>1</v>
      </c>
      <c r="J90" s="727">
        <f t="shared" si="6"/>
        <v>1</v>
      </c>
      <c r="K90" s="727">
        <f t="shared" si="6"/>
        <v>1</v>
      </c>
      <c r="L90" s="727">
        <f t="shared" si="6"/>
        <v>1</v>
      </c>
      <c r="M90" s="728">
        <f t="shared" si="6"/>
        <v>1</v>
      </c>
      <c r="N90" s="728">
        <f t="shared" si="6"/>
        <v>1</v>
      </c>
      <c r="O90" s="728">
        <f t="shared" si="6"/>
        <v>1</v>
      </c>
      <c r="P90" s="727">
        <f t="shared" ref="P90:P93" si="7">P32/P$32</f>
        <v>1</v>
      </c>
    </row>
    <row r="91" spans="1:23" s="465" customFormat="1" ht="16.5" customHeight="1" x14ac:dyDescent="0.2">
      <c r="A91" s="490" t="s">
        <v>182</v>
      </c>
      <c r="B91" s="721">
        <f t="shared" si="6"/>
        <v>0.25228966886332604</v>
      </c>
      <c r="C91" s="721">
        <f t="shared" si="6"/>
        <v>0.21985886267175231</v>
      </c>
      <c r="D91" s="721">
        <f t="shared" si="6"/>
        <v>0.21486379089686194</v>
      </c>
      <c r="E91" s="721">
        <f t="shared" si="6"/>
        <v>0.22338553808832426</v>
      </c>
      <c r="F91" s="721">
        <f t="shared" si="6"/>
        <v>0.23678090065510637</v>
      </c>
      <c r="G91" s="721">
        <f t="shared" si="6"/>
        <v>0.24883521655002233</v>
      </c>
      <c r="H91" s="721">
        <f t="shared" si="6"/>
        <v>0.25536894407761868</v>
      </c>
      <c r="I91" s="721">
        <f t="shared" si="6"/>
        <v>0.25781530913474388</v>
      </c>
      <c r="J91" s="721">
        <f t="shared" si="6"/>
        <v>0.2493657490503508</v>
      </c>
      <c r="K91" s="721">
        <f t="shared" si="6"/>
        <v>0.23823803663284718</v>
      </c>
      <c r="L91" s="721">
        <f t="shared" si="6"/>
        <v>0.33751693543572264</v>
      </c>
      <c r="M91" s="722">
        <f t="shared" si="6"/>
        <v>0.23650071575916892</v>
      </c>
      <c r="N91" s="722">
        <f t="shared" si="6"/>
        <v>0.26801975172277775</v>
      </c>
      <c r="O91" s="722">
        <f t="shared" si="6"/>
        <v>0.25222349683834794</v>
      </c>
      <c r="P91" s="721">
        <f t="shared" si="7"/>
        <v>0.24609757606140661</v>
      </c>
    </row>
    <row r="92" spans="1:23" s="465" customFormat="1" ht="16.5" customHeight="1" x14ac:dyDescent="0.2">
      <c r="A92" s="492" t="s">
        <v>183</v>
      </c>
      <c r="B92" s="723">
        <f t="shared" si="6"/>
        <v>0.68733739734863697</v>
      </c>
      <c r="C92" s="723">
        <f t="shared" si="6"/>
        <v>0.69777802753454665</v>
      </c>
      <c r="D92" s="723">
        <f t="shared" si="6"/>
        <v>0.66459731088561158</v>
      </c>
      <c r="E92" s="723">
        <f t="shared" si="6"/>
        <v>0.65446954109567212</v>
      </c>
      <c r="F92" s="723">
        <f t="shared" si="6"/>
        <v>0.62104695789510866</v>
      </c>
      <c r="G92" s="723">
        <f t="shared" si="6"/>
        <v>0.58472896024662913</v>
      </c>
      <c r="H92" s="723">
        <f t="shared" si="6"/>
        <v>0.56779845243389149</v>
      </c>
      <c r="I92" s="723">
        <f t="shared" si="6"/>
        <v>0.57404879268042863</v>
      </c>
      <c r="J92" s="723">
        <f t="shared" si="6"/>
        <v>0.52530850889170488</v>
      </c>
      <c r="K92" s="723">
        <f t="shared" si="6"/>
        <v>0.46283649649386877</v>
      </c>
      <c r="L92" s="723">
        <f t="shared" si="6"/>
        <v>0.41327175752089695</v>
      </c>
      <c r="M92" s="724">
        <f t="shared" si="6"/>
        <v>0.61984076900509411</v>
      </c>
      <c r="N92" s="724">
        <f t="shared" si="6"/>
        <v>0.49712098539363053</v>
      </c>
      <c r="O92" s="724">
        <f t="shared" si="6"/>
        <v>0.5586239128295809</v>
      </c>
      <c r="P92" s="723">
        <f t="shared" si="7"/>
        <v>0.56153022175999079</v>
      </c>
    </row>
    <row r="93" spans="1:23" s="465" customFormat="1" ht="16.5" customHeight="1" x14ac:dyDescent="0.2">
      <c r="A93" s="490" t="s">
        <v>184</v>
      </c>
      <c r="B93" s="725">
        <f t="shared" si="6"/>
        <v>6.0372933788037014E-2</v>
      </c>
      <c r="C93" s="725">
        <f t="shared" si="6"/>
        <v>8.2363109793701192E-2</v>
      </c>
      <c r="D93" s="725">
        <f t="shared" si="6"/>
        <v>0.12053889821752654</v>
      </c>
      <c r="E93" s="725">
        <f t="shared" si="6"/>
        <v>0.1221449208102821</v>
      </c>
      <c r="F93" s="725">
        <f t="shared" si="6"/>
        <v>0.14217214145538645</v>
      </c>
      <c r="G93" s="725">
        <f t="shared" si="6"/>
        <v>0.16643582320334857</v>
      </c>
      <c r="H93" s="725">
        <f t="shared" si="6"/>
        <v>0.1768326034884897</v>
      </c>
      <c r="I93" s="725">
        <f t="shared" si="6"/>
        <v>0.1681358981848276</v>
      </c>
      <c r="J93" s="725">
        <f t="shared" si="6"/>
        <v>0.2253257420634415</v>
      </c>
      <c r="K93" s="725">
        <f t="shared" si="6"/>
        <v>0.2989254668684892</v>
      </c>
      <c r="L93" s="725">
        <f t="shared" si="6"/>
        <v>0.2492113070433804</v>
      </c>
      <c r="M93" s="726">
        <f t="shared" si="6"/>
        <v>0.14365851523573706</v>
      </c>
      <c r="N93" s="726">
        <f t="shared" si="6"/>
        <v>0.23485926287746436</v>
      </c>
      <c r="O93" s="726">
        <f t="shared" si="6"/>
        <v>0.1891525903379758</v>
      </c>
      <c r="P93" s="725">
        <f t="shared" si="7"/>
        <v>0.19237220217860257</v>
      </c>
    </row>
    <row r="94" spans="1:23" s="465" customFormat="1" ht="16.5" customHeight="1" x14ac:dyDescent="0.25">
      <c r="A94" s="544" t="s">
        <v>226</v>
      </c>
      <c r="B94" s="732"/>
      <c r="C94" s="732"/>
      <c r="D94" s="732"/>
      <c r="E94" s="732"/>
      <c r="F94" s="732"/>
      <c r="G94" s="732"/>
      <c r="H94" s="732"/>
      <c r="I94" s="732"/>
      <c r="J94" s="732"/>
      <c r="K94" s="732"/>
      <c r="L94" s="732"/>
      <c r="M94" s="733"/>
      <c r="N94" s="733"/>
      <c r="O94" s="733"/>
      <c r="P94" s="734"/>
      <c r="V94" s="519"/>
      <c r="W94" s="519"/>
    </row>
    <row r="95" spans="1:23" s="465" customFormat="1" ht="16.5" customHeight="1" x14ac:dyDescent="0.2">
      <c r="A95" s="550" t="s">
        <v>793</v>
      </c>
      <c r="B95" s="735">
        <v>0.26578463800000002</v>
      </c>
      <c r="C95" s="735">
        <v>0.246920322</v>
      </c>
      <c r="D95" s="735">
        <v>0.218316859</v>
      </c>
      <c r="E95" s="735">
        <v>0.196850633</v>
      </c>
      <c r="F95" s="735">
        <v>0.18800247</v>
      </c>
      <c r="G95" s="735">
        <v>0.17949976500000001</v>
      </c>
      <c r="H95" s="735">
        <v>0.16192746699999999</v>
      </c>
      <c r="I95" s="735">
        <v>0.14086710299999999</v>
      </c>
      <c r="J95" s="735">
        <v>0.13095221100000001</v>
      </c>
      <c r="K95" s="735">
        <v>0.137651618</v>
      </c>
      <c r="L95" s="735">
        <v>9.2153317999999998E-2</v>
      </c>
      <c r="M95" s="736">
        <v>0.18461976899999999</v>
      </c>
      <c r="N95" s="736">
        <v>0.120214311</v>
      </c>
      <c r="O95" s="736">
        <v>0.14337918199999999</v>
      </c>
      <c r="P95" s="735">
        <v>0.148300929</v>
      </c>
    </row>
    <row r="96" spans="1:23" s="571" customFormat="1" ht="16.5" customHeight="1" x14ac:dyDescent="0.2">
      <c r="A96" s="562" t="s">
        <v>407</v>
      </c>
      <c r="B96" s="741">
        <v>0.203921771</v>
      </c>
      <c r="C96" s="741">
        <v>0.25650284600000001</v>
      </c>
      <c r="D96" s="741">
        <v>0.34017390600000003</v>
      </c>
      <c r="E96" s="741">
        <v>0.44891939600000003</v>
      </c>
      <c r="F96" s="741">
        <v>0.51375267400000002</v>
      </c>
      <c r="G96" s="741">
        <v>0.54211165500000003</v>
      </c>
      <c r="H96" s="741">
        <v>0.56873875900000004</v>
      </c>
      <c r="I96" s="741">
        <v>0.59464202300000002</v>
      </c>
      <c r="J96" s="741">
        <v>0.60581357199999997</v>
      </c>
      <c r="K96" s="741">
        <v>0.598391059</v>
      </c>
      <c r="L96" s="741">
        <v>0.49308695299999999</v>
      </c>
      <c r="M96" s="742">
        <v>0.50071316499999996</v>
      </c>
      <c r="N96" s="742">
        <v>0.56170511099999998</v>
      </c>
      <c r="O96" s="742">
        <v>0.54082411200000002</v>
      </c>
      <c r="P96" s="721">
        <v>0.53555837900000003</v>
      </c>
    </row>
    <row r="97" spans="1:16" s="465" customFormat="1" ht="16.5" customHeight="1" x14ac:dyDescent="0.25">
      <c r="A97" s="546" t="s">
        <v>420</v>
      </c>
      <c r="B97" s="737">
        <v>0.80428495899999997</v>
      </c>
      <c r="C97" s="737">
        <v>0.83494655299999998</v>
      </c>
      <c r="D97" s="737">
        <v>0.86220088900000003</v>
      </c>
      <c r="E97" s="737">
        <v>0.87960105</v>
      </c>
      <c r="F97" s="737">
        <v>0.87751248699999995</v>
      </c>
      <c r="G97" s="737">
        <v>0.87896318900000003</v>
      </c>
      <c r="H97" s="737">
        <v>0.89690040500000001</v>
      </c>
      <c r="I97" s="737">
        <v>0.91410596899999996</v>
      </c>
      <c r="J97" s="737">
        <v>0.93154031500000001</v>
      </c>
      <c r="K97" s="737">
        <v>0.93849750099999996</v>
      </c>
      <c r="L97" s="737">
        <v>0.96624822399999999</v>
      </c>
      <c r="M97" s="738">
        <v>0.88211479500000001</v>
      </c>
      <c r="N97" s="738">
        <v>0.941948856</v>
      </c>
      <c r="O97" s="738">
        <v>0.92042818999999998</v>
      </c>
      <c r="P97" s="723">
        <v>0.91681483399999997</v>
      </c>
    </row>
    <row r="98" spans="1:16" s="465" customFormat="1" ht="16.5" customHeight="1" x14ac:dyDescent="0.2">
      <c r="A98" s="562" t="s">
        <v>462</v>
      </c>
      <c r="B98" s="721">
        <v>0.40184158800000003</v>
      </c>
      <c r="C98" s="721">
        <v>0.41070483699999999</v>
      </c>
      <c r="D98" s="721">
        <v>0.39480580500000001</v>
      </c>
      <c r="E98" s="721">
        <v>0.39052722499999998</v>
      </c>
      <c r="F98" s="721">
        <v>0.37359978999999999</v>
      </c>
      <c r="G98" s="721">
        <v>0.33550825200000001</v>
      </c>
      <c r="H98" s="721">
        <v>0.31066637499999999</v>
      </c>
      <c r="I98" s="721">
        <v>0.26657439500000002</v>
      </c>
      <c r="J98" s="721">
        <v>0.254270679</v>
      </c>
      <c r="K98" s="721">
        <v>0.25350650499999999</v>
      </c>
      <c r="L98" s="721">
        <v>0.194021534</v>
      </c>
      <c r="M98" s="722">
        <v>0.35519773399999999</v>
      </c>
      <c r="N98" s="722">
        <v>0.235080657</v>
      </c>
      <c r="O98" s="722">
        <v>0.27828346500000001</v>
      </c>
      <c r="P98" s="721">
        <v>0.28683293999999998</v>
      </c>
    </row>
    <row r="99" spans="1:16" s="465" customFormat="1" ht="16.5" customHeight="1" x14ac:dyDescent="0.25">
      <c r="A99" s="492" t="s">
        <v>409</v>
      </c>
      <c r="B99" s="723">
        <v>0.39384339400000001</v>
      </c>
      <c r="C99" s="723">
        <v>0.48353089399999999</v>
      </c>
      <c r="D99" s="723">
        <v>0.51352137399999997</v>
      </c>
      <c r="E99" s="723">
        <v>0.57020525399999999</v>
      </c>
      <c r="F99" s="723">
        <v>0.59727230499999995</v>
      </c>
      <c r="G99" s="723">
        <v>0.58181781300000002</v>
      </c>
      <c r="H99" s="723">
        <v>0.56674990000000003</v>
      </c>
      <c r="I99" s="723">
        <v>0.55304577600000004</v>
      </c>
      <c r="J99" s="723">
        <v>0.62381261099999996</v>
      </c>
      <c r="K99" s="723">
        <v>0.77187591499999997</v>
      </c>
      <c r="L99" s="723">
        <v>0.98520263399999997</v>
      </c>
      <c r="M99" s="724">
        <v>0.56891110300000003</v>
      </c>
      <c r="N99" s="724">
        <v>0.76485387900000001</v>
      </c>
      <c r="O99" s="724">
        <v>0.69437865300000001</v>
      </c>
      <c r="P99" s="737">
        <v>0.69401103600000003</v>
      </c>
    </row>
    <row r="100" spans="1:16" s="465" customFormat="1" ht="16.5" customHeight="1" x14ac:dyDescent="0.2">
      <c r="A100" s="495" t="s">
        <v>790</v>
      </c>
      <c r="B100" s="739">
        <v>1.4818139880000001</v>
      </c>
      <c r="C100" s="739">
        <v>1.958246656</v>
      </c>
      <c r="D100" s="739">
        <v>2.3521837749999999</v>
      </c>
      <c r="E100" s="739">
        <v>2.896639167</v>
      </c>
      <c r="F100" s="739">
        <v>3.176938609</v>
      </c>
      <c r="G100" s="739">
        <v>3.2413291040000001</v>
      </c>
      <c r="H100" s="739">
        <v>3.5000232599999999</v>
      </c>
      <c r="I100" s="739">
        <v>3.9260108659999999</v>
      </c>
      <c r="J100" s="739">
        <v>4.7636661179999997</v>
      </c>
      <c r="K100" s="739">
        <v>5.6074597910000001</v>
      </c>
      <c r="L100" s="739">
        <v>10.690907835000001</v>
      </c>
      <c r="M100" s="740">
        <v>3.0815286340000001</v>
      </c>
      <c r="N100" s="740">
        <v>6.3624195119999998</v>
      </c>
      <c r="O100" s="740">
        <v>4.8429530830000003</v>
      </c>
      <c r="P100" s="739">
        <v>4.6797484120000004</v>
      </c>
    </row>
    <row r="101" spans="1:16" x14ac:dyDescent="0.2">
      <c r="A101" s="255" t="s">
        <v>505</v>
      </c>
      <c r="B101" s="13"/>
      <c r="C101" s="13"/>
      <c r="D101" s="13"/>
      <c r="E101" s="13"/>
      <c r="F101" s="13"/>
      <c r="G101" s="13"/>
      <c r="H101" s="13"/>
      <c r="I101" s="13"/>
      <c r="J101" s="13"/>
      <c r="K101" s="13"/>
      <c r="L101" s="13"/>
      <c r="M101" s="215"/>
      <c r="N101" s="215"/>
      <c r="O101" s="215"/>
      <c r="P101" s="39"/>
    </row>
    <row r="102" spans="1:16" x14ac:dyDescent="0.2">
      <c r="A102" s="168" t="s">
        <v>616</v>
      </c>
      <c r="B102" s="13"/>
      <c r="C102" s="13"/>
      <c r="D102" s="13"/>
      <c r="E102" s="13"/>
      <c r="F102" s="13"/>
      <c r="G102" s="13"/>
      <c r="H102" s="13"/>
      <c r="I102" s="13"/>
      <c r="J102" s="13"/>
      <c r="K102" s="13"/>
      <c r="L102" s="13"/>
      <c r="M102" s="215"/>
      <c r="N102" s="215"/>
      <c r="O102" s="215"/>
      <c r="P102" s="39"/>
    </row>
    <row r="103" spans="1:16" x14ac:dyDescent="0.2">
      <c r="A103" s="255" t="s">
        <v>994</v>
      </c>
      <c r="B103" s="13"/>
      <c r="C103" s="13"/>
      <c r="D103" s="13"/>
      <c r="E103" s="13"/>
      <c r="F103" s="13"/>
      <c r="G103" s="13"/>
      <c r="H103" s="13"/>
      <c r="I103" s="13"/>
      <c r="J103" s="13"/>
      <c r="K103" s="13"/>
      <c r="L103" s="13"/>
      <c r="M103" s="215"/>
      <c r="N103" s="215"/>
      <c r="O103" s="215"/>
      <c r="P103" s="39"/>
    </row>
    <row r="104" spans="1:16" x14ac:dyDescent="0.2">
      <c r="A104" s="286" t="s">
        <v>916</v>
      </c>
      <c r="B104" s="3"/>
      <c r="C104" s="3"/>
      <c r="D104" s="3"/>
      <c r="G104" s="185"/>
      <c r="J104" s="185"/>
      <c r="M104" s="215"/>
      <c r="N104" s="215"/>
      <c r="O104" s="215"/>
    </row>
    <row r="105" spans="1:16" x14ac:dyDescent="0.2">
      <c r="A105" s="13"/>
      <c r="B105" s="13"/>
      <c r="C105" s="13"/>
      <c r="D105" s="13"/>
      <c r="E105" s="13"/>
      <c r="F105" s="13"/>
      <c r="G105" s="13"/>
      <c r="H105" s="13"/>
      <c r="I105" s="13"/>
      <c r="J105" s="13"/>
      <c r="K105" s="13"/>
      <c r="L105" s="13"/>
      <c r="M105" s="215"/>
      <c r="N105" s="215"/>
      <c r="O105" s="215"/>
      <c r="P105" s="39"/>
    </row>
    <row r="106" spans="1:16" s="677" customFormat="1" ht="23.25" customHeight="1" x14ac:dyDescent="0.2">
      <c r="A106" s="678" t="s">
        <v>935</v>
      </c>
      <c r="B106" s="679"/>
      <c r="C106" s="679"/>
      <c r="D106" s="679"/>
      <c r="E106" s="679"/>
      <c r="F106" s="679"/>
      <c r="G106" s="679"/>
      <c r="H106" s="679"/>
      <c r="I106" s="679"/>
      <c r="J106" s="679"/>
      <c r="K106" s="679"/>
      <c r="L106" s="679"/>
      <c r="M106" s="680"/>
      <c r="N106" s="680"/>
      <c r="O106" s="680"/>
      <c r="P106" s="681"/>
    </row>
    <row r="107" spans="1:16" ht="13.5" thickBot="1" x14ac:dyDescent="0.25">
      <c r="A107" s="13"/>
      <c r="B107" s="13"/>
      <c r="C107" s="13"/>
      <c r="D107" s="13"/>
      <c r="E107" s="13"/>
      <c r="F107" s="13"/>
      <c r="G107" s="13"/>
      <c r="H107" s="13"/>
      <c r="I107" s="13"/>
      <c r="J107" s="13"/>
      <c r="K107" s="13"/>
      <c r="L107" s="13"/>
      <c r="M107" s="215"/>
      <c r="N107" s="215"/>
      <c r="O107" s="215"/>
      <c r="P107" s="39"/>
    </row>
    <row r="108" spans="1:16" ht="15" customHeight="1" x14ac:dyDescent="0.2">
      <c r="A108" s="565" t="s">
        <v>81</v>
      </c>
      <c r="B108" s="42" t="s">
        <v>35</v>
      </c>
      <c r="C108" s="42" t="s">
        <v>121</v>
      </c>
      <c r="D108" s="42" t="s">
        <v>123</v>
      </c>
      <c r="E108" s="42" t="s">
        <v>36</v>
      </c>
      <c r="F108" s="42" t="s">
        <v>37</v>
      </c>
      <c r="G108" s="42" t="s">
        <v>38</v>
      </c>
      <c r="H108" s="42" t="s">
        <v>39</v>
      </c>
      <c r="I108" s="42" t="s">
        <v>125</v>
      </c>
      <c r="J108" s="42" t="s">
        <v>126</v>
      </c>
      <c r="K108" s="42" t="s">
        <v>127</v>
      </c>
      <c r="L108" s="252">
        <v>100000</v>
      </c>
      <c r="M108" s="250" t="s">
        <v>231</v>
      </c>
      <c r="N108" s="250" t="s">
        <v>229</v>
      </c>
      <c r="O108" s="257" t="s">
        <v>77</v>
      </c>
      <c r="P108" s="281" t="s">
        <v>220</v>
      </c>
    </row>
    <row r="109" spans="1:16" ht="15" customHeight="1" x14ac:dyDescent="0.2">
      <c r="A109" s="229" t="s">
        <v>225</v>
      </c>
      <c r="B109" s="43" t="s">
        <v>120</v>
      </c>
      <c r="C109" s="43" t="s">
        <v>40</v>
      </c>
      <c r="D109" s="43" t="s">
        <v>40</v>
      </c>
      <c r="E109" s="43" t="s">
        <v>40</v>
      </c>
      <c r="F109" s="43" t="s">
        <v>40</v>
      </c>
      <c r="G109" s="43" t="s">
        <v>40</v>
      </c>
      <c r="H109" s="43" t="s">
        <v>40</v>
      </c>
      <c r="I109" s="43" t="s">
        <v>40</v>
      </c>
      <c r="J109" s="43" t="s">
        <v>40</v>
      </c>
      <c r="K109" s="43" t="s">
        <v>40</v>
      </c>
      <c r="L109" s="43" t="s">
        <v>43</v>
      </c>
      <c r="M109" s="239" t="s">
        <v>230</v>
      </c>
      <c r="N109" s="239" t="s">
        <v>138</v>
      </c>
      <c r="O109" s="256" t="s">
        <v>137</v>
      </c>
      <c r="P109" s="282" t="s">
        <v>284</v>
      </c>
    </row>
    <row r="110" spans="1:16" ht="15" customHeight="1" thickBot="1" x14ac:dyDescent="0.25">
      <c r="A110" s="423" t="s">
        <v>82</v>
      </c>
      <c r="B110" s="44" t="s">
        <v>43</v>
      </c>
      <c r="C110" s="44" t="s">
        <v>122</v>
      </c>
      <c r="D110" s="44" t="s">
        <v>124</v>
      </c>
      <c r="E110" s="44" t="s">
        <v>44</v>
      </c>
      <c r="F110" s="44" t="s">
        <v>45</v>
      </c>
      <c r="G110" s="44" t="s">
        <v>46</v>
      </c>
      <c r="H110" s="44" t="s">
        <v>42</v>
      </c>
      <c r="I110" s="44" t="s">
        <v>128</v>
      </c>
      <c r="J110" s="44" t="s">
        <v>129</v>
      </c>
      <c r="K110" s="44" t="s">
        <v>130</v>
      </c>
      <c r="L110" s="44" t="s">
        <v>131</v>
      </c>
      <c r="M110" s="251" t="s">
        <v>138</v>
      </c>
      <c r="N110" s="251" t="s">
        <v>131</v>
      </c>
      <c r="O110" s="258" t="s">
        <v>41</v>
      </c>
      <c r="P110" s="283" t="s">
        <v>239</v>
      </c>
    </row>
    <row r="111" spans="1:16" ht="15" customHeight="1" x14ac:dyDescent="0.25">
      <c r="A111" s="544" t="s">
        <v>223</v>
      </c>
      <c r="B111" s="192"/>
      <c r="C111" s="192"/>
      <c r="D111" s="192"/>
      <c r="E111" s="192"/>
      <c r="F111" s="192"/>
      <c r="G111" s="192"/>
      <c r="H111" s="192"/>
      <c r="I111" s="192"/>
      <c r="J111" s="192"/>
      <c r="K111" s="192"/>
      <c r="L111" s="192"/>
      <c r="M111" s="253"/>
      <c r="N111" s="253"/>
      <c r="O111" s="253"/>
    </row>
    <row r="112" spans="1:16" s="465" customFormat="1" ht="16.5" customHeight="1" x14ac:dyDescent="0.25">
      <c r="A112" s="487" t="s">
        <v>286</v>
      </c>
      <c r="B112" s="572">
        <v>4.7925432729999997</v>
      </c>
      <c r="C112" s="572">
        <v>4.9909302760000003</v>
      </c>
      <c r="D112" s="572">
        <v>4.9731907910000004</v>
      </c>
      <c r="E112" s="572">
        <v>4.7320161540000001</v>
      </c>
      <c r="F112" s="572">
        <v>4.3698595840000003</v>
      </c>
      <c r="G112" s="572">
        <v>3.9665714950000002</v>
      </c>
      <c r="H112" s="572">
        <v>3.8859455820000002</v>
      </c>
      <c r="I112" s="572">
        <v>3.5399280339999999</v>
      </c>
      <c r="J112" s="572">
        <v>3.046612374</v>
      </c>
      <c r="K112" s="572">
        <v>3.5979385740000001</v>
      </c>
      <c r="L112" s="572">
        <v>5.1679362580000001</v>
      </c>
      <c r="M112" s="573">
        <v>4.3029201580000001</v>
      </c>
      <c r="N112" s="573">
        <v>3.9892071869999999</v>
      </c>
      <c r="O112" s="573">
        <v>4.0964220029999998</v>
      </c>
      <c r="P112" s="572">
        <v>4.1179418459999999</v>
      </c>
    </row>
    <row r="113" spans="1:16" s="465" customFormat="1" ht="15.75" customHeight="1" x14ac:dyDescent="0.2">
      <c r="A113" s="490" t="s">
        <v>161</v>
      </c>
      <c r="B113" s="574">
        <v>7.2481932679999996</v>
      </c>
      <c r="C113" s="574">
        <v>7.6207757540000003</v>
      </c>
      <c r="D113" s="574">
        <v>7.4341619310000002</v>
      </c>
      <c r="E113" s="574">
        <v>6.0324644379999999</v>
      </c>
      <c r="F113" s="574">
        <v>4.4385869199999997</v>
      </c>
      <c r="G113" s="574">
        <v>2.886638767</v>
      </c>
      <c r="H113" s="574">
        <v>3.1644557240000002</v>
      </c>
      <c r="I113" s="574">
        <v>3.3258351130000001</v>
      </c>
      <c r="J113" s="574">
        <v>2.0926695729999998</v>
      </c>
      <c r="K113" s="574">
        <v>3.2175051479999999</v>
      </c>
      <c r="L113" s="574">
        <v>5.0356409119999999</v>
      </c>
      <c r="M113" s="575">
        <v>4.592514478</v>
      </c>
      <c r="N113" s="575">
        <v>3.3915558780000001</v>
      </c>
      <c r="O113" s="575">
        <v>3.8991595929999998</v>
      </c>
      <c r="P113" s="574">
        <v>4.0108692530000001</v>
      </c>
    </row>
    <row r="114" spans="1:16" s="465" customFormat="1" ht="15.75" customHeight="1" x14ac:dyDescent="0.2">
      <c r="A114" s="492" t="s">
        <v>162</v>
      </c>
      <c r="B114" s="576">
        <v>4.1559665419999998</v>
      </c>
      <c r="C114" s="577">
        <v>4.3493204219999999</v>
      </c>
      <c r="D114" s="576">
        <v>4.1701009669999998</v>
      </c>
      <c r="E114" s="576">
        <v>4.7941692920000003</v>
      </c>
      <c r="F114" s="576">
        <v>5.0160961369999999</v>
      </c>
      <c r="G114" s="576">
        <v>4.9842203830000003</v>
      </c>
      <c r="H114" s="576">
        <v>4.441879922</v>
      </c>
      <c r="I114" s="576">
        <v>3.933524646</v>
      </c>
      <c r="J114" s="576">
        <v>3.541739599</v>
      </c>
      <c r="K114" s="576">
        <v>3.1818684089999998</v>
      </c>
      <c r="L114" s="576">
        <v>5.1731211540000004</v>
      </c>
      <c r="M114" s="578">
        <v>4.699050229</v>
      </c>
      <c r="N114" s="578">
        <v>4.0601153429999997</v>
      </c>
      <c r="O114" s="578">
        <v>4.2618630099999999</v>
      </c>
      <c r="P114" s="576">
        <v>4.3575204349999996</v>
      </c>
    </row>
    <row r="115" spans="1:16" s="465" customFormat="1" ht="15.75" customHeight="1" x14ac:dyDescent="0.2">
      <c r="A115" s="490" t="s">
        <v>163</v>
      </c>
      <c r="B115" s="574">
        <v>15.566611391</v>
      </c>
      <c r="C115" s="574">
        <v>12.561381468</v>
      </c>
      <c r="D115" s="574">
        <v>12.088094904</v>
      </c>
      <c r="E115" s="574">
        <v>6.3219560250000004</v>
      </c>
      <c r="F115" s="574">
        <v>5.9062028379999996</v>
      </c>
      <c r="G115" s="574">
        <v>4.9709991709999999</v>
      </c>
      <c r="H115" s="574">
        <v>3.2299333290000001</v>
      </c>
      <c r="I115" s="574">
        <v>7.552098923</v>
      </c>
      <c r="J115" s="574">
        <v>7.1696845859999998</v>
      </c>
      <c r="K115" s="574">
        <v>12.279735130000001</v>
      </c>
      <c r="L115" s="574">
        <v>15.185110554</v>
      </c>
      <c r="M115" s="575">
        <v>5.4617631229999999</v>
      </c>
      <c r="N115" s="575">
        <v>11.349187171000001</v>
      </c>
      <c r="O115" s="575">
        <v>9.5347145199999996</v>
      </c>
      <c r="P115" s="574">
        <v>9.3167023919999998</v>
      </c>
    </row>
    <row r="116" spans="1:16" s="465" customFormat="1" ht="15.75" customHeight="1" x14ac:dyDescent="0.2">
      <c r="A116" s="492" t="s">
        <v>164</v>
      </c>
      <c r="B116" s="576">
        <v>5.7765459659999996</v>
      </c>
      <c r="C116" s="576">
        <v>3.3107647340000002</v>
      </c>
      <c r="D116" s="576">
        <v>3.6031544919999998</v>
      </c>
      <c r="E116" s="576">
        <v>3.4116539540000002</v>
      </c>
      <c r="F116" s="576">
        <v>3.8093473489999998</v>
      </c>
      <c r="G116" s="576">
        <v>4.9421217469999998</v>
      </c>
      <c r="H116" s="576">
        <v>4.2867870999999997</v>
      </c>
      <c r="I116" s="576">
        <v>3.0747133120000001</v>
      </c>
      <c r="J116" s="576">
        <v>4.47618486</v>
      </c>
      <c r="K116" s="576">
        <v>4.0444019139999998</v>
      </c>
      <c r="L116" s="576">
        <v>5.0090101860000003</v>
      </c>
      <c r="M116" s="578">
        <v>3.9592628799999998</v>
      </c>
      <c r="N116" s="578">
        <v>4.6096271189999998</v>
      </c>
      <c r="O116" s="578">
        <v>4.4570466880000001</v>
      </c>
      <c r="P116" s="576">
        <v>4.601181585</v>
      </c>
    </row>
    <row r="117" spans="1:16" s="465" customFormat="1" ht="15.75" customHeight="1" x14ac:dyDescent="0.2">
      <c r="A117" s="495" t="s">
        <v>165</v>
      </c>
      <c r="B117" s="579">
        <v>0.52557863999999999</v>
      </c>
      <c r="C117" s="579">
        <v>1.62195698</v>
      </c>
      <c r="D117" s="579">
        <v>1.281578753</v>
      </c>
      <c r="E117" s="579">
        <v>0.64990141800000001</v>
      </c>
      <c r="F117" s="579">
        <v>-1.4736354009999999</v>
      </c>
      <c r="G117" s="579">
        <v>-2.427461155</v>
      </c>
      <c r="H117" s="579">
        <v>0.19924676299999999</v>
      </c>
      <c r="I117" s="579">
        <v>-3.2593410789999999</v>
      </c>
      <c r="J117" s="579">
        <v>-7.0025141099999999</v>
      </c>
      <c r="K117" s="579">
        <v>6.6082353559999998</v>
      </c>
      <c r="L117" s="579">
        <v>-1.0864696599999999</v>
      </c>
      <c r="M117" s="580">
        <v>5.1421376999999997E-2</v>
      </c>
      <c r="N117" s="580">
        <v>-1.9424790890000001</v>
      </c>
      <c r="O117" s="580">
        <v>-0.82227508900000001</v>
      </c>
      <c r="P117" s="579">
        <v>-2.2468260189999998</v>
      </c>
    </row>
    <row r="118" spans="1:16" s="465" customFormat="1" ht="16.5" customHeight="1" x14ac:dyDescent="0.25">
      <c r="A118" s="498" t="s">
        <v>290</v>
      </c>
      <c r="B118" s="581">
        <v>0.66260212399999996</v>
      </c>
      <c r="C118" s="581">
        <v>1.511314888</v>
      </c>
      <c r="D118" s="581">
        <v>2.6657662200000001</v>
      </c>
      <c r="E118" s="581">
        <v>3.4169194649999999</v>
      </c>
      <c r="F118" s="581">
        <v>3.5050763539999998</v>
      </c>
      <c r="G118" s="581">
        <v>3.8357852920000002</v>
      </c>
      <c r="H118" s="581">
        <v>3.6887663970000002</v>
      </c>
      <c r="I118" s="581">
        <v>2.8758331539999999</v>
      </c>
      <c r="J118" s="581">
        <v>2.6109103029999998</v>
      </c>
      <c r="K118" s="581">
        <v>3.8272347330000001</v>
      </c>
      <c r="L118" s="581">
        <v>1.3730103849999999</v>
      </c>
      <c r="M118" s="582">
        <v>3.4709457600000002</v>
      </c>
      <c r="N118" s="582">
        <v>2.4290888910000001</v>
      </c>
      <c r="O118" s="582">
        <v>2.8014508779999998</v>
      </c>
      <c r="P118" s="581">
        <v>2.9986089869999999</v>
      </c>
    </row>
    <row r="119" spans="1:16" s="465" customFormat="1" ht="16.5" customHeight="1" x14ac:dyDescent="0.2">
      <c r="A119" s="490" t="s">
        <v>517</v>
      </c>
      <c r="B119" s="574">
        <v>-1.2511029899999999</v>
      </c>
      <c r="C119" s="574">
        <v>0.93658810400000003</v>
      </c>
      <c r="D119" s="574">
        <v>2.5576299520000001</v>
      </c>
      <c r="E119" s="574">
        <v>3.862196516</v>
      </c>
      <c r="F119" s="574">
        <v>3.8241232119999999</v>
      </c>
      <c r="G119" s="574">
        <v>4.2095046460000001</v>
      </c>
      <c r="H119" s="574">
        <v>3.4014599049999998</v>
      </c>
      <c r="I119" s="574">
        <v>2.7852545860000002</v>
      </c>
      <c r="J119" s="574">
        <v>2.5005904929999998</v>
      </c>
      <c r="K119" s="574">
        <v>2.4116706880000001</v>
      </c>
      <c r="L119" s="574">
        <v>0.30280874000000002</v>
      </c>
      <c r="M119" s="575">
        <v>3.603160946</v>
      </c>
      <c r="N119" s="575">
        <v>1.7169304030000001</v>
      </c>
      <c r="O119" s="575">
        <v>2.3372569059999999</v>
      </c>
      <c r="P119" s="574">
        <v>2.5542567570000001</v>
      </c>
    </row>
    <row r="120" spans="1:16" s="465" customFormat="1" ht="16.5" customHeight="1" x14ac:dyDescent="0.2">
      <c r="A120" s="693" t="s">
        <v>518</v>
      </c>
      <c r="B120" s="576">
        <v>6.2827172789999999</v>
      </c>
      <c r="C120" s="576">
        <v>5.6544736389999999</v>
      </c>
      <c r="D120" s="576">
        <v>6.0918968280000003</v>
      </c>
      <c r="E120" s="576">
        <v>5.8430754399999998</v>
      </c>
      <c r="F120" s="576">
        <v>5.5491304289999999</v>
      </c>
      <c r="G120" s="576">
        <v>6.0875143339999997</v>
      </c>
      <c r="H120" s="576">
        <v>4.8270499259999999</v>
      </c>
      <c r="I120" s="576">
        <v>4.1363812869999999</v>
      </c>
      <c r="J120" s="576">
        <v>3.8042854319999999</v>
      </c>
      <c r="K120" s="576">
        <v>3.3769757789999999</v>
      </c>
      <c r="L120" s="576">
        <v>2.7644270990000002</v>
      </c>
      <c r="M120" s="578">
        <v>5.4843272460000003</v>
      </c>
      <c r="N120" s="578">
        <v>3.4626318220000001</v>
      </c>
      <c r="O120" s="578">
        <v>4.1523681960000003</v>
      </c>
      <c r="P120" s="576">
        <v>4.3767579660000004</v>
      </c>
    </row>
    <row r="121" spans="1:16" s="465" customFormat="1" ht="16.5" customHeight="1" x14ac:dyDescent="0.2">
      <c r="A121" s="490" t="s">
        <v>645</v>
      </c>
      <c r="B121" s="574">
        <v>10.66010678</v>
      </c>
      <c r="C121" s="574">
        <v>5.5659701879999997</v>
      </c>
      <c r="D121" s="574">
        <v>4.2899523049999999</v>
      </c>
      <c r="E121" s="574">
        <v>2.0784737710000001</v>
      </c>
      <c r="F121" s="574">
        <v>1.6107846480000001</v>
      </c>
      <c r="G121" s="574">
        <v>1.6815340489999999</v>
      </c>
      <c r="H121" s="574">
        <v>-0.148491449</v>
      </c>
      <c r="I121" s="574">
        <v>0.37680032200000002</v>
      </c>
      <c r="J121" s="574">
        <v>0.121852592</v>
      </c>
      <c r="K121" s="574">
        <v>-0.88985441600000004</v>
      </c>
      <c r="L121" s="574">
        <v>1.6393472170000001</v>
      </c>
      <c r="M121" s="575">
        <v>1.127641517</v>
      </c>
      <c r="N121" s="575">
        <v>0.37752785300000002</v>
      </c>
      <c r="O121" s="575">
        <v>0.61659651199999999</v>
      </c>
      <c r="P121" s="574">
        <v>0.87048807299999997</v>
      </c>
    </row>
    <row r="122" spans="1:16" s="465" customFormat="1" ht="16.5" customHeight="1" x14ac:dyDescent="0.2">
      <c r="A122" s="492" t="s">
        <v>168</v>
      </c>
      <c r="B122" s="576">
        <v>-14.327470401999999</v>
      </c>
      <c r="C122" s="576">
        <v>-11.638759317</v>
      </c>
      <c r="D122" s="576">
        <v>-11.522134893</v>
      </c>
      <c r="E122" s="576">
        <v>-10.197269889999999</v>
      </c>
      <c r="F122" s="576">
        <v>-11.075136837000001</v>
      </c>
      <c r="G122" s="576">
        <v>-10.441106378000001</v>
      </c>
      <c r="H122" s="576">
        <v>-8.6951640720000007</v>
      </c>
      <c r="I122" s="576">
        <v>-9.7700491039999999</v>
      </c>
      <c r="J122" s="576">
        <v>-12.752218394</v>
      </c>
      <c r="K122" s="576">
        <v>-8.5629573729999997</v>
      </c>
      <c r="L122" s="576">
        <v>-5.2127253250000001</v>
      </c>
      <c r="M122" s="578">
        <v>-10.153983024</v>
      </c>
      <c r="N122" s="578">
        <v>-6.9572611550000003</v>
      </c>
      <c r="O122" s="578">
        <v>-7.7892710049999998</v>
      </c>
      <c r="P122" s="576">
        <v>-7.6748749969999999</v>
      </c>
    </row>
    <row r="123" spans="1:16" s="465" customFormat="1" ht="16.5" customHeight="1" x14ac:dyDescent="0.2">
      <c r="A123" s="490" t="s">
        <v>519</v>
      </c>
      <c r="B123" s="574">
        <v>9.1218361429999995</v>
      </c>
      <c r="C123" s="574">
        <v>4.5264634539999999</v>
      </c>
      <c r="D123" s="574">
        <v>3.3245356990000001</v>
      </c>
      <c r="E123" s="574">
        <v>2.9807987709999999</v>
      </c>
      <c r="F123" s="574">
        <v>3.1248207109999999</v>
      </c>
      <c r="G123" s="574">
        <v>3.1485916970000001</v>
      </c>
      <c r="H123" s="574">
        <v>4.0763664850000003</v>
      </c>
      <c r="I123" s="574">
        <v>2.1056625649999998</v>
      </c>
      <c r="J123" s="574">
        <v>2.592231698</v>
      </c>
      <c r="K123" s="574">
        <v>3.498519833</v>
      </c>
      <c r="L123" s="574">
        <v>2.4825819650000001</v>
      </c>
      <c r="M123" s="575">
        <v>3.4360344039999999</v>
      </c>
      <c r="N123" s="575">
        <v>2.6375054389999999</v>
      </c>
      <c r="O123" s="575">
        <v>3.003276659</v>
      </c>
      <c r="P123" s="574">
        <v>3.1945914609999999</v>
      </c>
    </row>
    <row r="124" spans="1:16" s="465" customFormat="1" ht="16.5" customHeight="1" x14ac:dyDescent="0.2">
      <c r="A124" s="693" t="s">
        <v>646</v>
      </c>
      <c r="B124" s="576">
        <v>-0.11536078800000001</v>
      </c>
      <c r="C124" s="576">
        <v>0.62740957100000005</v>
      </c>
      <c r="D124" s="576">
        <v>0.87487008300000002</v>
      </c>
      <c r="E124" s="576">
        <v>1.3622160999999999</v>
      </c>
      <c r="F124" s="576">
        <v>2.015220287</v>
      </c>
      <c r="G124" s="576">
        <v>1.68902021</v>
      </c>
      <c r="H124" s="576">
        <v>2.3266541150000002</v>
      </c>
      <c r="I124" s="576">
        <v>1.6320865680000001</v>
      </c>
      <c r="J124" s="576">
        <v>2.668579313</v>
      </c>
      <c r="K124" s="576">
        <v>2.8946477279999998</v>
      </c>
      <c r="L124" s="576">
        <v>1.8517294630000001</v>
      </c>
      <c r="M124" s="578">
        <v>1.703793404</v>
      </c>
      <c r="N124" s="578">
        <v>2.2895127350000002</v>
      </c>
      <c r="O124" s="578">
        <v>2.0377037160000002</v>
      </c>
      <c r="P124" s="576">
        <v>1.9501974019999999</v>
      </c>
    </row>
    <row r="125" spans="1:16" s="465" customFormat="1" ht="15.75" customHeight="1" x14ac:dyDescent="0.2">
      <c r="A125" s="490" t="s">
        <v>171</v>
      </c>
      <c r="B125" s="574">
        <v>20.867422140999999</v>
      </c>
      <c r="C125" s="574">
        <v>12.320262250000001</v>
      </c>
      <c r="D125" s="574">
        <v>8.8813080249999992</v>
      </c>
      <c r="E125" s="574">
        <v>7.0201299480000001</v>
      </c>
      <c r="F125" s="574">
        <v>3.2850523869999999</v>
      </c>
      <c r="G125" s="574">
        <v>12.933056426</v>
      </c>
      <c r="H125" s="574">
        <v>9.7797436680000001</v>
      </c>
      <c r="I125" s="574">
        <v>1.126345929</v>
      </c>
      <c r="J125" s="574">
        <v>-3.8120157410000002</v>
      </c>
      <c r="K125" s="574">
        <v>-2.4827035560000001</v>
      </c>
      <c r="L125" s="574">
        <v>-0.43193199599999998</v>
      </c>
      <c r="M125" s="575">
        <v>9.5617357349999992</v>
      </c>
      <c r="N125" s="575">
        <v>-1.5052316379999999</v>
      </c>
      <c r="O125" s="575">
        <v>4.1270050789999999</v>
      </c>
      <c r="P125" s="574">
        <v>4.6835640789999999</v>
      </c>
    </row>
    <row r="126" spans="1:16" s="465" customFormat="1" ht="15.75" customHeight="1" x14ac:dyDescent="0.2">
      <c r="A126" s="693" t="s">
        <v>607</v>
      </c>
      <c r="B126" s="576">
        <v>18.165494930000001</v>
      </c>
      <c r="C126" s="576">
        <v>10.944725906</v>
      </c>
      <c r="D126" s="576">
        <v>9.0223770840000004</v>
      </c>
      <c r="E126" s="576">
        <v>7.2369302859999998</v>
      </c>
      <c r="F126" s="576">
        <v>6.7460883530000002</v>
      </c>
      <c r="G126" s="576">
        <v>7.0889100589999998</v>
      </c>
      <c r="H126" s="576">
        <v>8.8282458239999997</v>
      </c>
      <c r="I126" s="576">
        <v>3.675926842</v>
      </c>
      <c r="J126" s="576">
        <v>2.8728855320000002</v>
      </c>
      <c r="K126" s="576">
        <v>8.2485351849999997</v>
      </c>
      <c r="L126" s="576">
        <v>7.9379844940000002</v>
      </c>
      <c r="M126" s="578">
        <v>7.8824372299999999</v>
      </c>
      <c r="N126" s="578">
        <v>5.0121130100000002</v>
      </c>
      <c r="O126" s="578">
        <v>6.6228361009999999</v>
      </c>
      <c r="P126" s="576">
        <v>7.8328566080000002</v>
      </c>
    </row>
    <row r="127" spans="1:16" s="465" customFormat="1" ht="15.75" customHeight="1" x14ac:dyDescent="0.2">
      <c r="A127" s="490" t="s">
        <v>172</v>
      </c>
      <c r="B127" s="574">
        <v>-33.318098587999998</v>
      </c>
      <c r="C127" s="574">
        <v>-14.510970565999999</v>
      </c>
      <c r="D127" s="574">
        <v>-13.677597693999999</v>
      </c>
      <c r="E127" s="574">
        <v>-8.9364648819999992</v>
      </c>
      <c r="F127" s="574">
        <v>-4.8723178450000004</v>
      </c>
      <c r="G127" s="574">
        <v>-7.1735434040000001</v>
      </c>
      <c r="H127" s="574">
        <v>-0.37299256400000003</v>
      </c>
      <c r="I127" s="574">
        <v>-2.4242723650000002</v>
      </c>
      <c r="J127" s="574">
        <v>-1.1135781220000001</v>
      </c>
      <c r="K127" s="574">
        <v>3.7773466080000002</v>
      </c>
      <c r="L127" s="574">
        <v>3.0400492429999999</v>
      </c>
      <c r="M127" s="575">
        <v>-4.9381341799999996</v>
      </c>
      <c r="N127" s="575">
        <v>0.72206525600000004</v>
      </c>
      <c r="O127" s="575">
        <v>-1.0289116460000001</v>
      </c>
      <c r="P127" s="574">
        <v>-0.97563886200000005</v>
      </c>
    </row>
    <row r="128" spans="1:16" s="465" customFormat="1" ht="15.75" customHeight="1" x14ac:dyDescent="0.2">
      <c r="A128" s="492" t="s">
        <v>173</v>
      </c>
      <c r="B128" s="576">
        <v>-7.4787770709999997</v>
      </c>
      <c r="C128" s="576">
        <v>-5.7398061399999998</v>
      </c>
      <c r="D128" s="576">
        <v>-0.114672368</v>
      </c>
      <c r="E128" s="576">
        <v>4.394879736</v>
      </c>
      <c r="F128" s="576">
        <v>5.2011784859999999</v>
      </c>
      <c r="G128" s="576">
        <v>4.7038372920000002</v>
      </c>
      <c r="H128" s="576">
        <v>4.7893122110000004</v>
      </c>
      <c r="I128" s="576">
        <v>7.3637411420000003</v>
      </c>
      <c r="J128" s="576">
        <v>6.0020460199999999</v>
      </c>
      <c r="K128" s="576">
        <v>8.9452899069999994</v>
      </c>
      <c r="L128" s="576">
        <v>6.2742957959999996</v>
      </c>
      <c r="M128" s="578">
        <v>4.0411818239999997</v>
      </c>
      <c r="N128" s="578">
        <v>6.8420698670000002</v>
      </c>
      <c r="O128" s="578">
        <v>5.8404581489999998</v>
      </c>
      <c r="P128" s="576">
        <v>5.9018008740000001</v>
      </c>
    </row>
    <row r="129" spans="1:20" s="465" customFormat="1" ht="15.75" customHeight="1" x14ac:dyDescent="0.2">
      <c r="A129" s="495" t="s">
        <v>174</v>
      </c>
      <c r="B129" s="579">
        <v>2.5625581589999999</v>
      </c>
      <c r="C129" s="579">
        <v>5.4083002860000002</v>
      </c>
      <c r="D129" s="579">
        <v>7.7362097170000004</v>
      </c>
      <c r="E129" s="579">
        <v>5.4655641189999997</v>
      </c>
      <c r="F129" s="579">
        <v>4.5915905649999997</v>
      </c>
      <c r="G129" s="579">
        <v>10.957503303999999</v>
      </c>
      <c r="H129" s="579">
        <v>10.585331997999999</v>
      </c>
      <c r="I129" s="579">
        <v>7.1751085750000003</v>
      </c>
      <c r="J129" s="579">
        <v>3.2333303149999999</v>
      </c>
      <c r="K129" s="579">
        <v>27.547402338000001</v>
      </c>
      <c r="L129" s="579">
        <v>6.3324876569999997</v>
      </c>
      <c r="M129" s="580">
        <v>7.1714598279999997</v>
      </c>
      <c r="N129" s="580">
        <v>8.7221043169999994</v>
      </c>
      <c r="O129" s="580">
        <v>7.9808715499999998</v>
      </c>
      <c r="P129" s="579">
        <v>7.8138926639999999</v>
      </c>
    </row>
    <row r="130" spans="1:20" s="465" customFormat="1" ht="16.5" customHeight="1" x14ac:dyDescent="0.25">
      <c r="A130" s="544" t="s">
        <v>224</v>
      </c>
      <c r="B130" s="583"/>
      <c r="C130" s="583"/>
      <c r="D130" s="583"/>
      <c r="E130" s="583"/>
      <c r="F130" s="583"/>
      <c r="G130" s="583"/>
      <c r="H130" s="583"/>
      <c r="I130" s="583"/>
      <c r="J130" s="583"/>
      <c r="K130" s="583"/>
      <c r="L130" s="583"/>
      <c r="M130" s="584"/>
      <c r="N130" s="584"/>
      <c r="O130" s="584"/>
      <c r="P130" s="583"/>
    </row>
    <row r="131" spans="1:20" s="465" customFormat="1" ht="16.5" customHeight="1" x14ac:dyDescent="0.25">
      <c r="A131" s="487" t="s">
        <v>288</v>
      </c>
      <c r="B131" s="572">
        <v>5.4388455149999997</v>
      </c>
      <c r="C131" s="572">
        <v>5.7012358970000001</v>
      </c>
      <c r="D131" s="572">
        <v>6.4426237210000004</v>
      </c>
      <c r="E131" s="572">
        <v>8.1972100569999995</v>
      </c>
      <c r="F131" s="572">
        <v>13.413944522</v>
      </c>
      <c r="G131" s="572">
        <v>11.498916906</v>
      </c>
      <c r="H131" s="572">
        <v>13.171585957</v>
      </c>
      <c r="I131" s="572">
        <v>6.0864572780000001</v>
      </c>
      <c r="J131" s="572">
        <v>10.436934995</v>
      </c>
      <c r="K131" s="572">
        <v>8.7097806819999999</v>
      </c>
      <c r="L131" s="572">
        <v>10.235510761</v>
      </c>
      <c r="M131" s="573">
        <v>10.70523713</v>
      </c>
      <c r="N131" s="573">
        <v>9.216629932</v>
      </c>
      <c r="O131" s="573">
        <v>9.8720511050000006</v>
      </c>
      <c r="P131" s="572">
        <v>10.163335259</v>
      </c>
    </row>
    <row r="132" spans="1:20" s="465" customFormat="1" ht="15.75" customHeight="1" x14ac:dyDescent="0.2">
      <c r="A132" s="545" t="s">
        <v>178</v>
      </c>
      <c r="B132" s="585">
        <v>6.8284956179999998</v>
      </c>
      <c r="C132" s="585">
        <v>6.6983038349999999</v>
      </c>
      <c r="D132" s="585">
        <v>7.08191785</v>
      </c>
      <c r="E132" s="585">
        <v>8.7892721070000004</v>
      </c>
      <c r="F132" s="585">
        <v>13.332633821</v>
      </c>
      <c r="G132" s="585">
        <v>10.972891076</v>
      </c>
      <c r="H132" s="585">
        <v>14.077912013000001</v>
      </c>
      <c r="I132" s="585">
        <v>7.1062263200000002</v>
      </c>
      <c r="J132" s="585">
        <v>10.769763409999999</v>
      </c>
      <c r="K132" s="585">
        <v>9.304302388</v>
      </c>
      <c r="L132" s="585">
        <v>11.019517994999999</v>
      </c>
      <c r="M132" s="586">
        <v>11.130518200999999</v>
      </c>
      <c r="N132" s="586">
        <v>9.8217406680000003</v>
      </c>
      <c r="O132" s="586">
        <v>10.42151717</v>
      </c>
      <c r="P132" s="585">
        <v>10.725448594</v>
      </c>
    </row>
    <row r="133" spans="1:20" s="465" customFormat="1" ht="15.75" customHeight="1" x14ac:dyDescent="0.2">
      <c r="A133" s="546" t="s">
        <v>179</v>
      </c>
      <c r="B133" s="587">
        <v>-26.310313936</v>
      </c>
      <c r="C133" s="587">
        <v>-6.3589704410000003</v>
      </c>
      <c r="D133" s="587">
        <v>2.8564540850000002</v>
      </c>
      <c r="E133" s="587">
        <v>-1.1382242650000001</v>
      </c>
      <c r="F133" s="587">
        <v>5.9977872320000003</v>
      </c>
      <c r="G133" s="587">
        <v>13.71263049</v>
      </c>
      <c r="H133" s="587">
        <v>4.7364985070000003</v>
      </c>
      <c r="I133" s="587">
        <v>-7.4538844510000004</v>
      </c>
      <c r="J133" s="587">
        <v>0.52641145499999997</v>
      </c>
      <c r="K133" s="587">
        <v>-3.6180657269999998</v>
      </c>
      <c r="L133" s="587">
        <v>4.4988356940000003</v>
      </c>
      <c r="M133" s="588">
        <v>3.6500276999999999</v>
      </c>
      <c r="N133" s="588">
        <v>1.6256235080000001</v>
      </c>
      <c r="O133" s="588">
        <v>2.1259247499999998</v>
      </c>
      <c r="P133" s="587">
        <v>2.2363989449999999</v>
      </c>
    </row>
    <row r="134" spans="1:20" s="465" customFormat="1" ht="15.75" customHeight="1" x14ac:dyDescent="0.2">
      <c r="A134" s="545" t="s">
        <v>180</v>
      </c>
      <c r="B134" s="585">
        <v>75.389971048999996</v>
      </c>
      <c r="C134" s="585">
        <v>-14.721676323000001</v>
      </c>
      <c r="D134" s="585">
        <v>-8.5855609069999996</v>
      </c>
      <c r="E134" s="585">
        <v>-1.5615927890000001</v>
      </c>
      <c r="F134" s="585">
        <v>28.269441067999999</v>
      </c>
      <c r="G134" s="585">
        <v>33.331497616</v>
      </c>
      <c r="H134" s="585">
        <v>-6.8151011290000003</v>
      </c>
      <c r="I134" s="585">
        <v>-3.0194504169999998</v>
      </c>
      <c r="J134" s="585">
        <v>14.662477017000001</v>
      </c>
      <c r="K134" s="585">
        <v>11.590136444000001</v>
      </c>
      <c r="L134" s="585">
        <v>19.774844975000001</v>
      </c>
      <c r="M134" s="586">
        <v>4.7755876690000001</v>
      </c>
      <c r="N134" s="586">
        <v>12.696053753999999</v>
      </c>
      <c r="O134" s="586">
        <v>10.109097875</v>
      </c>
      <c r="P134" s="585">
        <v>9.7225327549999996</v>
      </c>
    </row>
    <row r="135" spans="1:20" s="465" customFormat="1" ht="16.5" customHeight="1" x14ac:dyDescent="0.25">
      <c r="A135" s="547" t="s">
        <v>289</v>
      </c>
      <c r="B135" s="589">
        <v>-1.0768453140000001</v>
      </c>
      <c r="C135" s="589">
        <v>3.6178900500000002</v>
      </c>
      <c r="D135" s="589">
        <v>2.6322355279999998</v>
      </c>
      <c r="E135" s="589">
        <v>1.5980881490000001</v>
      </c>
      <c r="F135" s="589">
        <v>3.776498181</v>
      </c>
      <c r="G135" s="589">
        <v>3.3145327770000002</v>
      </c>
      <c r="H135" s="589">
        <v>6.3885793570000002</v>
      </c>
      <c r="I135" s="589">
        <v>2.2037746E-2</v>
      </c>
      <c r="J135" s="589">
        <v>0.79289116699999995</v>
      </c>
      <c r="K135" s="589">
        <v>5.6044058320000003</v>
      </c>
      <c r="L135" s="589">
        <v>7.2491856700000001</v>
      </c>
      <c r="M135" s="590">
        <v>3.5050000529999998</v>
      </c>
      <c r="N135" s="590">
        <v>3.0240600930000001</v>
      </c>
      <c r="O135" s="590">
        <v>3.2644949250000002</v>
      </c>
      <c r="P135" s="589">
        <v>4.5805366169999999</v>
      </c>
    </row>
    <row r="136" spans="1:20" s="465" customFormat="1" ht="15.75" customHeight="1" x14ac:dyDescent="0.2">
      <c r="A136" s="545" t="s">
        <v>182</v>
      </c>
      <c r="B136" s="585">
        <v>10.349666211000001</v>
      </c>
      <c r="C136" s="585">
        <v>4.2543371429999999</v>
      </c>
      <c r="D136" s="585">
        <v>5.2317945669999997</v>
      </c>
      <c r="E136" s="585">
        <v>7.9511310240000004</v>
      </c>
      <c r="F136" s="585">
        <v>7.2622023960000002</v>
      </c>
      <c r="G136" s="585">
        <v>8.4468026970000007</v>
      </c>
      <c r="H136" s="585">
        <v>14.419392001</v>
      </c>
      <c r="I136" s="585">
        <v>4.0479687279999998</v>
      </c>
      <c r="J136" s="585">
        <v>3.2671348660000001</v>
      </c>
      <c r="K136" s="585">
        <v>13.897643966</v>
      </c>
      <c r="L136" s="585">
        <v>24.311946935999998</v>
      </c>
      <c r="M136" s="586">
        <v>9.2710255220000004</v>
      </c>
      <c r="N136" s="586">
        <v>10.641333920999999</v>
      </c>
      <c r="O136" s="586">
        <v>9.9931468710000004</v>
      </c>
      <c r="P136" s="585">
        <v>10.330488277000001</v>
      </c>
    </row>
    <row r="137" spans="1:20" s="465" customFormat="1" ht="15.75" customHeight="1" x14ac:dyDescent="0.2">
      <c r="A137" s="548" t="s">
        <v>183</v>
      </c>
      <c r="B137" s="587">
        <v>-3.9111423090000002</v>
      </c>
      <c r="C137" s="587">
        <v>4.9312343209999998</v>
      </c>
      <c r="D137" s="587">
        <v>4.4446781829999997</v>
      </c>
      <c r="E137" s="587">
        <v>2.4087980760000001</v>
      </c>
      <c r="F137" s="587">
        <v>6.4799185220000002</v>
      </c>
      <c r="G137" s="587">
        <v>9.5673287999999995E-2</v>
      </c>
      <c r="H137" s="587">
        <v>7.0642461069999998</v>
      </c>
      <c r="I137" s="587">
        <v>8.1940187499999997</v>
      </c>
      <c r="J137" s="587">
        <v>7.6102479030000003</v>
      </c>
      <c r="K137" s="587">
        <v>8.9627539630000008</v>
      </c>
      <c r="L137" s="587">
        <v>1.2806681040000001</v>
      </c>
      <c r="M137" s="588">
        <v>4.0906349410000002</v>
      </c>
      <c r="N137" s="588">
        <v>6.8035591179999999</v>
      </c>
      <c r="O137" s="588">
        <v>5.277997933</v>
      </c>
      <c r="P137" s="587">
        <v>5.9774797599999996</v>
      </c>
      <c r="S137" s="517"/>
      <c r="T137" s="517"/>
    </row>
    <row r="138" spans="1:20" s="465" customFormat="1" ht="15.75" customHeight="1" x14ac:dyDescent="0.2">
      <c r="A138" s="545" t="s">
        <v>184</v>
      </c>
      <c r="B138" s="585">
        <v>-9.8155340409999994</v>
      </c>
      <c r="C138" s="585">
        <v>-7.6763538450000004</v>
      </c>
      <c r="D138" s="585">
        <v>-9.9486818479999997</v>
      </c>
      <c r="E138" s="585">
        <v>-11.658830475</v>
      </c>
      <c r="F138" s="585">
        <v>-10.900254916</v>
      </c>
      <c r="G138" s="585">
        <v>7.8774282500000004</v>
      </c>
      <c r="H138" s="585">
        <v>-5.1476923469999996</v>
      </c>
      <c r="I138" s="585">
        <v>-24.065104463000001</v>
      </c>
      <c r="J138" s="585">
        <v>-14.150123665000001</v>
      </c>
      <c r="K138" s="585">
        <v>-4.495394858</v>
      </c>
      <c r="L138" s="585">
        <v>-1.4406021410000001</v>
      </c>
      <c r="M138" s="586">
        <v>-6.8435388809999997</v>
      </c>
      <c r="N138" s="586">
        <v>-10.676510465</v>
      </c>
      <c r="O138" s="586">
        <v>-9.2556853219999997</v>
      </c>
      <c r="P138" s="585">
        <v>-5.3640444059999997</v>
      </c>
    </row>
    <row r="139" spans="1:20" s="465" customFormat="1" ht="16.5" customHeight="1" x14ac:dyDescent="0.25">
      <c r="A139" s="549" t="s">
        <v>226</v>
      </c>
      <c r="B139" s="591"/>
      <c r="C139" s="591"/>
      <c r="D139" s="591"/>
      <c r="E139" s="591"/>
      <c r="F139" s="591"/>
      <c r="G139" s="591"/>
      <c r="H139" s="591"/>
      <c r="I139" s="591"/>
      <c r="J139" s="591"/>
      <c r="K139" s="591"/>
      <c r="L139" s="591"/>
      <c r="M139" s="592"/>
      <c r="N139" s="592"/>
      <c r="O139" s="592"/>
      <c r="P139" s="591"/>
    </row>
    <row r="140" spans="1:20" s="465" customFormat="1" ht="16.5" customHeight="1" x14ac:dyDescent="0.25">
      <c r="A140" s="550" t="s">
        <v>458</v>
      </c>
      <c r="B140" s="593">
        <v>5.2380696379999998</v>
      </c>
      <c r="C140" s="593">
        <v>5.3118123859999997</v>
      </c>
      <c r="D140" s="593">
        <v>5.1156681160000002</v>
      </c>
      <c r="E140" s="593">
        <v>4.5967099490000001</v>
      </c>
      <c r="F140" s="593">
        <v>4.0528776969999996</v>
      </c>
      <c r="G140" s="593">
        <v>3.5446861649999999</v>
      </c>
      <c r="H140" s="593">
        <v>3.4202990369999999</v>
      </c>
      <c r="I140" s="593">
        <v>2.9629973359999999</v>
      </c>
      <c r="J140" s="593">
        <v>2.4581216499999998</v>
      </c>
      <c r="K140" s="593">
        <v>2.9438499419999999</v>
      </c>
      <c r="L140" s="593">
        <v>4.9328857560000001</v>
      </c>
      <c r="M140" s="594">
        <v>4.052648552</v>
      </c>
      <c r="N140" s="594">
        <v>3.4983635309999999</v>
      </c>
      <c r="O140" s="594">
        <v>3.7202145789999999</v>
      </c>
      <c r="P140" s="593">
        <v>3.761913233</v>
      </c>
    </row>
    <row r="141" spans="1:20" s="465" customFormat="1" ht="16.5" customHeight="1" x14ac:dyDescent="0.2">
      <c r="A141" s="551" t="s">
        <v>402</v>
      </c>
      <c r="B141" s="595">
        <v>6.0773951989999997</v>
      </c>
      <c r="C141" s="595">
        <v>5.6972197910000002</v>
      </c>
      <c r="D141" s="595">
        <v>6.1845886180000003</v>
      </c>
      <c r="E141" s="595">
        <v>6.1929557690000001</v>
      </c>
      <c r="F141" s="595">
        <v>6.0070628690000003</v>
      </c>
      <c r="G141" s="595">
        <v>6.6137535119999997</v>
      </c>
      <c r="H141" s="595">
        <v>5.6760278990000002</v>
      </c>
      <c r="I141" s="595">
        <v>4.7776210710000004</v>
      </c>
      <c r="J141" s="595">
        <v>4.2324335250000003</v>
      </c>
      <c r="K141" s="595">
        <v>3.9283191679999998</v>
      </c>
      <c r="L141" s="595">
        <v>2.897878376</v>
      </c>
      <c r="M141" s="596">
        <v>6.0821556890000004</v>
      </c>
      <c r="N141" s="596">
        <v>3.807655166</v>
      </c>
      <c r="O141" s="596">
        <v>4.6208416080000001</v>
      </c>
      <c r="P141" s="595">
        <v>4.845576178</v>
      </c>
    </row>
    <row r="142" spans="1:20" s="465" customFormat="1" ht="16.5" customHeight="1" x14ac:dyDescent="0.25">
      <c r="A142" s="552" t="s">
        <v>403</v>
      </c>
      <c r="B142" s="597">
        <v>6.7291359970000002</v>
      </c>
      <c r="C142" s="597">
        <v>5.9574721970000004</v>
      </c>
      <c r="D142" s="597">
        <v>6.227310965</v>
      </c>
      <c r="E142" s="597">
        <v>5.6891665309999997</v>
      </c>
      <c r="F142" s="597">
        <v>5.1761091690000001</v>
      </c>
      <c r="G142" s="597">
        <v>5.6195400370000002</v>
      </c>
      <c r="H142" s="597">
        <v>4.3389536020000001</v>
      </c>
      <c r="I142" s="597">
        <v>3.5354169249999998</v>
      </c>
      <c r="J142" s="597">
        <v>3.1961034000000001</v>
      </c>
      <c r="K142" s="597">
        <v>2.7181315769999999</v>
      </c>
      <c r="L142" s="597">
        <v>2.5161131019999998</v>
      </c>
      <c r="M142" s="598">
        <v>5.2047050129999999</v>
      </c>
      <c r="N142" s="598">
        <v>2.9578726949999998</v>
      </c>
      <c r="O142" s="598">
        <v>3.7561951900000001</v>
      </c>
      <c r="P142" s="597">
        <v>3.9967386170000001</v>
      </c>
    </row>
    <row r="143" spans="1:20" s="465" customFormat="1" ht="16.5" customHeight="1" x14ac:dyDescent="0.25">
      <c r="A143" s="553" t="s">
        <v>404</v>
      </c>
      <c r="B143" s="595">
        <v>1.0854147030000001</v>
      </c>
      <c r="C143" s="595">
        <v>1.8024315909999999</v>
      </c>
      <c r="D143" s="595">
        <v>2.7968072940000002</v>
      </c>
      <c r="E143" s="595">
        <v>3.266538487</v>
      </c>
      <c r="F143" s="595">
        <v>3.139278987</v>
      </c>
      <c r="G143" s="595">
        <v>3.3777438449999999</v>
      </c>
      <c r="H143" s="595">
        <v>3.2059701559999998</v>
      </c>
      <c r="I143" s="595">
        <v>2.2821433340000001</v>
      </c>
      <c r="J143" s="595">
        <v>2.0097201720000002</v>
      </c>
      <c r="K143" s="595">
        <v>3.1655209320000002</v>
      </c>
      <c r="L143" s="595">
        <v>1.128058526</v>
      </c>
      <c r="M143" s="596">
        <v>3.1966606830000002</v>
      </c>
      <c r="N143" s="596">
        <v>1.9293720700000001</v>
      </c>
      <c r="O143" s="596">
        <v>2.4104164680000002</v>
      </c>
      <c r="P143" s="595">
        <v>2.6236072610000001</v>
      </c>
    </row>
    <row r="144" spans="1:20" s="465" customFormat="1" ht="16.5" customHeight="1" x14ac:dyDescent="0.25">
      <c r="A144" s="548" t="s">
        <v>471</v>
      </c>
      <c r="B144" s="599">
        <v>7.2559911389999998</v>
      </c>
      <c r="C144" s="599">
        <v>6.5592245379999996</v>
      </c>
      <c r="D144" s="599">
        <v>6.7957625100000003</v>
      </c>
      <c r="E144" s="599">
        <v>8.6065727889999994</v>
      </c>
      <c r="F144" s="599">
        <v>12.934446422000001</v>
      </c>
      <c r="G144" s="599">
        <v>10.574264728999999</v>
      </c>
      <c r="H144" s="599">
        <v>13.364041136000001</v>
      </c>
      <c r="I144" s="599">
        <v>6.6393162920000002</v>
      </c>
      <c r="J144" s="599">
        <v>9.9992180150000003</v>
      </c>
      <c r="K144" s="599">
        <v>9.3102032179999998</v>
      </c>
      <c r="L144" s="599">
        <v>10.700680135000001</v>
      </c>
      <c r="M144" s="600">
        <v>10.756277981</v>
      </c>
      <c r="N144" s="600">
        <v>9.3964900680000003</v>
      </c>
      <c r="O144" s="600">
        <v>10.023017144000001</v>
      </c>
      <c r="P144" s="599">
        <v>10.323270634</v>
      </c>
    </row>
    <row r="145" spans="1:17" s="465" customFormat="1" ht="16.5" customHeight="1" x14ac:dyDescent="0.25">
      <c r="A145" s="554" t="s">
        <v>405</v>
      </c>
      <c r="B145" s="595">
        <v>-2.8351717870000002</v>
      </c>
      <c r="C145" s="595">
        <v>-4.3546547469999997</v>
      </c>
      <c r="D145" s="595">
        <v>-3.2791188579999999</v>
      </c>
      <c r="E145" s="595">
        <v>-3.3403431530000001</v>
      </c>
      <c r="F145" s="595">
        <v>-1.4281803260000001</v>
      </c>
      <c r="G145" s="595">
        <v>-0.74354142000000001</v>
      </c>
      <c r="H145" s="595">
        <v>-1.739017362</v>
      </c>
      <c r="I145" s="595">
        <v>7.3444263999999995E-2</v>
      </c>
      <c r="J145" s="595">
        <v>0.44586365500000003</v>
      </c>
      <c r="K145" s="595">
        <v>1.4599402399999999</v>
      </c>
      <c r="L145" s="595">
        <v>5.8122158270000002</v>
      </c>
      <c r="M145" s="596">
        <v>-2.0913376509999999</v>
      </c>
      <c r="N145" s="596">
        <v>2.9029491709999999</v>
      </c>
      <c r="O145" s="596">
        <v>1.418743275</v>
      </c>
      <c r="P145" s="595">
        <v>1.1807607760000001</v>
      </c>
    </row>
    <row r="146" spans="1:17" s="465" customFormat="1" ht="16.5" customHeight="1" x14ac:dyDescent="0.25">
      <c r="A146" s="546" t="s">
        <v>406</v>
      </c>
      <c r="B146" s="601">
        <v>0.304184118</v>
      </c>
      <c r="C146" s="601">
        <v>0.91599138700000005</v>
      </c>
      <c r="D146" s="601">
        <v>1.003625284</v>
      </c>
      <c r="E146" s="601">
        <v>1.2148229150000001</v>
      </c>
      <c r="F146" s="601">
        <v>1.654688221</v>
      </c>
      <c r="G146" s="601">
        <v>1.2404485940000001</v>
      </c>
      <c r="H146" s="601">
        <v>1.850200149</v>
      </c>
      <c r="I146" s="601">
        <v>1.04557433</v>
      </c>
      <c r="J146" s="601">
        <v>2.067051303</v>
      </c>
      <c r="K146" s="601">
        <v>2.2388775089999999</v>
      </c>
      <c r="L146" s="601">
        <v>1.605620855</v>
      </c>
      <c r="M146" s="602">
        <v>1.4341927670000001</v>
      </c>
      <c r="N146" s="602">
        <v>1.790476859</v>
      </c>
      <c r="O146" s="602">
        <v>1.649574434</v>
      </c>
      <c r="P146" s="601">
        <v>1.5790127780000001</v>
      </c>
    </row>
    <row r="147" spans="1:17" s="465" customFormat="1" ht="16.5" customHeight="1" x14ac:dyDescent="0.2">
      <c r="A147" s="551" t="s">
        <v>417</v>
      </c>
      <c r="B147" s="595">
        <v>-0.12463218199999999</v>
      </c>
      <c r="C147" s="595">
        <v>-0.15771521399999999</v>
      </c>
      <c r="D147" s="595">
        <v>-0.26225794000000002</v>
      </c>
      <c r="E147" s="595">
        <v>2.6628578999999999E-2</v>
      </c>
      <c r="F147" s="595">
        <v>0.31619489899999997</v>
      </c>
      <c r="G147" s="595">
        <v>0.52549795499999996</v>
      </c>
      <c r="H147" s="595">
        <v>0.30273431200000001</v>
      </c>
      <c r="I147" s="595">
        <v>0.22519113700000001</v>
      </c>
      <c r="J147" s="595">
        <v>0.28967667699999999</v>
      </c>
      <c r="K147" s="595">
        <v>-0.24129497799999999</v>
      </c>
      <c r="L147" s="595">
        <v>2.4308540000000001E-3</v>
      </c>
      <c r="M147" s="596">
        <v>0.189458828</v>
      </c>
      <c r="N147" s="596">
        <v>3.8271808999999997E-2</v>
      </c>
      <c r="O147" s="596">
        <v>8.5812641999999995E-2</v>
      </c>
      <c r="P147" s="595">
        <v>0.122944939</v>
      </c>
    </row>
    <row r="148" spans="1:17" s="465" customFormat="1" ht="16.5" customHeight="1" x14ac:dyDescent="0.2">
      <c r="A148" s="552" t="s">
        <v>791</v>
      </c>
      <c r="B148" s="597">
        <v>-2.893589698</v>
      </c>
      <c r="C148" s="597">
        <v>-2.495860956</v>
      </c>
      <c r="D148" s="597">
        <v>-1.7181645270000001</v>
      </c>
      <c r="E148" s="597">
        <v>-1.0086946919999999</v>
      </c>
      <c r="F148" s="597">
        <v>-0.67285913600000002</v>
      </c>
      <c r="G148" s="597">
        <v>-0.10322909500000001</v>
      </c>
      <c r="H148" s="597">
        <v>-0.15906912000000001</v>
      </c>
      <c r="I148" s="597">
        <v>-0.55103936200000003</v>
      </c>
      <c r="J148" s="597">
        <v>-0.36740193100000001</v>
      </c>
      <c r="K148" s="597">
        <v>0.19086593299999999</v>
      </c>
      <c r="L148" s="597">
        <v>-3.2759137269999998</v>
      </c>
      <c r="M148" s="598">
        <v>-0.65044706399999996</v>
      </c>
      <c r="N148" s="598">
        <v>-1.3198788960000001</v>
      </c>
      <c r="O148" s="598">
        <v>-1.065653969</v>
      </c>
      <c r="P148" s="597">
        <v>-0.91563832599999995</v>
      </c>
    </row>
    <row r="149" spans="1:17" s="517" customFormat="1" ht="16.5" customHeight="1" x14ac:dyDescent="0.25">
      <c r="A149" s="553" t="s">
        <v>418</v>
      </c>
      <c r="B149" s="595">
        <v>3.0088619720000001</v>
      </c>
      <c r="C149" s="595">
        <v>2.3251921019999999</v>
      </c>
      <c r="D149" s="595">
        <v>1.453607112</v>
      </c>
      <c r="E149" s="595">
        <v>0.96779911799999996</v>
      </c>
      <c r="F149" s="595">
        <v>0.38492542899999999</v>
      </c>
      <c r="G149" s="595">
        <v>-0.145758217</v>
      </c>
      <c r="H149" s="595">
        <v>9.1099530000000005E-3</v>
      </c>
      <c r="I149" s="595">
        <v>0.37244546099999998</v>
      </c>
      <c r="J149" s="595">
        <v>0.23565782800000001</v>
      </c>
      <c r="K149" s="595">
        <v>-0.61499760000000003</v>
      </c>
      <c r="L149" s="595">
        <v>2.7876371170000001</v>
      </c>
      <c r="M149" s="596">
        <v>0.482680214</v>
      </c>
      <c r="N149" s="596">
        <v>1.006224808</v>
      </c>
      <c r="O149" s="596">
        <v>0.80520690299999997</v>
      </c>
      <c r="P149" s="595">
        <v>0.65463221599999999</v>
      </c>
      <c r="Q149" s="465"/>
    </row>
    <row r="150" spans="1:17" s="465" customFormat="1" ht="16.5" customHeight="1" x14ac:dyDescent="0.25">
      <c r="A150" s="548" t="s">
        <v>463</v>
      </c>
      <c r="B150" s="599">
        <v>2.3118468299999999</v>
      </c>
      <c r="C150" s="599">
        <v>1.8333822179999999</v>
      </c>
      <c r="D150" s="599">
        <v>1.478648827</v>
      </c>
      <c r="E150" s="599">
        <v>1.921004081</v>
      </c>
      <c r="F150" s="599">
        <v>3.2383498140000002</v>
      </c>
      <c r="G150" s="599">
        <v>2.183675467</v>
      </c>
      <c r="H150" s="599">
        <v>2.783749641</v>
      </c>
      <c r="I150" s="599">
        <v>1.0891956060000001</v>
      </c>
      <c r="J150" s="599">
        <v>1.850144521</v>
      </c>
      <c r="K150" s="599">
        <v>1.4250425689999999</v>
      </c>
      <c r="L150" s="599">
        <v>1.6777627079999999</v>
      </c>
      <c r="M150" s="600">
        <v>2.424387855</v>
      </c>
      <c r="N150" s="600">
        <v>1.605401018</v>
      </c>
      <c r="O150" s="600">
        <v>1.926039748</v>
      </c>
      <c r="P150" s="599">
        <v>2.0024005030000001</v>
      </c>
    </row>
    <row r="151" spans="1:17" s="465" customFormat="1" ht="16.5" customHeight="1" x14ac:dyDescent="0.25">
      <c r="A151" s="554" t="s">
        <v>419</v>
      </c>
      <c r="B151" s="595">
        <v>-1.5891522870000001</v>
      </c>
      <c r="C151" s="595">
        <v>-3.1126882920000001</v>
      </c>
      <c r="D151" s="595">
        <v>-3.2264090209999998</v>
      </c>
      <c r="E151" s="595">
        <v>-3.8980402820000002</v>
      </c>
      <c r="F151" s="595">
        <v>-2.7679593900000001</v>
      </c>
      <c r="G151" s="595">
        <v>-2.4161660650000001</v>
      </c>
      <c r="H151" s="595">
        <v>-2.8521709309999999</v>
      </c>
      <c r="I151" s="595">
        <v>-1.22061522</v>
      </c>
      <c r="J151" s="595">
        <v>-0.96993639399999998</v>
      </c>
      <c r="K151" s="595">
        <v>-1.297553156</v>
      </c>
      <c r="L151" s="595">
        <v>4.3613528710000002</v>
      </c>
      <c r="M151" s="596">
        <v>-3.0729181319999999</v>
      </c>
      <c r="N151" s="596">
        <v>0.72353023000000005</v>
      </c>
      <c r="O151" s="596">
        <v>-0.67889880800000002</v>
      </c>
      <c r="P151" s="595">
        <v>-0.98957892700000005</v>
      </c>
    </row>
    <row r="152" spans="1:17" s="465" customFormat="1" ht="16.5" customHeight="1" x14ac:dyDescent="0.2">
      <c r="A152" s="555" t="s">
        <v>797</v>
      </c>
      <c r="B152" s="603">
        <v>9.1565028000000007E-2</v>
      </c>
      <c r="C152" s="603">
        <v>6.5279904999999999E-2</v>
      </c>
      <c r="D152" s="603">
        <v>3.4610453999999999E-2</v>
      </c>
      <c r="E152" s="603">
        <v>-4.7076373999999997E-2</v>
      </c>
      <c r="F152" s="603">
        <v>-3.2323422999999997E-2</v>
      </c>
      <c r="G152" s="603">
        <v>-0.11535482599999999</v>
      </c>
      <c r="H152" s="603">
        <v>-0.14037739499999999</v>
      </c>
      <c r="I152" s="603">
        <v>6.4406847000000003E-2</v>
      </c>
      <c r="J152" s="603">
        <v>5.7619069000000002E-2</v>
      </c>
      <c r="K152" s="603">
        <v>-0.17443454999999999</v>
      </c>
      <c r="L152" s="603">
        <v>3.1529157250000002</v>
      </c>
      <c r="M152" s="604">
        <v>-5.5879872999999997E-2</v>
      </c>
      <c r="N152" s="604">
        <v>0.683331044</v>
      </c>
      <c r="O152" s="604">
        <v>0.290967698</v>
      </c>
      <c r="P152" s="603">
        <v>0.209288696</v>
      </c>
    </row>
    <row r="153" spans="1:17" x14ac:dyDescent="0.2">
      <c r="A153" s="255" t="s">
        <v>903</v>
      </c>
      <c r="B153" s="68"/>
      <c r="C153" s="68"/>
      <c r="D153" s="68"/>
      <c r="E153" s="68"/>
      <c r="F153" s="68"/>
      <c r="G153" s="68"/>
      <c r="H153" s="68"/>
      <c r="I153" s="68"/>
      <c r="J153" s="68"/>
      <c r="K153" s="68"/>
      <c r="L153" s="68"/>
      <c r="M153" s="68"/>
      <c r="N153" s="68"/>
      <c r="O153" s="68"/>
      <c r="P153" s="88"/>
    </row>
    <row r="154" spans="1:17" x14ac:dyDescent="0.2">
      <c r="A154" s="255" t="s">
        <v>504</v>
      </c>
      <c r="B154" s="13"/>
      <c r="C154" s="13"/>
      <c r="D154" s="13"/>
      <c r="E154" s="13"/>
      <c r="F154" s="13"/>
      <c r="G154" s="13"/>
      <c r="H154" s="13"/>
      <c r="I154" s="13"/>
      <c r="J154" s="13"/>
      <c r="K154" s="13"/>
      <c r="L154" s="13"/>
      <c r="M154" s="13"/>
      <c r="N154" s="13"/>
      <c r="O154" s="13"/>
      <c r="P154" s="39"/>
    </row>
    <row r="155" spans="1:17" x14ac:dyDescent="0.2">
      <c r="A155" s="286" t="s">
        <v>904</v>
      </c>
      <c r="B155" s="13"/>
      <c r="C155" s="13"/>
      <c r="D155" s="13"/>
      <c r="E155" s="13"/>
      <c r="F155" s="13"/>
      <c r="G155" s="13"/>
      <c r="H155" s="13"/>
      <c r="I155" s="13"/>
      <c r="J155" s="13"/>
      <c r="K155" s="13"/>
      <c r="L155" s="13"/>
      <c r="M155" s="13"/>
      <c r="N155" s="13"/>
      <c r="O155" s="13"/>
      <c r="P155" s="39"/>
    </row>
    <row r="156" spans="1:17" x14ac:dyDescent="0.2">
      <c r="A156" s="37" t="s">
        <v>557</v>
      </c>
      <c r="B156" s="13"/>
      <c r="C156" s="13"/>
      <c r="D156" s="13"/>
      <c r="E156" s="13"/>
      <c r="F156" s="13"/>
      <c r="G156" s="13"/>
      <c r="H156" s="13"/>
      <c r="I156" s="13"/>
      <c r="J156" s="13"/>
      <c r="K156" s="13"/>
      <c r="L156" s="13"/>
      <c r="M156" s="13"/>
      <c r="N156" s="13"/>
      <c r="O156" s="13"/>
      <c r="P156" s="39"/>
    </row>
    <row r="157" spans="1:17" x14ac:dyDescent="0.2">
      <c r="A157" s="286" t="s">
        <v>905</v>
      </c>
      <c r="B157" s="13"/>
      <c r="C157" s="13"/>
      <c r="D157" s="13"/>
      <c r="E157" s="13"/>
      <c r="F157" s="13"/>
      <c r="G157" s="13"/>
      <c r="H157" s="13"/>
      <c r="I157" s="13"/>
      <c r="J157" s="13"/>
      <c r="K157" s="13"/>
      <c r="L157" s="13"/>
      <c r="M157" s="13"/>
      <c r="N157" s="13"/>
      <c r="O157" s="13"/>
      <c r="P157" s="39"/>
    </row>
    <row r="158" spans="1:17" x14ac:dyDescent="0.2">
      <c r="A158" s="255" t="s">
        <v>993</v>
      </c>
      <c r="B158" s="13"/>
      <c r="C158" s="13"/>
      <c r="D158" s="13"/>
      <c r="E158" s="13"/>
      <c r="F158" s="13"/>
      <c r="G158" s="13"/>
      <c r="H158" s="13"/>
      <c r="I158" s="13"/>
      <c r="J158" s="13"/>
      <c r="K158" s="13"/>
      <c r="L158" s="13"/>
      <c r="M158" s="13"/>
      <c r="N158" s="13"/>
      <c r="O158" s="13"/>
      <c r="P158" s="39"/>
    </row>
    <row r="159" spans="1:17" x14ac:dyDescent="0.2">
      <c r="A159" s="286" t="s">
        <v>916</v>
      </c>
      <c r="B159" s="13"/>
      <c r="C159" s="13"/>
      <c r="D159" s="13"/>
      <c r="E159" s="13"/>
      <c r="F159" s="13"/>
      <c r="G159" s="13"/>
      <c r="H159" s="13"/>
      <c r="I159" s="13"/>
      <c r="J159" s="13"/>
      <c r="K159" s="13"/>
      <c r="L159" s="13"/>
      <c r="M159" s="13"/>
      <c r="N159" s="13"/>
      <c r="O159" s="13"/>
      <c r="P159" s="39"/>
    </row>
    <row r="161" spans="1:16" ht="59.25" customHeight="1" x14ac:dyDescent="0.2">
      <c r="A161" s="1015" t="s">
        <v>684</v>
      </c>
      <c r="B161" s="1015"/>
      <c r="C161" s="1015"/>
      <c r="D161" s="1015"/>
      <c r="E161" s="1015"/>
      <c r="F161" s="1015"/>
      <c r="G161" s="1015"/>
      <c r="H161" s="1015"/>
      <c r="I161" s="1015"/>
      <c r="J161" s="1015"/>
      <c r="K161" s="1015"/>
      <c r="L161" s="1015"/>
      <c r="M161" s="1015"/>
      <c r="N161" s="1015"/>
      <c r="O161" s="1015"/>
      <c r="P161" s="1015"/>
    </row>
    <row r="162" spans="1:16" x14ac:dyDescent="0.2">
      <c r="A162" s="303"/>
      <c r="B162" s="303"/>
      <c r="C162" s="303"/>
      <c r="D162" s="303"/>
      <c r="E162" s="303"/>
      <c r="F162" s="303"/>
      <c r="G162" s="303"/>
      <c r="H162" s="303"/>
      <c r="I162" s="303"/>
      <c r="J162" s="303"/>
      <c r="K162" s="303"/>
      <c r="L162" s="303"/>
      <c r="M162" s="303"/>
      <c r="N162" s="303"/>
      <c r="O162" s="303"/>
      <c r="P162" s="303"/>
    </row>
    <row r="163" spans="1:16" ht="158.25" customHeight="1" x14ac:dyDescent="0.2">
      <c r="A163" s="1015" t="s">
        <v>685</v>
      </c>
      <c r="B163" s="1015"/>
      <c r="C163" s="1015"/>
      <c r="D163" s="1015"/>
      <c r="E163" s="1015"/>
      <c r="F163" s="1015"/>
      <c r="G163" s="1015"/>
      <c r="H163" s="1015"/>
      <c r="I163" s="1015"/>
      <c r="J163" s="1015"/>
      <c r="K163" s="1015"/>
      <c r="L163" s="1015"/>
      <c r="M163" s="1015"/>
      <c r="N163" s="1015"/>
      <c r="O163" s="1015"/>
      <c r="P163" s="1015"/>
    </row>
  </sheetData>
  <mergeCells count="2">
    <mergeCell ref="A161:P161"/>
    <mergeCell ref="A163:P163"/>
  </mergeCells>
  <pageMargins left="0.59055118110236227" right="0.59055118110236227" top="0.59055118110236227" bottom="0.59055118110236227" header="0.39370078740157483" footer="0.39370078740157483"/>
  <pageSetup paperSize="9" scale="48" firstPageNumber="54" fitToHeight="0" orientation="landscape" useFirstPageNumber="1" r:id="rId1"/>
  <headerFooter alignWithMargins="0">
    <oddHeader xml:space="preserve">&amp;R&amp;12Les finances des communes en 2024
</oddHeader>
    <oddFooter>&amp;L&amp;12Direction Générale des Collectivités Locales / DESL&amp;C&amp;12&amp;P&amp;R&amp;12Mise en ligne : janvier 2026</oddFooter>
  </headerFooter>
  <rowBreaks count="3" manualBreakCount="3">
    <brk id="59" max="15" man="1"/>
    <brk id="104" max="15" man="1"/>
    <brk id="159" max="15" man="1"/>
  </rowBreaks>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Y181"/>
  <sheetViews>
    <sheetView view="pageBreakPreview" zoomScale="60" zoomScaleNormal="85" zoomScalePageLayoutView="85" workbookViewId="0">
      <selection activeCell="A54" sqref="A54"/>
    </sheetView>
  </sheetViews>
  <sheetFormatPr baseColWidth="10" defaultRowHeight="12.75" x14ac:dyDescent="0.2"/>
  <cols>
    <col min="1" max="1" width="90.28515625" customWidth="1"/>
    <col min="13" max="15" width="13.7109375" customWidth="1"/>
    <col min="16" max="16" width="19" customWidth="1"/>
  </cols>
  <sheetData>
    <row r="1" spans="1:16" ht="25.5" customHeight="1" x14ac:dyDescent="0.2">
      <c r="A1" s="46" t="s">
        <v>936</v>
      </c>
    </row>
    <row r="2" spans="1:16" ht="18" x14ac:dyDescent="0.2">
      <c r="A2" s="46"/>
    </row>
    <row r="3" spans="1:16" ht="13.5" thickBot="1" x14ac:dyDescent="0.25">
      <c r="P3" s="259" t="s">
        <v>213</v>
      </c>
    </row>
    <row r="4" spans="1:16" x14ac:dyDescent="0.2">
      <c r="A4" s="41"/>
      <c r="B4" s="42" t="s">
        <v>35</v>
      </c>
      <c r="C4" s="42" t="s">
        <v>121</v>
      </c>
      <c r="D4" s="42" t="s">
        <v>123</v>
      </c>
      <c r="E4" s="42" t="s">
        <v>36</v>
      </c>
      <c r="F4" s="42" t="s">
        <v>37</v>
      </c>
      <c r="G4" s="42" t="s">
        <v>38</v>
      </c>
      <c r="H4" s="42" t="s">
        <v>39</v>
      </c>
      <c r="I4" s="42" t="s">
        <v>125</v>
      </c>
      <c r="J4" s="42" t="s">
        <v>126</v>
      </c>
      <c r="K4" s="42" t="s">
        <v>127</v>
      </c>
      <c r="L4" s="252">
        <v>100000</v>
      </c>
      <c r="M4" s="250" t="s">
        <v>231</v>
      </c>
      <c r="N4" s="250" t="s">
        <v>229</v>
      </c>
      <c r="O4" s="257" t="s">
        <v>77</v>
      </c>
      <c r="P4" s="281" t="s">
        <v>220</v>
      </c>
    </row>
    <row r="5" spans="1:16" x14ac:dyDescent="0.2">
      <c r="A5" s="566" t="s">
        <v>81</v>
      </c>
      <c r="B5" s="43" t="s">
        <v>120</v>
      </c>
      <c r="C5" s="43" t="s">
        <v>40</v>
      </c>
      <c r="D5" s="43" t="s">
        <v>40</v>
      </c>
      <c r="E5" s="43" t="s">
        <v>40</v>
      </c>
      <c r="F5" s="43" t="s">
        <v>40</v>
      </c>
      <c r="G5" s="43" t="s">
        <v>40</v>
      </c>
      <c r="H5" s="43" t="s">
        <v>40</v>
      </c>
      <c r="I5" s="43" t="s">
        <v>40</v>
      </c>
      <c r="J5" s="43" t="s">
        <v>40</v>
      </c>
      <c r="K5" s="43" t="s">
        <v>40</v>
      </c>
      <c r="L5" s="43" t="s">
        <v>43</v>
      </c>
      <c r="M5" s="239" t="s">
        <v>230</v>
      </c>
      <c r="N5" s="239" t="s">
        <v>138</v>
      </c>
      <c r="O5" s="256" t="s">
        <v>137</v>
      </c>
      <c r="P5" s="282" t="s">
        <v>284</v>
      </c>
    </row>
    <row r="6" spans="1:16" ht="15" customHeight="1" thickBot="1" x14ac:dyDescent="0.25">
      <c r="A6" s="423" t="s">
        <v>213</v>
      </c>
      <c r="B6" s="44" t="s">
        <v>43</v>
      </c>
      <c r="C6" s="44" t="s">
        <v>122</v>
      </c>
      <c r="D6" s="44" t="s">
        <v>124</v>
      </c>
      <c r="E6" s="44" t="s">
        <v>44</v>
      </c>
      <c r="F6" s="44" t="s">
        <v>45</v>
      </c>
      <c r="G6" s="44" t="s">
        <v>46</v>
      </c>
      <c r="H6" s="44" t="s">
        <v>42</v>
      </c>
      <c r="I6" s="44" t="s">
        <v>128</v>
      </c>
      <c r="J6" s="44" t="s">
        <v>129</v>
      </c>
      <c r="K6" s="44" t="s">
        <v>130</v>
      </c>
      <c r="L6" s="44" t="s">
        <v>131</v>
      </c>
      <c r="M6" s="251" t="s">
        <v>138</v>
      </c>
      <c r="N6" s="251" t="s">
        <v>131</v>
      </c>
      <c r="O6" s="258" t="s">
        <v>41</v>
      </c>
      <c r="P6" s="283" t="s">
        <v>239</v>
      </c>
    </row>
    <row r="7" spans="1:16" x14ac:dyDescent="0.2">
      <c r="A7" s="227"/>
    </row>
    <row r="8" spans="1:16" s="465" customFormat="1" ht="16.5" customHeight="1" x14ac:dyDescent="0.25">
      <c r="A8" s="474" t="s">
        <v>160</v>
      </c>
      <c r="B8" s="466">
        <v>866.04112690399995</v>
      </c>
      <c r="C8" s="466">
        <v>688.40865492199998</v>
      </c>
      <c r="D8" s="466">
        <v>626.396358212</v>
      </c>
      <c r="E8" s="466">
        <v>672.55379718999995</v>
      </c>
      <c r="F8" s="466">
        <v>780.36989041599998</v>
      </c>
      <c r="G8" s="466">
        <v>881.94558934600002</v>
      </c>
      <c r="H8" s="466">
        <v>1033.3386890310001</v>
      </c>
      <c r="I8" s="466">
        <v>1194.61816256</v>
      </c>
      <c r="J8" s="466">
        <v>1366.9863992200001</v>
      </c>
      <c r="K8" s="466">
        <v>1472.092816333</v>
      </c>
      <c r="L8" s="466">
        <v>1727.1546651880001</v>
      </c>
      <c r="M8" s="479">
        <v>798.21741394799994</v>
      </c>
      <c r="N8" s="479">
        <v>1466.8632256789999</v>
      </c>
      <c r="O8" s="479">
        <v>1135.712534756</v>
      </c>
      <c r="P8" s="466">
        <v>1132.2923975839999</v>
      </c>
    </row>
    <row r="9" spans="1:16" s="465" customFormat="1" ht="16.5" customHeight="1" x14ac:dyDescent="0.2">
      <c r="A9" s="465" t="s">
        <v>161</v>
      </c>
      <c r="B9" s="467">
        <v>352.86089562299998</v>
      </c>
      <c r="C9" s="467">
        <v>266.36611070399999</v>
      </c>
      <c r="D9" s="467">
        <v>226.19486192599999</v>
      </c>
      <c r="E9" s="467">
        <v>233.182109172</v>
      </c>
      <c r="F9" s="467">
        <v>261.17808927300001</v>
      </c>
      <c r="G9" s="467">
        <v>277.77839667199999</v>
      </c>
      <c r="H9" s="467">
        <v>300.02874977599998</v>
      </c>
      <c r="I9" s="467">
        <v>319.34670361799999</v>
      </c>
      <c r="J9" s="467">
        <v>344.30546586000003</v>
      </c>
      <c r="K9" s="467">
        <v>347.03482270199999</v>
      </c>
      <c r="L9" s="467">
        <v>316.80528533</v>
      </c>
      <c r="M9" s="480">
        <v>260.15769007900002</v>
      </c>
      <c r="N9" s="480">
        <v>330.87491628499998</v>
      </c>
      <c r="O9" s="480">
        <v>295.85180254099998</v>
      </c>
      <c r="P9" s="467">
        <v>298.70578327599998</v>
      </c>
    </row>
    <row r="10" spans="1:16" s="465" customFormat="1" ht="16.5" customHeight="1" x14ac:dyDescent="0.2">
      <c r="A10" s="465" t="s">
        <v>162</v>
      </c>
      <c r="B10" s="467">
        <v>191.27461818099999</v>
      </c>
      <c r="C10" s="467">
        <v>188.12337715800001</v>
      </c>
      <c r="D10" s="467">
        <v>216.851940313</v>
      </c>
      <c r="E10" s="467">
        <v>299.90167898599998</v>
      </c>
      <c r="F10" s="467">
        <v>397.93694111000002</v>
      </c>
      <c r="G10" s="467">
        <v>475.84867343799999</v>
      </c>
      <c r="H10" s="467">
        <v>586.28446065200001</v>
      </c>
      <c r="I10" s="467">
        <v>709.89744995399997</v>
      </c>
      <c r="J10" s="467">
        <v>832.63175266300004</v>
      </c>
      <c r="K10" s="467">
        <v>880.35423835100005</v>
      </c>
      <c r="L10" s="467">
        <v>857.37000312800001</v>
      </c>
      <c r="M10" s="480">
        <v>392.68043202400003</v>
      </c>
      <c r="N10" s="480">
        <v>824.17342073899999</v>
      </c>
      <c r="O10" s="480">
        <v>610.47403186300005</v>
      </c>
      <c r="P10" s="467">
        <v>606.408680506</v>
      </c>
    </row>
    <row r="11" spans="1:16" s="465" customFormat="1" ht="16.5" customHeight="1" x14ac:dyDescent="0.2">
      <c r="A11" s="465" t="s">
        <v>163</v>
      </c>
      <c r="B11" s="467">
        <v>12.648473320000001</v>
      </c>
      <c r="C11" s="467">
        <v>10.767986225</v>
      </c>
      <c r="D11" s="467">
        <v>10.627998527999999</v>
      </c>
      <c r="E11" s="467">
        <v>12.451455133</v>
      </c>
      <c r="F11" s="467">
        <v>15.015073034</v>
      </c>
      <c r="G11" s="467">
        <v>15.864183355</v>
      </c>
      <c r="H11" s="467">
        <v>18.560026695000001</v>
      </c>
      <c r="I11" s="467">
        <v>20.945796036000001</v>
      </c>
      <c r="J11" s="467">
        <v>26.626064071999998</v>
      </c>
      <c r="K11" s="467">
        <v>37.868681889000001</v>
      </c>
      <c r="L11" s="467">
        <v>41.963504397999998</v>
      </c>
      <c r="M11" s="480">
        <v>14.506492204000001</v>
      </c>
      <c r="N11" s="480">
        <v>32.36276719</v>
      </c>
      <c r="O11" s="480">
        <v>23.519344116999999</v>
      </c>
      <c r="P11" s="467">
        <v>23.645549684999999</v>
      </c>
    </row>
    <row r="12" spans="1:16" s="465" customFormat="1" ht="16.5" customHeight="1" x14ac:dyDescent="0.2">
      <c r="A12" s="465" t="s">
        <v>164</v>
      </c>
      <c r="B12" s="467">
        <v>106.86905441</v>
      </c>
      <c r="C12" s="467">
        <v>96.221369003999996</v>
      </c>
      <c r="D12" s="467">
        <v>96.648108550000003</v>
      </c>
      <c r="E12" s="467">
        <v>68.441640976000002</v>
      </c>
      <c r="F12" s="467">
        <v>62.995026557999999</v>
      </c>
      <c r="G12" s="467">
        <v>71.834286585000001</v>
      </c>
      <c r="H12" s="467">
        <v>93.488731760999997</v>
      </c>
      <c r="I12" s="467">
        <v>112.173215363</v>
      </c>
      <c r="J12" s="467">
        <v>130.474542415</v>
      </c>
      <c r="K12" s="467">
        <v>167.07368553800001</v>
      </c>
      <c r="L12" s="467">
        <v>470.12287674700002</v>
      </c>
      <c r="M12" s="480">
        <v>77.796175344999995</v>
      </c>
      <c r="N12" s="480">
        <v>242.91342982500001</v>
      </c>
      <c r="O12" s="480">
        <v>161.13815815699999</v>
      </c>
      <c r="P12" s="467">
        <v>158.370302571</v>
      </c>
    </row>
    <row r="13" spans="1:16" s="465" customFormat="1" ht="16.5" customHeight="1" x14ac:dyDescent="0.2">
      <c r="A13" s="465" t="s">
        <v>165</v>
      </c>
      <c r="B13" s="467">
        <v>202.38808537</v>
      </c>
      <c r="C13" s="467">
        <v>126.92981183099999</v>
      </c>
      <c r="D13" s="467">
        <v>76.073448894999999</v>
      </c>
      <c r="E13" s="467">
        <v>58.576912921000002</v>
      </c>
      <c r="F13" s="467">
        <v>43.244760440999997</v>
      </c>
      <c r="G13" s="467">
        <v>40.620049295999998</v>
      </c>
      <c r="H13" s="467">
        <v>34.976720147999998</v>
      </c>
      <c r="I13" s="467">
        <v>32.254997588999998</v>
      </c>
      <c r="J13" s="467">
        <v>32.948574209999997</v>
      </c>
      <c r="K13" s="467">
        <v>39.761387853000002</v>
      </c>
      <c r="L13" s="467">
        <v>40.892995585999998</v>
      </c>
      <c r="M13" s="480">
        <v>53.076624297000002</v>
      </c>
      <c r="N13" s="480">
        <v>36.538691640000003</v>
      </c>
      <c r="O13" s="480">
        <v>44.729198078000003</v>
      </c>
      <c r="P13" s="467">
        <v>45.162081544999999</v>
      </c>
    </row>
    <row r="14" spans="1:16" s="465" customFormat="1" ht="16.5" customHeight="1" x14ac:dyDescent="0.25">
      <c r="A14" s="474" t="s">
        <v>166</v>
      </c>
      <c r="B14" s="466">
        <v>1198.1495094879999</v>
      </c>
      <c r="C14" s="466">
        <v>920.87318669499996</v>
      </c>
      <c r="D14" s="466">
        <v>806.12066259000005</v>
      </c>
      <c r="E14" s="466">
        <v>839.24397893000003</v>
      </c>
      <c r="F14" s="466">
        <v>959.71456889599995</v>
      </c>
      <c r="G14" s="466">
        <v>1066.740625313</v>
      </c>
      <c r="H14" s="466">
        <v>1226.6045927949999</v>
      </c>
      <c r="I14" s="466">
        <v>1383.787972313</v>
      </c>
      <c r="J14" s="466">
        <v>1569.108877336</v>
      </c>
      <c r="K14" s="466">
        <v>1710.744263973</v>
      </c>
      <c r="L14" s="466">
        <v>1907.1366702</v>
      </c>
      <c r="M14" s="479">
        <v>979.92286566999996</v>
      </c>
      <c r="N14" s="479">
        <v>1665.44325686</v>
      </c>
      <c r="O14" s="479">
        <v>1325.93533323</v>
      </c>
      <c r="P14" s="466">
        <v>1329.451253362</v>
      </c>
    </row>
    <row r="15" spans="1:16" s="465" customFormat="1" ht="16.5" customHeight="1" x14ac:dyDescent="0.2">
      <c r="A15" s="465" t="s">
        <v>79</v>
      </c>
      <c r="B15" s="467">
        <v>513.17897848400003</v>
      </c>
      <c r="C15" s="467">
        <v>427.84455599699999</v>
      </c>
      <c r="D15" s="467">
        <v>410.99333247800001</v>
      </c>
      <c r="E15" s="467">
        <v>480.92950009999998</v>
      </c>
      <c r="F15" s="467">
        <v>598.80799553199995</v>
      </c>
      <c r="G15" s="467">
        <v>686.27646200499998</v>
      </c>
      <c r="H15" s="467">
        <v>812.54481897200003</v>
      </c>
      <c r="I15" s="467">
        <v>925.59033379499999</v>
      </c>
      <c r="J15" s="467">
        <v>1069.031387305</v>
      </c>
      <c r="K15" s="467">
        <v>1168.2258613219999</v>
      </c>
      <c r="L15" s="467">
        <v>1383.1254066280001</v>
      </c>
      <c r="M15" s="480">
        <v>595.308515059</v>
      </c>
      <c r="N15" s="480">
        <v>1158.7903933350001</v>
      </c>
      <c r="O15" s="480">
        <v>879.72274639800003</v>
      </c>
      <c r="P15" s="467">
        <v>882.91849873499996</v>
      </c>
    </row>
    <row r="16" spans="1:16" s="465" customFormat="1" ht="16.5" customHeight="1" x14ac:dyDescent="0.2">
      <c r="A16" s="465" t="s">
        <v>167</v>
      </c>
      <c r="B16" s="467">
        <v>349.57104213899999</v>
      </c>
      <c r="C16" s="467">
        <v>325.88796750699998</v>
      </c>
      <c r="D16" s="467">
        <v>339.92728338900002</v>
      </c>
      <c r="E16" s="467">
        <v>430.61348668099998</v>
      </c>
      <c r="F16" s="467">
        <v>550.18766180900002</v>
      </c>
      <c r="G16" s="467">
        <v>633.52083187999995</v>
      </c>
      <c r="H16" s="467">
        <v>746.14028245300005</v>
      </c>
      <c r="I16" s="467">
        <v>856.94907218200001</v>
      </c>
      <c r="J16" s="467">
        <v>1004.06446577</v>
      </c>
      <c r="K16" s="467">
        <v>1088.537886631</v>
      </c>
      <c r="L16" s="467">
        <v>987.465661684</v>
      </c>
      <c r="M16" s="480">
        <v>536.74312968699996</v>
      </c>
      <c r="N16" s="480">
        <v>983.60252406899997</v>
      </c>
      <c r="O16" s="480">
        <v>762.29283424699997</v>
      </c>
      <c r="P16" s="467">
        <v>762.76738347100002</v>
      </c>
    </row>
    <row r="17" spans="1:16" s="465" customFormat="1" ht="16.5" customHeight="1" x14ac:dyDescent="0.2">
      <c r="A17" s="465" t="s">
        <v>199</v>
      </c>
      <c r="B17" s="467">
        <v>48.788106749999997</v>
      </c>
      <c r="C17" s="467">
        <v>37.149336613999999</v>
      </c>
      <c r="D17" s="467">
        <v>38.162874074999998</v>
      </c>
      <c r="E17" s="467">
        <v>72.576017862</v>
      </c>
      <c r="F17" s="467">
        <v>111.717159248</v>
      </c>
      <c r="G17" s="467">
        <v>142.111698929</v>
      </c>
      <c r="H17" s="467">
        <v>174.10785313700001</v>
      </c>
      <c r="I17" s="467">
        <v>207.849353648</v>
      </c>
      <c r="J17" s="467">
        <v>214.92585143900001</v>
      </c>
      <c r="K17" s="467">
        <v>257.65081537399999</v>
      </c>
      <c r="L17" s="467">
        <v>192.909696637</v>
      </c>
      <c r="M17" s="480">
        <v>106.765567455</v>
      </c>
      <c r="N17" s="480">
        <v>213.654447882</v>
      </c>
      <c r="O17" s="480">
        <v>160.717113969</v>
      </c>
      <c r="P17" s="467">
        <v>153.50214644100001</v>
      </c>
    </row>
    <row r="18" spans="1:16" s="465" customFormat="1" ht="16.5" customHeight="1" x14ac:dyDescent="0.2">
      <c r="A18" s="465" t="s">
        <v>168</v>
      </c>
      <c r="B18" s="467">
        <v>163.60793634500001</v>
      </c>
      <c r="C18" s="467">
        <v>101.95658849</v>
      </c>
      <c r="D18" s="467">
        <v>71.066049090000007</v>
      </c>
      <c r="E18" s="467">
        <v>50.316013419999997</v>
      </c>
      <c r="F18" s="467">
        <v>48.620333723000002</v>
      </c>
      <c r="G18" s="467">
        <v>52.755630126</v>
      </c>
      <c r="H18" s="467">
        <v>66.404536519000004</v>
      </c>
      <c r="I18" s="467">
        <v>68.641261612999998</v>
      </c>
      <c r="J18" s="467">
        <v>64.966921534999997</v>
      </c>
      <c r="K18" s="467">
        <v>79.687974690999994</v>
      </c>
      <c r="L18" s="467">
        <v>395.65974494400001</v>
      </c>
      <c r="M18" s="480">
        <v>58.565385372000001</v>
      </c>
      <c r="N18" s="480">
        <v>175.18786926499999</v>
      </c>
      <c r="O18" s="480">
        <v>117.429912151</v>
      </c>
      <c r="P18" s="467">
        <v>120.151115265</v>
      </c>
    </row>
    <row r="19" spans="1:16" s="465" customFormat="1" ht="16.5" customHeight="1" x14ac:dyDescent="0.2">
      <c r="A19" s="465" t="s">
        <v>169</v>
      </c>
      <c r="B19" s="467">
        <v>405.39541124200002</v>
      </c>
      <c r="C19" s="467">
        <v>283.88236928499998</v>
      </c>
      <c r="D19" s="467">
        <v>227.54584034199999</v>
      </c>
      <c r="E19" s="467">
        <v>206.905819716</v>
      </c>
      <c r="F19" s="467">
        <v>201.18653249100001</v>
      </c>
      <c r="G19" s="467">
        <v>209.09567735100001</v>
      </c>
      <c r="H19" s="467">
        <v>217.74609165499999</v>
      </c>
      <c r="I19" s="467">
        <v>239.282930155</v>
      </c>
      <c r="J19" s="467">
        <v>248.60656141600001</v>
      </c>
      <c r="K19" s="467">
        <v>263.97347264400003</v>
      </c>
      <c r="L19" s="467">
        <v>200.513346762</v>
      </c>
      <c r="M19" s="480">
        <v>214.55132471499999</v>
      </c>
      <c r="N19" s="480">
        <v>233.79507659500001</v>
      </c>
      <c r="O19" s="480">
        <v>224.26449759600001</v>
      </c>
      <c r="P19" s="467">
        <v>220.77711797399999</v>
      </c>
    </row>
    <row r="20" spans="1:16" s="465" customFormat="1" ht="16.5" customHeight="1" x14ac:dyDescent="0.2">
      <c r="A20" s="465" t="s">
        <v>170</v>
      </c>
      <c r="B20" s="467">
        <v>215.240794932</v>
      </c>
      <c r="C20" s="467">
        <v>181.12604603899999</v>
      </c>
      <c r="D20" s="467">
        <v>153.638068847</v>
      </c>
      <c r="E20" s="467">
        <v>147.82741107699999</v>
      </c>
      <c r="F20" s="467">
        <v>148.250060383</v>
      </c>
      <c r="G20" s="467">
        <v>150.19768311999999</v>
      </c>
      <c r="H20" s="467">
        <v>154.41563593000001</v>
      </c>
      <c r="I20" s="467">
        <v>178.206259531</v>
      </c>
      <c r="J20" s="467">
        <v>204.00905279099999</v>
      </c>
      <c r="K20" s="467">
        <v>219.34450942800001</v>
      </c>
      <c r="L20" s="467">
        <v>167.48712374999999</v>
      </c>
      <c r="M20" s="480">
        <v>151.78321942900001</v>
      </c>
      <c r="N20" s="480">
        <v>189.63536582399999</v>
      </c>
      <c r="O20" s="480">
        <v>170.888872222</v>
      </c>
      <c r="P20" s="467">
        <v>168.82118193599999</v>
      </c>
    </row>
    <row r="21" spans="1:16" s="465" customFormat="1" ht="16.5" customHeight="1" x14ac:dyDescent="0.2">
      <c r="A21" s="465" t="s">
        <v>171</v>
      </c>
      <c r="B21" s="467">
        <v>87.698319835999996</v>
      </c>
      <c r="C21" s="467">
        <v>44.322967341000002</v>
      </c>
      <c r="D21" s="467">
        <v>18.611408007000001</v>
      </c>
      <c r="E21" s="467">
        <v>5.4434517099999997</v>
      </c>
      <c r="F21" s="467">
        <v>2.9394710989999999</v>
      </c>
      <c r="G21" s="467">
        <v>2.6945570860000001</v>
      </c>
      <c r="H21" s="467">
        <v>2.5552955339999999</v>
      </c>
      <c r="I21" s="467">
        <v>2.360246638</v>
      </c>
      <c r="J21" s="467">
        <v>3.8994162920000002</v>
      </c>
      <c r="K21" s="467">
        <v>6.0424266629999996</v>
      </c>
      <c r="L21" s="467">
        <v>8.1024163320000007</v>
      </c>
      <c r="M21" s="480">
        <v>7.0716514019999996</v>
      </c>
      <c r="N21" s="480">
        <v>5.3154210429999997</v>
      </c>
      <c r="O21" s="480">
        <v>6.1852042479999998</v>
      </c>
      <c r="P21" s="467">
        <v>5.985235318</v>
      </c>
    </row>
    <row r="22" spans="1:16" s="465" customFormat="1" ht="16.5" customHeight="1" x14ac:dyDescent="0.2">
      <c r="A22" s="687" t="s">
        <v>607</v>
      </c>
      <c r="B22" s="467">
        <v>102.45629647299999</v>
      </c>
      <c r="C22" s="467">
        <v>58.433355904999999</v>
      </c>
      <c r="D22" s="467">
        <v>55.296363487999997</v>
      </c>
      <c r="E22" s="467">
        <v>53.634956928000001</v>
      </c>
      <c r="F22" s="467">
        <v>49.997001009000002</v>
      </c>
      <c r="G22" s="467">
        <v>56.203437143999999</v>
      </c>
      <c r="H22" s="467">
        <v>60.775160190999998</v>
      </c>
      <c r="I22" s="467">
        <v>58.716423986000002</v>
      </c>
      <c r="J22" s="467">
        <v>40.698092332999998</v>
      </c>
      <c r="K22" s="467">
        <v>38.586536553000002</v>
      </c>
      <c r="L22" s="467">
        <v>24.923806679999998</v>
      </c>
      <c r="M22" s="480">
        <v>55.696453884</v>
      </c>
      <c r="N22" s="480">
        <v>38.844289728</v>
      </c>
      <c r="O22" s="480">
        <v>47.190421127</v>
      </c>
      <c r="P22" s="467">
        <v>45.970700719</v>
      </c>
    </row>
    <row r="23" spans="1:16" s="465" customFormat="1" ht="16.5" customHeight="1" x14ac:dyDescent="0.2">
      <c r="A23" s="465" t="s">
        <v>172</v>
      </c>
      <c r="B23" s="467">
        <v>25.324039281000001</v>
      </c>
      <c r="C23" s="467">
        <v>19.323730178999998</v>
      </c>
      <c r="D23" s="467">
        <v>17.602288932</v>
      </c>
      <c r="E23" s="467">
        <v>23.770212268000002</v>
      </c>
      <c r="F23" s="467">
        <v>35.014049761000003</v>
      </c>
      <c r="G23" s="467">
        <v>44.858056595999997</v>
      </c>
      <c r="H23" s="467">
        <v>59.873879539999997</v>
      </c>
      <c r="I23" s="467">
        <v>72.110758899000004</v>
      </c>
      <c r="J23" s="467">
        <v>85.738147999000006</v>
      </c>
      <c r="K23" s="467">
        <v>84.161683257000007</v>
      </c>
      <c r="L23" s="467">
        <v>75.835815760000003</v>
      </c>
      <c r="M23" s="480">
        <v>35.973751596</v>
      </c>
      <c r="N23" s="480">
        <v>79.537405376999999</v>
      </c>
      <c r="O23" s="480">
        <v>57.962254833000003</v>
      </c>
      <c r="P23" s="467">
        <v>56.726830266999997</v>
      </c>
    </row>
    <row r="24" spans="1:16" s="465" customFormat="1" ht="16.5" customHeight="1" x14ac:dyDescent="0.2">
      <c r="A24" s="465" t="s">
        <v>173</v>
      </c>
      <c r="B24" s="467">
        <v>116.900766346</v>
      </c>
      <c r="C24" s="467">
        <v>83.322944344000007</v>
      </c>
      <c r="D24" s="467">
        <v>63.650663555000001</v>
      </c>
      <c r="E24" s="467">
        <v>65.907040652999996</v>
      </c>
      <c r="F24" s="467">
        <v>74.004238333999993</v>
      </c>
      <c r="G24" s="467">
        <v>82.042662601999993</v>
      </c>
      <c r="H24" s="467">
        <v>92.172890426999999</v>
      </c>
      <c r="I24" s="467">
        <v>104.373445906</v>
      </c>
      <c r="J24" s="467">
        <v>125.497677618</v>
      </c>
      <c r="K24" s="467">
        <v>138.44722144900001</v>
      </c>
      <c r="L24" s="467">
        <v>161.03688218600001</v>
      </c>
      <c r="M24" s="480">
        <v>76.053192930999998</v>
      </c>
      <c r="N24" s="480">
        <v>134.96722170300001</v>
      </c>
      <c r="O24" s="480">
        <v>105.78970949799999</v>
      </c>
      <c r="P24" s="467">
        <v>108.30397019900001</v>
      </c>
    </row>
    <row r="25" spans="1:16" s="465" customFormat="1" ht="16.5" customHeight="1" x14ac:dyDescent="0.2">
      <c r="A25" s="475" t="s">
        <v>174</v>
      </c>
      <c r="B25" s="468">
        <v>137.35031413499999</v>
      </c>
      <c r="C25" s="468">
        <v>106.49958689</v>
      </c>
      <c r="D25" s="468">
        <v>86.328537281999999</v>
      </c>
      <c r="E25" s="468">
        <v>61.731406192000001</v>
      </c>
      <c r="F25" s="468">
        <v>50.701752777000003</v>
      </c>
      <c r="G25" s="468">
        <v>44.467766759</v>
      </c>
      <c r="H25" s="468">
        <v>44.2669122</v>
      </c>
      <c r="I25" s="468">
        <v>42.430503559000002</v>
      </c>
      <c r="J25" s="468">
        <v>40.235102998000002</v>
      </c>
      <c r="K25" s="468">
        <v>55.936025301000001</v>
      </c>
      <c r="L25" s="468">
        <v>86.625218864000004</v>
      </c>
      <c r="M25" s="481">
        <v>58.036081369000001</v>
      </c>
      <c r="N25" s="481">
        <v>58.353159851000001</v>
      </c>
      <c r="O25" s="481">
        <v>58.196124906000001</v>
      </c>
      <c r="P25" s="468">
        <v>60.724836185999997</v>
      </c>
    </row>
    <row r="26" spans="1:16" s="465" customFormat="1" ht="16.5" customHeight="1" x14ac:dyDescent="0.25">
      <c r="A26" s="474" t="s">
        <v>175</v>
      </c>
      <c r="B26" s="466">
        <v>332.10838258400003</v>
      </c>
      <c r="C26" s="466">
        <v>232.464531773</v>
      </c>
      <c r="D26" s="466">
        <v>179.724304378</v>
      </c>
      <c r="E26" s="466">
        <v>166.69018174000001</v>
      </c>
      <c r="F26" s="466">
        <v>179.34467848</v>
      </c>
      <c r="G26" s="466">
        <v>184.79503596800001</v>
      </c>
      <c r="H26" s="466">
        <v>193.265903764</v>
      </c>
      <c r="I26" s="466">
        <v>189.16980975300001</v>
      </c>
      <c r="J26" s="466">
        <v>202.122478116</v>
      </c>
      <c r="K26" s="466">
        <v>238.65144763999999</v>
      </c>
      <c r="L26" s="466">
        <v>179.98200501100001</v>
      </c>
      <c r="M26" s="479">
        <v>181.705451721</v>
      </c>
      <c r="N26" s="479">
        <v>198.58003118100001</v>
      </c>
      <c r="O26" s="479">
        <v>190.222798474</v>
      </c>
      <c r="P26" s="466">
        <v>197.158855778</v>
      </c>
    </row>
    <row r="27" spans="1:16" s="465" customFormat="1" ht="16.5" customHeight="1" x14ac:dyDescent="0.25">
      <c r="A27" s="476" t="s">
        <v>176</v>
      </c>
      <c r="B27" s="469">
        <v>236.56355386499999</v>
      </c>
      <c r="C27" s="469">
        <v>156.65530641399999</v>
      </c>
      <c r="D27" s="469">
        <v>112.961679148</v>
      </c>
      <c r="E27" s="469">
        <v>99.625435680999999</v>
      </c>
      <c r="F27" s="469">
        <v>113.272121875</v>
      </c>
      <c r="G27" s="469">
        <v>118.959390695</v>
      </c>
      <c r="H27" s="469">
        <v>116.128328319</v>
      </c>
      <c r="I27" s="469">
        <v>107.59450137899999</v>
      </c>
      <c r="J27" s="469">
        <v>103.27125300100001</v>
      </c>
      <c r="K27" s="469">
        <v>107.43568363599999</v>
      </c>
      <c r="L27" s="469">
        <v>67.230135904999997</v>
      </c>
      <c r="M27" s="482">
        <v>112.112187448</v>
      </c>
      <c r="N27" s="482">
        <v>93.185994823000001</v>
      </c>
      <c r="O27" s="482">
        <v>102.559300771</v>
      </c>
      <c r="P27" s="469">
        <v>108.187236056</v>
      </c>
    </row>
    <row r="28" spans="1:16" s="465" customFormat="1" ht="16.5" customHeight="1" x14ac:dyDescent="0.25">
      <c r="A28" s="474" t="s">
        <v>177</v>
      </c>
      <c r="B28" s="466">
        <v>580.58621127100002</v>
      </c>
      <c r="C28" s="466">
        <v>430.36695928900002</v>
      </c>
      <c r="D28" s="466">
        <v>350.28984420500001</v>
      </c>
      <c r="E28" s="466">
        <v>349.02420221</v>
      </c>
      <c r="F28" s="466">
        <v>378.99861575099999</v>
      </c>
      <c r="G28" s="466">
        <v>384.280018504</v>
      </c>
      <c r="H28" s="466">
        <v>397.67527119099998</v>
      </c>
      <c r="I28" s="466">
        <v>376.90043523899999</v>
      </c>
      <c r="J28" s="466">
        <v>413.70395565299998</v>
      </c>
      <c r="K28" s="466">
        <v>469.568579704</v>
      </c>
      <c r="L28" s="466">
        <v>451.17049974399998</v>
      </c>
      <c r="M28" s="479">
        <v>373.98662330399998</v>
      </c>
      <c r="N28" s="479">
        <v>427.95743230800002</v>
      </c>
      <c r="O28" s="479">
        <v>401.22807817500001</v>
      </c>
      <c r="P28" s="466">
        <v>411.49686769099998</v>
      </c>
    </row>
    <row r="29" spans="1:16" s="465" customFormat="1" ht="16.5" customHeight="1" x14ac:dyDescent="0.2">
      <c r="A29" s="465" t="s">
        <v>178</v>
      </c>
      <c r="B29" s="467">
        <v>555.18989345700004</v>
      </c>
      <c r="C29" s="467">
        <v>408.27054752100003</v>
      </c>
      <c r="D29" s="467">
        <v>330.08915722900002</v>
      </c>
      <c r="E29" s="467">
        <v>330.71259380999999</v>
      </c>
      <c r="F29" s="467">
        <v>358.36995199900002</v>
      </c>
      <c r="G29" s="467">
        <v>364.48408253000002</v>
      </c>
      <c r="H29" s="467">
        <v>376.11775135800002</v>
      </c>
      <c r="I29" s="467">
        <v>351.37481195100003</v>
      </c>
      <c r="J29" s="467">
        <v>378.31857524600002</v>
      </c>
      <c r="K29" s="467">
        <v>423.88862406800001</v>
      </c>
      <c r="L29" s="467">
        <v>361.46013541000002</v>
      </c>
      <c r="M29" s="480">
        <v>353.98334525000001</v>
      </c>
      <c r="N29" s="480">
        <v>375.22096307800001</v>
      </c>
      <c r="O29" s="480">
        <v>364.70291048000001</v>
      </c>
      <c r="P29" s="467">
        <v>374.27712931899998</v>
      </c>
    </row>
    <row r="30" spans="1:16" s="465" customFormat="1" ht="16.5" customHeight="1" x14ac:dyDescent="0.2">
      <c r="A30" s="465" t="s">
        <v>179</v>
      </c>
      <c r="B30" s="467">
        <v>16.847459529000002</v>
      </c>
      <c r="C30" s="467">
        <v>15.309812690999999</v>
      </c>
      <c r="D30" s="467">
        <v>11.820475298</v>
      </c>
      <c r="E30" s="467">
        <v>10.523943999</v>
      </c>
      <c r="F30" s="467">
        <v>10.925121684</v>
      </c>
      <c r="G30" s="467">
        <v>12.406259212</v>
      </c>
      <c r="H30" s="467">
        <v>13.744193243</v>
      </c>
      <c r="I30" s="467">
        <v>15.409430068000001</v>
      </c>
      <c r="J30" s="467">
        <v>17.969813313</v>
      </c>
      <c r="K30" s="467">
        <v>21.703945158</v>
      </c>
      <c r="L30" s="467">
        <v>71.172304744000002</v>
      </c>
      <c r="M30" s="480">
        <v>11.888670928</v>
      </c>
      <c r="N30" s="480">
        <v>35.303564891999997</v>
      </c>
      <c r="O30" s="480">
        <v>23.707203742000001</v>
      </c>
      <c r="P30" s="467">
        <v>23.810771989999999</v>
      </c>
    </row>
    <row r="31" spans="1:16" s="465" customFormat="1" ht="16.5" customHeight="1" x14ac:dyDescent="0.2">
      <c r="A31" s="465" t="s">
        <v>180</v>
      </c>
      <c r="B31" s="467">
        <v>8.5488582849999997</v>
      </c>
      <c r="C31" s="467">
        <v>6.786599077</v>
      </c>
      <c r="D31" s="467">
        <v>8.3802116780000002</v>
      </c>
      <c r="E31" s="467">
        <v>7.7876644009999998</v>
      </c>
      <c r="F31" s="467">
        <v>9.7035420680000009</v>
      </c>
      <c r="G31" s="467">
        <v>7.3896767619999997</v>
      </c>
      <c r="H31" s="467">
        <v>7.813326591</v>
      </c>
      <c r="I31" s="467">
        <v>10.11619322</v>
      </c>
      <c r="J31" s="467">
        <v>17.415567094</v>
      </c>
      <c r="K31" s="467">
        <v>23.976010477999999</v>
      </c>
      <c r="L31" s="467">
        <v>18.53805959</v>
      </c>
      <c r="M31" s="480">
        <v>8.1146071259999992</v>
      </c>
      <c r="N31" s="480">
        <v>17.432904339</v>
      </c>
      <c r="O31" s="480">
        <v>12.817963953</v>
      </c>
      <c r="P31" s="467">
        <v>13.408966381999999</v>
      </c>
    </row>
    <row r="32" spans="1:16" s="465" customFormat="1" ht="16.5" customHeight="1" x14ac:dyDescent="0.25">
      <c r="A32" s="474" t="s">
        <v>181</v>
      </c>
      <c r="B32" s="466">
        <v>319.24242998699998</v>
      </c>
      <c r="C32" s="466">
        <v>230.16452431799999</v>
      </c>
      <c r="D32" s="466">
        <v>185.33201200299999</v>
      </c>
      <c r="E32" s="466">
        <v>180.05812442499999</v>
      </c>
      <c r="F32" s="466">
        <v>181.28688451400001</v>
      </c>
      <c r="G32" s="466">
        <v>179.596139854</v>
      </c>
      <c r="H32" s="466">
        <v>170.37521387699999</v>
      </c>
      <c r="I32" s="466">
        <v>167.13634981300001</v>
      </c>
      <c r="J32" s="466">
        <v>178.87181408000001</v>
      </c>
      <c r="K32" s="466">
        <v>206.61215572500001</v>
      </c>
      <c r="L32" s="466">
        <v>117.31711459</v>
      </c>
      <c r="M32" s="479">
        <v>180.928452859</v>
      </c>
      <c r="N32" s="479">
        <v>161.32735578399999</v>
      </c>
      <c r="O32" s="479">
        <v>171.03491205</v>
      </c>
      <c r="P32" s="466">
        <v>177.39971704600001</v>
      </c>
    </row>
    <row r="33" spans="1:16" s="465" customFormat="1" ht="16.5" customHeight="1" x14ac:dyDescent="0.2">
      <c r="A33" s="465" t="s">
        <v>182</v>
      </c>
      <c r="B33" s="467">
        <v>70.528167666000002</v>
      </c>
      <c r="C33" s="467">
        <v>49.406677448000003</v>
      </c>
      <c r="D33" s="467">
        <v>39.177528899999999</v>
      </c>
      <c r="E33" s="467">
        <v>39.978412980999998</v>
      </c>
      <c r="F33" s="467">
        <v>42.41617274</v>
      </c>
      <c r="G33" s="467">
        <v>44.248173567000002</v>
      </c>
      <c r="H33" s="467">
        <v>43.258580084000002</v>
      </c>
      <c r="I33" s="467">
        <v>42.891052731999999</v>
      </c>
      <c r="J33" s="467">
        <v>44.831757052999997</v>
      </c>
      <c r="K33" s="467">
        <v>50.432399785000001</v>
      </c>
      <c r="L33" s="467">
        <v>39.426754733000003</v>
      </c>
      <c r="M33" s="480">
        <v>42.086425826999999</v>
      </c>
      <c r="N33" s="480">
        <v>43.647301583999997</v>
      </c>
      <c r="O33" s="480">
        <v>42.874268872000002</v>
      </c>
      <c r="P33" s="467">
        <v>43.657640358999998</v>
      </c>
    </row>
    <row r="34" spans="1:16" s="465" customFormat="1" ht="16.5" customHeight="1" x14ac:dyDescent="0.2">
      <c r="A34" s="465" t="s">
        <v>183</v>
      </c>
      <c r="B34" s="467">
        <v>229.64998737900001</v>
      </c>
      <c r="C34" s="467">
        <v>162.165450013</v>
      </c>
      <c r="D34" s="467">
        <v>124.814063057</v>
      </c>
      <c r="E34" s="467">
        <v>118.66290896</v>
      </c>
      <c r="F34" s="467">
        <v>113.32374127600001</v>
      </c>
      <c r="G34" s="467">
        <v>108.565099448</v>
      </c>
      <c r="H34" s="467">
        <v>97.840425061000005</v>
      </c>
      <c r="I34" s="467">
        <v>96.161123961000001</v>
      </c>
      <c r="J34" s="467">
        <v>96.111098994000002</v>
      </c>
      <c r="K34" s="467">
        <v>97.140337846999998</v>
      </c>
      <c r="L34" s="467">
        <v>48.419374656000002</v>
      </c>
      <c r="M34" s="480">
        <v>114.33664537</v>
      </c>
      <c r="N34" s="480">
        <v>80.867685537</v>
      </c>
      <c r="O34" s="480">
        <v>97.443380738000002</v>
      </c>
      <c r="P34" s="467">
        <v>99.615302452999998</v>
      </c>
    </row>
    <row r="35" spans="1:16" s="465" customFormat="1" ht="16.5" customHeight="1" x14ac:dyDescent="0.2">
      <c r="A35" s="475" t="s">
        <v>184</v>
      </c>
      <c r="B35" s="468">
        <v>19.064274942000001</v>
      </c>
      <c r="C35" s="468">
        <v>18.592396857000001</v>
      </c>
      <c r="D35" s="468">
        <v>21.340420046999999</v>
      </c>
      <c r="E35" s="468">
        <v>21.416802484000002</v>
      </c>
      <c r="F35" s="468">
        <v>25.546970498</v>
      </c>
      <c r="G35" s="468">
        <v>26.782866840000001</v>
      </c>
      <c r="H35" s="468">
        <v>29.276208732000001</v>
      </c>
      <c r="I35" s="468">
        <v>28.084173119999999</v>
      </c>
      <c r="J35" s="468">
        <v>37.928958033000001</v>
      </c>
      <c r="K35" s="468">
        <v>59.039418093000002</v>
      </c>
      <c r="L35" s="468">
        <v>29.470985201000001</v>
      </c>
      <c r="M35" s="481">
        <v>24.505381663000001</v>
      </c>
      <c r="N35" s="481">
        <v>36.812368663000001</v>
      </c>
      <c r="O35" s="481">
        <v>30.717262439999999</v>
      </c>
      <c r="P35" s="468">
        <v>34.126774234000003</v>
      </c>
    </row>
    <row r="36" spans="1:16" s="465" customFormat="1" ht="16.5" customHeight="1" x14ac:dyDescent="0.25">
      <c r="A36" s="477" t="s">
        <v>185</v>
      </c>
      <c r="B36" s="466">
        <v>1446.627338175</v>
      </c>
      <c r="C36" s="466">
        <v>1118.7756142109999</v>
      </c>
      <c r="D36" s="466">
        <v>976.686202417</v>
      </c>
      <c r="E36" s="466">
        <v>1021.5779994</v>
      </c>
      <c r="F36" s="466">
        <v>1159.3685061670001</v>
      </c>
      <c r="G36" s="466">
        <v>1266.225607849</v>
      </c>
      <c r="H36" s="466">
        <v>1431.0139602219999</v>
      </c>
      <c r="I36" s="466">
        <v>1571.518597799</v>
      </c>
      <c r="J36" s="466">
        <v>1780.6903548719999</v>
      </c>
      <c r="K36" s="466">
        <v>1941.661396037</v>
      </c>
      <c r="L36" s="466">
        <v>2178.325164932</v>
      </c>
      <c r="M36" s="479">
        <v>1172.204037252</v>
      </c>
      <c r="N36" s="479">
        <v>1894.820657987</v>
      </c>
      <c r="O36" s="479">
        <v>1536.940612931</v>
      </c>
      <c r="P36" s="466">
        <v>1543.7892652749999</v>
      </c>
    </row>
    <row r="37" spans="1:16" s="465" customFormat="1" ht="16.5" customHeight="1" x14ac:dyDescent="0.25">
      <c r="A37" s="477" t="s">
        <v>186</v>
      </c>
      <c r="B37" s="466">
        <v>1517.3919394740001</v>
      </c>
      <c r="C37" s="466">
        <v>1151.037711014</v>
      </c>
      <c r="D37" s="466">
        <v>991.45267459299998</v>
      </c>
      <c r="E37" s="466">
        <v>1019.302103355</v>
      </c>
      <c r="F37" s="466">
        <v>1141.0014534100001</v>
      </c>
      <c r="G37" s="466">
        <v>1246.3367651680001</v>
      </c>
      <c r="H37" s="466">
        <v>1396.979806672</v>
      </c>
      <c r="I37" s="466">
        <v>1550.9243221260001</v>
      </c>
      <c r="J37" s="466">
        <v>1747.9806914159999</v>
      </c>
      <c r="K37" s="466">
        <v>1917.3564196980001</v>
      </c>
      <c r="L37" s="466">
        <v>2024.4537847900001</v>
      </c>
      <c r="M37" s="479">
        <v>1160.8513185290001</v>
      </c>
      <c r="N37" s="479">
        <v>1826.770612644</v>
      </c>
      <c r="O37" s="479">
        <v>1496.97024528</v>
      </c>
      <c r="P37" s="466">
        <v>1506.850970408</v>
      </c>
    </row>
    <row r="38" spans="1:16" s="465" customFormat="1" ht="16.5" customHeight="1" x14ac:dyDescent="0.25">
      <c r="A38" s="476" t="s">
        <v>187</v>
      </c>
      <c r="B38" s="469">
        <v>70.764601299999995</v>
      </c>
      <c r="C38" s="469">
        <v>32.262096802999999</v>
      </c>
      <c r="D38" s="469">
        <v>14.766472176000001</v>
      </c>
      <c r="E38" s="469">
        <v>-2.2758960450000001</v>
      </c>
      <c r="F38" s="469">
        <v>-18.367052757</v>
      </c>
      <c r="G38" s="469">
        <v>-19.888842682</v>
      </c>
      <c r="H38" s="469">
        <v>-34.034153549999999</v>
      </c>
      <c r="I38" s="469">
        <v>-20.594275672999999</v>
      </c>
      <c r="J38" s="469">
        <v>-32.709663456000001</v>
      </c>
      <c r="K38" s="469">
        <v>-24.304976339</v>
      </c>
      <c r="L38" s="469">
        <v>-153.87138014300001</v>
      </c>
      <c r="M38" s="482">
        <v>-11.352718723000001</v>
      </c>
      <c r="N38" s="482">
        <v>-68.050045342999994</v>
      </c>
      <c r="O38" s="482">
        <v>-39.97036765</v>
      </c>
      <c r="P38" s="469">
        <v>-36.938294867000003</v>
      </c>
    </row>
    <row r="39" spans="1:16" s="465" customFormat="1" ht="16.5" customHeight="1" x14ac:dyDescent="0.2">
      <c r="A39" s="465" t="s">
        <v>188</v>
      </c>
      <c r="B39" s="467">
        <v>95.544828718999995</v>
      </c>
      <c r="C39" s="467">
        <v>75.809225358999996</v>
      </c>
      <c r="D39" s="467">
        <v>66.762625229999998</v>
      </c>
      <c r="E39" s="467">
        <v>67.064746059000001</v>
      </c>
      <c r="F39" s="467">
        <v>66.072556605000003</v>
      </c>
      <c r="G39" s="467">
        <v>65.835645271999994</v>
      </c>
      <c r="H39" s="467">
        <v>77.137575444999996</v>
      </c>
      <c r="I39" s="467">
        <v>81.575308374000002</v>
      </c>
      <c r="J39" s="467">
        <v>98.851225115999995</v>
      </c>
      <c r="K39" s="467">
        <v>131.21576400399999</v>
      </c>
      <c r="L39" s="467">
        <v>112.751869106</v>
      </c>
      <c r="M39" s="480">
        <v>69.593264273000003</v>
      </c>
      <c r="N39" s="480">
        <v>105.39403635799999</v>
      </c>
      <c r="O39" s="480">
        <v>87.663497703000004</v>
      </c>
      <c r="P39" s="467">
        <v>88.971619723000003</v>
      </c>
    </row>
    <row r="40" spans="1:16" s="465" customFormat="1" ht="16.5" customHeight="1" x14ac:dyDescent="0.2">
      <c r="A40" s="465" t="s">
        <v>189</v>
      </c>
      <c r="B40" s="467">
        <v>75.209828361000007</v>
      </c>
      <c r="C40" s="467">
        <v>59.412539985999999</v>
      </c>
      <c r="D40" s="467">
        <v>52.621626802000002</v>
      </c>
      <c r="E40" s="467">
        <v>51.464824716999999</v>
      </c>
      <c r="F40" s="467">
        <v>57.815710293000002</v>
      </c>
      <c r="G40" s="467">
        <v>63.960133911</v>
      </c>
      <c r="H40" s="467">
        <v>67.630434825999998</v>
      </c>
      <c r="I40" s="467">
        <v>76.462896409999999</v>
      </c>
      <c r="J40" s="467">
        <v>105.10953131399999</v>
      </c>
      <c r="K40" s="467">
        <v>157.77287410599999</v>
      </c>
      <c r="L40" s="467">
        <v>215.65126745399999</v>
      </c>
      <c r="M40" s="480">
        <v>58.356571434999999</v>
      </c>
      <c r="N40" s="480">
        <v>144.09217781000001</v>
      </c>
      <c r="O40" s="480">
        <v>101.631124754</v>
      </c>
      <c r="P40" s="467">
        <v>101.995484976</v>
      </c>
    </row>
    <row r="41" spans="1:16" s="465" customFormat="1" ht="16.5" customHeight="1" x14ac:dyDescent="0.2">
      <c r="A41" s="475" t="s">
        <v>190</v>
      </c>
      <c r="B41" s="468">
        <v>-20.335000357999998</v>
      </c>
      <c r="C41" s="468">
        <v>-16.396685373</v>
      </c>
      <c r="D41" s="468">
        <v>-14.140998429</v>
      </c>
      <c r="E41" s="468">
        <v>-15.599921342</v>
      </c>
      <c r="F41" s="468">
        <v>-8.2568463110000003</v>
      </c>
      <c r="G41" s="468">
        <v>-1.8755113619999999</v>
      </c>
      <c r="H41" s="468">
        <v>-9.5071406189999994</v>
      </c>
      <c r="I41" s="468">
        <v>-5.1124119639999996</v>
      </c>
      <c r="J41" s="468">
        <v>6.2583061979999997</v>
      </c>
      <c r="K41" s="468">
        <v>26.557110101999999</v>
      </c>
      <c r="L41" s="468">
        <v>102.89939834800001</v>
      </c>
      <c r="M41" s="481">
        <v>-11.236692838</v>
      </c>
      <c r="N41" s="481">
        <v>38.698141452000002</v>
      </c>
      <c r="O41" s="481">
        <v>13.967627050999999</v>
      </c>
      <c r="P41" s="468">
        <v>13.023865253</v>
      </c>
    </row>
    <row r="42" spans="1:16" s="465" customFormat="1" ht="16.5" customHeight="1" x14ac:dyDescent="0.25">
      <c r="A42" s="477" t="s">
        <v>191</v>
      </c>
      <c r="B42" s="466">
        <v>1542.1721668939999</v>
      </c>
      <c r="C42" s="466">
        <v>1194.58483957</v>
      </c>
      <c r="D42" s="466">
        <v>1043.4488276469999</v>
      </c>
      <c r="E42" s="466">
        <v>1088.642745459</v>
      </c>
      <c r="F42" s="466">
        <v>1225.4410627709999</v>
      </c>
      <c r="G42" s="466">
        <v>1332.0612531209999</v>
      </c>
      <c r="H42" s="466">
        <v>1508.151535668</v>
      </c>
      <c r="I42" s="466">
        <v>1653.0939061730001</v>
      </c>
      <c r="J42" s="466">
        <v>1879.541579988</v>
      </c>
      <c r="K42" s="466">
        <v>2072.877160041</v>
      </c>
      <c r="L42" s="466">
        <v>2291.077034038</v>
      </c>
      <c r="M42" s="479">
        <v>1241.797301525</v>
      </c>
      <c r="N42" s="479">
        <v>2000.214694345</v>
      </c>
      <c r="O42" s="479">
        <v>1624.6041106340001</v>
      </c>
      <c r="P42" s="466">
        <v>1632.7608849979999</v>
      </c>
    </row>
    <row r="43" spans="1:16" s="465" customFormat="1" ht="16.5" customHeight="1" x14ac:dyDescent="0.25">
      <c r="A43" s="477" t="s">
        <v>192</v>
      </c>
      <c r="B43" s="466">
        <v>1592.6017678349999</v>
      </c>
      <c r="C43" s="466">
        <v>1210.450250999</v>
      </c>
      <c r="D43" s="466">
        <v>1044.074301395</v>
      </c>
      <c r="E43" s="466">
        <v>1070.7669280719999</v>
      </c>
      <c r="F43" s="466">
        <v>1198.817163703</v>
      </c>
      <c r="G43" s="466">
        <v>1310.296899078</v>
      </c>
      <c r="H43" s="466">
        <v>1464.610241499</v>
      </c>
      <c r="I43" s="466">
        <v>1627.3872185360001</v>
      </c>
      <c r="J43" s="466">
        <v>1853.0902227300001</v>
      </c>
      <c r="K43" s="466">
        <v>2075.1292938040001</v>
      </c>
      <c r="L43" s="466">
        <v>2240.105052244</v>
      </c>
      <c r="M43" s="479">
        <v>1219.207889965</v>
      </c>
      <c r="N43" s="479">
        <v>1970.8627904550001</v>
      </c>
      <c r="O43" s="479">
        <v>1598.601370034</v>
      </c>
      <c r="P43" s="466">
        <v>1608.8464553839999</v>
      </c>
    </row>
    <row r="44" spans="1:16" s="465" customFormat="1" ht="16.5" customHeight="1" x14ac:dyDescent="0.2">
      <c r="A44" s="475" t="s">
        <v>193</v>
      </c>
      <c r="B44" s="468">
        <v>50.429600940999997</v>
      </c>
      <c r="C44" s="468">
        <v>15.865411429</v>
      </c>
      <c r="D44" s="468">
        <v>0.62547374700000002</v>
      </c>
      <c r="E44" s="468">
        <v>-17.875817387000001</v>
      </c>
      <c r="F44" s="468">
        <v>-26.623899068</v>
      </c>
      <c r="G44" s="468">
        <v>-21.764354043000001</v>
      </c>
      <c r="H44" s="468">
        <v>-43.541294168999997</v>
      </c>
      <c r="I44" s="468">
        <v>-25.706687637000002</v>
      </c>
      <c r="J44" s="468">
        <v>-26.451357258000002</v>
      </c>
      <c r="K44" s="468">
        <v>2.2521337620000002</v>
      </c>
      <c r="L44" s="468">
        <v>-50.971981794000001</v>
      </c>
      <c r="M44" s="481">
        <v>-22.589411560999999</v>
      </c>
      <c r="N44" s="481">
        <v>-29.351903889999999</v>
      </c>
      <c r="O44" s="481">
        <v>-26.002740598999999</v>
      </c>
      <c r="P44" s="468">
        <v>-23.914429613999999</v>
      </c>
    </row>
    <row r="45" spans="1:16" s="474" customFormat="1" ht="16.5" customHeight="1" x14ac:dyDescent="0.25">
      <c r="A45" s="478" t="s">
        <v>283</v>
      </c>
      <c r="B45" s="469">
        <v>508.04132076000002</v>
      </c>
      <c r="C45" s="469">
        <v>467.03451825100001</v>
      </c>
      <c r="D45" s="469">
        <v>432.75455986399999</v>
      </c>
      <c r="E45" s="469">
        <v>492.68075319100001</v>
      </c>
      <c r="F45" s="469">
        <v>576.71460802900003</v>
      </c>
      <c r="G45" s="469">
        <v>625.24136084999998</v>
      </c>
      <c r="H45" s="469">
        <v>710.72185040700003</v>
      </c>
      <c r="I45" s="469">
        <v>772.32908263900003</v>
      </c>
      <c r="J45" s="469">
        <v>953.73828263099995</v>
      </c>
      <c r="K45" s="469">
        <v>1301.4208421180001</v>
      </c>
      <c r="L45" s="469">
        <v>1855.4197576179999</v>
      </c>
      <c r="M45" s="482">
        <v>567.51997806999998</v>
      </c>
      <c r="N45" s="482">
        <v>1268.252471968</v>
      </c>
      <c r="O45" s="482">
        <v>921.21066682100002</v>
      </c>
      <c r="P45" s="469">
        <v>922.65384219600003</v>
      </c>
    </row>
    <row r="46" spans="1:16" s="465" customFormat="1" ht="16.5" customHeight="1" x14ac:dyDescent="0.25">
      <c r="A46" s="474" t="s">
        <v>442</v>
      </c>
      <c r="B46" s="467"/>
      <c r="C46" s="467"/>
      <c r="D46" s="467"/>
      <c r="E46" s="467"/>
      <c r="F46" s="467"/>
      <c r="G46" s="467"/>
      <c r="H46" s="467"/>
      <c r="I46" s="467"/>
      <c r="J46" s="467"/>
      <c r="K46" s="467"/>
      <c r="L46" s="467"/>
      <c r="M46" s="483"/>
      <c r="N46" s="483"/>
      <c r="O46" s="483"/>
      <c r="P46" s="470"/>
    </row>
    <row r="47" spans="1:16" s="465" customFormat="1" ht="16.5" customHeight="1" x14ac:dyDescent="0.25">
      <c r="A47" s="465" t="s">
        <v>459</v>
      </c>
      <c r="B47" s="467">
        <v>865.69116002999999</v>
      </c>
      <c r="C47" s="467">
        <v>688.20410139099999</v>
      </c>
      <c r="D47" s="467">
        <v>625.94780587599996</v>
      </c>
      <c r="E47" s="467">
        <v>671.72968859499997</v>
      </c>
      <c r="F47" s="467">
        <v>778.61846961100002</v>
      </c>
      <c r="G47" s="467">
        <v>879.06510212000001</v>
      </c>
      <c r="H47" s="467">
        <v>1029.408602321</v>
      </c>
      <c r="I47" s="467">
        <v>1190.7490526429999</v>
      </c>
      <c r="J47" s="467">
        <v>1364.1863736590001</v>
      </c>
      <c r="K47" s="467">
        <v>1469.734885225</v>
      </c>
      <c r="L47" s="467">
        <v>1725.555089962</v>
      </c>
      <c r="M47" s="480">
        <v>796.31831261100001</v>
      </c>
      <c r="N47" s="480">
        <v>1464.312656891</v>
      </c>
      <c r="O47" s="480">
        <v>1133.4846089759999</v>
      </c>
      <c r="P47" s="467">
        <v>1129.889010739</v>
      </c>
    </row>
    <row r="48" spans="1:16" s="465" customFormat="1" ht="16.5" customHeight="1" x14ac:dyDescent="0.25">
      <c r="A48" s="465" t="s">
        <v>410</v>
      </c>
      <c r="B48" s="467">
        <v>348.007971381</v>
      </c>
      <c r="C48" s="467">
        <v>312.30329906200001</v>
      </c>
      <c r="D48" s="467">
        <v>328.52197670499999</v>
      </c>
      <c r="E48" s="467">
        <v>371.17135525999998</v>
      </c>
      <c r="F48" s="467">
        <v>434.38134876599997</v>
      </c>
      <c r="G48" s="467">
        <v>483.79205661200001</v>
      </c>
      <c r="H48" s="467">
        <v>567.98451833000001</v>
      </c>
      <c r="I48" s="467">
        <v>641.74226274900002</v>
      </c>
      <c r="J48" s="467">
        <v>783.39840406500002</v>
      </c>
      <c r="K48" s="467">
        <v>838.17206330600004</v>
      </c>
      <c r="L48" s="467">
        <v>876.31932646400003</v>
      </c>
      <c r="M48" s="480">
        <v>435.63803388299999</v>
      </c>
      <c r="N48" s="480">
        <v>794.40761603199996</v>
      </c>
      <c r="O48" s="480">
        <v>616.72491328199999</v>
      </c>
      <c r="P48" s="467">
        <v>625.13532775199997</v>
      </c>
    </row>
    <row r="49" spans="1:25" s="465" customFormat="1" ht="16.5" customHeight="1" x14ac:dyDescent="0.25">
      <c r="A49" s="465" t="s">
        <v>411</v>
      </c>
      <c r="B49" s="467">
        <v>349.57104213899999</v>
      </c>
      <c r="C49" s="467">
        <v>325.88796750699998</v>
      </c>
      <c r="D49" s="467">
        <v>339.92728338900002</v>
      </c>
      <c r="E49" s="467">
        <v>430.61348668099998</v>
      </c>
      <c r="F49" s="467">
        <v>550.18766180900002</v>
      </c>
      <c r="G49" s="467">
        <v>633.52083187999995</v>
      </c>
      <c r="H49" s="467">
        <v>746.14028245300005</v>
      </c>
      <c r="I49" s="467">
        <v>856.94907218200001</v>
      </c>
      <c r="J49" s="467">
        <v>1004.06446577</v>
      </c>
      <c r="K49" s="467">
        <v>1088.537886631</v>
      </c>
      <c r="L49" s="467">
        <v>987.465661684</v>
      </c>
      <c r="M49" s="480">
        <v>536.74312968699996</v>
      </c>
      <c r="N49" s="480">
        <v>983.60252406899997</v>
      </c>
      <c r="O49" s="480">
        <v>762.29283424699997</v>
      </c>
      <c r="P49" s="467">
        <v>762.76738347100002</v>
      </c>
    </row>
    <row r="50" spans="1:25" s="465" customFormat="1" ht="16.5" customHeight="1" x14ac:dyDescent="0.25">
      <c r="A50" s="465" t="s">
        <v>412</v>
      </c>
      <c r="B50" s="467">
        <v>1198.1495094879999</v>
      </c>
      <c r="C50" s="467">
        <v>920.87318669499996</v>
      </c>
      <c r="D50" s="467">
        <v>806.12066259000005</v>
      </c>
      <c r="E50" s="467">
        <v>839.24397893000003</v>
      </c>
      <c r="F50" s="467">
        <v>959.71456889599995</v>
      </c>
      <c r="G50" s="467">
        <v>1066.740625313</v>
      </c>
      <c r="H50" s="467">
        <v>1226.6045927949999</v>
      </c>
      <c r="I50" s="467">
        <v>1383.787972313</v>
      </c>
      <c r="J50" s="467">
        <v>1569.108877336</v>
      </c>
      <c r="K50" s="467">
        <v>1710.744263973</v>
      </c>
      <c r="L50" s="467">
        <v>1907.1366702</v>
      </c>
      <c r="M50" s="480">
        <v>979.92286566999996</v>
      </c>
      <c r="N50" s="480">
        <v>1665.44325686</v>
      </c>
      <c r="O50" s="480">
        <v>1325.93533323</v>
      </c>
      <c r="P50" s="467">
        <v>1329.451253362</v>
      </c>
    </row>
    <row r="51" spans="1:25" s="465" customFormat="1" ht="16.5" customHeight="1" x14ac:dyDescent="0.25">
      <c r="A51" s="465" t="s">
        <v>460</v>
      </c>
      <c r="B51" s="467">
        <v>557.22748385499995</v>
      </c>
      <c r="C51" s="467">
        <v>410.69885670500003</v>
      </c>
      <c r="D51" s="467">
        <v>333.60604018599997</v>
      </c>
      <c r="E51" s="467">
        <v>333.84876058899999</v>
      </c>
      <c r="F51" s="467">
        <v>362.69912706600002</v>
      </c>
      <c r="G51" s="467">
        <v>369.88151423400001</v>
      </c>
      <c r="H51" s="467">
        <v>383.79516744300003</v>
      </c>
      <c r="I51" s="467">
        <v>359.06394318299999</v>
      </c>
      <c r="J51" s="467">
        <v>386.68108542499999</v>
      </c>
      <c r="K51" s="467">
        <v>435.89484139899997</v>
      </c>
      <c r="L51" s="467">
        <v>368.650738058</v>
      </c>
      <c r="M51" s="480">
        <v>358.674735333</v>
      </c>
      <c r="N51" s="480">
        <v>383.68934610100001</v>
      </c>
      <c r="O51" s="480">
        <v>371.30071598699999</v>
      </c>
      <c r="P51" s="467">
        <v>381.33041176900002</v>
      </c>
    </row>
    <row r="52" spans="1:25" s="465" customFormat="1" ht="16.5" customHeight="1" x14ac:dyDescent="0.25">
      <c r="A52" s="465" t="s">
        <v>413</v>
      </c>
      <c r="B52" s="467">
        <v>508.04132076000002</v>
      </c>
      <c r="C52" s="467">
        <v>467.03451825100001</v>
      </c>
      <c r="D52" s="467">
        <v>432.75455986399999</v>
      </c>
      <c r="E52" s="467">
        <v>492.68075319100001</v>
      </c>
      <c r="F52" s="467">
        <v>576.71460802900003</v>
      </c>
      <c r="G52" s="467">
        <v>625.24136084999998</v>
      </c>
      <c r="H52" s="467">
        <v>710.72185040700003</v>
      </c>
      <c r="I52" s="467">
        <v>772.32908263900003</v>
      </c>
      <c r="J52" s="467">
        <v>953.73828263099995</v>
      </c>
      <c r="K52" s="467">
        <v>1301.4208421180001</v>
      </c>
      <c r="L52" s="467">
        <v>1855.4197576179999</v>
      </c>
      <c r="M52" s="480">
        <v>567.51997806999998</v>
      </c>
      <c r="N52" s="480">
        <v>1268.252471968</v>
      </c>
      <c r="O52" s="480">
        <v>921.21066682100002</v>
      </c>
      <c r="P52" s="467">
        <v>922.65384219600003</v>
      </c>
    </row>
    <row r="53" spans="1:25" s="465" customFormat="1" ht="16.5" customHeight="1" x14ac:dyDescent="0.25">
      <c r="A53" s="465" t="s">
        <v>414</v>
      </c>
      <c r="B53" s="467">
        <v>215.240794932</v>
      </c>
      <c r="C53" s="467">
        <v>181.12604603899999</v>
      </c>
      <c r="D53" s="467">
        <v>153.638068847</v>
      </c>
      <c r="E53" s="467">
        <v>147.82741107699999</v>
      </c>
      <c r="F53" s="467">
        <v>148.250060383</v>
      </c>
      <c r="G53" s="467">
        <v>150.19768311999999</v>
      </c>
      <c r="H53" s="467">
        <v>154.41563593000001</v>
      </c>
      <c r="I53" s="467">
        <v>178.206259531</v>
      </c>
      <c r="J53" s="467">
        <v>204.00905279099999</v>
      </c>
      <c r="K53" s="467">
        <v>219.34450942800001</v>
      </c>
      <c r="L53" s="467">
        <v>167.48712374999999</v>
      </c>
      <c r="M53" s="480">
        <v>151.78321942900001</v>
      </c>
      <c r="N53" s="480">
        <v>189.63536582399999</v>
      </c>
      <c r="O53" s="480">
        <v>170.888872222</v>
      </c>
      <c r="P53" s="467">
        <v>168.82118193599999</v>
      </c>
    </row>
    <row r="54" spans="1:25" ht="12.75" customHeight="1" x14ac:dyDescent="0.2">
      <c r="A54" s="235" t="s">
        <v>899</v>
      </c>
      <c r="B54" s="473"/>
      <c r="C54" s="473"/>
      <c r="D54" s="473"/>
      <c r="E54" s="473"/>
      <c r="F54" s="473"/>
      <c r="G54" s="473"/>
      <c r="H54" s="473"/>
      <c r="I54" s="473"/>
      <c r="J54" s="486"/>
      <c r="K54" s="486"/>
      <c r="L54" s="486"/>
      <c r="M54" s="569"/>
      <c r="N54" s="486"/>
      <c r="O54" s="714"/>
      <c r="P54" s="994"/>
      <c r="Q54" s="13"/>
      <c r="R54" s="13"/>
      <c r="S54" s="13"/>
      <c r="T54" s="13"/>
      <c r="U54" s="13"/>
      <c r="V54" s="215"/>
      <c r="W54" s="215"/>
      <c r="X54" s="215"/>
      <c r="Y54" s="39"/>
    </row>
    <row r="55" spans="1:25" ht="15" customHeight="1" x14ac:dyDescent="0.2">
      <c r="A55" s="255" t="s">
        <v>370</v>
      </c>
      <c r="B55" s="13"/>
      <c r="C55" s="13"/>
      <c r="D55" s="13"/>
      <c r="E55" s="13"/>
      <c r="F55" s="13"/>
      <c r="G55" s="13"/>
      <c r="H55" s="13"/>
      <c r="I55" s="13"/>
      <c r="J55" s="13"/>
      <c r="K55" s="13"/>
      <c r="L55" s="13"/>
      <c r="M55" s="215"/>
      <c r="N55" s="215"/>
      <c r="O55" s="215"/>
      <c r="P55" s="39"/>
    </row>
    <row r="56" spans="1:25" ht="15" customHeight="1" x14ac:dyDescent="0.2">
      <c r="A56" s="37" t="s">
        <v>461</v>
      </c>
      <c r="B56" s="13"/>
      <c r="C56" s="13"/>
      <c r="D56" s="13"/>
      <c r="E56" s="13"/>
      <c r="F56" s="13"/>
      <c r="G56" s="13"/>
      <c r="H56" s="13"/>
      <c r="I56" s="13"/>
      <c r="J56" s="13"/>
      <c r="K56" s="13"/>
      <c r="L56" s="13"/>
      <c r="M56" s="215"/>
      <c r="N56" s="215"/>
      <c r="O56" s="215"/>
      <c r="P56" s="39"/>
    </row>
    <row r="57" spans="1:25" ht="15" customHeight="1" x14ac:dyDescent="0.2">
      <c r="A57" s="168" t="s">
        <v>557</v>
      </c>
      <c r="B57" s="13"/>
      <c r="C57" s="13"/>
      <c r="D57" s="13"/>
      <c r="E57" s="13"/>
      <c r="F57" s="13"/>
      <c r="G57" s="13"/>
      <c r="H57" s="13"/>
      <c r="I57" s="13"/>
      <c r="J57" s="13"/>
      <c r="K57" s="13"/>
      <c r="L57" s="13"/>
      <c r="M57" s="215"/>
      <c r="N57" s="215"/>
      <c r="O57" s="215"/>
      <c r="P57" s="39"/>
    </row>
    <row r="58" spans="1:25" ht="15" customHeight="1" x14ac:dyDescent="0.2">
      <c r="A58" s="255" t="s">
        <v>998</v>
      </c>
      <c r="B58" s="13"/>
      <c r="C58" s="13"/>
      <c r="D58" s="13"/>
      <c r="E58" s="13"/>
      <c r="F58" s="13"/>
      <c r="G58" s="13"/>
      <c r="H58" s="13"/>
      <c r="I58" s="13"/>
      <c r="J58" s="13"/>
      <c r="K58" s="13"/>
      <c r="L58" s="13"/>
      <c r="M58" s="215"/>
      <c r="N58" s="215"/>
      <c r="O58" s="215"/>
      <c r="P58" s="39"/>
    </row>
    <row r="59" spans="1:25" x14ac:dyDescent="0.2">
      <c r="A59" s="286" t="s">
        <v>916</v>
      </c>
      <c r="B59" s="3"/>
      <c r="C59" s="3"/>
      <c r="D59" s="3"/>
      <c r="G59" s="185"/>
      <c r="J59" s="185"/>
    </row>
    <row r="60" spans="1:25" ht="18" x14ac:dyDescent="0.2">
      <c r="A60" s="46"/>
    </row>
    <row r="61" spans="1:25" ht="21" x14ac:dyDescent="0.2">
      <c r="A61" s="46" t="s">
        <v>937</v>
      </c>
    </row>
    <row r="62" spans="1:25" ht="15" customHeight="1" thickBot="1" x14ac:dyDescent="0.25">
      <c r="P62" s="259" t="s">
        <v>23</v>
      </c>
    </row>
    <row r="63" spans="1:25" ht="15" customHeight="1" x14ac:dyDescent="0.2">
      <c r="A63" s="41"/>
      <c r="B63" s="42" t="s">
        <v>35</v>
      </c>
      <c r="C63" s="42" t="s">
        <v>121</v>
      </c>
      <c r="D63" s="42" t="s">
        <v>123</v>
      </c>
      <c r="E63" s="42" t="s">
        <v>36</v>
      </c>
      <c r="F63" s="42" t="s">
        <v>37</v>
      </c>
      <c r="G63" s="42" t="s">
        <v>38</v>
      </c>
      <c r="H63" s="42" t="s">
        <v>39</v>
      </c>
      <c r="I63" s="42" t="s">
        <v>125</v>
      </c>
      <c r="J63" s="42" t="s">
        <v>126</v>
      </c>
      <c r="K63" s="42" t="s">
        <v>127</v>
      </c>
      <c r="L63" s="252">
        <v>100000</v>
      </c>
      <c r="M63" s="250" t="s">
        <v>231</v>
      </c>
      <c r="N63" s="250" t="s">
        <v>229</v>
      </c>
      <c r="O63" s="257" t="s">
        <v>77</v>
      </c>
      <c r="P63" s="281" t="s">
        <v>220</v>
      </c>
    </row>
    <row r="64" spans="1:25" ht="15" customHeight="1" x14ac:dyDescent="0.2">
      <c r="A64" s="566" t="s">
        <v>81</v>
      </c>
      <c r="B64" s="43" t="s">
        <v>120</v>
      </c>
      <c r="C64" s="43" t="s">
        <v>40</v>
      </c>
      <c r="D64" s="43" t="s">
        <v>40</v>
      </c>
      <c r="E64" s="43" t="s">
        <v>40</v>
      </c>
      <c r="F64" s="43" t="s">
        <v>40</v>
      </c>
      <c r="G64" s="43" t="s">
        <v>40</v>
      </c>
      <c r="H64" s="43" t="s">
        <v>40</v>
      </c>
      <c r="I64" s="43" t="s">
        <v>40</v>
      </c>
      <c r="J64" s="43" t="s">
        <v>40</v>
      </c>
      <c r="K64" s="43" t="s">
        <v>40</v>
      </c>
      <c r="L64" s="43" t="s">
        <v>43</v>
      </c>
      <c r="M64" s="239" t="s">
        <v>230</v>
      </c>
      <c r="N64" s="239" t="s">
        <v>138</v>
      </c>
      <c r="O64" s="256" t="s">
        <v>137</v>
      </c>
      <c r="P64" s="282" t="s">
        <v>284</v>
      </c>
    </row>
    <row r="65" spans="1:16" ht="15" customHeight="1" thickBot="1" x14ac:dyDescent="0.25">
      <c r="A65" s="423" t="s">
        <v>99</v>
      </c>
      <c r="B65" s="44" t="s">
        <v>43</v>
      </c>
      <c r="C65" s="44" t="s">
        <v>122</v>
      </c>
      <c r="D65" s="44" t="s">
        <v>124</v>
      </c>
      <c r="E65" s="44" t="s">
        <v>44</v>
      </c>
      <c r="F65" s="44" t="s">
        <v>45</v>
      </c>
      <c r="G65" s="44" t="s">
        <v>46</v>
      </c>
      <c r="H65" s="44" t="s">
        <v>42</v>
      </c>
      <c r="I65" s="44" t="s">
        <v>128</v>
      </c>
      <c r="J65" s="44" t="s">
        <v>129</v>
      </c>
      <c r="K65" s="44" t="s">
        <v>130</v>
      </c>
      <c r="L65" s="44" t="s">
        <v>131</v>
      </c>
      <c r="M65" s="251" t="s">
        <v>138</v>
      </c>
      <c r="N65" s="251" t="s">
        <v>131</v>
      </c>
      <c r="O65" s="258" t="s">
        <v>41</v>
      </c>
      <c r="P65" s="283" t="s">
        <v>239</v>
      </c>
    </row>
    <row r="66" spans="1:16" ht="15" customHeight="1" x14ac:dyDescent="0.25">
      <c r="A66" s="544" t="s">
        <v>200</v>
      </c>
      <c r="B66" s="192"/>
      <c r="C66" s="192"/>
      <c r="D66" s="192"/>
      <c r="E66" s="192"/>
      <c r="F66" s="192"/>
      <c r="G66" s="192"/>
      <c r="H66" s="192"/>
      <c r="I66" s="192"/>
      <c r="J66" s="192"/>
      <c r="K66" s="192"/>
      <c r="L66" s="192"/>
      <c r="M66" s="192"/>
      <c r="N66" s="192"/>
      <c r="O66" s="192"/>
    </row>
    <row r="67" spans="1:16" s="465" customFormat="1" ht="16.5" customHeight="1" x14ac:dyDescent="0.25">
      <c r="A67" s="487" t="s">
        <v>286</v>
      </c>
      <c r="B67" s="719">
        <f t="shared" ref="B67:O72" si="0">B8/B$8</f>
        <v>1</v>
      </c>
      <c r="C67" s="719">
        <f t="shared" si="0"/>
        <v>1</v>
      </c>
      <c r="D67" s="719">
        <f t="shared" si="0"/>
        <v>1</v>
      </c>
      <c r="E67" s="719">
        <f t="shared" si="0"/>
        <v>1</v>
      </c>
      <c r="F67" s="719">
        <f t="shared" si="0"/>
        <v>1</v>
      </c>
      <c r="G67" s="719">
        <f t="shared" si="0"/>
        <v>1</v>
      </c>
      <c r="H67" s="719">
        <f t="shared" si="0"/>
        <v>1</v>
      </c>
      <c r="I67" s="719">
        <f t="shared" si="0"/>
        <v>1</v>
      </c>
      <c r="J67" s="719">
        <f t="shared" si="0"/>
        <v>1</v>
      </c>
      <c r="K67" s="719">
        <f t="shared" si="0"/>
        <v>1</v>
      </c>
      <c r="L67" s="719">
        <f t="shared" si="0"/>
        <v>1</v>
      </c>
      <c r="M67" s="720">
        <f t="shared" si="0"/>
        <v>1</v>
      </c>
      <c r="N67" s="720">
        <f t="shared" si="0"/>
        <v>1</v>
      </c>
      <c r="O67" s="720">
        <f t="shared" si="0"/>
        <v>1</v>
      </c>
      <c r="P67" s="719">
        <f t="shared" ref="P67:P72" si="1">P8/P$8</f>
        <v>1</v>
      </c>
    </row>
    <row r="68" spans="1:16" s="465" customFormat="1" ht="16.5" customHeight="1" x14ac:dyDescent="0.2">
      <c r="A68" s="490" t="s">
        <v>161</v>
      </c>
      <c r="B68" s="721">
        <f t="shared" si="0"/>
        <v>0.40744126885109738</v>
      </c>
      <c r="C68" s="721">
        <f t="shared" si="0"/>
        <v>0.38693021768324593</v>
      </c>
      <c r="D68" s="721">
        <f t="shared" si="0"/>
        <v>0.36110500797235756</v>
      </c>
      <c r="E68" s="721">
        <f t="shared" si="0"/>
        <v>0.34671146032668199</v>
      </c>
      <c r="F68" s="721">
        <f t="shared" si="0"/>
        <v>0.33468499038804672</v>
      </c>
      <c r="G68" s="721">
        <f t="shared" si="0"/>
        <v>0.31496092279114907</v>
      </c>
      <c r="H68" s="721">
        <f t="shared" si="0"/>
        <v>0.29034889815008091</v>
      </c>
      <c r="I68" s="721">
        <f t="shared" si="0"/>
        <v>0.26732115216937424</v>
      </c>
      <c r="J68" s="721">
        <f t="shared" si="0"/>
        <v>0.25187190308291296</v>
      </c>
      <c r="K68" s="721">
        <f t="shared" si="0"/>
        <v>0.2357424877369266</v>
      </c>
      <c r="L68" s="721">
        <f t="shared" si="0"/>
        <v>0.18342612373716738</v>
      </c>
      <c r="M68" s="722">
        <f t="shared" si="0"/>
        <v>0.32592334561113451</v>
      </c>
      <c r="N68" s="722">
        <f t="shared" si="0"/>
        <v>0.22556630399663913</v>
      </c>
      <c r="O68" s="722">
        <f t="shared" si="0"/>
        <v>0.26049884410632285</v>
      </c>
      <c r="P68" s="721">
        <f t="shared" si="1"/>
        <v>0.26380622524125025</v>
      </c>
    </row>
    <row r="69" spans="1:16" s="465" customFormat="1" ht="16.5" customHeight="1" x14ac:dyDescent="0.2">
      <c r="A69" s="492" t="s">
        <v>162</v>
      </c>
      <c r="B69" s="723">
        <f t="shared" si="0"/>
        <v>0.22086089475309947</v>
      </c>
      <c r="C69" s="723">
        <f t="shared" si="0"/>
        <v>0.27327282394396291</v>
      </c>
      <c r="D69" s="723">
        <f t="shared" si="0"/>
        <v>0.34618965686835584</v>
      </c>
      <c r="E69" s="723">
        <f t="shared" si="0"/>
        <v>0.44591478070456303</v>
      </c>
      <c r="F69" s="723">
        <f t="shared" si="0"/>
        <v>0.50993374551889437</v>
      </c>
      <c r="G69" s="723">
        <f t="shared" si="0"/>
        <v>0.53954425214696289</v>
      </c>
      <c r="H69" s="723">
        <f t="shared" si="0"/>
        <v>0.56736911805923051</v>
      </c>
      <c r="I69" s="723">
        <f t="shared" si="0"/>
        <v>0.59424632255107301</v>
      </c>
      <c r="J69" s="723">
        <f t="shared" si="0"/>
        <v>0.60910024645314553</v>
      </c>
      <c r="K69" s="723">
        <f t="shared" si="0"/>
        <v>0.59802902954446346</v>
      </c>
      <c r="L69" s="723">
        <f t="shared" si="0"/>
        <v>0.4964060372871561</v>
      </c>
      <c r="M69" s="724">
        <f t="shared" si="0"/>
        <v>0.4919467117132843</v>
      </c>
      <c r="N69" s="724">
        <f t="shared" si="0"/>
        <v>0.56186112400322552</v>
      </c>
      <c r="O69" s="724">
        <f t="shared" si="0"/>
        <v>0.53752513350057918</v>
      </c>
      <c r="P69" s="723">
        <f t="shared" si="1"/>
        <v>0.5355583785600867</v>
      </c>
    </row>
    <row r="70" spans="1:16" s="465" customFormat="1" ht="16.5" customHeight="1" x14ac:dyDescent="0.2">
      <c r="A70" s="490" t="s">
        <v>163</v>
      </c>
      <c r="B70" s="721">
        <f t="shared" si="0"/>
        <v>1.460493379248267E-2</v>
      </c>
      <c r="C70" s="721">
        <f t="shared" si="0"/>
        <v>1.5641851897141044E-2</v>
      </c>
      <c r="D70" s="721">
        <f t="shared" si="0"/>
        <v>1.6966890673401742E-2</v>
      </c>
      <c r="E70" s="721">
        <f t="shared" si="0"/>
        <v>1.8513693900805379E-2</v>
      </c>
      <c r="F70" s="721">
        <f t="shared" si="0"/>
        <v>1.9240969210121316E-2</v>
      </c>
      <c r="G70" s="721">
        <f t="shared" si="0"/>
        <v>1.7987712106779696E-2</v>
      </c>
      <c r="H70" s="721">
        <f t="shared" si="0"/>
        <v>1.7961223064631816E-2</v>
      </c>
      <c r="I70" s="721">
        <f t="shared" si="0"/>
        <v>1.7533465246430149E-2</v>
      </c>
      <c r="J70" s="721">
        <f t="shared" si="0"/>
        <v>1.9477929032207478E-2</v>
      </c>
      <c r="K70" s="721">
        <f t="shared" si="0"/>
        <v>2.5724384677952114E-2</v>
      </c>
      <c r="L70" s="721">
        <f t="shared" si="0"/>
        <v>2.429632113660897E-2</v>
      </c>
      <c r="M70" s="722">
        <f t="shared" si="0"/>
        <v>1.8173610285261241E-2</v>
      </c>
      <c r="N70" s="722">
        <f t="shared" si="0"/>
        <v>2.2062566313924406E-2</v>
      </c>
      <c r="O70" s="722">
        <f t="shared" si="0"/>
        <v>2.070888838261609E-2</v>
      </c>
      <c r="P70" s="721">
        <f t="shared" si="1"/>
        <v>2.0882900684887656E-2</v>
      </c>
    </row>
    <row r="71" spans="1:16" s="465" customFormat="1" ht="16.5" customHeight="1" x14ac:dyDescent="0.2">
      <c r="A71" s="492" t="s">
        <v>164</v>
      </c>
      <c r="B71" s="723">
        <f t="shared" si="0"/>
        <v>0.12339951428409053</v>
      </c>
      <c r="C71" s="723">
        <f t="shared" si="0"/>
        <v>0.13977361893409423</v>
      </c>
      <c r="D71" s="723">
        <f t="shared" si="0"/>
        <v>0.15429225806145258</v>
      </c>
      <c r="E71" s="723">
        <f t="shared" si="0"/>
        <v>0.10176381616155664</v>
      </c>
      <c r="F71" s="723">
        <f t="shared" si="0"/>
        <v>8.0724573476840034E-2</v>
      </c>
      <c r="G71" s="723">
        <f t="shared" si="0"/>
        <v>8.1449794015374763E-2</v>
      </c>
      <c r="H71" s="723">
        <f t="shared" si="0"/>
        <v>9.0472497307410263E-2</v>
      </c>
      <c r="I71" s="723">
        <f t="shared" si="0"/>
        <v>9.3898802879925303E-2</v>
      </c>
      <c r="J71" s="723">
        <f t="shared" si="0"/>
        <v>9.5446847524926756E-2</v>
      </c>
      <c r="K71" s="723">
        <f t="shared" si="0"/>
        <v>0.11349398875145826</v>
      </c>
      <c r="L71" s="723">
        <f t="shared" si="0"/>
        <v>0.27219500732774693</v>
      </c>
      <c r="M71" s="724">
        <f t="shared" si="0"/>
        <v>9.7462388048161583E-2</v>
      </c>
      <c r="N71" s="724">
        <f t="shared" si="0"/>
        <v>0.16560059968273949</v>
      </c>
      <c r="O71" s="724">
        <f t="shared" si="0"/>
        <v>0.14188287372527716</v>
      </c>
      <c r="P71" s="723">
        <f t="shared" si="1"/>
        <v>0.13986696626146974</v>
      </c>
    </row>
    <row r="72" spans="1:16" s="465" customFormat="1" ht="16.5" customHeight="1" x14ac:dyDescent="0.2">
      <c r="A72" s="495" t="s">
        <v>165</v>
      </c>
      <c r="B72" s="725">
        <f t="shared" si="0"/>
        <v>0.23369338831922998</v>
      </c>
      <c r="C72" s="725">
        <f t="shared" si="0"/>
        <v>0.18438148754155589</v>
      </c>
      <c r="D72" s="725">
        <f t="shared" si="0"/>
        <v>0.12144618642443225</v>
      </c>
      <c r="E72" s="725">
        <f t="shared" si="0"/>
        <v>8.7096248903419271E-2</v>
      </c>
      <c r="F72" s="725">
        <f t="shared" si="0"/>
        <v>5.5415721406097636E-2</v>
      </c>
      <c r="G72" s="725">
        <f t="shared" si="0"/>
        <v>4.6057318939733555E-2</v>
      </c>
      <c r="H72" s="725">
        <f t="shared" si="0"/>
        <v>3.3848263419614111E-2</v>
      </c>
      <c r="I72" s="725">
        <f t="shared" si="0"/>
        <v>2.7000257153197253E-2</v>
      </c>
      <c r="J72" s="725">
        <f t="shared" si="0"/>
        <v>2.410307390680726E-2</v>
      </c>
      <c r="K72" s="725">
        <f t="shared" si="0"/>
        <v>2.7010109289199627E-2</v>
      </c>
      <c r="L72" s="725">
        <f t="shared" si="0"/>
        <v>2.3676510511899531E-2</v>
      </c>
      <c r="M72" s="726">
        <f t="shared" si="0"/>
        <v>6.6493944343411299E-2</v>
      </c>
      <c r="N72" s="726">
        <f t="shared" si="0"/>
        <v>2.4909406003471468E-2</v>
      </c>
      <c r="O72" s="726">
        <f t="shared" si="0"/>
        <v>3.9384260285204795E-2</v>
      </c>
      <c r="P72" s="725">
        <f t="shared" si="1"/>
        <v>3.9885529251422552E-2</v>
      </c>
    </row>
    <row r="73" spans="1:16" s="465" customFormat="1" ht="16.5" customHeight="1" x14ac:dyDescent="0.25">
      <c r="A73" s="498" t="s">
        <v>287</v>
      </c>
      <c r="B73" s="727">
        <f t="shared" ref="B73:O84" si="2">B14/B$14</f>
        <v>1</v>
      </c>
      <c r="C73" s="727">
        <f t="shared" si="2"/>
        <v>1</v>
      </c>
      <c r="D73" s="727">
        <f t="shared" si="2"/>
        <v>1</v>
      </c>
      <c r="E73" s="727">
        <f t="shared" si="2"/>
        <v>1</v>
      </c>
      <c r="F73" s="727">
        <f t="shared" si="2"/>
        <v>1</v>
      </c>
      <c r="G73" s="727">
        <f t="shared" si="2"/>
        <v>1</v>
      </c>
      <c r="H73" s="727">
        <f t="shared" si="2"/>
        <v>1</v>
      </c>
      <c r="I73" s="727">
        <f t="shared" si="2"/>
        <v>1</v>
      </c>
      <c r="J73" s="727">
        <f t="shared" si="2"/>
        <v>1</v>
      </c>
      <c r="K73" s="727">
        <f t="shared" si="2"/>
        <v>1</v>
      </c>
      <c r="L73" s="727">
        <f t="shared" si="2"/>
        <v>1</v>
      </c>
      <c r="M73" s="728">
        <f t="shared" si="2"/>
        <v>1</v>
      </c>
      <c r="N73" s="728">
        <f t="shared" si="2"/>
        <v>1</v>
      </c>
      <c r="O73" s="728">
        <f t="shared" si="2"/>
        <v>1</v>
      </c>
      <c r="P73" s="727">
        <f t="shared" ref="P73:P84" si="3">P14/P$14</f>
        <v>1</v>
      </c>
    </row>
    <row r="74" spans="1:16" s="465" customFormat="1" ht="16.5" customHeight="1" x14ac:dyDescent="0.2">
      <c r="A74" s="490" t="s">
        <v>79</v>
      </c>
      <c r="B74" s="721">
        <f t="shared" si="2"/>
        <v>0.42830963449903225</v>
      </c>
      <c r="C74" s="721">
        <f t="shared" si="2"/>
        <v>0.46460746406628223</v>
      </c>
      <c r="D74" s="721">
        <f t="shared" si="2"/>
        <v>0.50984095998421863</v>
      </c>
      <c r="E74" s="721">
        <f t="shared" si="2"/>
        <v>0.57305087933209176</v>
      </c>
      <c r="F74" s="721">
        <f t="shared" si="2"/>
        <v>0.62394384219970112</v>
      </c>
      <c r="G74" s="721">
        <f t="shared" si="2"/>
        <v>0.64333957638824779</v>
      </c>
      <c r="H74" s="721">
        <f t="shared" si="2"/>
        <v>0.6624341892610206</v>
      </c>
      <c r="I74" s="721">
        <f t="shared" si="2"/>
        <v>0.66888161504097832</v>
      </c>
      <c r="J74" s="721">
        <f t="shared" si="2"/>
        <v>0.68129841258688117</v>
      </c>
      <c r="K74" s="721">
        <f t="shared" si="2"/>
        <v>0.68287580202603415</v>
      </c>
      <c r="L74" s="721">
        <f t="shared" si="2"/>
        <v>0.72523664834306434</v>
      </c>
      <c r="M74" s="722">
        <f t="shared" si="2"/>
        <v>0.60750548427295992</v>
      </c>
      <c r="N74" s="722">
        <f t="shared" si="2"/>
        <v>0.69578497409738527</v>
      </c>
      <c r="O74" s="722">
        <f t="shared" si="2"/>
        <v>0.66347334168626548</v>
      </c>
      <c r="P74" s="721">
        <f t="shared" si="3"/>
        <v>0.66412250656217753</v>
      </c>
    </row>
    <row r="75" spans="1:16" s="465" customFormat="1" ht="16.5" customHeight="1" x14ac:dyDescent="0.2">
      <c r="A75" s="492" t="s">
        <v>167</v>
      </c>
      <c r="B75" s="723">
        <f t="shared" si="2"/>
        <v>0.29175911634632368</v>
      </c>
      <c r="C75" s="723">
        <f t="shared" si="2"/>
        <v>0.3538901688261844</v>
      </c>
      <c r="D75" s="723">
        <f t="shared" si="2"/>
        <v>0.42168288094345746</v>
      </c>
      <c r="E75" s="723">
        <f t="shared" si="2"/>
        <v>0.51309690327479462</v>
      </c>
      <c r="F75" s="723">
        <f t="shared" si="2"/>
        <v>0.5732825984312232</v>
      </c>
      <c r="G75" s="723">
        <f t="shared" si="2"/>
        <v>0.59388460216757388</v>
      </c>
      <c r="H75" s="723">
        <f t="shared" si="2"/>
        <v>0.60829731670318399</v>
      </c>
      <c r="I75" s="723">
        <f t="shared" si="2"/>
        <v>0.61927772847281704</v>
      </c>
      <c r="J75" s="723">
        <f t="shared" si="2"/>
        <v>0.63989470729059894</v>
      </c>
      <c r="K75" s="723">
        <f t="shared" si="2"/>
        <v>0.63629492119587783</v>
      </c>
      <c r="L75" s="723">
        <f t="shared" si="2"/>
        <v>0.5177739367679639</v>
      </c>
      <c r="M75" s="724">
        <f t="shared" si="2"/>
        <v>0.54774018291737081</v>
      </c>
      <c r="N75" s="724">
        <f t="shared" si="2"/>
        <v>0.59059503829837368</v>
      </c>
      <c r="O75" s="724">
        <f t="shared" si="2"/>
        <v>0.57490951115243472</v>
      </c>
      <c r="P75" s="723">
        <f t="shared" si="3"/>
        <v>0.573746033592481</v>
      </c>
    </row>
    <row r="76" spans="1:16" s="465" customFormat="1" ht="16.5" customHeight="1" x14ac:dyDescent="0.2">
      <c r="A76" s="490" t="s">
        <v>322</v>
      </c>
      <c r="B76" s="721">
        <f t="shared" si="2"/>
        <v>4.0719548239725449E-2</v>
      </c>
      <c r="C76" s="721">
        <f t="shared" si="2"/>
        <v>4.0341425020016503E-2</v>
      </c>
      <c r="D76" s="721">
        <f t="shared" si="2"/>
        <v>4.7341391737045657E-2</v>
      </c>
      <c r="E76" s="721">
        <f t="shared" si="2"/>
        <v>8.6477853501589971E-2</v>
      </c>
      <c r="F76" s="721">
        <f t="shared" si="2"/>
        <v>0.11640665138230938</v>
      </c>
      <c r="G76" s="721">
        <f t="shared" si="2"/>
        <v>0.13322048073991932</v>
      </c>
      <c r="H76" s="721">
        <f t="shared" si="2"/>
        <v>0.14194293267748942</v>
      </c>
      <c r="I76" s="721">
        <f t="shared" si="2"/>
        <v>0.15020317982716677</v>
      </c>
      <c r="J76" s="721">
        <f t="shared" si="2"/>
        <v>0.13697319194567084</v>
      </c>
      <c r="K76" s="721">
        <f t="shared" si="2"/>
        <v>0.15060744074958149</v>
      </c>
      <c r="L76" s="721">
        <f t="shared" si="2"/>
        <v>0.10115147993917484</v>
      </c>
      <c r="M76" s="722">
        <f t="shared" si="2"/>
        <v>0.10895303211646304</v>
      </c>
      <c r="N76" s="722">
        <f t="shared" si="2"/>
        <v>0.12828683715398426</v>
      </c>
      <c r="O76" s="722">
        <f t="shared" si="2"/>
        <v>0.12121037123091856</v>
      </c>
      <c r="P76" s="721">
        <f t="shared" si="3"/>
        <v>0.11546278665939358</v>
      </c>
    </row>
    <row r="77" spans="1:16" s="465" customFormat="1" ht="16.5" customHeight="1" x14ac:dyDescent="0.2">
      <c r="A77" s="492" t="s">
        <v>168</v>
      </c>
      <c r="B77" s="723">
        <f t="shared" si="2"/>
        <v>0.13655051815270858</v>
      </c>
      <c r="C77" s="723">
        <f t="shared" si="2"/>
        <v>0.11071729524009778</v>
      </c>
      <c r="D77" s="723">
        <f t="shared" si="2"/>
        <v>8.8158079042001694E-2</v>
      </c>
      <c r="E77" s="723">
        <f t="shared" si="2"/>
        <v>5.9953976058488678E-2</v>
      </c>
      <c r="F77" s="723">
        <f t="shared" si="2"/>
        <v>5.066124376847797E-2</v>
      </c>
      <c r="G77" s="723">
        <f t="shared" si="2"/>
        <v>4.945497422161136E-2</v>
      </c>
      <c r="H77" s="723">
        <f t="shared" si="2"/>
        <v>5.4136872557836627E-2</v>
      </c>
      <c r="I77" s="723">
        <f t="shared" si="2"/>
        <v>4.9603886568161316E-2</v>
      </c>
      <c r="J77" s="723">
        <f t="shared" si="2"/>
        <v>4.1403705296282227E-2</v>
      </c>
      <c r="K77" s="723">
        <f t="shared" si="2"/>
        <v>4.6580880830156435E-2</v>
      </c>
      <c r="L77" s="723">
        <f t="shared" si="2"/>
        <v>0.20746271157510041</v>
      </c>
      <c r="M77" s="724">
        <f t="shared" si="2"/>
        <v>5.97653013555891E-2</v>
      </c>
      <c r="N77" s="724">
        <f t="shared" si="2"/>
        <v>0.10518993579841104</v>
      </c>
      <c r="O77" s="724">
        <f t="shared" si="2"/>
        <v>8.8563830533830656E-2</v>
      </c>
      <c r="P77" s="723">
        <f t="shared" si="3"/>
        <v>9.0376472970448749E-2</v>
      </c>
    </row>
    <row r="78" spans="1:16" s="465" customFormat="1" ht="16.5" customHeight="1" x14ac:dyDescent="0.2">
      <c r="A78" s="490" t="s">
        <v>169</v>
      </c>
      <c r="B78" s="721">
        <f t="shared" si="2"/>
        <v>0.33835127255131614</v>
      </c>
      <c r="C78" s="721">
        <f t="shared" si="2"/>
        <v>0.30827520378115203</v>
      </c>
      <c r="D78" s="721">
        <f t="shared" si="2"/>
        <v>0.28227268063184702</v>
      </c>
      <c r="E78" s="721">
        <f t="shared" si="2"/>
        <v>0.24653834273532235</v>
      </c>
      <c r="F78" s="721">
        <f t="shared" si="2"/>
        <v>0.20963163320781233</v>
      </c>
      <c r="G78" s="721">
        <f t="shared" si="2"/>
        <v>0.19601360667186341</v>
      </c>
      <c r="H78" s="721">
        <f t="shared" si="2"/>
        <v>0.17751938394330755</v>
      </c>
      <c r="I78" s="721">
        <f t="shared" si="2"/>
        <v>0.1729187815927023</v>
      </c>
      <c r="J78" s="721">
        <f t="shared" si="2"/>
        <v>0.1584380567893281</v>
      </c>
      <c r="K78" s="721">
        <f t="shared" si="2"/>
        <v>0.15430329255113387</v>
      </c>
      <c r="L78" s="721">
        <f t="shared" si="2"/>
        <v>0.10513842552299742</v>
      </c>
      <c r="M78" s="722">
        <f t="shared" si="2"/>
        <v>0.21894715618081367</v>
      </c>
      <c r="N78" s="722">
        <f t="shared" si="2"/>
        <v>0.14038009138527691</v>
      </c>
      <c r="O78" s="722">
        <f t="shared" si="2"/>
        <v>0.16913682890528911</v>
      </c>
      <c r="P78" s="721">
        <f t="shared" si="3"/>
        <v>0.1660663506207429</v>
      </c>
    </row>
    <row r="79" spans="1:16" s="465" customFormat="1" ht="16.5" customHeight="1" x14ac:dyDescent="0.2">
      <c r="A79" s="492" t="s">
        <v>170</v>
      </c>
      <c r="B79" s="723">
        <f t="shared" si="2"/>
        <v>0.17964435425423486</v>
      </c>
      <c r="C79" s="723">
        <f t="shared" si="2"/>
        <v>0.19668945589463696</v>
      </c>
      <c r="D79" s="723">
        <f t="shared" si="2"/>
        <v>0.19058941914895644</v>
      </c>
      <c r="E79" s="723">
        <f t="shared" si="2"/>
        <v>0.17614354679728961</v>
      </c>
      <c r="F79" s="723">
        <f t="shared" si="2"/>
        <v>0.15447307479508027</v>
      </c>
      <c r="G79" s="723">
        <f t="shared" si="2"/>
        <v>0.14080056534448512</v>
      </c>
      <c r="H79" s="723">
        <f t="shared" si="2"/>
        <v>0.12588868233253647</v>
      </c>
      <c r="I79" s="723">
        <f t="shared" si="2"/>
        <v>0.1287814774348186</v>
      </c>
      <c r="J79" s="723">
        <f t="shared" si="2"/>
        <v>0.13001586807498169</v>
      </c>
      <c r="K79" s="723">
        <f t="shared" si="2"/>
        <v>0.1282158380111113</v>
      </c>
      <c r="L79" s="723">
        <f t="shared" si="2"/>
        <v>8.7821248664069651E-2</v>
      </c>
      <c r="M79" s="724">
        <f t="shared" si="2"/>
        <v>0.15489302754989975</v>
      </c>
      <c r="N79" s="724">
        <f t="shared" si="2"/>
        <v>0.11386480148326125</v>
      </c>
      <c r="O79" s="724">
        <f t="shared" si="2"/>
        <v>0.12888175459184117</v>
      </c>
      <c r="P79" s="723">
        <f t="shared" si="3"/>
        <v>0.12698561267972358</v>
      </c>
    </row>
    <row r="80" spans="1:16" s="465" customFormat="1" ht="16.5" customHeight="1" x14ac:dyDescent="0.2">
      <c r="A80" s="490" t="s">
        <v>171</v>
      </c>
      <c r="B80" s="721">
        <f t="shared" si="2"/>
        <v>7.31948051069818E-2</v>
      </c>
      <c r="C80" s="721">
        <f t="shared" si="2"/>
        <v>4.8131456080369187E-2</v>
      </c>
      <c r="D80" s="721">
        <f t="shared" si="2"/>
        <v>2.3087620589209389E-2</v>
      </c>
      <c r="E80" s="721">
        <f t="shared" si="2"/>
        <v>6.4861373410628059E-3</v>
      </c>
      <c r="F80" s="721">
        <f t="shared" si="2"/>
        <v>3.0628597233669144E-3</v>
      </c>
      <c r="G80" s="721">
        <f t="shared" si="2"/>
        <v>2.5259721267382788E-3</v>
      </c>
      <c r="H80" s="721">
        <f t="shared" si="2"/>
        <v>2.0832267782214813E-3</v>
      </c>
      <c r="I80" s="721">
        <f t="shared" si="2"/>
        <v>1.7056418217415567E-3</v>
      </c>
      <c r="J80" s="721">
        <f t="shared" si="2"/>
        <v>2.4851151811850986E-3</v>
      </c>
      <c r="K80" s="721">
        <f t="shared" si="2"/>
        <v>3.5320455489747968E-3</v>
      </c>
      <c r="L80" s="721">
        <f t="shared" si="2"/>
        <v>4.2484717842221058E-3</v>
      </c>
      <c r="M80" s="722">
        <f t="shared" si="2"/>
        <v>7.216538821313164E-3</v>
      </c>
      <c r="N80" s="722">
        <f t="shared" si="2"/>
        <v>3.1915954032691631E-3</v>
      </c>
      <c r="O80" s="722">
        <f t="shared" si="2"/>
        <v>4.6647857500959284E-3</v>
      </c>
      <c r="P80" s="721">
        <f t="shared" si="3"/>
        <v>4.5020344317733803E-3</v>
      </c>
    </row>
    <row r="81" spans="1:23" s="465" customFormat="1" ht="16.5" customHeight="1" x14ac:dyDescent="0.2">
      <c r="A81" s="693" t="s">
        <v>607</v>
      </c>
      <c r="B81" s="723">
        <f t="shared" si="2"/>
        <v>8.5512113189264841E-2</v>
      </c>
      <c r="C81" s="723">
        <f t="shared" si="2"/>
        <v>6.3454291806145896E-2</v>
      </c>
      <c r="D81" s="723">
        <f t="shared" si="2"/>
        <v>6.8595640893681212E-2</v>
      </c>
      <c r="E81" s="723">
        <f t="shared" si="2"/>
        <v>6.3908658595778392E-2</v>
      </c>
      <c r="F81" s="723">
        <f t="shared" si="2"/>
        <v>5.2095698689365165E-2</v>
      </c>
      <c r="G81" s="723">
        <f t="shared" si="2"/>
        <v>5.2687069199702549E-2</v>
      </c>
      <c r="H81" s="723">
        <f t="shared" si="2"/>
        <v>4.9547474832549593E-2</v>
      </c>
      <c r="I81" s="723">
        <f t="shared" si="2"/>
        <v>4.2431662336142123E-2</v>
      </c>
      <c r="J81" s="723">
        <f t="shared" si="2"/>
        <v>2.5937073533161294E-2</v>
      </c>
      <c r="K81" s="723">
        <f t="shared" si="2"/>
        <v>2.2555408991047771E-2</v>
      </c>
      <c r="L81" s="723">
        <f t="shared" si="2"/>
        <v>1.3068705074705662E-2</v>
      </c>
      <c r="M81" s="724">
        <f t="shared" si="2"/>
        <v>5.6837589809600797E-2</v>
      </c>
      <c r="N81" s="724">
        <f t="shared" si="2"/>
        <v>2.3323694498746477E-2</v>
      </c>
      <c r="O81" s="724">
        <f t="shared" si="2"/>
        <v>3.559028856410619E-2</v>
      </c>
      <c r="P81" s="723">
        <f t="shared" si="3"/>
        <v>3.4578703508493749E-2</v>
      </c>
    </row>
    <row r="82" spans="1:23" s="465" customFormat="1" ht="16.5" customHeight="1" x14ac:dyDescent="0.2">
      <c r="A82" s="490" t="s">
        <v>172</v>
      </c>
      <c r="B82" s="721">
        <f t="shared" si="2"/>
        <v>2.113595931097248E-2</v>
      </c>
      <c r="C82" s="721">
        <f t="shared" si="2"/>
        <v>2.0984138161686056E-2</v>
      </c>
      <c r="D82" s="721">
        <f t="shared" si="2"/>
        <v>2.1835799215771595E-2</v>
      </c>
      <c r="E82" s="721">
        <f t="shared" si="2"/>
        <v>2.8323363485200096E-2</v>
      </c>
      <c r="F82" s="721">
        <f t="shared" si="2"/>
        <v>3.6483816017587538E-2</v>
      </c>
      <c r="G82" s="721">
        <f t="shared" si="2"/>
        <v>4.205151236537736E-2</v>
      </c>
      <c r="H82" s="721">
        <f t="shared" si="2"/>
        <v>4.8812697988981524E-2</v>
      </c>
      <c r="I82" s="721">
        <f t="shared" si="2"/>
        <v>5.2111132877146603E-2</v>
      </c>
      <c r="J82" s="721">
        <f t="shared" si="2"/>
        <v>5.4641299426311594E-2</v>
      </c>
      <c r="K82" s="721">
        <f t="shared" si="2"/>
        <v>4.9195946483283549E-2</v>
      </c>
      <c r="L82" s="721">
        <f t="shared" si="2"/>
        <v>3.9764227150038051E-2</v>
      </c>
      <c r="M82" s="722">
        <f t="shared" si="2"/>
        <v>3.6710799243779013E-2</v>
      </c>
      <c r="N82" s="722">
        <f t="shared" si="2"/>
        <v>4.7757499422080907E-2</v>
      </c>
      <c r="O82" s="722">
        <f t="shared" si="2"/>
        <v>4.3714239586483461E-2</v>
      </c>
      <c r="P82" s="721">
        <f t="shared" si="3"/>
        <v>4.2669357092669342E-2</v>
      </c>
    </row>
    <row r="83" spans="1:23" s="465" customFormat="1" ht="16.5" customHeight="1" x14ac:dyDescent="0.2">
      <c r="A83" s="492" t="s">
        <v>173</v>
      </c>
      <c r="B83" s="723">
        <f t="shared" si="2"/>
        <v>9.7567762136759287E-2</v>
      </c>
      <c r="C83" s="723">
        <f t="shared" si="2"/>
        <v>9.0482539341866175E-2</v>
      </c>
      <c r="D83" s="723">
        <f t="shared" si="2"/>
        <v>7.8959225968102092E-2</v>
      </c>
      <c r="E83" s="723">
        <f t="shared" si="2"/>
        <v>7.8531442950628777E-2</v>
      </c>
      <c r="F83" s="723">
        <f t="shared" si="2"/>
        <v>7.7110675124094641E-2</v>
      </c>
      <c r="G83" s="723">
        <f t="shared" si="2"/>
        <v>7.6909663563180852E-2</v>
      </c>
      <c r="H83" s="723">
        <f t="shared" si="2"/>
        <v>7.5144745885037362E-2</v>
      </c>
      <c r="I83" s="723">
        <f t="shared" si="2"/>
        <v>7.5425894713870012E-2</v>
      </c>
      <c r="J83" s="723">
        <f t="shared" si="2"/>
        <v>7.9980222807143453E-2</v>
      </c>
      <c r="K83" s="723">
        <f t="shared" si="2"/>
        <v>8.0928064097361238E-2</v>
      </c>
      <c r="L83" s="723">
        <f t="shared" si="2"/>
        <v>8.4439088557356615E-2</v>
      </c>
      <c r="M83" s="724">
        <f t="shared" si="2"/>
        <v>7.7611407586657702E-2</v>
      </c>
      <c r="N83" s="724">
        <f t="shared" si="2"/>
        <v>8.1039819968087679E-2</v>
      </c>
      <c r="O83" s="724">
        <f t="shared" si="2"/>
        <v>7.9784969030348221E-2</v>
      </c>
      <c r="P83" s="723">
        <f t="shared" si="3"/>
        <v>8.1465168373126964E-2</v>
      </c>
    </row>
    <row r="84" spans="1:23" s="465" customFormat="1" ht="16.5" customHeight="1" x14ac:dyDescent="0.2">
      <c r="A84" s="495" t="s">
        <v>174</v>
      </c>
      <c r="B84" s="725">
        <f t="shared" si="2"/>
        <v>0.11463537150191991</v>
      </c>
      <c r="C84" s="725">
        <f t="shared" si="2"/>
        <v>0.11565065464901353</v>
      </c>
      <c r="D84" s="725">
        <f t="shared" si="2"/>
        <v>0.10709133419882011</v>
      </c>
      <c r="E84" s="725">
        <f t="shared" si="2"/>
        <v>7.3555971495565434E-2</v>
      </c>
      <c r="F84" s="725">
        <f t="shared" si="2"/>
        <v>5.2830033449762427E-2</v>
      </c>
      <c r="G84" s="725">
        <f t="shared" si="2"/>
        <v>4.1685641011330557E-2</v>
      </c>
      <c r="H84" s="725">
        <f t="shared" si="2"/>
        <v>3.6088982920837835E-2</v>
      </c>
      <c r="I84" s="725">
        <f t="shared" si="2"/>
        <v>3.0662575776025474E-2</v>
      </c>
      <c r="J84" s="725">
        <f t="shared" si="2"/>
        <v>2.5642008390335737E-2</v>
      </c>
      <c r="K84" s="725">
        <f t="shared" si="2"/>
        <v>3.269689484218713E-2</v>
      </c>
      <c r="L84" s="725">
        <f t="shared" si="2"/>
        <v>4.5421610426543621E-2</v>
      </c>
      <c r="M84" s="726">
        <f t="shared" si="2"/>
        <v>5.9225152715789681E-2</v>
      </c>
      <c r="N84" s="726">
        <f t="shared" si="2"/>
        <v>3.5037615127769713E-2</v>
      </c>
      <c r="O84" s="726">
        <f t="shared" si="2"/>
        <v>4.3890620792367982E-2</v>
      </c>
      <c r="P84" s="725">
        <f t="shared" si="3"/>
        <v>4.5676617350531065E-2</v>
      </c>
    </row>
    <row r="85" spans="1:23" s="465" customFormat="1" ht="16.5" customHeight="1" x14ac:dyDescent="0.25">
      <c r="A85" s="501" t="s">
        <v>201</v>
      </c>
      <c r="B85" s="729"/>
      <c r="C85" s="729"/>
      <c r="D85" s="729"/>
      <c r="E85" s="729"/>
      <c r="F85" s="729"/>
      <c r="G85" s="729"/>
      <c r="H85" s="729"/>
      <c r="I85" s="729"/>
      <c r="J85" s="729"/>
      <c r="K85" s="729"/>
      <c r="L85" s="729"/>
      <c r="M85" s="730"/>
      <c r="N85" s="730"/>
      <c r="O85" s="730"/>
      <c r="P85" s="731"/>
    </row>
    <row r="86" spans="1:23" s="465" customFormat="1" ht="16.5" customHeight="1" x14ac:dyDescent="0.25">
      <c r="A86" s="498" t="s">
        <v>288</v>
      </c>
      <c r="B86" s="727">
        <f t="shared" ref="B86:O89" si="4">B28/B$28</f>
        <v>1</v>
      </c>
      <c r="C86" s="727">
        <f t="shared" si="4"/>
        <v>1</v>
      </c>
      <c r="D86" s="727">
        <f t="shared" si="4"/>
        <v>1</v>
      </c>
      <c r="E86" s="727">
        <f t="shared" si="4"/>
        <v>1</v>
      </c>
      <c r="F86" s="727">
        <f t="shared" si="4"/>
        <v>1</v>
      </c>
      <c r="G86" s="727">
        <f t="shared" si="4"/>
        <v>1</v>
      </c>
      <c r="H86" s="727">
        <f t="shared" si="4"/>
        <v>1</v>
      </c>
      <c r="I86" s="727">
        <f t="shared" si="4"/>
        <v>1</v>
      </c>
      <c r="J86" s="727">
        <f t="shared" si="4"/>
        <v>1</v>
      </c>
      <c r="K86" s="727">
        <f t="shared" si="4"/>
        <v>1</v>
      </c>
      <c r="L86" s="727">
        <f t="shared" si="4"/>
        <v>1</v>
      </c>
      <c r="M86" s="728">
        <f t="shared" si="4"/>
        <v>1</v>
      </c>
      <c r="N86" s="728">
        <f t="shared" si="4"/>
        <v>1</v>
      </c>
      <c r="O86" s="728">
        <f t="shared" si="4"/>
        <v>1</v>
      </c>
      <c r="P86" s="727">
        <f t="shared" ref="P86:P89" si="5">P28/P$28</f>
        <v>1</v>
      </c>
    </row>
    <row r="87" spans="1:23" s="465" customFormat="1" ht="16.5" customHeight="1" x14ac:dyDescent="0.2">
      <c r="A87" s="490" t="s">
        <v>178</v>
      </c>
      <c r="B87" s="721">
        <f t="shared" si="4"/>
        <v>0.95625745613488955</v>
      </c>
      <c r="C87" s="721">
        <f t="shared" si="4"/>
        <v>0.94865681184144568</v>
      </c>
      <c r="D87" s="721">
        <f t="shared" si="4"/>
        <v>0.94233150829180778</v>
      </c>
      <c r="E87" s="721">
        <f t="shared" si="4"/>
        <v>0.94753484634001872</v>
      </c>
      <c r="F87" s="721">
        <f t="shared" si="4"/>
        <v>0.94557060924583192</v>
      </c>
      <c r="G87" s="721">
        <f t="shared" si="4"/>
        <v>0.94848564843140837</v>
      </c>
      <c r="H87" s="721">
        <f t="shared" si="4"/>
        <v>0.94579114821890431</v>
      </c>
      <c r="I87" s="721">
        <f t="shared" si="4"/>
        <v>0.93227489039163969</v>
      </c>
      <c r="J87" s="721">
        <f t="shared" si="4"/>
        <v>0.91446690338953407</v>
      </c>
      <c r="K87" s="721">
        <f t="shared" si="4"/>
        <v>0.90271930957391766</v>
      </c>
      <c r="L87" s="721">
        <f t="shared" si="4"/>
        <v>0.80116083745523525</v>
      </c>
      <c r="M87" s="722">
        <f t="shared" si="4"/>
        <v>0.94651338628831105</v>
      </c>
      <c r="N87" s="722">
        <f t="shared" si="4"/>
        <v>0.87677169445197134</v>
      </c>
      <c r="O87" s="722">
        <f t="shared" si="4"/>
        <v>0.9089665711803222</v>
      </c>
      <c r="P87" s="721">
        <f t="shared" si="5"/>
        <v>0.90955037256820892</v>
      </c>
    </row>
    <row r="88" spans="1:23" s="465" customFormat="1" ht="16.5" customHeight="1" x14ac:dyDescent="0.2">
      <c r="A88" s="492" t="s">
        <v>179</v>
      </c>
      <c r="B88" s="723">
        <f t="shared" si="4"/>
        <v>2.9018015243796616E-2</v>
      </c>
      <c r="C88" s="723">
        <f t="shared" si="4"/>
        <v>3.5573857055135022E-2</v>
      </c>
      <c r="D88" s="723">
        <f t="shared" si="4"/>
        <v>3.3744841574916765E-2</v>
      </c>
      <c r="E88" s="723">
        <f t="shared" si="4"/>
        <v>3.0152476339357064E-2</v>
      </c>
      <c r="F88" s="723">
        <f t="shared" si="4"/>
        <v>2.8826283870064966E-2</v>
      </c>
      <c r="G88" s="723">
        <f t="shared" si="4"/>
        <v>3.2284424416074244E-2</v>
      </c>
      <c r="H88" s="723">
        <f t="shared" si="4"/>
        <v>3.4561347508074707E-2</v>
      </c>
      <c r="I88" s="723">
        <f t="shared" si="4"/>
        <v>4.0884617334624666E-2</v>
      </c>
      <c r="J88" s="723">
        <f t="shared" si="4"/>
        <v>4.3436406801177489E-2</v>
      </c>
      <c r="K88" s="723">
        <f t="shared" si="4"/>
        <v>4.6221033723511537E-2</v>
      </c>
      <c r="L88" s="723">
        <f t="shared" si="4"/>
        <v>0.1577503511075837</v>
      </c>
      <c r="M88" s="724">
        <f t="shared" si="4"/>
        <v>3.1789027166183259E-2</v>
      </c>
      <c r="N88" s="724">
        <f t="shared" si="4"/>
        <v>8.2493169242571066E-2</v>
      </c>
      <c r="O88" s="724">
        <f t="shared" si="4"/>
        <v>5.9086601939308557E-2</v>
      </c>
      <c r="P88" s="723">
        <f t="shared" si="5"/>
        <v>5.7863798875572275E-2</v>
      </c>
    </row>
    <row r="89" spans="1:23" s="465" customFormat="1" ht="16.5" customHeight="1" x14ac:dyDescent="0.2">
      <c r="A89" s="495" t="s">
        <v>180</v>
      </c>
      <c r="B89" s="725">
        <f t="shared" si="4"/>
        <v>1.4724528621313833E-2</v>
      </c>
      <c r="C89" s="725">
        <f t="shared" si="4"/>
        <v>1.5769331103419264E-2</v>
      </c>
      <c r="D89" s="725">
        <f t="shared" si="4"/>
        <v>2.3923650133275493E-2</v>
      </c>
      <c r="E89" s="725">
        <f t="shared" si="4"/>
        <v>2.2312677320624138E-2</v>
      </c>
      <c r="F89" s="725">
        <f t="shared" si="4"/>
        <v>2.5603106884103173E-2</v>
      </c>
      <c r="G89" s="725">
        <f t="shared" si="4"/>
        <v>1.9229927152517506E-2</v>
      </c>
      <c r="H89" s="725">
        <f t="shared" si="4"/>
        <v>1.9647504275535722E-2</v>
      </c>
      <c r="I89" s="725">
        <f t="shared" si="4"/>
        <v>2.6840492273735694E-2</v>
      </c>
      <c r="J89" s="725">
        <f t="shared" si="4"/>
        <v>4.2096689809288532E-2</v>
      </c>
      <c r="K89" s="725">
        <f t="shared" si="4"/>
        <v>5.1059656702570809E-2</v>
      </c>
      <c r="L89" s="725">
        <f t="shared" si="4"/>
        <v>4.1088811437181148E-2</v>
      </c>
      <c r="M89" s="726">
        <f t="shared" si="4"/>
        <v>2.1697586545505756E-2</v>
      </c>
      <c r="N89" s="726">
        <f t="shared" si="4"/>
        <v>4.0735136307794226E-2</v>
      </c>
      <c r="O89" s="726">
        <f t="shared" si="4"/>
        <v>3.1946826880369289E-2</v>
      </c>
      <c r="P89" s="725">
        <f t="shared" si="5"/>
        <v>3.2585828556218853E-2</v>
      </c>
    </row>
    <row r="90" spans="1:23" s="465" customFormat="1" ht="16.5" customHeight="1" x14ac:dyDescent="0.25">
      <c r="A90" s="498" t="s">
        <v>289</v>
      </c>
      <c r="B90" s="727">
        <f t="shared" ref="B90:O93" si="6">B32/B$32</f>
        <v>1</v>
      </c>
      <c r="C90" s="727">
        <f t="shared" si="6"/>
        <v>1</v>
      </c>
      <c r="D90" s="727">
        <f t="shared" si="6"/>
        <v>1</v>
      </c>
      <c r="E90" s="727">
        <f t="shared" si="6"/>
        <v>1</v>
      </c>
      <c r="F90" s="727">
        <f t="shared" si="6"/>
        <v>1</v>
      </c>
      <c r="G90" s="727">
        <f t="shared" si="6"/>
        <v>1</v>
      </c>
      <c r="H90" s="727">
        <f t="shared" si="6"/>
        <v>1</v>
      </c>
      <c r="I90" s="727">
        <f t="shared" si="6"/>
        <v>1</v>
      </c>
      <c r="J90" s="727">
        <f t="shared" si="6"/>
        <v>1</v>
      </c>
      <c r="K90" s="727">
        <f t="shared" si="6"/>
        <v>1</v>
      </c>
      <c r="L90" s="727">
        <f t="shared" si="6"/>
        <v>1</v>
      </c>
      <c r="M90" s="728">
        <f t="shared" si="6"/>
        <v>1</v>
      </c>
      <c r="N90" s="728">
        <f t="shared" si="6"/>
        <v>1</v>
      </c>
      <c r="O90" s="728">
        <f t="shared" si="6"/>
        <v>1</v>
      </c>
      <c r="P90" s="727">
        <f t="shared" ref="P90:P93" si="7">P32/P$32</f>
        <v>1</v>
      </c>
    </row>
    <row r="91" spans="1:23" s="465" customFormat="1" ht="16.5" customHeight="1" x14ac:dyDescent="0.2">
      <c r="A91" s="490" t="s">
        <v>182</v>
      </c>
      <c r="B91" s="721">
        <f t="shared" si="6"/>
        <v>0.22092353973396334</v>
      </c>
      <c r="C91" s="721">
        <f t="shared" si="6"/>
        <v>0.21465809118236975</v>
      </c>
      <c r="D91" s="721">
        <f t="shared" si="6"/>
        <v>0.21139105153278015</v>
      </c>
      <c r="E91" s="721">
        <f t="shared" si="6"/>
        <v>0.22203059766765645</v>
      </c>
      <c r="F91" s="721">
        <f t="shared" si="6"/>
        <v>0.23397264977944052</v>
      </c>
      <c r="G91" s="721">
        <f t="shared" si="6"/>
        <v>0.2463759722395531</v>
      </c>
      <c r="H91" s="721">
        <f t="shared" si="6"/>
        <v>0.2539018387688125</v>
      </c>
      <c r="I91" s="721">
        <f t="shared" si="6"/>
        <v>0.25662312704560392</v>
      </c>
      <c r="J91" s="721">
        <f t="shared" si="6"/>
        <v>0.25063622954564041</v>
      </c>
      <c r="K91" s="721">
        <f t="shared" si="6"/>
        <v>0.24409212327335345</v>
      </c>
      <c r="L91" s="721">
        <f t="shared" si="6"/>
        <v>0.33606993208781749</v>
      </c>
      <c r="M91" s="722">
        <f t="shared" si="6"/>
        <v>0.23261363904879306</v>
      </c>
      <c r="N91" s="722">
        <f t="shared" si="6"/>
        <v>0.27055114969118471</v>
      </c>
      <c r="O91" s="722">
        <f t="shared" si="6"/>
        <v>0.25067553962004097</v>
      </c>
      <c r="P91" s="721">
        <f t="shared" si="7"/>
        <v>0.24609757606140661</v>
      </c>
    </row>
    <row r="92" spans="1:23" s="465" customFormat="1" ht="16.5" customHeight="1" x14ac:dyDescent="0.2">
      <c r="A92" s="492" t="s">
        <v>183</v>
      </c>
      <c r="B92" s="723">
        <f t="shared" si="6"/>
        <v>0.71935922611650238</v>
      </c>
      <c r="C92" s="723">
        <f t="shared" si="6"/>
        <v>0.70456318363358594</v>
      </c>
      <c r="D92" s="723">
        <f t="shared" si="6"/>
        <v>0.67346197620182113</v>
      </c>
      <c r="E92" s="723">
        <f t="shared" si="6"/>
        <v>0.65902557487444513</v>
      </c>
      <c r="F92" s="723">
        <f t="shared" si="6"/>
        <v>0.62510722482656211</v>
      </c>
      <c r="G92" s="723">
        <f t="shared" si="6"/>
        <v>0.60449572878490809</v>
      </c>
      <c r="H92" s="723">
        <f t="shared" si="6"/>
        <v>0.57426442986967885</v>
      </c>
      <c r="I92" s="723">
        <f t="shared" si="6"/>
        <v>0.57534536364225719</v>
      </c>
      <c r="J92" s="723">
        <f t="shared" si="6"/>
        <v>0.53731829963447753</v>
      </c>
      <c r="K92" s="723">
        <f t="shared" si="6"/>
        <v>0.47015790288879916</v>
      </c>
      <c r="L92" s="723">
        <f t="shared" si="6"/>
        <v>0.41272217463936178</v>
      </c>
      <c r="M92" s="724">
        <f t="shared" si="6"/>
        <v>0.63194397322959528</v>
      </c>
      <c r="N92" s="724">
        <f t="shared" si="6"/>
        <v>0.50126455704929018</v>
      </c>
      <c r="O92" s="724">
        <f t="shared" si="6"/>
        <v>0.56972801383096339</v>
      </c>
      <c r="P92" s="723">
        <f t="shared" si="7"/>
        <v>0.56153022175999079</v>
      </c>
    </row>
    <row r="93" spans="1:23" s="465" customFormat="1" ht="16.5" customHeight="1" x14ac:dyDescent="0.2">
      <c r="A93" s="490" t="s">
        <v>184</v>
      </c>
      <c r="B93" s="725">
        <f t="shared" si="6"/>
        <v>5.9717234149534337E-2</v>
      </c>
      <c r="C93" s="725">
        <f t="shared" si="6"/>
        <v>8.0778725184044289E-2</v>
      </c>
      <c r="D93" s="725">
        <f t="shared" si="6"/>
        <v>0.11514697227079453</v>
      </c>
      <c r="E93" s="725">
        <f t="shared" si="6"/>
        <v>0.1189438274578984</v>
      </c>
      <c r="F93" s="725">
        <f t="shared" si="6"/>
        <v>0.14092012539399737</v>
      </c>
      <c r="G93" s="725">
        <f t="shared" si="6"/>
        <v>0.14912829898110691</v>
      </c>
      <c r="H93" s="725">
        <f t="shared" si="6"/>
        <v>0.17183373136150867</v>
      </c>
      <c r="I93" s="725">
        <f t="shared" si="6"/>
        <v>0.16803150931213881</v>
      </c>
      <c r="J93" s="725">
        <f t="shared" si="6"/>
        <v>0.21204547081988201</v>
      </c>
      <c r="K93" s="725">
        <f t="shared" si="6"/>
        <v>0.28574997383784739</v>
      </c>
      <c r="L93" s="725">
        <f t="shared" si="6"/>
        <v>0.25120789327282073</v>
      </c>
      <c r="M93" s="726">
        <f t="shared" si="6"/>
        <v>0.13544238772713862</v>
      </c>
      <c r="N93" s="726">
        <f t="shared" si="6"/>
        <v>0.22818429325952513</v>
      </c>
      <c r="O93" s="726">
        <f t="shared" si="6"/>
        <v>0.17959644654899565</v>
      </c>
      <c r="P93" s="725">
        <f t="shared" si="7"/>
        <v>0.19237220217860257</v>
      </c>
    </row>
    <row r="94" spans="1:23" s="465" customFormat="1" ht="16.5" customHeight="1" x14ac:dyDescent="0.25">
      <c r="A94" s="544" t="s">
        <v>226</v>
      </c>
      <c r="B94" s="732"/>
      <c r="C94" s="732"/>
      <c r="D94" s="732"/>
      <c r="E94" s="732"/>
      <c r="F94" s="732"/>
      <c r="G94" s="732"/>
      <c r="H94" s="732"/>
      <c r="I94" s="732"/>
      <c r="J94" s="732"/>
      <c r="K94" s="732"/>
      <c r="L94" s="732"/>
      <c r="M94" s="733"/>
      <c r="N94" s="733"/>
      <c r="O94" s="733"/>
      <c r="P94" s="734"/>
      <c r="V94" s="519"/>
      <c r="W94" s="519"/>
    </row>
    <row r="95" spans="1:23" s="465" customFormat="1" ht="16.5" customHeight="1" x14ac:dyDescent="0.2">
      <c r="A95" s="550" t="s">
        <v>793</v>
      </c>
      <c r="B95" s="735">
        <v>0.27718442500000001</v>
      </c>
      <c r="C95" s="735">
        <v>0.25243924499999998</v>
      </c>
      <c r="D95" s="735">
        <v>0.22294963100000001</v>
      </c>
      <c r="E95" s="735">
        <v>0.198619455</v>
      </c>
      <c r="F95" s="735">
        <v>0.18687293499999999</v>
      </c>
      <c r="G95" s="735">
        <v>0.17323333499999999</v>
      </c>
      <c r="H95" s="735">
        <v>0.157561699</v>
      </c>
      <c r="I95" s="735">
        <v>0.13670433200000001</v>
      </c>
      <c r="J95" s="735">
        <v>0.128813546</v>
      </c>
      <c r="K95" s="735">
        <v>0.13950153300000001</v>
      </c>
      <c r="L95" s="735">
        <v>9.4372892999999999E-2</v>
      </c>
      <c r="M95" s="736">
        <v>0.18542832100000001</v>
      </c>
      <c r="N95" s="736">
        <v>0.119235543</v>
      </c>
      <c r="O95" s="736">
        <v>0.14346310400000001</v>
      </c>
      <c r="P95" s="735">
        <v>0.148300929</v>
      </c>
    </row>
    <row r="96" spans="1:23" s="571" customFormat="1" ht="16.5" customHeight="1" x14ac:dyDescent="0.2">
      <c r="A96" s="562" t="s">
        <v>407</v>
      </c>
      <c r="B96" s="741">
        <v>0.220860895</v>
      </c>
      <c r="C96" s="741">
        <v>0.27327282400000003</v>
      </c>
      <c r="D96" s="741">
        <v>0.34618965699999998</v>
      </c>
      <c r="E96" s="741">
        <v>0.44591478099999998</v>
      </c>
      <c r="F96" s="741">
        <v>0.50993374599999997</v>
      </c>
      <c r="G96" s="741">
        <v>0.539544252</v>
      </c>
      <c r="H96" s="741">
        <v>0.56736911800000001</v>
      </c>
      <c r="I96" s="741">
        <v>0.59424632300000002</v>
      </c>
      <c r="J96" s="741">
        <v>0.60910024600000001</v>
      </c>
      <c r="K96" s="741">
        <v>0.59802902999999996</v>
      </c>
      <c r="L96" s="741">
        <v>0.49640603700000002</v>
      </c>
      <c r="M96" s="742">
        <v>0.49194671200000001</v>
      </c>
      <c r="N96" s="742">
        <v>0.56186112399999999</v>
      </c>
      <c r="O96" s="742">
        <v>0.53752513400000002</v>
      </c>
      <c r="P96" s="721">
        <v>0.53555837900000003</v>
      </c>
    </row>
    <row r="97" spans="1:16" s="465" customFormat="1" ht="16.5" customHeight="1" x14ac:dyDescent="0.25">
      <c r="A97" s="546" t="s">
        <v>420</v>
      </c>
      <c r="B97" s="737">
        <v>0.80226714700000001</v>
      </c>
      <c r="C97" s="737">
        <v>0.82966182300000002</v>
      </c>
      <c r="D97" s="737">
        <v>0.85931357799999997</v>
      </c>
      <c r="E97" s="737">
        <v>0.88030948499999995</v>
      </c>
      <c r="F97" s="737">
        <v>0.88014817499999998</v>
      </c>
      <c r="G97" s="737">
        <v>0.88578303400000002</v>
      </c>
      <c r="H97" s="737">
        <v>0.90212133900000002</v>
      </c>
      <c r="I97" s="737">
        <v>0.91945036800000002</v>
      </c>
      <c r="J97" s="737">
        <v>0.93240030699999998</v>
      </c>
      <c r="K97" s="737">
        <v>0.93582114100000002</v>
      </c>
      <c r="L97" s="737">
        <v>0.96390939799999997</v>
      </c>
      <c r="M97" s="738">
        <v>0.88365279299999999</v>
      </c>
      <c r="N97" s="738">
        <v>0.94251586600000004</v>
      </c>
      <c r="O97" s="738">
        <v>0.92097108800000005</v>
      </c>
      <c r="P97" s="723">
        <v>0.91681483399999997</v>
      </c>
    </row>
    <row r="98" spans="1:16" s="465" customFormat="1" ht="16.5" customHeight="1" x14ac:dyDescent="0.2">
      <c r="A98" s="562" t="s">
        <v>462</v>
      </c>
      <c r="B98" s="721">
        <v>0.46507341499999999</v>
      </c>
      <c r="C98" s="721">
        <v>0.44598850600000001</v>
      </c>
      <c r="D98" s="721">
        <v>0.41384132099999998</v>
      </c>
      <c r="E98" s="721">
        <v>0.397797028</v>
      </c>
      <c r="F98" s="721">
        <v>0.37792395699999998</v>
      </c>
      <c r="G98" s="721">
        <v>0.346739878</v>
      </c>
      <c r="H98" s="721">
        <v>0.31289232900000002</v>
      </c>
      <c r="I98" s="721">
        <v>0.25947901699999998</v>
      </c>
      <c r="J98" s="721">
        <v>0.246433559</v>
      </c>
      <c r="K98" s="721">
        <v>0.25479836500000003</v>
      </c>
      <c r="L98" s="721">
        <v>0.19330064</v>
      </c>
      <c r="M98" s="722">
        <v>0.36602343700000001</v>
      </c>
      <c r="N98" s="722">
        <v>0.23038271900000001</v>
      </c>
      <c r="O98" s="722">
        <v>0.28002927900000002</v>
      </c>
      <c r="P98" s="721">
        <v>0.28683293999999998</v>
      </c>
    </row>
    <row r="99" spans="1:16" s="465" customFormat="1" ht="16.5" customHeight="1" x14ac:dyDescent="0.25">
      <c r="A99" s="492" t="s">
        <v>409</v>
      </c>
      <c r="B99" s="723">
        <v>0.424021641</v>
      </c>
      <c r="C99" s="723">
        <v>0.50716485700000002</v>
      </c>
      <c r="D99" s="723">
        <v>0.53683596</v>
      </c>
      <c r="E99" s="723">
        <v>0.58705306899999998</v>
      </c>
      <c r="F99" s="723">
        <v>0.60092305199999996</v>
      </c>
      <c r="G99" s="723">
        <v>0.58612313599999999</v>
      </c>
      <c r="H99" s="723">
        <v>0.57942213399999998</v>
      </c>
      <c r="I99" s="723">
        <v>0.55812674900000003</v>
      </c>
      <c r="J99" s="723">
        <v>0.60782160900000004</v>
      </c>
      <c r="K99" s="723">
        <v>0.76073371700000003</v>
      </c>
      <c r="L99" s="723">
        <v>0.97288242999999996</v>
      </c>
      <c r="M99" s="724">
        <v>0.57914760200000004</v>
      </c>
      <c r="N99" s="724">
        <v>0.76151046700000002</v>
      </c>
      <c r="O99" s="724">
        <v>0.69476289199999997</v>
      </c>
      <c r="P99" s="737">
        <v>0.69401103600000003</v>
      </c>
    </row>
    <row r="100" spans="1:16" s="465" customFormat="1" ht="16.5" customHeight="1" x14ac:dyDescent="0.2">
      <c r="A100" s="495" t="s">
        <v>790</v>
      </c>
      <c r="B100" s="739">
        <v>1.529745551</v>
      </c>
      <c r="C100" s="739">
        <v>2.0090571009999998</v>
      </c>
      <c r="D100" s="739">
        <v>2.40788001</v>
      </c>
      <c r="E100" s="739">
        <v>2.9556675029999999</v>
      </c>
      <c r="F100" s="739">
        <v>3.2156772810000001</v>
      </c>
      <c r="G100" s="739">
        <v>3.383431582</v>
      </c>
      <c r="H100" s="739">
        <v>3.6774300929999999</v>
      </c>
      <c r="I100" s="739">
        <v>4.0827290759999997</v>
      </c>
      <c r="J100" s="739">
        <v>4.7186156209999996</v>
      </c>
      <c r="K100" s="739">
        <v>5.4532283589999997</v>
      </c>
      <c r="L100" s="739">
        <v>10.308918147</v>
      </c>
      <c r="M100" s="740">
        <v>3.123296372</v>
      </c>
      <c r="N100" s="740">
        <v>6.3866062689999996</v>
      </c>
      <c r="O100" s="740">
        <v>4.8427984139999998</v>
      </c>
      <c r="P100" s="739">
        <v>4.6797484120000004</v>
      </c>
    </row>
    <row r="101" spans="1:16" x14ac:dyDescent="0.2">
      <c r="A101" s="255" t="s">
        <v>371</v>
      </c>
      <c r="B101" s="13"/>
      <c r="C101" s="13"/>
      <c r="D101" s="13"/>
      <c r="E101" s="13"/>
      <c r="F101" s="13"/>
      <c r="G101" s="13"/>
      <c r="H101" s="13"/>
      <c r="I101" s="13"/>
      <c r="J101" s="13"/>
      <c r="K101" s="13"/>
      <c r="L101" s="13"/>
      <c r="M101" s="215"/>
      <c r="N101" s="215"/>
      <c r="O101" s="215"/>
      <c r="P101" s="39"/>
    </row>
    <row r="102" spans="1:16" x14ac:dyDescent="0.2">
      <c r="A102" s="168" t="s">
        <v>616</v>
      </c>
      <c r="B102" s="13"/>
      <c r="C102" s="13"/>
      <c r="D102" s="13"/>
      <c r="E102" s="13"/>
      <c r="F102" s="13"/>
      <c r="G102" s="13"/>
      <c r="H102" s="13"/>
      <c r="I102" s="13"/>
      <c r="J102" s="13"/>
      <c r="K102" s="13"/>
      <c r="L102" s="13"/>
      <c r="M102" s="215"/>
      <c r="N102" s="215"/>
      <c r="O102" s="215"/>
      <c r="P102" s="39"/>
    </row>
    <row r="103" spans="1:16" x14ac:dyDescent="0.2">
      <c r="A103" s="255" t="s">
        <v>997</v>
      </c>
      <c r="B103" s="13"/>
      <c r="C103" s="13"/>
      <c r="D103" s="13"/>
      <c r="E103" s="13"/>
      <c r="F103" s="13"/>
      <c r="G103" s="13"/>
      <c r="H103" s="13"/>
      <c r="I103" s="13"/>
      <c r="J103" s="13"/>
      <c r="K103" s="13"/>
      <c r="L103" s="13"/>
      <c r="M103" s="215"/>
      <c r="N103" s="215"/>
      <c r="O103" s="215"/>
      <c r="P103" s="39"/>
    </row>
    <row r="104" spans="1:16" x14ac:dyDescent="0.2">
      <c r="A104" s="286" t="s">
        <v>916</v>
      </c>
      <c r="B104" s="3"/>
      <c r="C104" s="3"/>
      <c r="D104" s="3"/>
      <c r="G104" s="185"/>
      <c r="J104" s="185"/>
      <c r="M104" s="215"/>
      <c r="N104" s="215"/>
      <c r="O104" s="215"/>
    </row>
    <row r="105" spans="1:16" x14ac:dyDescent="0.2">
      <c r="A105" s="13"/>
      <c r="B105" s="13"/>
      <c r="C105" s="13"/>
      <c r="D105" s="13"/>
      <c r="E105" s="13"/>
      <c r="F105" s="13"/>
      <c r="G105" s="13"/>
      <c r="H105" s="13"/>
      <c r="I105" s="13"/>
      <c r="J105" s="13"/>
      <c r="K105" s="13"/>
      <c r="L105" s="13"/>
      <c r="M105" s="215"/>
      <c r="N105" s="215"/>
      <c r="O105" s="215"/>
      <c r="P105" s="39"/>
    </row>
    <row r="106" spans="1:16" ht="24" customHeight="1" x14ac:dyDescent="0.25">
      <c r="A106" s="280" t="s">
        <v>938</v>
      </c>
      <c r="B106" s="13"/>
      <c r="C106" s="13"/>
      <c r="D106" s="13"/>
      <c r="E106" s="13"/>
      <c r="F106" s="13"/>
      <c r="G106" s="13"/>
      <c r="H106" s="13"/>
      <c r="I106" s="13"/>
      <c r="J106" s="13"/>
      <c r="K106" s="13"/>
      <c r="L106" s="13"/>
      <c r="M106" s="215"/>
      <c r="N106" s="215"/>
      <c r="O106" s="215"/>
      <c r="P106" s="39"/>
    </row>
    <row r="107" spans="1:16" ht="13.5" thickBot="1" x14ac:dyDescent="0.25">
      <c r="A107" s="13"/>
      <c r="B107" s="13"/>
      <c r="C107" s="13"/>
      <c r="D107" s="13"/>
      <c r="E107" s="13"/>
      <c r="F107" s="13"/>
      <c r="G107" s="13"/>
      <c r="H107" s="13"/>
      <c r="I107" s="13"/>
      <c r="J107" s="13"/>
      <c r="K107" s="13"/>
      <c r="L107" s="13"/>
      <c r="M107" s="215"/>
      <c r="N107" s="215"/>
      <c r="O107" s="215"/>
      <c r="P107" s="39"/>
    </row>
    <row r="108" spans="1:16" ht="15" customHeight="1" x14ac:dyDescent="0.2">
      <c r="A108" s="565" t="s">
        <v>81</v>
      </c>
      <c r="B108" s="42" t="s">
        <v>35</v>
      </c>
      <c r="C108" s="42" t="s">
        <v>121</v>
      </c>
      <c r="D108" s="42" t="s">
        <v>123</v>
      </c>
      <c r="E108" s="42" t="s">
        <v>36</v>
      </c>
      <c r="F108" s="42" t="s">
        <v>37</v>
      </c>
      <c r="G108" s="42" t="s">
        <v>38</v>
      </c>
      <c r="H108" s="42" t="s">
        <v>39</v>
      </c>
      <c r="I108" s="42" t="s">
        <v>125</v>
      </c>
      <c r="J108" s="42" t="s">
        <v>126</v>
      </c>
      <c r="K108" s="42" t="s">
        <v>127</v>
      </c>
      <c r="L108" s="252">
        <v>100000</v>
      </c>
      <c r="M108" s="250" t="s">
        <v>231</v>
      </c>
      <c r="N108" s="250" t="s">
        <v>229</v>
      </c>
      <c r="O108" s="257" t="s">
        <v>77</v>
      </c>
      <c r="P108" s="281" t="s">
        <v>220</v>
      </c>
    </row>
    <row r="109" spans="1:16" ht="15" customHeight="1" x14ac:dyDescent="0.2">
      <c r="A109" s="229" t="s">
        <v>225</v>
      </c>
      <c r="B109" s="43" t="s">
        <v>120</v>
      </c>
      <c r="C109" s="43" t="s">
        <v>40</v>
      </c>
      <c r="D109" s="43" t="s">
        <v>40</v>
      </c>
      <c r="E109" s="43" t="s">
        <v>40</v>
      </c>
      <c r="F109" s="43" t="s">
        <v>40</v>
      </c>
      <c r="G109" s="43" t="s">
        <v>40</v>
      </c>
      <c r="H109" s="43" t="s">
        <v>40</v>
      </c>
      <c r="I109" s="43" t="s">
        <v>40</v>
      </c>
      <c r="J109" s="43" t="s">
        <v>40</v>
      </c>
      <c r="K109" s="43" t="s">
        <v>40</v>
      </c>
      <c r="L109" s="43" t="s">
        <v>43</v>
      </c>
      <c r="M109" s="239" t="s">
        <v>230</v>
      </c>
      <c r="N109" s="239" t="s">
        <v>138</v>
      </c>
      <c r="O109" s="256" t="s">
        <v>137</v>
      </c>
      <c r="P109" s="282" t="s">
        <v>284</v>
      </c>
    </row>
    <row r="110" spans="1:16" ht="15" customHeight="1" thickBot="1" x14ac:dyDescent="0.25">
      <c r="A110" s="423" t="s">
        <v>82</v>
      </c>
      <c r="B110" s="44" t="s">
        <v>43</v>
      </c>
      <c r="C110" s="44" t="s">
        <v>122</v>
      </c>
      <c r="D110" s="44" t="s">
        <v>124</v>
      </c>
      <c r="E110" s="44" t="s">
        <v>44</v>
      </c>
      <c r="F110" s="44" t="s">
        <v>45</v>
      </c>
      <c r="G110" s="44" t="s">
        <v>46</v>
      </c>
      <c r="H110" s="44" t="s">
        <v>42</v>
      </c>
      <c r="I110" s="44" t="s">
        <v>128</v>
      </c>
      <c r="J110" s="44" t="s">
        <v>129</v>
      </c>
      <c r="K110" s="44" t="s">
        <v>130</v>
      </c>
      <c r="L110" s="44" t="s">
        <v>131</v>
      </c>
      <c r="M110" s="251" t="s">
        <v>138</v>
      </c>
      <c r="N110" s="251" t="s">
        <v>131</v>
      </c>
      <c r="O110" s="258" t="s">
        <v>41</v>
      </c>
      <c r="P110" s="283" t="s">
        <v>239</v>
      </c>
    </row>
    <row r="111" spans="1:16" ht="15" customHeight="1" x14ac:dyDescent="0.25">
      <c r="A111" s="544" t="s">
        <v>223</v>
      </c>
      <c r="B111" s="192"/>
      <c r="C111" s="192"/>
      <c r="D111" s="192"/>
      <c r="E111" s="192"/>
      <c r="F111" s="192"/>
      <c r="G111" s="192"/>
      <c r="H111" s="192"/>
      <c r="I111" s="192"/>
      <c r="J111" s="192"/>
      <c r="K111" s="192"/>
      <c r="L111" s="192"/>
      <c r="M111" s="253"/>
      <c r="N111" s="253"/>
      <c r="O111" s="253"/>
    </row>
    <row r="112" spans="1:16" s="465" customFormat="1" ht="16.5" customHeight="1" x14ac:dyDescent="0.25">
      <c r="A112" s="487" t="s">
        <v>286</v>
      </c>
      <c r="B112" s="572">
        <v>4.8122864620000003</v>
      </c>
      <c r="C112" s="572">
        <v>4.8005204490000004</v>
      </c>
      <c r="D112" s="572">
        <v>4.8933601170000003</v>
      </c>
      <c r="E112" s="572">
        <v>4.6679410429999999</v>
      </c>
      <c r="F112" s="572">
        <v>4.4333841139999999</v>
      </c>
      <c r="G112" s="572">
        <v>4.0043515340000004</v>
      </c>
      <c r="H112" s="572">
        <v>3.7323896090000002</v>
      </c>
      <c r="I112" s="572">
        <v>3.3333783600000002</v>
      </c>
      <c r="J112" s="572">
        <v>3.0879504560000002</v>
      </c>
      <c r="K112" s="572">
        <v>3.5553119710000001</v>
      </c>
      <c r="L112" s="572">
        <v>5.2768059579999997</v>
      </c>
      <c r="M112" s="573">
        <v>4.2766704449999997</v>
      </c>
      <c r="N112" s="573">
        <v>4.0332446729999996</v>
      </c>
      <c r="O112" s="573">
        <v>4.1178664700000001</v>
      </c>
      <c r="P112" s="572">
        <v>4.1179418459999999</v>
      </c>
    </row>
    <row r="113" spans="1:16" s="465" customFormat="1" ht="15.75" customHeight="1" x14ac:dyDescent="0.2">
      <c r="A113" s="490" t="s">
        <v>161</v>
      </c>
      <c r="B113" s="574">
        <v>6.6759392259999997</v>
      </c>
      <c r="C113" s="574">
        <v>7.0917583820000001</v>
      </c>
      <c r="D113" s="574">
        <v>7.0646111170000001</v>
      </c>
      <c r="E113" s="574">
        <v>5.7338622250000002</v>
      </c>
      <c r="F113" s="574">
        <v>4.4905215099999998</v>
      </c>
      <c r="G113" s="574">
        <v>3.2794674549999998</v>
      </c>
      <c r="H113" s="574">
        <v>3.026781154</v>
      </c>
      <c r="I113" s="574">
        <v>3.1245237499999998</v>
      </c>
      <c r="J113" s="574">
        <v>2.2126561890000001</v>
      </c>
      <c r="K113" s="574">
        <v>3.2276418389999999</v>
      </c>
      <c r="L113" s="574">
        <v>4.9202214199999998</v>
      </c>
      <c r="M113" s="575">
        <v>4.6229873100000001</v>
      </c>
      <c r="N113" s="575">
        <v>3.3984491700000001</v>
      </c>
      <c r="O113" s="575">
        <v>3.928290514</v>
      </c>
      <c r="P113" s="574">
        <v>4.0108692530000001</v>
      </c>
    </row>
    <row r="114" spans="1:16" s="465" customFormat="1" ht="15.75" customHeight="1" x14ac:dyDescent="0.2">
      <c r="A114" s="492" t="s">
        <v>162</v>
      </c>
      <c r="B114" s="576">
        <v>3.8297795190000001</v>
      </c>
      <c r="C114" s="577">
        <v>4.4936133570000001</v>
      </c>
      <c r="D114" s="576">
        <v>4.2740496139999999</v>
      </c>
      <c r="E114" s="576">
        <v>4.7528992079999997</v>
      </c>
      <c r="F114" s="576">
        <v>5.0223119079999998</v>
      </c>
      <c r="G114" s="576">
        <v>4.8594528590000001</v>
      </c>
      <c r="H114" s="576">
        <v>4.2848727069999999</v>
      </c>
      <c r="I114" s="576">
        <v>3.8431842230000002</v>
      </c>
      <c r="J114" s="576">
        <v>3.3995001930000002</v>
      </c>
      <c r="K114" s="576">
        <v>3.1372695959999999</v>
      </c>
      <c r="L114" s="576">
        <v>5.4755569919999996</v>
      </c>
      <c r="M114" s="578">
        <v>4.6129446490000001</v>
      </c>
      <c r="N114" s="578">
        <v>4.1185889680000001</v>
      </c>
      <c r="O114" s="578">
        <v>4.2756225209999998</v>
      </c>
      <c r="P114" s="576">
        <v>4.3575204349999996</v>
      </c>
    </row>
    <row r="115" spans="1:16" s="465" customFormat="1" ht="15.75" customHeight="1" x14ac:dyDescent="0.2">
      <c r="A115" s="490" t="s">
        <v>163</v>
      </c>
      <c r="B115" s="574">
        <v>16.566337004000001</v>
      </c>
      <c r="C115" s="574">
        <v>14.407660442999999</v>
      </c>
      <c r="D115" s="574">
        <v>11.562264397</v>
      </c>
      <c r="E115" s="574">
        <v>6.5944795410000001</v>
      </c>
      <c r="F115" s="574">
        <v>5.5220778780000002</v>
      </c>
      <c r="G115" s="574">
        <v>5.5741313589999999</v>
      </c>
      <c r="H115" s="574">
        <v>3.6119409660000001</v>
      </c>
      <c r="I115" s="574">
        <v>8.7942075039999992</v>
      </c>
      <c r="J115" s="574">
        <v>6.4883476289999997</v>
      </c>
      <c r="K115" s="574">
        <v>12.571471388000001</v>
      </c>
      <c r="L115" s="574">
        <v>14.586565822000001</v>
      </c>
      <c r="M115" s="575">
        <v>5.9067584630000001</v>
      </c>
      <c r="N115" s="575">
        <v>11.295737267</v>
      </c>
      <c r="O115" s="575">
        <v>9.5918754140000004</v>
      </c>
      <c r="P115" s="574">
        <v>9.3167023919999998</v>
      </c>
    </row>
    <row r="116" spans="1:16" s="465" customFormat="1" ht="15.75" customHeight="1" x14ac:dyDescent="0.2">
      <c r="A116" s="492" t="s">
        <v>164</v>
      </c>
      <c r="B116" s="576">
        <v>7.3211307120000004</v>
      </c>
      <c r="C116" s="576">
        <v>2.7873922910000002</v>
      </c>
      <c r="D116" s="576">
        <v>3.837561408</v>
      </c>
      <c r="E116" s="576">
        <v>4.0071442230000001</v>
      </c>
      <c r="F116" s="576">
        <v>3.9114995339999998</v>
      </c>
      <c r="G116" s="576">
        <v>3.9283363100000002</v>
      </c>
      <c r="H116" s="576">
        <v>3.5515217969999999</v>
      </c>
      <c r="I116" s="576">
        <v>2.330027812</v>
      </c>
      <c r="J116" s="576">
        <v>4.5702928969999999</v>
      </c>
      <c r="K116" s="576">
        <v>4.0684038329999996</v>
      </c>
      <c r="L116" s="576">
        <v>4.9533323410000003</v>
      </c>
      <c r="M116" s="578">
        <v>3.8262492130000001</v>
      </c>
      <c r="N116" s="578">
        <v>4.5385056869999998</v>
      </c>
      <c r="O116" s="578">
        <v>4.3673392580000003</v>
      </c>
      <c r="P116" s="576">
        <v>4.601181585</v>
      </c>
    </row>
    <row r="117" spans="1:16" s="465" customFormat="1" ht="15.75" customHeight="1" x14ac:dyDescent="0.2">
      <c r="A117" s="495" t="s">
        <v>165</v>
      </c>
      <c r="B117" s="579">
        <v>0.765360649</v>
      </c>
      <c r="C117" s="579">
        <v>1.4700773490000001</v>
      </c>
      <c r="D117" s="579">
        <v>0.97508778299999999</v>
      </c>
      <c r="E117" s="579">
        <v>0.57406598399999997</v>
      </c>
      <c r="F117" s="579">
        <v>-0.65597653300000003</v>
      </c>
      <c r="G117" s="579">
        <v>-1.1424008880000001</v>
      </c>
      <c r="H117" s="579">
        <v>1.225160944</v>
      </c>
      <c r="I117" s="579">
        <v>-4.8928876570000002</v>
      </c>
      <c r="J117" s="579">
        <v>-3.5182766399999998</v>
      </c>
      <c r="K117" s="579">
        <v>5.7172961039999999</v>
      </c>
      <c r="L117" s="579">
        <v>-0.78691481399999996</v>
      </c>
      <c r="M117" s="580">
        <v>0.47256295300000001</v>
      </c>
      <c r="N117" s="580">
        <v>-1.1859401700000001</v>
      </c>
      <c r="O117" s="580">
        <v>-0.21795935599999999</v>
      </c>
      <c r="P117" s="579">
        <v>-2.2468260189999998</v>
      </c>
    </row>
    <row r="118" spans="1:16" s="465" customFormat="1" ht="16.5" customHeight="1" x14ac:dyDescent="0.25">
      <c r="A118" s="498" t="s">
        <v>290</v>
      </c>
      <c r="B118" s="581">
        <v>0.124111654</v>
      </c>
      <c r="C118" s="581">
        <v>1.913263739</v>
      </c>
      <c r="D118" s="581">
        <v>2.8692836650000002</v>
      </c>
      <c r="E118" s="581">
        <v>3.4073218980000002</v>
      </c>
      <c r="F118" s="581">
        <v>3.1608195110000001</v>
      </c>
      <c r="G118" s="581">
        <v>3.0758949169999998</v>
      </c>
      <c r="H118" s="581">
        <v>3.245417029</v>
      </c>
      <c r="I118" s="581">
        <v>2.8248096820000002</v>
      </c>
      <c r="J118" s="581">
        <v>2.6586102760000001</v>
      </c>
      <c r="K118" s="581">
        <v>3.8396952839999998</v>
      </c>
      <c r="L118" s="581">
        <v>1.719082056</v>
      </c>
      <c r="M118" s="582">
        <v>3.1594921070000002</v>
      </c>
      <c r="N118" s="582">
        <v>2.5390169899999999</v>
      </c>
      <c r="O118" s="582">
        <v>2.765281613</v>
      </c>
      <c r="P118" s="581">
        <v>2.9986089869999999</v>
      </c>
    </row>
    <row r="119" spans="1:16" s="465" customFormat="1" ht="15.75" customHeight="1" x14ac:dyDescent="0.2">
      <c r="A119" s="490" t="s">
        <v>79</v>
      </c>
      <c r="B119" s="574">
        <v>-1.3019938170000001</v>
      </c>
      <c r="C119" s="574">
        <v>0.61493098300000004</v>
      </c>
      <c r="D119" s="574">
        <v>2.4328466089999998</v>
      </c>
      <c r="E119" s="574">
        <v>3.616533665</v>
      </c>
      <c r="F119" s="574">
        <v>3.3258844490000001</v>
      </c>
      <c r="G119" s="574">
        <v>3.2964825430000002</v>
      </c>
      <c r="H119" s="574">
        <v>2.7925510660000001</v>
      </c>
      <c r="I119" s="574">
        <v>2.561976687</v>
      </c>
      <c r="J119" s="574">
        <v>2.5032350390000002</v>
      </c>
      <c r="K119" s="574">
        <v>2.3854088529999999</v>
      </c>
      <c r="L119" s="574">
        <v>0.74959811300000001</v>
      </c>
      <c r="M119" s="575">
        <v>3.0761080449999998</v>
      </c>
      <c r="N119" s="575">
        <v>1.8075367499999999</v>
      </c>
      <c r="O119" s="575">
        <v>2.2292727110000001</v>
      </c>
      <c r="P119" s="574">
        <v>2.5542567570000001</v>
      </c>
    </row>
    <row r="120" spans="1:16" s="465" customFormat="1" ht="15.75" customHeight="1" x14ac:dyDescent="0.2">
      <c r="A120" s="492" t="s">
        <v>167</v>
      </c>
      <c r="B120" s="576">
        <v>6.2099219120000004</v>
      </c>
      <c r="C120" s="576">
        <v>5.3896938170000004</v>
      </c>
      <c r="D120" s="576">
        <v>5.9324363890000003</v>
      </c>
      <c r="E120" s="576">
        <v>5.6320677860000004</v>
      </c>
      <c r="F120" s="576">
        <v>4.9926555070000003</v>
      </c>
      <c r="G120" s="576">
        <v>5.1346255210000002</v>
      </c>
      <c r="H120" s="576">
        <v>4.0928848450000004</v>
      </c>
      <c r="I120" s="576">
        <v>3.8083896410000002</v>
      </c>
      <c r="J120" s="576">
        <v>3.6924712839999998</v>
      </c>
      <c r="K120" s="576">
        <v>3.332545095</v>
      </c>
      <c r="L120" s="576">
        <v>3.3103065100000002</v>
      </c>
      <c r="M120" s="578">
        <v>4.9564578460000002</v>
      </c>
      <c r="N120" s="578">
        <v>3.5201997380000001</v>
      </c>
      <c r="O120" s="578">
        <v>4.0166836889999997</v>
      </c>
      <c r="P120" s="576">
        <v>4.3767579660000004</v>
      </c>
    </row>
    <row r="121" spans="1:16" s="465" customFormat="1" ht="15.75" customHeight="1" x14ac:dyDescent="0.2">
      <c r="A121" s="490" t="s">
        <v>322</v>
      </c>
      <c r="B121" s="574">
        <v>5.821424124</v>
      </c>
      <c r="C121" s="574">
        <v>3.262922809</v>
      </c>
      <c r="D121" s="574">
        <v>3.4785348460000001</v>
      </c>
      <c r="E121" s="574">
        <v>2.0919662149999998</v>
      </c>
      <c r="F121" s="574">
        <v>1.30575196</v>
      </c>
      <c r="G121" s="574">
        <v>1.4182575470000001</v>
      </c>
      <c r="H121" s="574">
        <v>-5.9273078999999999E-2</v>
      </c>
      <c r="I121" s="574">
        <v>0.256801691</v>
      </c>
      <c r="J121" s="574">
        <v>0.157727961</v>
      </c>
      <c r="K121" s="574">
        <v>-0.85444715100000002</v>
      </c>
      <c r="L121" s="574">
        <v>3.07852857</v>
      </c>
      <c r="M121" s="575">
        <v>1.075637462</v>
      </c>
      <c r="N121" s="575">
        <v>0.80097695300000005</v>
      </c>
      <c r="O121" s="575">
        <v>0.89114690799999996</v>
      </c>
      <c r="P121" s="574">
        <v>0.87048807299999997</v>
      </c>
    </row>
    <row r="122" spans="1:16" s="465" customFormat="1" ht="15.75" customHeight="1" x14ac:dyDescent="0.2">
      <c r="A122" s="492" t="s">
        <v>168</v>
      </c>
      <c r="B122" s="576">
        <v>-14.259014995999999</v>
      </c>
      <c r="C122" s="576">
        <v>-12.112322153999999</v>
      </c>
      <c r="D122" s="576">
        <v>-11.544455856000001</v>
      </c>
      <c r="E122" s="576">
        <v>-10.924141181</v>
      </c>
      <c r="F122" s="576">
        <v>-12.412474361999999</v>
      </c>
      <c r="G122" s="576">
        <v>-14.618892303999999</v>
      </c>
      <c r="H122" s="576">
        <v>-9.8598976050000005</v>
      </c>
      <c r="I122" s="576">
        <v>-10.807852965</v>
      </c>
      <c r="J122" s="576">
        <v>-12.931443877</v>
      </c>
      <c r="K122" s="576">
        <v>-9.0074315449999993</v>
      </c>
      <c r="L122" s="576">
        <v>-5.1197826199999996</v>
      </c>
      <c r="M122" s="578">
        <v>-11.458923134000001</v>
      </c>
      <c r="N122" s="578">
        <v>-6.8400795130000001</v>
      </c>
      <c r="O122" s="578">
        <v>-8.0250613739999999</v>
      </c>
      <c r="P122" s="576">
        <v>-7.6748749969999999</v>
      </c>
    </row>
    <row r="123" spans="1:16" s="465" customFormat="1" ht="15.75" customHeight="1" x14ac:dyDescent="0.2">
      <c r="A123" s="490" t="s">
        <v>169</v>
      </c>
      <c r="B123" s="574">
        <v>8.6028809810000002</v>
      </c>
      <c r="C123" s="574">
        <v>6.0303735429999996</v>
      </c>
      <c r="D123" s="574">
        <v>4.0795612730000004</v>
      </c>
      <c r="E123" s="574">
        <v>3.1728382960000001</v>
      </c>
      <c r="F123" s="574">
        <v>3.0650439</v>
      </c>
      <c r="G123" s="574">
        <v>3.1210007649999998</v>
      </c>
      <c r="H123" s="574">
        <v>4.1356334370000001</v>
      </c>
      <c r="I123" s="574">
        <v>2.1341559069999998</v>
      </c>
      <c r="J123" s="574">
        <v>2.6422146959999999</v>
      </c>
      <c r="K123" s="574">
        <v>3.567151381</v>
      </c>
      <c r="L123" s="574">
        <v>2.4588929429999999</v>
      </c>
      <c r="M123" s="575">
        <v>3.6587986739999998</v>
      </c>
      <c r="N123" s="575">
        <v>2.662693848</v>
      </c>
      <c r="O123" s="575">
        <v>3.1321801819999999</v>
      </c>
      <c r="P123" s="574">
        <v>3.1945914609999999</v>
      </c>
    </row>
    <row r="124" spans="1:16" s="465" customFormat="1" ht="15.75" customHeight="1" x14ac:dyDescent="0.2">
      <c r="A124" s="492" t="s">
        <v>170</v>
      </c>
      <c r="B124" s="576">
        <v>-0.703892509</v>
      </c>
      <c r="C124" s="576">
        <v>1.020078179</v>
      </c>
      <c r="D124" s="576">
        <v>1.3651412650000001</v>
      </c>
      <c r="E124" s="576">
        <v>1.524595242</v>
      </c>
      <c r="F124" s="576">
        <v>2.1121422320000001</v>
      </c>
      <c r="G124" s="576">
        <v>1.808823759</v>
      </c>
      <c r="H124" s="576">
        <v>2.6166188369999999</v>
      </c>
      <c r="I124" s="576">
        <v>1.765409528</v>
      </c>
      <c r="J124" s="576">
        <v>2.8120204630000001</v>
      </c>
      <c r="K124" s="576">
        <v>2.9664045209999998</v>
      </c>
      <c r="L124" s="576">
        <v>1.853949099</v>
      </c>
      <c r="M124" s="578">
        <v>1.8586426069999999</v>
      </c>
      <c r="N124" s="578">
        <v>2.3686884350000001</v>
      </c>
      <c r="O124" s="578">
        <v>2.1437031339999999</v>
      </c>
      <c r="P124" s="576">
        <v>1.9501974019999999</v>
      </c>
    </row>
    <row r="125" spans="1:16" s="465" customFormat="1" ht="15.75" customHeight="1" x14ac:dyDescent="0.2">
      <c r="A125" s="490" t="s">
        <v>171</v>
      </c>
      <c r="B125" s="574">
        <v>21.087383144</v>
      </c>
      <c r="C125" s="574">
        <v>12.599738959</v>
      </c>
      <c r="D125" s="574">
        <v>9.1989240510000005</v>
      </c>
      <c r="E125" s="574">
        <v>6.8881338599999999</v>
      </c>
      <c r="F125" s="574">
        <v>2.9641891899999999</v>
      </c>
      <c r="G125" s="574">
        <v>8.6209744540000006</v>
      </c>
      <c r="H125" s="574">
        <v>8.3597697360000005</v>
      </c>
      <c r="I125" s="574">
        <v>0.13663154299999999</v>
      </c>
      <c r="J125" s="574">
        <v>-4.8265581720000004</v>
      </c>
      <c r="K125" s="574">
        <v>-2.7489845970000002</v>
      </c>
      <c r="L125" s="574">
        <v>-0.53127474200000002</v>
      </c>
      <c r="M125" s="575">
        <v>9.6448943360000001</v>
      </c>
      <c r="N125" s="575">
        <v>-1.8982375330000001</v>
      </c>
      <c r="O125" s="575">
        <v>4.3196800309999999</v>
      </c>
      <c r="P125" s="574">
        <v>4.6835640789999999</v>
      </c>
    </row>
    <row r="126" spans="1:16" s="465" customFormat="1" ht="15.75" customHeight="1" x14ac:dyDescent="0.2">
      <c r="A126" s="693" t="s">
        <v>607</v>
      </c>
      <c r="B126" s="576">
        <v>21.841052038000001</v>
      </c>
      <c r="C126" s="576">
        <v>19.065937732999998</v>
      </c>
      <c r="D126" s="576">
        <v>10.561931863</v>
      </c>
      <c r="E126" s="576">
        <v>7.6169965279999996</v>
      </c>
      <c r="F126" s="576">
        <v>6.0085625760000001</v>
      </c>
      <c r="G126" s="576">
        <v>6.5497742990000001</v>
      </c>
      <c r="H126" s="576">
        <v>8.0213228690000005</v>
      </c>
      <c r="I126" s="576">
        <v>3.3536546280000001</v>
      </c>
      <c r="J126" s="576">
        <v>2.5636264729999998</v>
      </c>
      <c r="K126" s="576">
        <v>8.2586265740000009</v>
      </c>
      <c r="L126" s="576">
        <v>7.815676839</v>
      </c>
      <c r="M126" s="578">
        <v>8.122941934</v>
      </c>
      <c r="N126" s="578">
        <v>4.7999422660000004</v>
      </c>
      <c r="O126" s="578">
        <v>6.7163518949999998</v>
      </c>
      <c r="P126" s="576">
        <v>7.8328566080000002</v>
      </c>
    </row>
    <row r="127" spans="1:16" s="465" customFormat="1" ht="15.75" customHeight="1" x14ac:dyDescent="0.2">
      <c r="A127" s="490" t="s">
        <v>172</v>
      </c>
      <c r="B127" s="574">
        <v>-35.259517287000001</v>
      </c>
      <c r="C127" s="574">
        <v>-14.212889936</v>
      </c>
      <c r="D127" s="574">
        <v>-12.008245499999999</v>
      </c>
      <c r="E127" s="574">
        <v>-8.1186674219999997</v>
      </c>
      <c r="F127" s="574">
        <v>-4.9599677230000001</v>
      </c>
      <c r="G127" s="574">
        <v>-8.6285238579999994</v>
      </c>
      <c r="H127" s="574">
        <v>-0.86621851800000005</v>
      </c>
      <c r="I127" s="574">
        <v>-2.1306384239999998</v>
      </c>
      <c r="J127" s="574">
        <v>-1.147136707</v>
      </c>
      <c r="K127" s="574">
        <v>3.4854923119999999</v>
      </c>
      <c r="L127" s="574">
        <v>3.0959387409999999</v>
      </c>
      <c r="M127" s="575">
        <v>-5.4533102949999996</v>
      </c>
      <c r="N127" s="575">
        <v>0.76349730800000004</v>
      </c>
      <c r="O127" s="575">
        <v>-1.2347090409999999</v>
      </c>
      <c r="P127" s="574">
        <v>-0.97563886200000005</v>
      </c>
    </row>
    <row r="128" spans="1:16" s="465" customFormat="1" ht="15.75" customHeight="1" x14ac:dyDescent="0.2">
      <c r="A128" s="492" t="s">
        <v>173</v>
      </c>
      <c r="B128" s="576">
        <v>-5.379540821</v>
      </c>
      <c r="C128" s="576">
        <v>-1.898650274</v>
      </c>
      <c r="D128" s="576">
        <v>0.80922248500000005</v>
      </c>
      <c r="E128" s="576">
        <v>5.003459962</v>
      </c>
      <c r="F128" s="576">
        <v>5.3703952289999997</v>
      </c>
      <c r="G128" s="576">
        <v>4.8476449070000003</v>
      </c>
      <c r="H128" s="576">
        <v>5.3968990420000003</v>
      </c>
      <c r="I128" s="576">
        <v>7.3191669429999999</v>
      </c>
      <c r="J128" s="576">
        <v>5.9602602149999999</v>
      </c>
      <c r="K128" s="576">
        <v>9.2197014769999992</v>
      </c>
      <c r="L128" s="576">
        <v>6.2609510669999997</v>
      </c>
      <c r="M128" s="578">
        <v>4.4270990870000002</v>
      </c>
      <c r="N128" s="578">
        <v>6.8436523210000004</v>
      </c>
      <c r="O128" s="578">
        <v>5.9703563070000003</v>
      </c>
      <c r="P128" s="576">
        <v>5.9018008740000001</v>
      </c>
    </row>
    <row r="129" spans="1:20" s="465" customFormat="1" ht="15.75" customHeight="1" x14ac:dyDescent="0.2">
      <c r="A129" s="495" t="s">
        <v>174</v>
      </c>
      <c r="B129" s="579">
        <v>-2.429267903</v>
      </c>
      <c r="C129" s="579">
        <v>3.2393844860000001</v>
      </c>
      <c r="D129" s="579">
        <v>7.063666553</v>
      </c>
      <c r="E129" s="579">
        <v>5.9487448519999999</v>
      </c>
      <c r="F129" s="579">
        <v>4.5516897319999998</v>
      </c>
      <c r="G129" s="579">
        <v>10.011968702000001</v>
      </c>
      <c r="H129" s="579">
        <v>8.9560022030000006</v>
      </c>
      <c r="I129" s="579">
        <v>11.411738765000001</v>
      </c>
      <c r="J129" s="579">
        <v>5.3877063810000001</v>
      </c>
      <c r="K129" s="579">
        <v>28.562332297000001</v>
      </c>
      <c r="L129" s="579">
        <v>6.5991419430000002</v>
      </c>
      <c r="M129" s="580">
        <v>6.4689776620000004</v>
      </c>
      <c r="N129" s="580">
        <v>10.094159959000001</v>
      </c>
      <c r="O129" s="580">
        <v>8.2737274880000005</v>
      </c>
      <c r="P129" s="579">
        <v>7.8138926639999999</v>
      </c>
    </row>
    <row r="130" spans="1:20" s="465" customFormat="1" ht="16.5" customHeight="1" x14ac:dyDescent="0.25">
      <c r="A130" s="544" t="s">
        <v>224</v>
      </c>
      <c r="B130" s="583"/>
      <c r="C130" s="583"/>
      <c r="D130" s="583"/>
      <c r="E130" s="583"/>
      <c r="F130" s="583"/>
      <c r="G130" s="583"/>
      <c r="H130" s="583"/>
      <c r="I130" s="583"/>
      <c r="J130" s="583"/>
      <c r="K130" s="583"/>
      <c r="L130" s="583"/>
      <c r="M130" s="584"/>
      <c r="N130" s="584"/>
      <c r="O130" s="584"/>
      <c r="P130" s="583"/>
    </row>
    <row r="131" spans="1:20" s="465" customFormat="1" ht="16.5" customHeight="1" x14ac:dyDescent="0.25">
      <c r="A131" s="487" t="s">
        <v>288</v>
      </c>
      <c r="B131" s="572">
        <v>2.727732482</v>
      </c>
      <c r="C131" s="572">
        <v>5.7881164729999997</v>
      </c>
      <c r="D131" s="572">
        <v>9.1620160560000006</v>
      </c>
      <c r="E131" s="572">
        <v>9.0878625530000008</v>
      </c>
      <c r="F131" s="572">
        <v>12.003137039</v>
      </c>
      <c r="G131" s="572">
        <v>10.08341216</v>
      </c>
      <c r="H131" s="572">
        <v>14.648929827</v>
      </c>
      <c r="I131" s="572">
        <v>3.7969117350000001</v>
      </c>
      <c r="J131" s="572">
        <v>9.3815255200000003</v>
      </c>
      <c r="K131" s="572">
        <v>9.7685826660000004</v>
      </c>
      <c r="L131" s="572">
        <v>10.384275484</v>
      </c>
      <c r="M131" s="573">
        <v>10.881935763</v>
      </c>
      <c r="N131" s="573">
        <v>8.7577158120000007</v>
      </c>
      <c r="O131" s="573">
        <v>9.7279309479999991</v>
      </c>
      <c r="P131" s="572">
        <v>10.163335259</v>
      </c>
    </row>
    <row r="132" spans="1:20" s="465" customFormat="1" ht="15.75" customHeight="1" x14ac:dyDescent="0.2">
      <c r="A132" s="545" t="s">
        <v>178</v>
      </c>
      <c r="B132" s="585">
        <v>3.1040381539999999</v>
      </c>
      <c r="C132" s="585">
        <v>6.1362901230000002</v>
      </c>
      <c r="D132" s="585">
        <v>9.8691786700000002</v>
      </c>
      <c r="E132" s="585">
        <v>9.7146289059999997</v>
      </c>
      <c r="F132" s="585">
        <v>11.73356961</v>
      </c>
      <c r="G132" s="585">
        <v>9.7679133080000007</v>
      </c>
      <c r="H132" s="585">
        <v>15.967528553999999</v>
      </c>
      <c r="I132" s="585">
        <v>5.3215613450000001</v>
      </c>
      <c r="J132" s="585">
        <v>9.8292953920000006</v>
      </c>
      <c r="K132" s="585">
        <v>9.3837043480000002</v>
      </c>
      <c r="L132" s="585">
        <v>11.105155966</v>
      </c>
      <c r="M132" s="586">
        <v>11.397987983</v>
      </c>
      <c r="N132" s="586">
        <v>9.2575261500000003</v>
      </c>
      <c r="O132" s="586">
        <v>10.275922797</v>
      </c>
      <c r="P132" s="585">
        <v>10.725448594</v>
      </c>
    </row>
    <row r="133" spans="1:20" s="465" customFormat="1" ht="15.75" customHeight="1" x14ac:dyDescent="0.2">
      <c r="A133" s="546" t="s">
        <v>179</v>
      </c>
      <c r="B133" s="587">
        <v>-17.942050906999999</v>
      </c>
      <c r="C133" s="587">
        <v>3.6325438299999999</v>
      </c>
      <c r="D133" s="587">
        <v>5.9271041760000003</v>
      </c>
      <c r="E133" s="587">
        <v>-0.65269164300000004</v>
      </c>
      <c r="F133" s="587">
        <v>7.7360822200000001</v>
      </c>
      <c r="G133" s="587">
        <v>16.402064938999999</v>
      </c>
      <c r="H133" s="587">
        <v>-2.2916713319999999</v>
      </c>
      <c r="I133" s="587">
        <v>-14.131225718</v>
      </c>
      <c r="J133" s="587">
        <v>-4.0800280669999998</v>
      </c>
      <c r="K133" s="587">
        <v>-4.7256768469999999</v>
      </c>
      <c r="L133" s="587">
        <v>5.1316168190000004</v>
      </c>
      <c r="M133" s="588">
        <v>2.4623335659999999</v>
      </c>
      <c r="N133" s="588">
        <v>0.56969620799999998</v>
      </c>
      <c r="O133" s="588">
        <v>1.0333050589999999</v>
      </c>
      <c r="P133" s="587">
        <v>2.2363989449999999</v>
      </c>
    </row>
    <row r="134" spans="1:20" s="465" customFormat="1" ht="15.75" customHeight="1" x14ac:dyDescent="0.2">
      <c r="A134" s="545" t="s">
        <v>180</v>
      </c>
      <c r="B134" s="585">
        <v>38.705762389</v>
      </c>
      <c r="C134" s="585">
        <v>-8.0441536859999996</v>
      </c>
      <c r="D134" s="585">
        <v>-9.8171227870000006</v>
      </c>
      <c r="E134" s="585">
        <v>-1.7262900649999999</v>
      </c>
      <c r="F134" s="585">
        <v>29.594664795</v>
      </c>
      <c r="G134" s="585">
        <v>15.938124611999999</v>
      </c>
      <c r="H134" s="585">
        <v>-7.7169915690000002</v>
      </c>
      <c r="I134" s="585">
        <v>-12.391537414</v>
      </c>
      <c r="J134" s="585">
        <v>15.843442665</v>
      </c>
      <c r="K134" s="585">
        <v>37.197545709000003</v>
      </c>
      <c r="L134" s="585">
        <v>18.097119459999998</v>
      </c>
      <c r="M134" s="586">
        <v>2.4899589419999999</v>
      </c>
      <c r="N134" s="586">
        <v>16.48717564</v>
      </c>
      <c r="O134" s="586">
        <v>11.715714480000001</v>
      </c>
      <c r="P134" s="585">
        <v>9.7225327549999996</v>
      </c>
    </row>
    <row r="135" spans="1:20" s="465" customFormat="1" ht="16.5" customHeight="1" x14ac:dyDescent="0.25">
      <c r="A135" s="547" t="s">
        <v>289</v>
      </c>
      <c r="B135" s="589">
        <v>4.5906751339999996</v>
      </c>
      <c r="C135" s="589">
        <v>6.1287706350000004</v>
      </c>
      <c r="D135" s="589">
        <v>3.769981928</v>
      </c>
      <c r="E135" s="589">
        <v>2.2629442950000001</v>
      </c>
      <c r="F135" s="589">
        <v>3.7324817330000002</v>
      </c>
      <c r="G135" s="589">
        <v>3.7618113399999999</v>
      </c>
      <c r="H135" s="589">
        <v>4.0933738709999998</v>
      </c>
      <c r="I135" s="589">
        <v>-0.196485241</v>
      </c>
      <c r="J135" s="589">
        <v>-0.55741309900000002</v>
      </c>
      <c r="K135" s="589">
        <v>9.0218136849999997</v>
      </c>
      <c r="L135" s="589">
        <v>6.4429022189999996</v>
      </c>
      <c r="M135" s="590">
        <v>3.4118532720000001</v>
      </c>
      <c r="N135" s="590">
        <v>3.0896491319999999</v>
      </c>
      <c r="O135" s="590">
        <v>3.2581767909999999</v>
      </c>
      <c r="P135" s="589">
        <v>4.5805366169999999</v>
      </c>
    </row>
    <row r="136" spans="1:20" s="465" customFormat="1" ht="15.75" customHeight="1" x14ac:dyDescent="0.2">
      <c r="A136" s="545" t="s">
        <v>182</v>
      </c>
      <c r="B136" s="585">
        <v>9.3831172289999998</v>
      </c>
      <c r="C136" s="585">
        <v>5.6189736940000001</v>
      </c>
      <c r="D136" s="585">
        <v>4.9484176670000002</v>
      </c>
      <c r="E136" s="585">
        <v>7.9455176180000002</v>
      </c>
      <c r="F136" s="585">
        <v>8.6239885919999999</v>
      </c>
      <c r="G136" s="585">
        <v>10.069155758999999</v>
      </c>
      <c r="H136" s="585">
        <v>13.012994096</v>
      </c>
      <c r="I136" s="585">
        <v>4.7790024349999998</v>
      </c>
      <c r="J136" s="585">
        <v>2.150862364</v>
      </c>
      <c r="K136" s="585">
        <v>14.151663682000001</v>
      </c>
      <c r="L136" s="585">
        <v>24.319280884000001</v>
      </c>
      <c r="M136" s="586">
        <v>9.1632900369999994</v>
      </c>
      <c r="N136" s="586">
        <v>10.767036353</v>
      </c>
      <c r="O136" s="586">
        <v>9.981582951</v>
      </c>
      <c r="P136" s="585">
        <v>10.330488277000001</v>
      </c>
    </row>
    <row r="137" spans="1:20" s="465" customFormat="1" ht="15.75" customHeight="1" x14ac:dyDescent="0.2">
      <c r="A137" s="548" t="s">
        <v>183</v>
      </c>
      <c r="B137" s="587">
        <v>3.7381410860000002</v>
      </c>
      <c r="C137" s="587">
        <v>7.4218947230000003</v>
      </c>
      <c r="D137" s="587">
        <v>5.7285466090000003</v>
      </c>
      <c r="E137" s="587">
        <v>3.4226511340000001</v>
      </c>
      <c r="F137" s="587">
        <v>6.1794870160000004</v>
      </c>
      <c r="G137" s="587">
        <v>3.04674873</v>
      </c>
      <c r="H137" s="587">
        <v>6.7786145490000003</v>
      </c>
      <c r="I137" s="587">
        <v>7.8037146049999997</v>
      </c>
      <c r="J137" s="587">
        <v>6.6703822199999996</v>
      </c>
      <c r="K137" s="587">
        <v>8.1065068179999997</v>
      </c>
      <c r="L137" s="587">
        <v>0.73083433399999997</v>
      </c>
      <c r="M137" s="588">
        <v>4.9269523260000003</v>
      </c>
      <c r="N137" s="588">
        <v>6.0126424869999999</v>
      </c>
      <c r="O137" s="588">
        <v>5.3791145650000001</v>
      </c>
      <c r="P137" s="587">
        <v>5.9774797599999996</v>
      </c>
      <c r="S137" s="517"/>
      <c r="T137" s="517"/>
    </row>
    <row r="138" spans="1:20" s="465" customFormat="1" ht="15.75" customHeight="1" x14ac:dyDescent="0.2">
      <c r="A138" s="545" t="s">
        <v>184</v>
      </c>
      <c r="B138" s="585">
        <v>-1.6164291070000001</v>
      </c>
      <c r="C138" s="585">
        <v>-2.8275192200000001</v>
      </c>
      <c r="D138" s="585">
        <v>-8.0833373579999996</v>
      </c>
      <c r="E138" s="585">
        <v>-11.873886567</v>
      </c>
      <c r="F138" s="585">
        <v>-11.831769821</v>
      </c>
      <c r="G138" s="585">
        <v>-2.7063513760000002</v>
      </c>
      <c r="H138" s="585">
        <v>-13.303479969</v>
      </c>
      <c r="I138" s="585">
        <v>-24.768666845999999</v>
      </c>
      <c r="J138" s="585">
        <v>-17.327319474999999</v>
      </c>
      <c r="K138" s="585">
        <v>6.4191388629999997</v>
      </c>
      <c r="L138" s="585">
        <v>-3.1636921660000001</v>
      </c>
      <c r="M138" s="586">
        <v>-10.680570032</v>
      </c>
      <c r="N138" s="586">
        <v>-9.7806958769999994</v>
      </c>
      <c r="O138" s="586">
        <v>-10.138313405</v>
      </c>
      <c r="P138" s="585">
        <v>-5.3640444059999997</v>
      </c>
    </row>
    <row r="139" spans="1:20" s="465" customFormat="1" ht="16.5" customHeight="1" x14ac:dyDescent="0.25">
      <c r="A139" s="549" t="s">
        <v>226</v>
      </c>
      <c r="B139" s="591"/>
      <c r="C139" s="591"/>
      <c r="D139" s="591"/>
      <c r="E139" s="591"/>
      <c r="F139" s="591"/>
      <c r="G139" s="591"/>
      <c r="H139" s="591"/>
      <c r="I139" s="591"/>
      <c r="J139" s="591"/>
      <c r="K139" s="591"/>
      <c r="L139" s="591"/>
      <c r="M139" s="592"/>
      <c r="N139" s="592"/>
      <c r="O139" s="592"/>
      <c r="P139" s="591"/>
    </row>
    <row r="140" spans="1:20" s="465" customFormat="1" ht="16.5" customHeight="1" x14ac:dyDescent="0.25">
      <c r="A140" s="550" t="s">
        <v>458</v>
      </c>
      <c r="B140" s="593">
        <v>5.0653317800000002</v>
      </c>
      <c r="C140" s="593">
        <v>5.0290842380000003</v>
      </c>
      <c r="D140" s="593">
        <v>5.0124194859999998</v>
      </c>
      <c r="E140" s="593">
        <v>4.5435932140000004</v>
      </c>
      <c r="F140" s="593">
        <v>4.1538765379999996</v>
      </c>
      <c r="G140" s="593">
        <v>3.623442168</v>
      </c>
      <c r="H140" s="593">
        <v>3.335744144</v>
      </c>
      <c r="I140" s="593">
        <v>2.7723153150000002</v>
      </c>
      <c r="J140" s="593">
        <v>2.5263360060000002</v>
      </c>
      <c r="K140" s="593">
        <v>2.9099508169999999</v>
      </c>
      <c r="L140" s="593">
        <v>5.0631408630000001</v>
      </c>
      <c r="M140" s="594">
        <v>4.0696051239999997</v>
      </c>
      <c r="N140" s="594">
        <v>3.5680456280000001</v>
      </c>
      <c r="O140" s="594">
        <v>3.7789527380000001</v>
      </c>
      <c r="P140" s="593">
        <v>3.761913233</v>
      </c>
    </row>
    <row r="141" spans="1:20" s="465" customFormat="1" ht="16.5" customHeight="1" x14ac:dyDescent="0.2">
      <c r="A141" s="551" t="s">
        <v>402</v>
      </c>
      <c r="B141" s="595">
        <v>6.9544000600000002</v>
      </c>
      <c r="C141" s="595">
        <v>5.838085371</v>
      </c>
      <c r="D141" s="595">
        <v>6.045827525</v>
      </c>
      <c r="E141" s="595">
        <v>5.9769669240000001</v>
      </c>
      <c r="F141" s="595">
        <v>5.5298498819999997</v>
      </c>
      <c r="G141" s="595">
        <v>5.7169518010000004</v>
      </c>
      <c r="H141" s="595">
        <v>4.9801376900000003</v>
      </c>
      <c r="I141" s="595">
        <v>4.3966853779999999</v>
      </c>
      <c r="J141" s="595">
        <v>4.129338121</v>
      </c>
      <c r="K141" s="595">
        <v>3.9084061810000001</v>
      </c>
      <c r="L141" s="595">
        <v>3.2249947680000002</v>
      </c>
      <c r="M141" s="596">
        <v>5.5990155760000002</v>
      </c>
      <c r="N141" s="596">
        <v>3.7951495070000001</v>
      </c>
      <c r="O141" s="596">
        <v>4.4567504419999997</v>
      </c>
      <c r="P141" s="595">
        <v>4.845576178</v>
      </c>
    </row>
    <row r="142" spans="1:20" s="465" customFormat="1" ht="16.5" customHeight="1" x14ac:dyDescent="0.25">
      <c r="A142" s="552" t="s">
        <v>403</v>
      </c>
      <c r="B142" s="597">
        <v>6.4788655999999998</v>
      </c>
      <c r="C142" s="597">
        <v>5.5904706270000002</v>
      </c>
      <c r="D142" s="597">
        <v>6.0342856850000004</v>
      </c>
      <c r="E142" s="597">
        <v>5.4852457120000002</v>
      </c>
      <c r="F142" s="597">
        <v>4.6617093140000003</v>
      </c>
      <c r="G142" s="597">
        <v>4.7080468849999999</v>
      </c>
      <c r="H142" s="597">
        <v>3.6676002529999998</v>
      </c>
      <c r="I142" s="597">
        <v>3.2061573490000002</v>
      </c>
      <c r="J142" s="597">
        <v>3.1099475129999998</v>
      </c>
      <c r="K142" s="597">
        <v>2.6823946219999999</v>
      </c>
      <c r="L142" s="597">
        <v>3.0820922880000001</v>
      </c>
      <c r="M142" s="598">
        <v>4.7173445589999998</v>
      </c>
      <c r="N142" s="598">
        <v>3.0372430779999999</v>
      </c>
      <c r="O142" s="598">
        <v>3.6544135259999999</v>
      </c>
      <c r="P142" s="597">
        <v>3.9967386170000001</v>
      </c>
    </row>
    <row r="143" spans="1:20" s="465" customFormat="1" ht="16.5" customHeight="1" x14ac:dyDescent="0.25">
      <c r="A143" s="553" t="s">
        <v>404</v>
      </c>
      <c r="B143" s="595">
        <v>0.37764491500000003</v>
      </c>
      <c r="C143" s="595">
        <v>2.1074176379999998</v>
      </c>
      <c r="D143" s="595">
        <v>2.9681878770000001</v>
      </c>
      <c r="E143" s="595">
        <v>3.263592085</v>
      </c>
      <c r="F143" s="595">
        <v>2.8356474280000001</v>
      </c>
      <c r="G143" s="595">
        <v>2.65766948</v>
      </c>
      <c r="H143" s="595">
        <v>2.8235948729999998</v>
      </c>
      <c r="I143" s="595">
        <v>2.2282835150000002</v>
      </c>
      <c r="J143" s="595">
        <v>2.0818945320000002</v>
      </c>
      <c r="K143" s="595">
        <v>3.1863539090000002</v>
      </c>
      <c r="L143" s="595">
        <v>1.494382876</v>
      </c>
      <c r="M143" s="596">
        <v>2.9244726929999998</v>
      </c>
      <c r="N143" s="596">
        <v>2.0606378790000002</v>
      </c>
      <c r="O143" s="596">
        <v>2.4073698440000002</v>
      </c>
      <c r="P143" s="595">
        <v>2.6236072610000001</v>
      </c>
    </row>
    <row r="144" spans="1:20" s="465" customFormat="1" ht="16.5" customHeight="1" x14ac:dyDescent="0.25">
      <c r="A144" s="548" t="s">
        <v>649</v>
      </c>
      <c r="B144" s="599">
        <v>3.182143875</v>
      </c>
      <c r="C144" s="599">
        <v>6.0611945179999998</v>
      </c>
      <c r="D144" s="599">
        <v>9.5995125059999999</v>
      </c>
      <c r="E144" s="599">
        <v>9.5026252119999999</v>
      </c>
      <c r="F144" s="599">
        <v>11.423703657000001</v>
      </c>
      <c r="G144" s="599">
        <v>9.2664357119999998</v>
      </c>
      <c r="H144" s="599">
        <v>15.409534903999999</v>
      </c>
      <c r="I144" s="599">
        <v>4.5263777520000001</v>
      </c>
      <c r="J144" s="599">
        <v>9.1129438809999996</v>
      </c>
      <c r="K144" s="599">
        <v>9.4763347279999994</v>
      </c>
      <c r="L144" s="599">
        <v>10.774322067</v>
      </c>
      <c r="M144" s="600">
        <v>11.068983261</v>
      </c>
      <c r="N144" s="600">
        <v>8.8034638199999993</v>
      </c>
      <c r="O144" s="600">
        <v>9.8813447540000006</v>
      </c>
      <c r="P144" s="599">
        <v>10.323270634</v>
      </c>
    </row>
    <row r="145" spans="1:17" s="465" customFormat="1" ht="16.5" customHeight="1" x14ac:dyDescent="0.25">
      <c r="A145" s="554" t="s">
        <v>405</v>
      </c>
      <c r="B145" s="595">
        <v>-3.408932047</v>
      </c>
      <c r="C145" s="595">
        <v>-3.1638554179999998</v>
      </c>
      <c r="D145" s="595">
        <v>-2.6816737719999999</v>
      </c>
      <c r="E145" s="595">
        <v>-3.2784687190000001</v>
      </c>
      <c r="F145" s="595">
        <v>-1.5948394859999999</v>
      </c>
      <c r="G145" s="595">
        <v>-0.50117166999999996</v>
      </c>
      <c r="H145" s="595">
        <v>-1.476129069</v>
      </c>
      <c r="I145" s="595">
        <v>-0.51656192599999995</v>
      </c>
      <c r="J145" s="595">
        <v>0.22719655699999999</v>
      </c>
      <c r="K145" s="595">
        <v>1.450350802</v>
      </c>
      <c r="L145" s="595">
        <v>5.6908103260000003</v>
      </c>
      <c r="M145" s="596">
        <v>-2.0349292650000002</v>
      </c>
      <c r="N145" s="596">
        <v>2.8203723410000001</v>
      </c>
      <c r="O145" s="596">
        <v>1.33191459</v>
      </c>
      <c r="P145" s="595">
        <v>1.1807607760000001</v>
      </c>
    </row>
    <row r="146" spans="1:17" s="465" customFormat="1" ht="16.5" customHeight="1" x14ac:dyDescent="0.25">
      <c r="A146" s="546" t="s">
        <v>406</v>
      </c>
      <c r="B146" s="601">
        <v>-0.45245591200000002</v>
      </c>
      <c r="C146" s="601">
        <v>1.2125304800000001</v>
      </c>
      <c r="D146" s="601">
        <v>1.462599311</v>
      </c>
      <c r="E146" s="601">
        <v>1.3834823030000001</v>
      </c>
      <c r="F146" s="601">
        <v>1.790275673</v>
      </c>
      <c r="G146" s="601">
        <v>1.395739402</v>
      </c>
      <c r="H146" s="601">
        <v>2.1973657160000002</v>
      </c>
      <c r="I146" s="601">
        <v>1.175029348</v>
      </c>
      <c r="J146" s="601">
        <v>2.23444289</v>
      </c>
      <c r="K146" s="601">
        <v>2.3185577400000001</v>
      </c>
      <c r="L146" s="601">
        <v>1.628951995</v>
      </c>
      <c r="M146" s="602">
        <v>1.626586807</v>
      </c>
      <c r="N146" s="602">
        <v>1.891103964</v>
      </c>
      <c r="O146" s="602">
        <v>1.787956203</v>
      </c>
      <c r="P146" s="601">
        <v>1.5790127780000001</v>
      </c>
    </row>
    <row r="147" spans="1:17" s="465" customFormat="1" ht="16.5" customHeight="1" x14ac:dyDescent="0.2">
      <c r="A147" s="551" t="s">
        <v>417</v>
      </c>
      <c r="B147" s="595">
        <v>-0.20899337700000001</v>
      </c>
      <c r="C147" s="595">
        <v>-8.0262673000000007E-2</v>
      </c>
      <c r="D147" s="595">
        <v>-0.20561425899999999</v>
      </c>
      <c r="E147" s="595">
        <v>3.6169218000000003E-2</v>
      </c>
      <c r="F147" s="595">
        <v>0.28604021499999999</v>
      </c>
      <c r="G147" s="595">
        <v>0.43999182599999997</v>
      </c>
      <c r="H147" s="595">
        <v>0.30058227999999998</v>
      </c>
      <c r="I147" s="595">
        <v>0.29173822199999999</v>
      </c>
      <c r="J147" s="595">
        <v>0.18351761799999999</v>
      </c>
      <c r="K147" s="595">
        <v>-0.24239683400000001</v>
      </c>
      <c r="L147" s="595">
        <v>9.3539410000000003E-2</v>
      </c>
      <c r="M147" s="596">
        <v>0.15814808499999999</v>
      </c>
      <c r="N147" s="596">
        <v>4.6050371999999999E-2</v>
      </c>
      <c r="O147" s="596">
        <v>8.1316947000000001E-2</v>
      </c>
      <c r="P147" s="595">
        <v>0.122944939</v>
      </c>
    </row>
    <row r="148" spans="1:17" s="465" customFormat="1" ht="16.5" customHeight="1" x14ac:dyDescent="0.2">
      <c r="A148" s="552" t="s">
        <v>791</v>
      </c>
      <c r="B148" s="597">
        <v>-3.233099749</v>
      </c>
      <c r="C148" s="597">
        <v>-2.059531572</v>
      </c>
      <c r="D148" s="597">
        <v>-1.4993919849999999</v>
      </c>
      <c r="E148" s="597">
        <v>-0.96535582399999997</v>
      </c>
      <c r="F148" s="597">
        <v>-0.99103067600000005</v>
      </c>
      <c r="G148" s="597">
        <v>-0.73817386100000004</v>
      </c>
      <c r="H148" s="597">
        <v>-0.39548337300000003</v>
      </c>
      <c r="I148" s="597">
        <v>-0.42488220500000001</v>
      </c>
      <c r="J148" s="597">
        <v>-0.36278317399999999</v>
      </c>
      <c r="K148" s="597">
        <v>0.23630985199999999</v>
      </c>
      <c r="L148" s="597">
        <v>-3.0604758329999999</v>
      </c>
      <c r="M148" s="598">
        <v>-0.87279171799999999</v>
      </c>
      <c r="N148" s="598">
        <v>-1.2650058550000001</v>
      </c>
      <c r="O148" s="598">
        <v>-1.1127356690000001</v>
      </c>
      <c r="P148" s="597">
        <v>-0.91563832599999995</v>
      </c>
    </row>
    <row r="149" spans="1:17" s="517" customFormat="1" ht="16.5" customHeight="1" x14ac:dyDescent="0.25">
      <c r="A149" s="553" t="s">
        <v>418</v>
      </c>
      <c r="B149" s="595">
        <v>3.935338249</v>
      </c>
      <c r="C149" s="595">
        <v>1.699257445</v>
      </c>
      <c r="D149" s="595">
        <v>1.22077386</v>
      </c>
      <c r="E149" s="595">
        <v>0.91091388900000003</v>
      </c>
      <c r="F149" s="595">
        <v>0.79462096999999998</v>
      </c>
      <c r="G149" s="595">
        <v>0.48099577199999999</v>
      </c>
      <c r="H149" s="595">
        <v>0.23157673400000001</v>
      </c>
      <c r="I149" s="595">
        <v>0.32125582000000003</v>
      </c>
      <c r="J149" s="595">
        <v>0.25395506699999998</v>
      </c>
      <c r="K149" s="595">
        <v>-0.63219035199999996</v>
      </c>
      <c r="L149" s="595">
        <v>2.5576139090000001</v>
      </c>
      <c r="M149" s="596">
        <v>0.71707005700000004</v>
      </c>
      <c r="N149" s="596">
        <v>0.96390753500000004</v>
      </c>
      <c r="O149" s="596">
        <v>0.86567801099999997</v>
      </c>
      <c r="P149" s="595">
        <v>0.65463221599999999</v>
      </c>
      <c r="Q149" s="465"/>
    </row>
    <row r="150" spans="1:17" s="465" customFormat="1" ht="16.5" customHeight="1" x14ac:dyDescent="0.25">
      <c r="A150" s="548" t="s">
        <v>463</v>
      </c>
      <c r="B150" s="599">
        <v>1.2640732779999999</v>
      </c>
      <c r="C150" s="599">
        <v>1.6625675879999999</v>
      </c>
      <c r="D150" s="599">
        <v>2.5043704349999998</v>
      </c>
      <c r="E150" s="599">
        <v>2.267429318</v>
      </c>
      <c r="F150" s="599">
        <v>2.9107103109999999</v>
      </c>
      <c r="G150" s="599">
        <v>2.097347267</v>
      </c>
      <c r="H150" s="599">
        <v>3.4122346029999999</v>
      </c>
      <c r="I150" s="599">
        <v>0.57048493099999997</v>
      </c>
      <c r="J150" s="599">
        <v>1.5909114090000001</v>
      </c>
      <c r="K150" s="599">
        <v>1.4639481969999999</v>
      </c>
      <c r="L150" s="599">
        <v>1.619344761</v>
      </c>
      <c r="M150" s="600">
        <v>2.6839861900000002</v>
      </c>
      <c r="N150" s="600">
        <v>1.428457402</v>
      </c>
      <c r="O150" s="600">
        <v>1.905260854</v>
      </c>
      <c r="P150" s="599">
        <v>2.0024005030000001</v>
      </c>
    </row>
    <row r="151" spans="1:17" s="465" customFormat="1" ht="16.5" customHeight="1" x14ac:dyDescent="0.25">
      <c r="A151" s="554" t="s">
        <v>419</v>
      </c>
      <c r="B151" s="595">
        <v>-1.662255745</v>
      </c>
      <c r="C151" s="595">
        <v>-2.7607506050000001</v>
      </c>
      <c r="D151" s="595">
        <v>-3.117036637</v>
      </c>
      <c r="E151" s="595">
        <v>-3.971344679</v>
      </c>
      <c r="F151" s="595">
        <v>-2.7058483830000002</v>
      </c>
      <c r="G151" s="595">
        <v>-1.861127771</v>
      </c>
      <c r="H151" s="595">
        <v>-2.5286818289999999</v>
      </c>
      <c r="I151" s="595">
        <v>-1.539926336</v>
      </c>
      <c r="J151" s="595">
        <v>-1.123059018</v>
      </c>
      <c r="K151" s="595">
        <v>-1.301756066</v>
      </c>
      <c r="L151" s="595">
        <v>3.8628055940000001</v>
      </c>
      <c r="M151" s="596">
        <v>-2.9321301719999999</v>
      </c>
      <c r="N151" s="596">
        <v>0.56258816300000003</v>
      </c>
      <c r="O151" s="596">
        <v>-0.73729466300000002</v>
      </c>
      <c r="P151" s="595">
        <v>-0.98957892700000005</v>
      </c>
    </row>
    <row r="152" spans="1:17" s="465" customFormat="1" ht="16.5" customHeight="1" x14ac:dyDescent="0.2">
      <c r="A152" s="555" t="s">
        <v>794</v>
      </c>
      <c r="B152" s="603">
        <v>0.106087257</v>
      </c>
      <c r="C152" s="603">
        <v>5.0431928000000001E-2</v>
      </c>
      <c r="D152" s="603">
        <v>2.0734861E-2</v>
      </c>
      <c r="E152" s="603">
        <v>-5.3598725999999999E-2</v>
      </c>
      <c r="F152" s="603">
        <v>2.4625393999999998E-2</v>
      </c>
      <c r="G152" s="603">
        <v>3.5385910999999999E-2</v>
      </c>
      <c r="H152" s="603">
        <v>-6.6514513999999997E-2</v>
      </c>
      <c r="I152" s="603">
        <v>1.3816831999999999E-2</v>
      </c>
      <c r="J152" s="603">
        <v>4.4104773999999999E-2</v>
      </c>
      <c r="K152" s="603">
        <v>-0.18888998200000001</v>
      </c>
      <c r="L152" s="603">
        <v>2.833546643</v>
      </c>
      <c r="M152" s="604">
        <v>-1.0545130999999999E-2</v>
      </c>
      <c r="N152" s="604">
        <v>0.65490160500000005</v>
      </c>
      <c r="O152" s="604">
        <v>0.30091338699999998</v>
      </c>
      <c r="P152" s="603">
        <v>0.209288696</v>
      </c>
    </row>
    <row r="153" spans="1:17" x14ac:dyDescent="0.2">
      <c r="A153" s="255" t="s">
        <v>909</v>
      </c>
      <c r="B153" s="13"/>
      <c r="C153" s="13"/>
      <c r="D153" s="13"/>
      <c r="E153" s="13"/>
      <c r="F153" s="13"/>
      <c r="G153" s="13"/>
      <c r="H153" s="13"/>
      <c r="I153" s="13"/>
      <c r="J153" s="13"/>
      <c r="K153" s="13"/>
      <c r="L153" s="13"/>
      <c r="M153" s="13"/>
      <c r="N153" s="13"/>
      <c r="O153" s="13"/>
      <c r="P153" s="39"/>
    </row>
    <row r="154" spans="1:17" x14ac:dyDescent="0.2">
      <c r="A154" s="255" t="s">
        <v>650</v>
      </c>
      <c r="B154" s="13"/>
      <c r="C154" s="13"/>
      <c r="D154" s="13"/>
      <c r="E154" s="13"/>
      <c r="F154" s="13"/>
      <c r="G154" s="13"/>
      <c r="H154" s="13"/>
      <c r="I154" s="13"/>
      <c r="J154" s="13"/>
      <c r="K154" s="13"/>
      <c r="L154" s="13"/>
      <c r="M154" s="13"/>
      <c r="N154" s="13"/>
      <c r="O154" s="13"/>
      <c r="P154" s="39"/>
    </row>
    <row r="155" spans="1:17" x14ac:dyDescent="0.2">
      <c r="A155" s="286" t="s">
        <v>904</v>
      </c>
      <c r="B155" s="13"/>
      <c r="C155" s="13"/>
      <c r="D155" s="13"/>
      <c r="E155" s="13"/>
      <c r="F155" s="13"/>
      <c r="G155" s="13"/>
      <c r="H155" s="13"/>
      <c r="I155" s="13"/>
      <c r="J155" s="13"/>
      <c r="K155" s="13"/>
      <c r="L155" s="13"/>
      <c r="M155" s="13"/>
      <c r="N155" s="13"/>
      <c r="O155" s="13"/>
      <c r="P155" s="39"/>
    </row>
    <row r="156" spans="1:17" x14ac:dyDescent="0.2">
      <c r="A156" s="37" t="s">
        <v>557</v>
      </c>
      <c r="B156" s="13"/>
      <c r="C156" s="13"/>
      <c r="D156" s="13"/>
      <c r="E156" s="13"/>
      <c r="F156" s="13"/>
      <c r="G156" s="13"/>
      <c r="H156" s="13"/>
      <c r="I156" s="13"/>
      <c r="J156" s="13"/>
      <c r="K156" s="13"/>
      <c r="L156" s="13"/>
      <c r="M156" s="13"/>
      <c r="N156" s="13"/>
      <c r="O156" s="13"/>
      <c r="P156" s="39"/>
    </row>
    <row r="157" spans="1:17" x14ac:dyDescent="0.2">
      <c r="A157" s="286" t="s">
        <v>905</v>
      </c>
      <c r="B157" s="13"/>
      <c r="C157" s="13"/>
      <c r="D157" s="13"/>
      <c r="E157" s="13"/>
      <c r="F157" s="13"/>
      <c r="G157" s="13"/>
      <c r="H157" s="13"/>
      <c r="I157" s="13"/>
      <c r="J157" s="13"/>
      <c r="K157" s="13"/>
      <c r="L157" s="13"/>
      <c r="M157" s="13"/>
      <c r="N157" s="13"/>
      <c r="O157" s="13"/>
      <c r="P157" s="39"/>
    </row>
    <row r="158" spans="1:17" x14ac:dyDescent="0.2">
      <c r="A158" s="255" t="s">
        <v>996</v>
      </c>
      <c r="B158" s="13"/>
      <c r="C158" s="13"/>
      <c r="D158" s="13"/>
      <c r="E158" s="13"/>
      <c r="F158" s="13"/>
      <c r="G158" s="13"/>
      <c r="H158" s="13"/>
      <c r="I158" s="13"/>
      <c r="J158" s="13"/>
      <c r="K158" s="13"/>
      <c r="L158" s="13"/>
      <c r="M158" s="13"/>
      <c r="N158" s="13"/>
      <c r="O158" s="13"/>
      <c r="P158" s="39"/>
    </row>
    <row r="159" spans="1:17" x14ac:dyDescent="0.2">
      <c r="A159" s="286" t="s">
        <v>916</v>
      </c>
      <c r="B159" s="13"/>
      <c r="C159" s="13"/>
      <c r="D159" s="13"/>
      <c r="E159" s="13"/>
      <c r="F159" s="13"/>
      <c r="G159" s="13"/>
      <c r="H159" s="13"/>
      <c r="I159" s="13"/>
      <c r="J159" s="13"/>
      <c r="K159" s="13"/>
      <c r="L159" s="13"/>
      <c r="M159" s="13"/>
      <c r="N159" s="13"/>
      <c r="O159" s="13"/>
      <c r="P159" s="39"/>
    </row>
    <row r="161" spans="1:16" ht="12.75" customHeight="1" x14ac:dyDescent="0.2">
      <c r="A161" s="1015" t="s">
        <v>686</v>
      </c>
      <c r="B161" s="1015"/>
      <c r="C161" s="1015"/>
      <c r="D161" s="1015"/>
      <c r="E161" s="1015"/>
      <c r="F161" s="1015"/>
      <c r="G161" s="1015"/>
      <c r="H161" s="1015"/>
      <c r="I161" s="1015"/>
      <c r="J161" s="1015"/>
      <c r="K161" s="1015"/>
      <c r="L161" s="1015"/>
      <c r="M161" s="1015"/>
      <c r="N161" s="1015"/>
      <c r="O161" s="1015"/>
      <c r="P161" s="1015"/>
    </row>
    <row r="162" spans="1:16" x14ac:dyDescent="0.2">
      <c r="A162" s="1015"/>
      <c r="B162" s="1015"/>
      <c r="C162" s="1015"/>
      <c r="D162" s="1015"/>
      <c r="E162" s="1015"/>
      <c r="F162" s="1015"/>
      <c r="G162" s="1015"/>
      <c r="H162" s="1015"/>
      <c r="I162" s="1015"/>
      <c r="J162" s="1015"/>
      <c r="K162" s="1015"/>
      <c r="L162" s="1015"/>
      <c r="M162" s="1015"/>
      <c r="N162" s="1015"/>
      <c r="O162" s="1015"/>
      <c r="P162" s="1015"/>
    </row>
    <row r="163" spans="1:16" x14ac:dyDescent="0.2">
      <c r="A163" s="1015"/>
      <c r="B163" s="1015"/>
      <c r="C163" s="1015"/>
      <c r="D163" s="1015"/>
      <c r="E163" s="1015"/>
      <c r="F163" s="1015"/>
      <c r="G163" s="1015"/>
      <c r="H163" s="1015"/>
      <c r="I163" s="1015"/>
      <c r="J163" s="1015"/>
      <c r="K163" s="1015"/>
      <c r="L163" s="1015"/>
      <c r="M163" s="1015"/>
      <c r="N163" s="1015"/>
      <c r="O163" s="1015"/>
      <c r="P163" s="1015"/>
    </row>
    <row r="164" spans="1:16" x14ac:dyDescent="0.2">
      <c r="A164" s="303"/>
      <c r="B164" s="303"/>
      <c r="C164" s="303"/>
      <c r="D164" s="303"/>
      <c r="E164" s="303"/>
      <c r="F164" s="303"/>
      <c r="G164" s="303"/>
      <c r="H164" s="303"/>
      <c r="I164" s="303"/>
      <c r="J164" s="303"/>
      <c r="K164" s="303"/>
      <c r="L164" s="303"/>
      <c r="M164" s="303"/>
      <c r="N164" s="303"/>
      <c r="O164" s="303"/>
      <c r="P164" s="303"/>
    </row>
    <row r="165" spans="1:16" x14ac:dyDescent="0.2">
      <c r="A165" s="1024" t="s">
        <v>324</v>
      </c>
      <c r="B165" s="1024"/>
      <c r="C165" s="1024"/>
      <c r="D165" s="1024"/>
      <c r="E165" s="1024"/>
      <c r="F165" s="1024"/>
      <c r="G165" s="303"/>
      <c r="H165" s="303"/>
      <c r="I165" s="303"/>
      <c r="J165" s="303"/>
      <c r="K165" s="303"/>
      <c r="L165" s="303"/>
      <c r="M165" s="303"/>
      <c r="N165" s="303"/>
      <c r="O165" s="303"/>
      <c r="P165" s="303"/>
    </row>
    <row r="166" spans="1:16" x14ac:dyDescent="0.2">
      <c r="A166" s="303"/>
      <c r="B166" s="303"/>
      <c r="C166" s="303"/>
      <c r="D166" s="303"/>
      <c r="E166" s="303"/>
      <c r="F166" s="303"/>
      <c r="G166" s="303"/>
      <c r="H166" s="303"/>
      <c r="I166" s="303"/>
      <c r="J166" s="303"/>
      <c r="K166" s="303"/>
      <c r="L166" s="303"/>
      <c r="M166" s="303"/>
      <c r="N166" s="303"/>
      <c r="O166" s="303"/>
      <c r="P166" s="303"/>
    </row>
    <row r="167" spans="1:16" ht="12.75" customHeight="1" x14ac:dyDescent="0.2">
      <c r="A167" s="1015" t="s">
        <v>325</v>
      </c>
      <c r="B167" s="1015"/>
      <c r="C167" s="1015"/>
      <c r="D167" s="1015"/>
      <c r="E167" s="1015"/>
      <c r="F167" s="1015"/>
      <c r="G167" s="1015"/>
      <c r="H167" s="1015"/>
      <c r="I167" s="1015"/>
      <c r="J167" s="1015"/>
      <c r="K167" s="1015"/>
      <c r="L167" s="1015"/>
      <c r="M167" s="1015"/>
      <c r="N167" s="1015"/>
      <c r="O167" s="1015"/>
      <c r="P167" s="1015"/>
    </row>
    <row r="168" spans="1:16" x14ac:dyDescent="0.2">
      <c r="A168" s="1015"/>
      <c r="B168" s="1015"/>
      <c r="C168" s="1015"/>
      <c r="D168" s="1015"/>
      <c r="E168" s="1015"/>
      <c r="F168" s="1015"/>
      <c r="G168" s="1015"/>
      <c r="H168" s="1015"/>
      <c r="I168" s="1015"/>
      <c r="J168" s="1015"/>
      <c r="K168" s="1015"/>
      <c r="L168" s="1015"/>
      <c r="M168" s="1015"/>
      <c r="N168" s="1015"/>
      <c r="O168" s="1015"/>
      <c r="P168" s="1015"/>
    </row>
    <row r="169" spans="1:16" x14ac:dyDescent="0.2">
      <c r="A169" s="303"/>
      <c r="B169" s="303"/>
      <c r="C169" s="303"/>
      <c r="D169" s="303"/>
      <c r="E169" s="303"/>
      <c r="F169" s="303"/>
      <c r="G169" s="303"/>
      <c r="H169" s="303"/>
      <c r="I169" s="303"/>
      <c r="J169" s="303"/>
      <c r="K169" s="303"/>
      <c r="L169" s="303"/>
      <c r="M169" s="303"/>
      <c r="N169" s="303"/>
      <c r="O169" s="303"/>
      <c r="P169" s="303"/>
    </row>
    <row r="170" spans="1:16" ht="12.75" customHeight="1" x14ac:dyDescent="0.2">
      <c r="A170" s="1015" t="s">
        <v>326</v>
      </c>
      <c r="B170" s="1015"/>
      <c r="C170" s="1015"/>
      <c r="D170" s="1015"/>
      <c r="E170" s="1015"/>
      <c r="F170" s="1015"/>
      <c r="G170" s="1015"/>
      <c r="H170" s="1015"/>
      <c r="I170" s="1015"/>
      <c r="J170" s="1015"/>
      <c r="K170" s="1015"/>
      <c r="L170" s="1015"/>
      <c r="M170" s="1015"/>
      <c r="N170" s="1015"/>
      <c r="O170" s="1015"/>
      <c r="P170" s="1015"/>
    </row>
    <row r="171" spans="1:16" x14ac:dyDescent="0.2">
      <c r="A171" s="1015"/>
      <c r="B171" s="1015"/>
      <c r="C171" s="1015"/>
      <c r="D171" s="1015"/>
      <c r="E171" s="1015"/>
      <c r="F171" s="1015"/>
      <c r="G171" s="1015"/>
      <c r="H171" s="1015"/>
      <c r="I171" s="1015"/>
      <c r="J171" s="1015"/>
      <c r="K171" s="1015"/>
      <c r="L171" s="1015"/>
      <c r="M171" s="1015"/>
      <c r="N171" s="1015"/>
      <c r="O171" s="1015"/>
      <c r="P171" s="1015"/>
    </row>
    <row r="172" spans="1:16" x14ac:dyDescent="0.2">
      <c r="A172" s="1015"/>
      <c r="B172" s="1015"/>
      <c r="C172" s="1015"/>
      <c r="D172" s="1015"/>
      <c r="E172" s="1015"/>
      <c r="F172" s="1015"/>
      <c r="G172" s="1015"/>
      <c r="H172" s="1015"/>
      <c r="I172" s="1015"/>
      <c r="J172" s="1015"/>
      <c r="K172" s="1015"/>
      <c r="L172" s="1015"/>
      <c r="M172" s="1015"/>
      <c r="N172" s="1015"/>
      <c r="O172" s="1015"/>
      <c r="P172" s="1015"/>
    </row>
    <row r="173" spans="1:16" x14ac:dyDescent="0.2">
      <c r="A173" s="303"/>
      <c r="B173" s="303"/>
      <c r="C173" s="303"/>
      <c r="D173" s="303"/>
      <c r="E173" s="303"/>
      <c r="F173" s="303"/>
      <c r="G173" s="303"/>
      <c r="H173" s="303"/>
      <c r="I173" s="303"/>
      <c r="J173" s="303"/>
      <c r="K173" s="303"/>
      <c r="L173" s="303"/>
      <c r="M173" s="303"/>
      <c r="N173" s="303"/>
      <c r="O173" s="303"/>
      <c r="P173" s="303"/>
    </row>
    <row r="174" spans="1:16" ht="12.75" customHeight="1" x14ac:dyDescent="0.2">
      <c r="A174" s="1015" t="s">
        <v>327</v>
      </c>
      <c r="B174" s="1015"/>
      <c r="C174" s="1015"/>
      <c r="D174" s="1015"/>
      <c r="E174" s="1015"/>
      <c r="F174" s="1015"/>
      <c r="G174" s="1015"/>
      <c r="H174" s="1015"/>
      <c r="I174" s="1015"/>
      <c r="J174" s="1015"/>
      <c r="K174" s="1015"/>
      <c r="L174" s="1015"/>
      <c r="M174" s="1015"/>
      <c r="N174" s="1015"/>
      <c r="O174" s="1015"/>
      <c r="P174" s="1015"/>
    </row>
    <row r="175" spans="1:16" x14ac:dyDescent="0.2">
      <c r="A175" s="1015"/>
      <c r="B175" s="1015"/>
      <c r="C175" s="1015"/>
      <c r="D175" s="1015"/>
      <c r="E175" s="1015"/>
      <c r="F175" s="1015"/>
      <c r="G175" s="1015"/>
      <c r="H175" s="1015"/>
      <c r="I175" s="1015"/>
      <c r="J175" s="1015"/>
      <c r="K175" s="1015"/>
      <c r="L175" s="1015"/>
      <c r="M175" s="1015"/>
      <c r="N175" s="1015"/>
      <c r="O175" s="1015"/>
      <c r="P175" s="1015"/>
    </row>
    <row r="176" spans="1:16" x14ac:dyDescent="0.2">
      <c r="A176" s="1015"/>
      <c r="B176" s="1015"/>
      <c r="C176" s="1015"/>
      <c r="D176" s="1015"/>
      <c r="E176" s="1015"/>
      <c r="F176" s="1015"/>
      <c r="G176" s="1015"/>
      <c r="H176" s="1015"/>
      <c r="I176" s="1015"/>
      <c r="J176" s="1015"/>
      <c r="K176" s="1015"/>
      <c r="L176" s="1015"/>
      <c r="M176" s="1015"/>
      <c r="N176" s="1015"/>
      <c r="O176" s="1015"/>
      <c r="P176" s="1015"/>
    </row>
    <row r="177" spans="1:16" x14ac:dyDescent="0.2">
      <c r="A177" s="1015"/>
      <c r="B177" s="1015"/>
      <c r="C177" s="1015"/>
      <c r="D177" s="1015"/>
      <c r="E177" s="1015"/>
      <c r="F177" s="1015"/>
      <c r="G177" s="1015"/>
      <c r="H177" s="1015"/>
      <c r="I177" s="1015"/>
      <c r="J177" s="1015"/>
      <c r="K177" s="1015"/>
      <c r="L177" s="1015"/>
      <c r="M177" s="1015"/>
      <c r="N177" s="1015"/>
      <c r="O177" s="1015"/>
      <c r="P177" s="1015"/>
    </row>
    <row r="178" spans="1:16" x14ac:dyDescent="0.2">
      <c r="A178" s="303"/>
      <c r="B178" s="303"/>
      <c r="C178" s="303"/>
      <c r="D178" s="303"/>
      <c r="E178" s="303"/>
      <c r="F178" s="303"/>
      <c r="G178" s="303"/>
      <c r="H178" s="303"/>
      <c r="I178" s="303"/>
      <c r="J178" s="303"/>
      <c r="K178" s="303"/>
      <c r="L178" s="303"/>
      <c r="M178" s="303"/>
      <c r="N178" s="303"/>
      <c r="O178" s="303"/>
      <c r="P178" s="303"/>
    </row>
    <row r="179" spans="1:16" ht="60" customHeight="1" x14ac:dyDescent="0.2">
      <c r="A179" s="1015" t="s">
        <v>680</v>
      </c>
      <c r="B179" s="1015"/>
      <c r="C179" s="1015"/>
      <c r="D179" s="1015"/>
      <c r="E179" s="1015"/>
      <c r="F179" s="1015"/>
      <c r="G179" s="1015"/>
      <c r="H179" s="1015"/>
      <c r="I179" s="1015"/>
      <c r="J179" s="1015"/>
      <c r="K179" s="1015"/>
      <c r="L179" s="1015"/>
      <c r="M179" s="1015"/>
      <c r="N179" s="1015"/>
      <c r="O179" s="1015"/>
      <c r="P179" s="1015"/>
    </row>
    <row r="180" spans="1:16" x14ac:dyDescent="0.2">
      <c r="A180" s="303"/>
      <c r="B180" s="303"/>
      <c r="C180" s="303"/>
      <c r="D180" s="303"/>
      <c r="E180" s="303"/>
      <c r="F180" s="303"/>
      <c r="G180" s="303"/>
      <c r="H180" s="303"/>
      <c r="I180" s="303"/>
      <c r="J180" s="303"/>
      <c r="K180" s="303"/>
      <c r="L180" s="303"/>
      <c r="M180" s="303"/>
      <c r="N180" s="303"/>
      <c r="O180" s="303"/>
      <c r="P180" s="303"/>
    </row>
    <row r="181" spans="1:16" ht="156.75" customHeight="1" x14ac:dyDescent="0.2">
      <c r="A181" s="1015" t="s">
        <v>687</v>
      </c>
      <c r="B181" s="1015"/>
      <c r="C181" s="1015"/>
      <c r="D181" s="1015"/>
      <c r="E181" s="1015"/>
      <c r="F181" s="1015"/>
      <c r="G181" s="1015"/>
      <c r="H181" s="1015"/>
      <c r="I181" s="1015"/>
      <c r="J181" s="1015"/>
      <c r="K181" s="1015"/>
      <c r="L181" s="1015"/>
      <c r="M181" s="1015"/>
      <c r="N181" s="1015"/>
      <c r="O181" s="1015"/>
      <c r="P181" s="1015"/>
    </row>
  </sheetData>
  <mergeCells count="7">
    <mergeCell ref="A179:P179"/>
    <mergeCell ref="A181:P181"/>
    <mergeCell ref="A165:F165"/>
    <mergeCell ref="A161:P163"/>
    <mergeCell ref="A167:P168"/>
    <mergeCell ref="A170:P172"/>
    <mergeCell ref="A174:P177"/>
  </mergeCells>
  <pageMargins left="0.59055118110236227" right="0.59055118110236227" top="0.78740157480314965" bottom="0.78740157480314965" header="0.39370078740157483" footer="0.39370078740157483"/>
  <pageSetup paperSize="9" scale="48" firstPageNumber="58" fitToHeight="0" orientation="landscape" useFirstPageNumber="1" r:id="rId1"/>
  <headerFooter alignWithMargins="0">
    <oddHeader xml:space="preserve">&amp;R&amp;12Les finances des communes en 2024
</oddHeader>
    <oddFooter>&amp;L&amp;12Direction Générale des Collectivités Locales / DESL&amp;C&amp;12&amp;P&amp;R&amp;12Mise en ligne : janvier 2026</oddFooter>
  </headerFooter>
  <rowBreaks count="3" manualBreakCount="3">
    <brk id="59" max="15" man="1"/>
    <brk id="104" max="15" man="1"/>
    <brk id="159" max="15" man="1"/>
  </rowBreaks>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L49"/>
  <sheetViews>
    <sheetView view="pageBreakPreview" zoomScale="60" zoomScaleNormal="100" workbookViewId="0"/>
  </sheetViews>
  <sheetFormatPr baseColWidth="10" defaultRowHeight="12.75" x14ac:dyDescent="0.2"/>
  <cols>
    <col min="1" max="1" width="4.5703125" style="13" customWidth="1"/>
    <col min="2" max="2" width="28.42578125" style="13" customWidth="1"/>
    <col min="3" max="13" width="11.85546875" style="13" customWidth="1"/>
    <col min="14" max="15" width="14.140625" style="13" customWidth="1"/>
    <col min="16" max="16" width="14.140625" style="38" customWidth="1"/>
    <col min="17" max="17" width="6.85546875" customWidth="1"/>
    <col min="18" max="18" width="28.42578125" customWidth="1"/>
    <col min="19" max="29" width="11.5703125" customWidth="1"/>
    <col min="30" max="32" width="14.140625" customWidth="1"/>
    <col min="33" max="33" width="4.5703125" style="13" customWidth="1"/>
    <col min="34" max="34" width="28.42578125" style="13" customWidth="1"/>
    <col min="35" max="45" width="11.85546875" style="13" customWidth="1"/>
    <col min="46" max="47" width="14.140625" style="13" customWidth="1"/>
    <col min="48" max="48" width="14.140625" style="38" customWidth="1"/>
    <col min="49" max="49" width="6.85546875" customWidth="1"/>
    <col min="50" max="50" width="28.42578125" customWidth="1"/>
    <col min="51" max="61" width="11.5703125" customWidth="1"/>
    <col min="62" max="64" width="14.140625" customWidth="1"/>
  </cols>
  <sheetData>
    <row r="1" spans="1:64" ht="18" x14ac:dyDescent="0.25">
      <c r="A1" s="10" t="s">
        <v>939</v>
      </c>
      <c r="B1" s="50"/>
      <c r="C1" s="70"/>
      <c r="D1" s="70"/>
      <c r="E1" s="70"/>
      <c r="F1" s="70"/>
      <c r="G1" s="70"/>
      <c r="H1" s="70"/>
      <c r="I1" s="70"/>
      <c r="J1" s="70"/>
      <c r="K1" s="70"/>
      <c r="L1" s="70"/>
      <c r="M1" s="70"/>
      <c r="N1" s="70"/>
      <c r="O1" s="70"/>
      <c r="P1" s="89"/>
      <c r="Q1" s="51"/>
      <c r="AG1" s="10"/>
      <c r="AH1" s="50"/>
      <c r="AI1" s="70"/>
      <c r="AJ1" s="70"/>
      <c r="AK1" s="70"/>
      <c r="AL1" s="70"/>
      <c r="AM1" s="70"/>
      <c r="AN1" s="70"/>
      <c r="AO1" s="70"/>
      <c r="AP1" s="70"/>
      <c r="AQ1" s="70"/>
      <c r="AR1" s="70"/>
      <c r="AS1" s="70"/>
      <c r="AT1" s="70"/>
      <c r="AU1" s="70"/>
      <c r="AV1" s="89"/>
      <c r="AW1" s="51"/>
    </row>
    <row r="2" spans="1:64" x14ac:dyDescent="0.2">
      <c r="A2" s="9"/>
      <c r="B2" s="28"/>
      <c r="C2" s="71"/>
      <c r="D2" s="71"/>
      <c r="E2" s="71"/>
      <c r="F2" s="71"/>
      <c r="G2" s="71"/>
      <c r="H2" s="71"/>
      <c r="I2" s="71"/>
      <c r="J2" s="71"/>
      <c r="K2" s="71"/>
      <c r="L2" s="71"/>
      <c r="M2" s="71"/>
      <c r="N2" s="71"/>
      <c r="O2" s="71"/>
      <c r="P2" s="95"/>
      <c r="AG2" s="9"/>
      <c r="AH2" s="28"/>
      <c r="AI2" s="71"/>
      <c r="AJ2" s="71"/>
      <c r="AK2" s="71"/>
      <c r="AL2" s="71"/>
      <c r="AM2" s="71"/>
      <c r="AN2" s="71"/>
      <c r="AO2" s="71"/>
      <c r="AP2" s="71"/>
      <c r="AQ2" s="71"/>
      <c r="AR2" s="71"/>
      <c r="AS2" s="71"/>
      <c r="AT2" s="71"/>
      <c r="AU2" s="71"/>
      <c r="AV2" s="95"/>
    </row>
    <row r="3" spans="1:64" x14ac:dyDescent="0.2">
      <c r="A3" s="9"/>
      <c r="B3" s="28"/>
      <c r="C3" s="71"/>
      <c r="D3" s="71"/>
      <c r="E3" s="71"/>
      <c r="F3" s="71"/>
      <c r="G3" s="71"/>
      <c r="H3" s="71"/>
      <c r="I3" s="71"/>
      <c r="J3" s="71"/>
      <c r="K3" s="71"/>
      <c r="L3" s="71"/>
      <c r="M3" s="71"/>
      <c r="N3" s="71"/>
      <c r="O3" s="71"/>
      <c r="P3" s="95"/>
      <c r="AG3" s="9"/>
      <c r="AH3" s="28"/>
      <c r="AI3" s="71"/>
      <c r="AJ3" s="71"/>
      <c r="AK3" s="71"/>
      <c r="AL3" s="71"/>
      <c r="AM3" s="71"/>
      <c r="AN3" s="71"/>
      <c r="AO3" s="71"/>
      <c r="AP3" s="71"/>
      <c r="AQ3" s="71"/>
      <c r="AR3" s="71"/>
      <c r="AS3" s="71"/>
      <c r="AT3" s="71"/>
      <c r="AU3" s="71"/>
      <c r="AV3" s="95"/>
    </row>
    <row r="4" spans="1:64" ht="16.5" x14ac:dyDescent="0.25">
      <c r="A4" s="54" t="s">
        <v>386</v>
      </c>
      <c r="B4" s="55"/>
      <c r="C4" s="73"/>
      <c r="D4" s="73"/>
      <c r="E4" s="73"/>
      <c r="F4" s="73"/>
      <c r="G4" s="73"/>
      <c r="H4" s="73"/>
      <c r="I4" s="73"/>
      <c r="J4" s="73"/>
      <c r="K4" s="73"/>
      <c r="L4" s="73"/>
      <c r="M4" s="73"/>
      <c r="N4" s="73"/>
      <c r="O4" s="73"/>
      <c r="P4" s="101"/>
      <c r="Q4" s="54" t="s">
        <v>387</v>
      </c>
      <c r="R4" s="55"/>
      <c r="S4" s="73"/>
      <c r="T4" s="73"/>
      <c r="U4" s="73"/>
      <c r="V4" s="73"/>
      <c r="W4" s="73"/>
      <c r="X4" s="73"/>
      <c r="Y4" s="73"/>
      <c r="Z4" s="73"/>
      <c r="AA4" s="73"/>
      <c r="AB4" s="73"/>
      <c r="AC4" s="73"/>
      <c r="AD4" s="73"/>
      <c r="AE4" s="73"/>
      <c r="AF4" s="101"/>
      <c r="AG4" s="54" t="s">
        <v>621</v>
      </c>
      <c r="AH4" s="55"/>
      <c r="AI4" s="73"/>
      <c r="AJ4" s="73"/>
      <c r="AK4" s="73"/>
      <c r="AL4" s="73"/>
      <c r="AM4" s="73"/>
      <c r="AN4" s="73"/>
      <c r="AO4" s="73"/>
      <c r="AP4" s="73"/>
      <c r="AQ4" s="73"/>
      <c r="AR4" s="73"/>
      <c r="AS4" s="73"/>
      <c r="AT4" s="73"/>
      <c r="AU4" s="73"/>
      <c r="AV4" s="101"/>
      <c r="AW4" s="54" t="s">
        <v>622</v>
      </c>
      <c r="AX4" s="55"/>
      <c r="AY4" s="73"/>
      <c r="AZ4" s="73"/>
      <c r="BA4" s="73"/>
      <c r="BB4" s="73"/>
      <c r="BC4" s="73"/>
      <c r="BD4" s="73"/>
      <c r="BE4" s="73"/>
      <c r="BF4" s="73"/>
      <c r="BG4" s="73"/>
      <c r="BH4" s="73"/>
      <c r="BI4" s="73"/>
      <c r="BJ4" s="73"/>
      <c r="BK4" s="73"/>
      <c r="BL4" s="101"/>
    </row>
    <row r="5" spans="1:64" x14ac:dyDescent="0.2">
      <c r="A5" s="88" t="s">
        <v>628</v>
      </c>
      <c r="B5" s="28"/>
      <c r="C5" s="71"/>
      <c r="D5" s="71"/>
      <c r="E5" s="71"/>
      <c r="F5" s="71"/>
      <c r="G5" s="71"/>
      <c r="H5" s="71"/>
      <c r="I5" s="71"/>
      <c r="J5" s="71"/>
      <c r="K5" s="71"/>
      <c r="L5" s="71"/>
      <c r="M5" s="71"/>
      <c r="N5" s="71"/>
      <c r="O5" s="71"/>
      <c r="P5" s="71"/>
      <c r="Q5" s="88" t="s">
        <v>629</v>
      </c>
      <c r="R5" s="28"/>
      <c r="S5" s="71"/>
      <c r="T5" s="71"/>
      <c r="U5" s="71"/>
      <c r="V5" s="71"/>
      <c r="W5" s="71"/>
      <c r="X5" s="71"/>
      <c r="Y5" s="71"/>
      <c r="Z5" s="71"/>
      <c r="AA5" s="71"/>
      <c r="AB5" s="71"/>
      <c r="AC5" s="71"/>
      <c r="AD5" s="71"/>
      <c r="AE5" s="71"/>
      <c r="AF5" s="71"/>
      <c r="AG5" s="88" t="s">
        <v>630</v>
      </c>
      <c r="AH5" s="28"/>
      <c r="AI5" s="71"/>
      <c r="AJ5" s="71"/>
      <c r="AK5" s="71"/>
      <c r="AL5" s="71"/>
      <c r="AM5" s="71"/>
      <c r="AN5" s="71"/>
      <c r="AO5" s="71"/>
      <c r="AP5" s="71"/>
      <c r="AQ5" s="71"/>
      <c r="AR5" s="71"/>
      <c r="AS5" s="71"/>
      <c r="AT5" s="71"/>
      <c r="AU5" s="71"/>
      <c r="AV5" s="71"/>
      <c r="AW5" s="88" t="s">
        <v>631</v>
      </c>
      <c r="AX5" s="28"/>
      <c r="AY5" s="71"/>
      <c r="AZ5" s="71"/>
      <c r="BA5" s="71"/>
      <c r="BB5" s="71"/>
      <c r="BC5" s="71"/>
      <c r="BD5" s="71"/>
      <c r="BE5" s="71"/>
      <c r="BF5" s="71"/>
      <c r="BG5" s="71"/>
      <c r="BH5" s="71"/>
      <c r="BI5" s="71"/>
      <c r="BJ5" s="71"/>
      <c r="BK5" s="71"/>
      <c r="BL5" s="71"/>
    </row>
    <row r="6" spans="1:64" x14ac:dyDescent="0.2">
      <c r="A6" s="13" t="s">
        <v>34</v>
      </c>
      <c r="B6" s="57"/>
      <c r="C6" s="71"/>
      <c r="D6" s="71"/>
      <c r="E6" s="71"/>
      <c r="F6" s="71"/>
      <c r="G6" s="71"/>
      <c r="H6" s="71"/>
      <c r="I6" s="71"/>
      <c r="K6" s="71"/>
      <c r="L6" s="71"/>
      <c r="M6" s="71"/>
      <c r="N6" s="71"/>
      <c r="O6" s="71"/>
      <c r="P6" s="95"/>
      <c r="Q6" s="13"/>
      <c r="R6" s="57"/>
      <c r="S6" s="71"/>
      <c r="T6" s="71"/>
      <c r="U6" s="71"/>
      <c r="V6" s="71"/>
      <c r="W6" s="71"/>
      <c r="X6" s="71"/>
      <c r="Y6" s="71"/>
      <c r="Z6" s="13"/>
      <c r="AA6" s="71"/>
      <c r="AB6" s="71"/>
      <c r="AC6" s="71"/>
      <c r="AD6" s="71"/>
      <c r="AE6" s="71"/>
      <c r="AF6" s="95"/>
      <c r="AG6" s="68" t="s">
        <v>242</v>
      </c>
      <c r="AH6" s="57"/>
      <c r="AI6" s="71"/>
      <c r="AJ6" s="71"/>
      <c r="AK6" s="71"/>
      <c r="AL6" s="71"/>
      <c r="AM6" s="71"/>
      <c r="AN6" s="71"/>
      <c r="AO6" s="71"/>
      <c r="AQ6" s="71"/>
      <c r="AR6" s="71"/>
      <c r="AS6" s="71"/>
      <c r="AT6" s="71"/>
      <c r="AU6" s="71"/>
      <c r="AV6" s="95"/>
      <c r="AW6" s="13"/>
      <c r="AX6" s="57"/>
      <c r="AY6" s="71"/>
      <c r="AZ6" s="71"/>
      <c r="BA6" s="71"/>
      <c r="BB6" s="71"/>
      <c r="BC6" s="71"/>
      <c r="BD6" s="71"/>
      <c r="BE6" s="71"/>
      <c r="BF6" s="13"/>
      <c r="BG6" s="71"/>
      <c r="BH6" s="71"/>
      <c r="BI6" s="71"/>
      <c r="BJ6" s="71"/>
      <c r="BK6" s="71"/>
      <c r="BL6" s="95"/>
    </row>
    <row r="7" spans="1:64" x14ac:dyDescent="0.2">
      <c r="B7" s="28"/>
      <c r="C7" s="71"/>
      <c r="D7" s="71"/>
      <c r="E7" s="71"/>
      <c r="F7" s="71"/>
      <c r="G7" s="71"/>
      <c r="H7" s="71"/>
      <c r="I7" s="71"/>
      <c r="J7" s="71"/>
      <c r="K7" s="71"/>
      <c r="L7" s="71"/>
      <c r="M7" s="71"/>
      <c r="N7" s="71"/>
      <c r="O7" s="71"/>
      <c r="P7" s="95"/>
      <c r="Q7" s="13"/>
      <c r="R7" s="28"/>
      <c r="S7" s="71"/>
      <c r="T7" s="71"/>
      <c r="U7" s="71"/>
      <c r="V7" s="71"/>
      <c r="W7" s="71"/>
      <c r="X7" s="71"/>
      <c r="Y7" s="71"/>
      <c r="Z7" s="71"/>
      <c r="AA7" s="71"/>
      <c r="AB7" s="71"/>
      <c r="AC7" s="71"/>
      <c r="AD7" s="71"/>
      <c r="AE7" s="71"/>
      <c r="AF7" s="95"/>
      <c r="AH7" s="28"/>
      <c r="AI7" s="71"/>
      <c r="AJ7" s="71"/>
      <c r="AK7" s="71"/>
      <c r="AL7" s="71"/>
      <c r="AM7" s="71"/>
      <c r="AN7" s="71"/>
      <c r="AO7" s="71"/>
      <c r="AP7" s="71"/>
      <c r="AQ7" s="71"/>
      <c r="AR7" s="71"/>
      <c r="AS7" s="71"/>
      <c r="AT7" s="71"/>
      <c r="AU7" s="71"/>
      <c r="AV7" s="95"/>
      <c r="AW7" s="13"/>
      <c r="AX7" s="28"/>
      <c r="AY7" s="71"/>
      <c r="AZ7" s="71"/>
      <c r="BA7" s="71"/>
      <c r="BB7" s="71"/>
      <c r="BC7" s="71"/>
      <c r="BD7" s="71"/>
      <c r="BE7" s="71"/>
      <c r="BF7" s="71"/>
      <c r="BG7" s="71"/>
      <c r="BH7" s="71"/>
      <c r="BI7" s="71"/>
      <c r="BJ7" s="71"/>
      <c r="BK7" s="71"/>
      <c r="BL7" s="95"/>
    </row>
    <row r="8" spans="1:64" x14ac:dyDescent="0.2">
      <c r="A8" s="59"/>
      <c r="B8" s="29"/>
      <c r="C8" s="72"/>
      <c r="D8" s="72"/>
      <c r="E8" s="72"/>
      <c r="F8" s="72"/>
      <c r="G8" s="72"/>
      <c r="H8" s="72"/>
      <c r="I8" s="72"/>
      <c r="J8" s="72"/>
      <c r="K8" s="72"/>
      <c r="L8" s="72"/>
      <c r="M8" s="72"/>
      <c r="N8" s="72"/>
      <c r="O8" s="72"/>
      <c r="P8" s="95"/>
      <c r="Q8" s="59"/>
      <c r="R8" s="29"/>
      <c r="S8" s="72"/>
      <c r="T8" s="72"/>
      <c r="U8" s="72"/>
      <c r="V8" s="72"/>
      <c r="W8" s="72"/>
      <c r="X8" s="72"/>
      <c r="Y8" s="72"/>
      <c r="Z8" s="72"/>
      <c r="AA8" s="72"/>
      <c r="AB8" s="72"/>
      <c r="AC8" s="72"/>
      <c r="AD8" s="72"/>
      <c r="AE8" s="72"/>
      <c r="AF8" s="95"/>
      <c r="AG8" s="59"/>
      <c r="AH8" s="29"/>
      <c r="AI8" s="72"/>
      <c r="AJ8" s="72"/>
      <c r="AK8" s="72"/>
      <c r="AL8" s="72"/>
      <c r="AM8" s="72"/>
      <c r="AN8" s="72"/>
      <c r="AO8" s="72"/>
      <c r="AP8" s="72"/>
      <c r="AQ8" s="72"/>
      <c r="AR8" s="72"/>
      <c r="AS8" s="72"/>
      <c r="AT8" s="72"/>
      <c r="AU8" s="72"/>
      <c r="AV8" s="95"/>
      <c r="AW8" s="59"/>
      <c r="AX8" s="29"/>
      <c r="AY8" s="72"/>
      <c r="AZ8" s="72"/>
      <c r="BA8" s="72"/>
      <c r="BB8" s="72"/>
      <c r="BC8" s="72"/>
      <c r="BD8" s="72"/>
      <c r="BE8" s="72"/>
      <c r="BF8" s="72"/>
      <c r="BG8" s="72"/>
      <c r="BH8" s="72"/>
      <c r="BI8" s="72"/>
      <c r="BJ8" s="72"/>
      <c r="BK8" s="72"/>
      <c r="BL8" s="95"/>
    </row>
    <row r="9" spans="1:64" x14ac:dyDescent="0.2">
      <c r="B9" s="269" t="s">
        <v>561</v>
      </c>
      <c r="C9" s="72"/>
      <c r="D9" s="72"/>
      <c r="E9" s="72"/>
      <c r="F9" s="72"/>
      <c r="G9" s="72"/>
      <c r="H9" s="72"/>
      <c r="I9" s="72"/>
      <c r="J9" s="72"/>
      <c r="K9" s="72"/>
      <c r="L9" s="72"/>
      <c r="M9" s="72"/>
      <c r="N9" s="72"/>
      <c r="O9" s="72"/>
      <c r="P9" s="95"/>
      <c r="Q9" s="13"/>
      <c r="R9" s="269" t="s">
        <v>561</v>
      </c>
      <c r="S9" s="72"/>
      <c r="T9" s="72"/>
      <c r="U9" s="72"/>
      <c r="V9" s="72"/>
      <c r="W9" s="72"/>
      <c r="X9" s="72"/>
      <c r="Y9" s="72"/>
      <c r="Z9" s="72"/>
      <c r="AA9" s="72"/>
      <c r="AB9" s="72"/>
      <c r="AC9" s="72"/>
      <c r="AD9" s="72"/>
      <c r="AE9" s="72"/>
      <c r="AF9" s="95"/>
      <c r="AH9" s="269" t="s">
        <v>561</v>
      </c>
      <c r="AI9" s="72"/>
      <c r="AJ9" s="72"/>
      <c r="AK9" s="72"/>
      <c r="AL9" s="72"/>
      <c r="AM9" s="72"/>
      <c r="AN9" s="72"/>
      <c r="AO9" s="72"/>
      <c r="AP9" s="72"/>
      <c r="AQ9" s="72"/>
      <c r="AR9" s="72"/>
      <c r="AS9" s="72"/>
      <c r="AT9" s="72"/>
      <c r="AU9" s="72"/>
      <c r="AV9" s="95"/>
      <c r="AW9" s="13"/>
      <c r="AX9" s="269" t="s">
        <v>561</v>
      </c>
      <c r="AY9" s="72"/>
      <c r="AZ9" s="72"/>
      <c r="BA9" s="72"/>
      <c r="BB9" s="72"/>
      <c r="BC9" s="72"/>
      <c r="BD9" s="72"/>
      <c r="BE9" s="72"/>
      <c r="BF9" s="72"/>
      <c r="BG9" s="72"/>
      <c r="BH9" s="72"/>
      <c r="BI9" s="72"/>
      <c r="BJ9" s="72"/>
      <c r="BK9" s="72"/>
      <c r="BL9" s="95"/>
    </row>
    <row r="10" spans="1:64" x14ac:dyDescent="0.2">
      <c r="B10" s="269" t="s">
        <v>243</v>
      </c>
      <c r="C10" s="920" t="s">
        <v>833</v>
      </c>
      <c r="D10" s="72"/>
      <c r="E10" s="72"/>
      <c r="F10" s="72"/>
      <c r="G10" s="72"/>
      <c r="H10" s="72"/>
      <c r="I10" s="72"/>
      <c r="J10" s="72"/>
      <c r="K10" s="72"/>
      <c r="L10" s="72"/>
      <c r="M10" s="72"/>
      <c r="N10" s="72"/>
      <c r="O10" s="72"/>
      <c r="P10" s="95"/>
      <c r="Q10" s="13"/>
      <c r="R10" s="269" t="s">
        <v>243</v>
      </c>
      <c r="S10" s="920" t="s">
        <v>833</v>
      </c>
      <c r="T10" s="72"/>
      <c r="U10" s="72"/>
      <c r="V10" s="72"/>
      <c r="W10" s="72"/>
      <c r="X10" s="72"/>
      <c r="Y10" s="72"/>
      <c r="Z10" s="72"/>
      <c r="AA10" s="72"/>
      <c r="AB10" s="72"/>
      <c r="AC10" s="72"/>
      <c r="AD10" s="72"/>
      <c r="AE10" s="72"/>
      <c r="AF10" s="95"/>
      <c r="AH10" s="68" t="s">
        <v>623</v>
      </c>
      <c r="AI10" s="920" t="s">
        <v>834</v>
      </c>
      <c r="AJ10" s="72"/>
      <c r="AK10" s="72"/>
      <c r="AL10" s="72"/>
      <c r="AM10" s="72"/>
      <c r="AN10" s="72"/>
      <c r="AO10" s="72"/>
      <c r="AP10" s="72"/>
      <c r="AQ10" s="72"/>
      <c r="AR10" s="72"/>
      <c r="AS10" s="72"/>
      <c r="AT10" s="72"/>
      <c r="AU10" s="72"/>
      <c r="AV10" s="95"/>
      <c r="AW10" s="13"/>
      <c r="AX10" s="269" t="s">
        <v>627</v>
      </c>
      <c r="AY10" s="920" t="s">
        <v>835</v>
      </c>
      <c r="AZ10" s="72"/>
      <c r="BA10" s="72"/>
      <c r="BB10" s="72"/>
      <c r="BC10" s="72"/>
      <c r="BD10" s="72"/>
      <c r="BE10" s="72"/>
      <c r="BF10" s="72"/>
      <c r="BG10" s="72"/>
      <c r="BH10" s="72"/>
      <c r="BI10" s="72"/>
      <c r="BJ10" s="72"/>
      <c r="BK10" s="72"/>
      <c r="BL10" s="95"/>
    </row>
    <row r="11" spans="1:64" x14ac:dyDescent="0.2">
      <c r="B11" s="269" t="s">
        <v>244</v>
      </c>
      <c r="C11" s="844" t="s">
        <v>560</v>
      </c>
      <c r="D11" s="72"/>
      <c r="E11" s="72"/>
      <c r="F11" s="72"/>
      <c r="G11" s="72"/>
      <c r="H11" s="72"/>
      <c r="I11" s="72"/>
      <c r="J11" s="72"/>
      <c r="K11" s="72"/>
      <c r="L11" s="72"/>
      <c r="M11" s="72"/>
      <c r="N11" s="72"/>
      <c r="O11" s="72"/>
      <c r="P11" s="95"/>
      <c r="Q11" s="13"/>
      <c r="R11" s="269" t="s">
        <v>244</v>
      </c>
      <c r="S11" s="844" t="s">
        <v>560</v>
      </c>
      <c r="T11" s="72"/>
      <c r="U11" s="72"/>
      <c r="V11" s="72"/>
      <c r="W11" s="72"/>
      <c r="X11" s="72"/>
      <c r="Y11" s="72"/>
      <c r="Z11" s="72"/>
      <c r="AA11" s="72"/>
      <c r="AB11" s="72"/>
      <c r="AC11" s="72"/>
      <c r="AD11" s="72"/>
      <c r="AE11" s="72"/>
      <c r="AF11" s="95"/>
      <c r="AH11" s="269" t="s">
        <v>626</v>
      </c>
      <c r="AI11" s="920" t="s">
        <v>625</v>
      </c>
      <c r="AJ11" s="72"/>
      <c r="AK11" s="72"/>
      <c r="AL11" s="72"/>
      <c r="AM11" s="72"/>
      <c r="AN11" s="72"/>
      <c r="AO11" s="72"/>
      <c r="AP11" s="72"/>
      <c r="AQ11" s="72"/>
      <c r="AR11" s="72"/>
      <c r="AS11" s="72"/>
      <c r="AT11" s="72"/>
      <c r="AU11" s="72"/>
      <c r="AV11" s="95"/>
      <c r="AW11" s="13"/>
      <c r="AX11" s="269" t="s">
        <v>624</v>
      </c>
      <c r="AY11" s="920" t="s">
        <v>632</v>
      </c>
      <c r="AZ11" s="72"/>
      <c r="BA11" s="72"/>
      <c r="BB11" s="72"/>
      <c r="BC11" s="72"/>
      <c r="BD11" s="72"/>
      <c r="BE11" s="72"/>
      <c r="BF11" s="72"/>
      <c r="BG11" s="72"/>
      <c r="BH11" s="72"/>
      <c r="BI11" s="72"/>
      <c r="BJ11" s="72"/>
      <c r="BK11" s="72"/>
      <c r="BL11" s="95"/>
    </row>
    <row r="12" spans="1:64" x14ac:dyDescent="0.2">
      <c r="B12" s="29"/>
      <c r="C12" s="844" t="s">
        <v>559</v>
      </c>
      <c r="D12" s="72"/>
      <c r="E12" s="72"/>
      <c r="F12" s="72"/>
      <c r="G12" s="72"/>
      <c r="H12" s="72"/>
      <c r="I12" s="72"/>
      <c r="J12" s="72"/>
      <c r="K12" s="72"/>
      <c r="L12" s="72"/>
      <c r="M12" s="72"/>
      <c r="N12" s="72"/>
      <c r="O12" s="72"/>
      <c r="P12" s="95"/>
      <c r="Q12" s="13"/>
      <c r="R12" s="29"/>
      <c r="S12" s="844" t="s">
        <v>562</v>
      </c>
      <c r="T12" s="72"/>
      <c r="U12" s="72"/>
      <c r="V12" s="72"/>
      <c r="W12" s="72"/>
      <c r="X12" s="72"/>
      <c r="Y12" s="72"/>
      <c r="Z12" s="72"/>
      <c r="AA12" s="72"/>
      <c r="AB12" s="72"/>
      <c r="AC12" s="72"/>
      <c r="AD12" s="72"/>
      <c r="AE12" s="72"/>
      <c r="AF12" s="95"/>
      <c r="AH12" s="29"/>
      <c r="AI12" s="68" t="s">
        <v>595</v>
      </c>
      <c r="AJ12" s="72"/>
      <c r="AK12" s="72"/>
      <c r="AL12" s="72"/>
      <c r="AM12" s="72"/>
      <c r="AN12" s="72"/>
      <c r="AO12" s="72"/>
      <c r="AP12" s="72"/>
      <c r="AQ12" s="72"/>
      <c r="AR12" s="72"/>
      <c r="AS12" s="72"/>
      <c r="AT12" s="72"/>
      <c r="AU12" s="72"/>
      <c r="AV12" s="95"/>
      <c r="AW12" s="13"/>
      <c r="AX12" s="29"/>
      <c r="AY12" s="68" t="s">
        <v>596</v>
      </c>
      <c r="AZ12" s="72"/>
      <c r="BA12" s="72"/>
      <c r="BB12" s="72"/>
      <c r="BC12" s="72"/>
      <c r="BD12" s="72"/>
      <c r="BE12" s="72"/>
      <c r="BF12" s="72"/>
      <c r="BG12" s="72"/>
      <c r="BH12" s="72"/>
      <c r="BI12" s="72"/>
      <c r="BJ12" s="72"/>
      <c r="BK12" s="72"/>
      <c r="BL12" s="95"/>
    </row>
    <row r="13" spans="1:64" x14ac:dyDescent="0.2">
      <c r="B13" s="29"/>
      <c r="C13" s="72"/>
      <c r="D13" s="72"/>
      <c r="E13" s="72"/>
      <c r="F13" s="72"/>
      <c r="G13" s="72"/>
      <c r="H13" s="72"/>
      <c r="I13" s="72"/>
      <c r="J13" s="72"/>
      <c r="K13" s="72"/>
      <c r="L13" s="72"/>
      <c r="M13" s="72"/>
      <c r="N13" s="72"/>
      <c r="O13" s="72"/>
      <c r="P13" s="95"/>
      <c r="Q13" s="13"/>
      <c r="R13" s="29"/>
      <c r="S13" s="72"/>
      <c r="T13" s="72"/>
      <c r="U13" s="72"/>
      <c r="V13" s="72"/>
      <c r="W13" s="72"/>
      <c r="X13" s="72"/>
      <c r="Y13" s="72"/>
      <c r="Z13" s="72"/>
      <c r="AA13" s="72"/>
      <c r="AB13" s="72"/>
      <c r="AC13" s="72"/>
      <c r="AD13" s="72"/>
      <c r="AE13" s="72"/>
      <c r="AF13" s="95"/>
      <c r="AH13" s="29"/>
      <c r="AI13" s="72"/>
      <c r="AJ13" s="72"/>
      <c r="AK13" s="72"/>
      <c r="AL13" s="72"/>
      <c r="AM13" s="72"/>
      <c r="AN13" s="72"/>
      <c r="AO13" s="72"/>
      <c r="AP13" s="72"/>
      <c r="AQ13" s="72"/>
      <c r="AR13" s="72"/>
      <c r="AS13" s="72"/>
      <c r="AT13" s="72"/>
      <c r="AU13" s="72"/>
      <c r="AV13" s="95"/>
      <c r="AW13" s="13"/>
      <c r="AX13" s="29"/>
      <c r="AY13" s="72"/>
      <c r="AZ13" s="72"/>
      <c r="BA13" s="72"/>
      <c r="BB13" s="72"/>
      <c r="BC13" s="72"/>
      <c r="BD13" s="72"/>
      <c r="BE13" s="72"/>
      <c r="BF13" s="72"/>
      <c r="BG13" s="72"/>
      <c r="BH13" s="72"/>
      <c r="BI13" s="72"/>
      <c r="BJ13" s="72"/>
      <c r="BK13" s="72"/>
      <c r="BL13" s="95"/>
    </row>
    <row r="14" spans="1:64" x14ac:dyDescent="0.2">
      <c r="B14" s="260"/>
      <c r="C14" s="278"/>
      <c r="D14" s="75"/>
      <c r="E14" s="75"/>
      <c r="F14" s="75"/>
      <c r="G14" s="75"/>
      <c r="H14" s="75"/>
      <c r="I14" s="75"/>
      <c r="J14" s="75"/>
      <c r="K14" s="75"/>
      <c r="L14" s="75"/>
      <c r="M14" s="75"/>
      <c r="N14" s="75"/>
      <c r="O14" s="75"/>
      <c r="P14" s="61" t="s">
        <v>98</v>
      </c>
      <c r="Q14" s="13"/>
      <c r="R14" s="260"/>
      <c r="S14" s="278"/>
      <c r="T14" s="75"/>
      <c r="U14" s="75"/>
      <c r="V14" s="75"/>
      <c r="W14" s="75"/>
      <c r="X14" s="75"/>
      <c r="Y14" s="75"/>
      <c r="Z14" s="75"/>
      <c r="AA14" s="75"/>
      <c r="AB14" s="75"/>
      <c r="AC14" s="75"/>
      <c r="AD14" s="75"/>
      <c r="AE14" s="75"/>
      <c r="AF14" s="61" t="s">
        <v>98</v>
      </c>
      <c r="AH14" s="260"/>
      <c r="AI14" s="278"/>
      <c r="AJ14" s="75"/>
      <c r="AK14" s="75"/>
      <c r="AL14" s="75"/>
      <c r="AM14" s="75"/>
      <c r="AN14" s="75"/>
      <c r="AO14" s="75"/>
      <c r="AP14" s="75"/>
      <c r="AQ14" s="75"/>
      <c r="AR14" s="75"/>
      <c r="AS14" s="75"/>
      <c r="AT14" s="75"/>
      <c r="AU14" s="75"/>
      <c r="AV14" s="61" t="s">
        <v>98</v>
      </c>
      <c r="AW14" s="13"/>
      <c r="AX14" s="260"/>
      <c r="AY14" s="278"/>
      <c r="AZ14" s="75"/>
      <c r="BA14" s="75"/>
      <c r="BB14" s="75"/>
      <c r="BC14" s="75"/>
      <c r="BD14" s="75"/>
      <c r="BE14" s="75"/>
      <c r="BF14" s="75"/>
      <c r="BG14" s="75"/>
      <c r="BH14" s="75"/>
      <c r="BI14" s="75"/>
      <c r="BJ14" s="75"/>
      <c r="BK14" s="75"/>
      <c r="BL14" s="61" t="s">
        <v>98</v>
      </c>
    </row>
    <row r="15" spans="1:64" x14ac:dyDescent="0.2">
      <c r="A15" s="39"/>
      <c r="B15" s="74"/>
      <c r="C15" s="76"/>
      <c r="D15" s="76"/>
      <c r="E15" s="76"/>
      <c r="F15" s="76"/>
      <c r="G15" s="76"/>
      <c r="H15" s="76"/>
      <c r="I15" s="76"/>
      <c r="J15" s="76"/>
      <c r="K15" s="76"/>
      <c r="L15" s="76"/>
      <c r="M15" s="76"/>
      <c r="N15" s="76"/>
      <c r="O15" s="76"/>
      <c r="P15" s="62"/>
      <c r="Q15" s="39"/>
      <c r="R15" s="74"/>
      <c r="S15" s="76"/>
      <c r="T15" s="76"/>
      <c r="U15" s="76"/>
      <c r="V15" s="76"/>
      <c r="W15" s="76"/>
      <c r="X15" s="76"/>
      <c r="Y15" s="76"/>
      <c r="Z15" s="76"/>
      <c r="AA15" s="76"/>
      <c r="AB15" s="76"/>
      <c r="AC15" s="76"/>
      <c r="AD15" s="76"/>
      <c r="AE15" s="76"/>
      <c r="AF15" s="62"/>
      <c r="AG15" s="39"/>
      <c r="AH15" s="74"/>
      <c r="AI15" s="76"/>
      <c r="AJ15" s="76"/>
      <c r="AK15" s="76"/>
      <c r="AL15" s="76"/>
      <c r="AM15" s="76"/>
      <c r="AN15" s="76"/>
      <c r="AO15" s="76"/>
      <c r="AP15" s="76"/>
      <c r="AQ15" s="76"/>
      <c r="AR15" s="76"/>
      <c r="AS15" s="76"/>
      <c r="AT15" s="76"/>
      <c r="AU15" s="76"/>
      <c r="AV15" s="62"/>
      <c r="AW15" s="39"/>
      <c r="AX15" s="74"/>
      <c r="AY15" s="76"/>
      <c r="AZ15" s="76"/>
      <c r="BA15" s="76"/>
      <c r="BB15" s="76"/>
      <c r="BC15" s="76"/>
      <c r="BD15" s="76"/>
      <c r="BE15" s="76"/>
      <c r="BF15" s="76"/>
      <c r="BG15" s="76"/>
      <c r="BH15" s="76"/>
      <c r="BI15" s="76"/>
      <c r="BJ15" s="76"/>
      <c r="BK15" s="76"/>
      <c r="BL15" s="62"/>
    </row>
    <row r="16" spans="1:64" x14ac:dyDescent="0.2">
      <c r="B16" s="64" t="s">
        <v>238</v>
      </c>
      <c r="C16" s="262" t="s">
        <v>35</v>
      </c>
      <c r="D16" s="262" t="s">
        <v>121</v>
      </c>
      <c r="E16" s="262" t="s">
        <v>123</v>
      </c>
      <c r="F16" s="262" t="s">
        <v>36</v>
      </c>
      <c r="G16" s="262" t="s">
        <v>37</v>
      </c>
      <c r="H16" s="262" t="s">
        <v>38</v>
      </c>
      <c r="I16" s="262" t="s">
        <v>39</v>
      </c>
      <c r="J16" s="262" t="s">
        <v>125</v>
      </c>
      <c r="K16" s="262" t="s">
        <v>126</v>
      </c>
      <c r="L16" s="262" t="s">
        <v>127</v>
      </c>
      <c r="M16" s="263">
        <v>100000</v>
      </c>
      <c r="N16" s="264" t="s">
        <v>228</v>
      </c>
      <c r="O16" s="264" t="s">
        <v>228</v>
      </c>
      <c r="P16" s="264" t="s">
        <v>77</v>
      </c>
      <c r="Q16" s="13"/>
      <c r="R16" s="64" t="s">
        <v>238</v>
      </c>
      <c r="S16" s="262" t="s">
        <v>35</v>
      </c>
      <c r="T16" s="262" t="s">
        <v>121</v>
      </c>
      <c r="U16" s="262" t="s">
        <v>123</v>
      </c>
      <c r="V16" s="262" t="s">
        <v>36</v>
      </c>
      <c r="W16" s="262" t="s">
        <v>37</v>
      </c>
      <c r="X16" s="262" t="s">
        <v>38</v>
      </c>
      <c r="Y16" s="262" t="s">
        <v>39</v>
      </c>
      <c r="Z16" s="262" t="s">
        <v>125</v>
      </c>
      <c r="AA16" s="262" t="s">
        <v>126</v>
      </c>
      <c r="AB16" s="262" t="s">
        <v>127</v>
      </c>
      <c r="AC16" s="263">
        <v>100000</v>
      </c>
      <c r="AD16" s="264" t="s">
        <v>228</v>
      </c>
      <c r="AE16" s="264" t="s">
        <v>228</v>
      </c>
      <c r="AF16" s="264" t="s">
        <v>77</v>
      </c>
      <c r="AH16" s="64" t="s">
        <v>238</v>
      </c>
      <c r="AI16" s="262" t="s">
        <v>35</v>
      </c>
      <c r="AJ16" s="262" t="s">
        <v>121</v>
      </c>
      <c r="AK16" s="262" t="s">
        <v>123</v>
      </c>
      <c r="AL16" s="262" t="s">
        <v>36</v>
      </c>
      <c r="AM16" s="262" t="s">
        <v>37</v>
      </c>
      <c r="AN16" s="262" t="s">
        <v>38</v>
      </c>
      <c r="AO16" s="262" t="s">
        <v>39</v>
      </c>
      <c r="AP16" s="262" t="s">
        <v>125</v>
      </c>
      <c r="AQ16" s="262" t="s">
        <v>126</v>
      </c>
      <c r="AR16" s="262" t="s">
        <v>127</v>
      </c>
      <c r="AS16" s="263">
        <v>100000</v>
      </c>
      <c r="AT16" s="264" t="s">
        <v>228</v>
      </c>
      <c r="AU16" s="264" t="s">
        <v>228</v>
      </c>
      <c r="AV16" s="264" t="s">
        <v>77</v>
      </c>
      <c r="AW16" s="13"/>
      <c r="AX16" s="64" t="s">
        <v>238</v>
      </c>
      <c r="AY16" s="262" t="s">
        <v>35</v>
      </c>
      <c r="AZ16" s="262" t="s">
        <v>121</v>
      </c>
      <c r="BA16" s="262" t="s">
        <v>123</v>
      </c>
      <c r="BB16" s="262" t="s">
        <v>36</v>
      </c>
      <c r="BC16" s="262" t="s">
        <v>37</v>
      </c>
      <c r="BD16" s="262" t="s">
        <v>38</v>
      </c>
      <c r="BE16" s="262" t="s">
        <v>39</v>
      </c>
      <c r="BF16" s="262" t="s">
        <v>125</v>
      </c>
      <c r="BG16" s="262" t="s">
        <v>126</v>
      </c>
      <c r="BH16" s="262" t="s">
        <v>127</v>
      </c>
      <c r="BI16" s="263">
        <v>100000</v>
      </c>
      <c r="BJ16" s="264" t="s">
        <v>228</v>
      </c>
      <c r="BK16" s="264" t="s">
        <v>228</v>
      </c>
      <c r="BL16" s="264" t="s">
        <v>77</v>
      </c>
    </row>
    <row r="17" spans="2:64" x14ac:dyDescent="0.2">
      <c r="B17" s="65"/>
      <c r="C17" s="261" t="s">
        <v>120</v>
      </c>
      <c r="D17" s="261" t="s">
        <v>40</v>
      </c>
      <c r="E17" s="261" t="s">
        <v>40</v>
      </c>
      <c r="F17" s="261" t="s">
        <v>40</v>
      </c>
      <c r="G17" s="261" t="s">
        <v>40</v>
      </c>
      <c r="H17" s="261" t="s">
        <v>40</v>
      </c>
      <c r="I17" s="261" t="s">
        <v>40</v>
      </c>
      <c r="J17" s="261" t="s">
        <v>40</v>
      </c>
      <c r="K17" s="261" t="s">
        <v>40</v>
      </c>
      <c r="L17" s="261" t="s">
        <v>40</v>
      </c>
      <c r="M17" s="261" t="s">
        <v>43</v>
      </c>
      <c r="N17" s="12" t="s">
        <v>230</v>
      </c>
      <c r="O17" s="12" t="s">
        <v>138</v>
      </c>
      <c r="P17" s="12" t="s">
        <v>137</v>
      </c>
      <c r="Q17" s="13"/>
      <c r="R17" s="65"/>
      <c r="S17" s="261" t="s">
        <v>120</v>
      </c>
      <c r="T17" s="261" t="s">
        <v>40</v>
      </c>
      <c r="U17" s="261" t="s">
        <v>40</v>
      </c>
      <c r="V17" s="261" t="s">
        <v>40</v>
      </c>
      <c r="W17" s="261" t="s">
        <v>40</v>
      </c>
      <c r="X17" s="261" t="s">
        <v>40</v>
      </c>
      <c r="Y17" s="261" t="s">
        <v>40</v>
      </c>
      <c r="Z17" s="261" t="s">
        <v>40</v>
      </c>
      <c r="AA17" s="261" t="s">
        <v>40</v>
      </c>
      <c r="AB17" s="261" t="s">
        <v>40</v>
      </c>
      <c r="AC17" s="261" t="s">
        <v>43</v>
      </c>
      <c r="AD17" s="12" t="s">
        <v>230</v>
      </c>
      <c r="AE17" s="12" t="s">
        <v>138</v>
      </c>
      <c r="AF17" s="12" t="s">
        <v>137</v>
      </c>
      <c r="AH17" s="65"/>
      <c r="AI17" s="261" t="s">
        <v>120</v>
      </c>
      <c r="AJ17" s="261" t="s">
        <v>40</v>
      </c>
      <c r="AK17" s="261" t="s">
        <v>40</v>
      </c>
      <c r="AL17" s="261" t="s">
        <v>40</v>
      </c>
      <c r="AM17" s="261" t="s">
        <v>40</v>
      </c>
      <c r="AN17" s="261" t="s">
        <v>40</v>
      </c>
      <c r="AO17" s="261" t="s">
        <v>40</v>
      </c>
      <c r="AP17" s="261" t="s">
        <v>40</v>
      </c>
      <c r="AQ17" s="261" t="s">
        <v>40</v>
      </c>
      <c r="AR17" s="261" t="s">
        <v>40</v>
      </c>
      <c r="AS17" s="261" t="s">
        <v>43</v>
      </c>
      <c r="AT17" s="12" t="s">
        <v>230</v>
      </c>
      <c r="AU17" s="12" t="s">
        <v>138</v>
      </c>
      <c r="AV17" s="12" t="s">
        <v>137</v>
      </c>
      <c r="AW17" s="13"/>
      <c r="AX17" s="65"/>
      <c r="AY17" s="261" t="s">
        <v>120</v>
      </c>
      <c r="AZ17" s="261" t="s">
        <v>40</v>
      </c>
      <c r="BA17" s="261" t="s">
        <v>40</v>
      </c>
      <c r="BB17" s="261" t="s">
        <v>40</v>
      </c>
      <c r="BC17" s="261" t="s">
        <v>40</v>
      </c>
      <c r="BD17" s="261" t="s">
        <v>40</v>
      </c>
      <c r="BE17" s="261" t="s">
        <v>40</v>
      </c>
      <c r="BF17" s="261" t="s">
        <v>40</v>
      </c>
      <c r="BG17" s="261" t="s">
        <v>40</v>
      </c>
      <c r="BH17" s="261" t="s">
        <v>40</v>
      </c>
      <c r="BI17" s="261" t="s">
        <v>43</v>
      </c>
      <c r="BJ17" s="12" t="s">
        <v>230</v>
      </c>
      <c r="BK17" s="12" t="s">
        <v>138</v>
      </c>
      <c r="BL17" s="12" t="s">
        <v>137</v>
      </c>
    </row>
    <row r="18" spans="2:64" x14ac:dyDescent="0.2">
      <c r="B18" s="219"/>
      <c r="C18" s="265" t="s">
        <v>43</v>
      </c>
      <c r="D18" s="265" t="s">
        <v>122</v>
      </c>
      <c r="E18" s="265" t="s">
        <v>124</v>
      </c>
      <c r="F18" s="265" t="s">
        <v>44</v>
      </c>
      <c r="G18" s="265" t="s">
        <v>45</v>
      </c>
      <c r="H18" s="265" t="s">
        <v>46</v>
      </c>
      <c r="I18" s="265" t="s">
        <v>42</v>
      </c>
      <c r="J18" s="265" t="s">
        <v>128</v>
      </c>
      <c r="K18" s="265" t="s">
        <v>129</v>
      </c>
      <c r="L18" s="265" t="s">
        <v>130</v>
      </c>
      <c r="M18" s="265" t="s">
        <v>131</v>
      </c>
      <c r="N18" s="266" t="s">
        <v>138</v>
      </c>
      <c r="O18" s="266" t="s">
        <v>131</v>
      </c>
      <c r="P18" s="266" t="s">
        <v>41</v>
      </c>
      <c r="Q18" s="13"/>
      <c r="R18" s="219"/>
      <c r="S18" s="265" t="s">
        <v>43</v>
      </c>
      <c r="T18" s="265" t="s">
        <v>122</v>
      </c>
      <c r="U18" s="265" t="s">
        <v>124</v>
      </c>
      <c r="V18" s="265" t="s">
        <v>44</v>
      </c>
      <c r="W18" s="265" t="s">
        <v>45</v>
      </c>
      <c r="X18" s="265" t="s">
        <v>46</v>
      </c>
      <c r="Y18" s="265" t="s">
        <v>42</v>
      </c>
      <c r="Z18" s="265" t="s">
        <v>128</v>
      </c>
      <c r="AA18" s="265" t="s">
        <v>129</v>
      </c>
      <c r="AB18" s="265" t="s">
        <v>130</v>
      </c>
      <c r="AC18" s="265" t="s">
        <v>131</v>
      </c>
      <c r="AD18" s="266" t="s">
        <v>138</v>
      </c>
      <c r="AE18" s="266" t="s">
        <v>131</v>
      </c>
      <c r="AF18" s="266" t="s">
        <v>41</v>
      </c>
      <c r="AH18" s="219"/>
      <c r="AI18" s="265" t="s">
        <v>43</v>
      </c>
      <c r="AJ18" s="265" t="s">
        <v>122</v>
      </c>
      <c r="AK18" s="265" t="s">
        <v>124</v>
      </c>
      <c r="AL18" s="265" t="s">
        <v>44</v>
      </c>
      <c r="AM18" s="265" t="s">
        <v>45</v>
      </c>
      <c r="AN18" s="265" t="s">
        <v>46</v>
      </c>
      <c r="AO18" s="265" t="s">
        <v>42</v>
      </c>
      <c r="AP18" s="265" t="s">
        <v>128</v>
      </c>
      <c r="AQ18" s="265" t="s">
        <v>129</v>
      </c>
      <c r="AR18" s="265" t="s">
        <v>130</v>
      </c>
      <c r="AS18" s="265" t="s">
        <v>131</v>
      </c>
      <c r="AT18" s="266" t="s">
        <v>138</v>
      </c>
      <c r="AU18" s="266" t="s">
        <v>131</v>
      </c>
      <c r="AV18" s="266" t="s">
        <v>41</v>
      </c>
      <c r="AW18" s="13"/>
      <c r="AX18" s="219"/>
      <c r="AY18" s="265" t="s">
        <v>43</v>
      </c>
      <c r="AZ18" s="265" t="s">
        <v>122</v>
      </c>
      <c r="BA18" s="265" t="s">
        <v>124</v>
      </c>
      <c r="BB18" s="265" t="s">
        <v>44</v>
      </c>
      <c r="BC18" s="265" t="s">
        <v>45</v>
      </c>
      <c r="BD18" s="265" t="s">
        <v>46</v>
      </c>
      <c r="BE18" s="265" t="s">
        <v>42</v>
      </c>
      <c r="BF18" s="265" t="s">
        <v>128</v>
      </c>
      <c r="BG18" s="265" t="s">
        <v>129</v>
      </c>
      <c r="BH18" s="265" t="s">
        <v>130</v>
      </c>
      <c r="BI18" s="265" t="s">
        <v>131</v>
      </c>
      <c r="BJ18" s="266" t="s">
        <v>138</v>
      </c>
      <c r="BK18" s="266" t="s">
        <v>131</v>
      </c>
      <c r="BL18" s="266" t="s">
        <v>41</v>
      </c>
    </row>
    <row r="19" spans="2:64" ht="16.5" customHeight="1" x14ac:dyDescent="0.25">
      <c r="B19" s="606" t="s">
        <v>90</v>
      </c>
      <c r="C19" s="607">
        <v>1969.6913</v>
      </c>
      <c r="D19" s="607">
        <v>1444.9364</v>
      </c>
      <c r="E19" s="607">
        <v>1206.4350999999999</v>
      </c>
      <c r="F19" s="607">
        <v>1228.9396999999999</v>
      </c>
      <c r="G19" s="607">
        <v>1374.0451</v>
      </c>
      <c r="H19" s="607">
        <v>1515.1504</v>
      </c>
      <c r="I19" s="607">
        <v>1628.7926</v>
      </c>
      <c r="J19" s="607">
        <v>1743.6994999999999</v>
      </c>
      <c r="K19" s="607">
        <v>1930.0191</v>
      </c>
      <c r="L19" s="607">
        <v>2115.96</v>
      </c>
      <c r="M19" s="607">
        <v>2360.3687</v>
      </c>
      <c r="N19" s="608">
        <v>1398.0243</v>
      </c>
      <c r="O19" s="608">
        <v>2049.7620999999999</v>
      </c>
      <c r="P19" s="609">
        <v>1729.0967000000001</v>
      </c>
      <c r="Q19" s="13"/>
      <c r="R19" s="606" t="s">
        <v>90</v>
      </c>
      <c r="S19" s="607">
        <v>1847.6606999999999</v>
      </c>
      <c r="T19" s="607">
        <v>1349.8329000000001</v>
      </c>
      <c r="U19" s="607">
        <v>1128.5847000000001</v>
      </c>
      <c r="V19" s="607">
        <v>1152.9777999999999</v>
      </c>
      <c r="W19" s="607">
        <v>1299.7157</v>
      </c>
      <c r="X19" s="607">
        <v>1438.3449000000001</v>
      </c>
      <c r="Y19" s="607">
        <v>1545.6321</v>
      </c>
      <c r="Z19" s="607">
        <v>1659.2487000000001</v>
      </c>
      <c r="AA19" s="607">
        <v>1828.3920000000001</v>
      </c>
      <c r="AB19" s="607">
        <v>1982.0178000000001</v>
      </c>
      <c r="AC19" s="607">
        <v>2242.9011999999998</v>
      </c>
      <c r="AD19" s="608">
        <v>1319.5293999999999</v>
      </c>
      <c r="AE19" s="608">
        <v>1941.4869000000001</v>
      </c>
      <c r="AF19" s="609">
        <v>1635.4739</v>
      </c>
      <c r="AH19" s="606" t="s">
        <v>90</v>
      </c>
      <c r="AI19" s="607">
        <v>2043.2484999999999</v>
      </c>
      <c r="AJ19" s="607">
        <v>1466.3285000000001</v>
      </c>
      <c r="AK19" s="607">
        <v>1206.0528999999999</v>
      </c>
      <c r="AL19" s="607">
        <v>1211.0795000000001</v>
      </c>
      <c r="AM19" s="607">
        <v>1361.0479</v>
      </c>
      <c r="AN19" s="607">
        <v>1495.8686</v>
      </c>
      <c r="AO19" s="607">
        <v>1593.0592999999999</v>
      </c>
      <c r="AP19" s="607">
        <v>1718.9392</v>
      </c>
      <c r="AQ19" s="607">
        <v>1903.5441000000001</v>
      </c>
      <c r="AR19" s="607">
        <v>2117.2058000000002</v>
      </c>
      <c r="AS19" s="607">
        <v>2307.2968000000001</v>
      </c>
      <c r="AT19" s="608">
        <v>1379.4365</v>
      </c>
      <c r="AU19" s="608">
        <v>2020.6478999999999</v>
      </c>
      <c r="AV19" s="609">
        <v>1705.1617000000001</v>
      </c>
      <c r="AW19" s="13"/>
      <c r="AX19" s="606" t="s">
        <v>90</v>
      </c>
      <c r="AY19" s="607">
        <v>1945.3304000000001</v>
      </c>
      <c r="AZ19" s="607">
        <v>1392.2998</v>
      </c>
      <c r="BA19" s="607">
        <v>1147.1445000000001</v>
      </c>
      <c r="BB19" s="607">
        <v>1150.0897</v>
      </c>
      <c r="BC19" s="607">
        <v>1295.6811</v>
      </c>
      <c r="BD19" s="607">
        <v>1420.9582</v>
      </c>
      <c r="BE19" s="607">
        <v>1519.2641000000001</v>
      </c>
      <c r="BF19" s="607">
        <v>1636.6030000000001</v>
      </c>
      <c r="BG19" s="607">
        <v>1792.6628000000001</v>
      </c>
      <c r="BH19" s="607">
        <v>1965.1393</v>
      </c>
      <c r="BI19" s="607">
        <v>2087.1012000000001</v>
      </c>
      <c r="BJ19" s="608">
        <v>1312.3958</v>
      </c>
      <c r="BK19" s="608">
        <v>1876.3601000000001</v>
      </c>
      <c r="BL19" s="609">
        <v>1598.8806999999999</v>
      </c>
    </row>
    <row r="20" spans="2:64" ht="16.5" customHeight="1" x14ac:dyDescent="0.25">
      <c r="B20" s="610" t="s">
        <v>239</v>
      </c>
      <c r="C20" s="611">
        <v>1969.6913</v>
      </c>
      <c r="D20" s="611">
        <v>1444.9364</v>
      </c>
      <c r="E20" s="611">
        <v>1205.3073999999999</v>
      </c>
      <c r="F20" s="611">
        <v>1227.2101</v>
      </c>
      <c r="G20" s="611">
        <v>1369.4450999999999</v>
      </c>
      <c r="H20" s="611">
        <v>1507.2793999999999</v>
      </c>
      <c r="I20" s="611">
        <v>1612.5898</v>
      </c>
      <c r="J20" s="611">
        <v>1737.0309999999999</v>
      </c>
      <c r="K20" s="611">
        <v>1928.3400999999999</v>
      </c>
      <c r="L20" s="611">
        <v>2131.1048999999998</v>
      </c>
      <c r="M20" s="611">
        <v>2366.8971000000001</v>
      </c>
      <c r="N20" s="612">
        <v>1389.7592999999999</v>
      </c>
      <c r="O20" s="612">
        <v>2054.6432</v>
      </c>
      <c r="P20" s="613">
        <v>1720.2194999999999</v>
      </c>
      <c r="Q20" s="13"/>
      <c r="R20" s="610" t="s">
        <v>239</v>
      </c>
      <c r="S20" s="611">
        <v>1847.6606999999999</v>
      </c>
      <c r="T20" s="611">
        <v>1349.8329000000001</v>
      </c>
      <c r="U20" s="611">
        <v>1127.4691</v>
      </c>
      <c r="V20" s="611">
        <v>1151.1940999999999</v>
      </c>
      <c r="W20" s="611">
        <v>1294.9863</v>
      </c>
      <c r="X20" s="611">
        <v>1430.7016000000001</v>
      </c>
      <c r="Y20" s="611">
        <v>1528.8785</v>
      </c>
      <c r="Z20" s="611">
        <v>1650.6224999999999</v>
      </c>
      <c r="AA20" s="611">
        <v>1825.4068</v>
      </c>
      <c r="AB20" s="611">
        <v>1995.0653</v>
      </c>
      <c r="AC20" s="611">
        <v>2250.4139</v>
      </c>
      <c r="AD20" s="612">
        <v>1311.1458</v>
      </c>
      <c r="AE20" s="612">
        <v>1945.6006</v>
      </c>
      <c r="AF20" s="613">
        <v>1626.4820999999999</v>
      </c>
      <c r="AH20" s="610" t="s">
        <v>239</v>
      </c>
      <c r="AI20" s="611">
        <v>2043.2484999999999</v>
      </c>
      <c r="AJ20" s="611">
        <v>1466.3285000000001</v>
      </c>
      <c r="AK20" s="611">
        <v>1204.4393</v>
      </c>
      <c r="AL20" s="611">
        <v>1209.1994999999999</v>
      </c>
      <c r="AM20" s="611">
        <v>1355.4122</v>
      </c>
      <c r="AN20" s="611">
        <v>1487.2014999999999</v>
      </c>
      <c r="AO20" s="611">
        <v>1573.0014000000001</v>
      </c>
      <c r="AP20" s="611">
        <v>1708.4284</v>
      </c>
      <c r="AQ20" s="611">
        <v>1899.5868</v>
      </c>
      <c r="AR20" s="611">
        <v>2134.2433999999998</v>
      </c>
      <c r="AS20" s="611">
        <v>2314.2383</v>
      </c>
      <c r="AT20" s="612">
        <v>1369.9717000000001</v>
      </c>
      <c r="AU20" s="612">
        <v>2023.9751000000001</v>
      </c>
      <c r="AV20" s="613">
        <v>1695.0241000000001</v>
      </c>
      <c r="AW20" s="13"/>
      <c r="AX20" s="610" t="s">
        <v>239</v>
      </c>
      <c r="AY20" s="611">
        <v>1945.3304000000001</v>
      </c>
      <c r="AZ20" s="611">
        <v>1392.2998</v>
      </c>
      <c r="BA20" s="611">
        <v>1145.5153</v>
      </c>
      <c r="BB20" s="611">
        <v>1148.1116999999999</v>
      </c>
      <c r="BC20" s="611">
        <v>1289.9047</v>
      </c>
      <c r="BD20" s="611">
        <v>1412.171</v>
      </c>
      <c r="BE20" s="611">
        <v>1500.3408999999999</v>
      </c>
      <c r="BF20" s="611">
        <v>1623.7616</v>
      </c>
      <c r="BG20" s="611">
        <v>1786.895</v>
      </c>
      <c r="BH20" s="611">
        <v>1971.0324000000001</v>
      </c>
      <c r="BI20" s="611">
        <v>2091.4503</v>
      </c>
      <c r="BJ20" s="612">
        <v>1303.1943000000001</v>
      </c>
      <c r="BK20" s="612">
        <v>1875.3469</v>
      </c>
      <c r="BL20" s="613">
        <v>1587.5652</v>
      </c>
    </row>
    <row r="21" spans="2:64" ht="16.5" customHeight="1" x14ac:dyDescent="0.25">
      <c r="B21" s="614" t="s">
        <v>501</v>
      </c>
      <c r="C21" s="615"/>
      <c r="D21" s="615"/>
      <c r="E21" s="615"/>
      <c r="F21" s="615"/>
      <c r="G21" s="615"/>
      <c r="H21" s="615"/>
      <c r="I21" s="615"/>
      <c r="J21" s="615"/>
      <c r="K21" s="615"/>
      <c r="L21" s="615"/>
      <c r="M21" s="615"/>
      <c r="N21" s="616"/>
      <c r="O21" s="616"/>
      <c r="P21" s="617"/>
      <c r="Q21" s="13"/>
      <c r="R21" s="614" t="s">
        <v>501</v>
      </c>
      <c r="S21" s="615"/>
      <c r="T21" s="615"/>
      <c r="U21" s="615"/>
      <c r="V21" s="615"/>
      <c r="W21" s="615"/>
      <c r="X21" s="615"/>
      <c r="Y21" s="615"/>
      <c r="Z21" s="615"/>
      <c r="AA21" s="615"/>
      <c r="AB21" s="615"/>
      <c r="AC21" s="615"/>
      <c r="AD21" s="616"/>
      <c r="AE21" s="616"/>
      <c r="AF21" s="617"/>
      <c r="AH21" s="614" t="s">
        <v>501</v>
      </c>
      <c r="AI21" s="615"/>
      <c r="AJ21" s="615"/>
      <c r="AK21" s="615"/>
      <c r="AL21" s="615"/>
      <c r="AM21" s="615"/>
      <c r="AN21" s="615"/>
      <c r="AO21" s="615"/>
      <c r="AP21" s="615"/>
      <c r="AQ21" s="615"/>
      <c r="AR21" s="615"/>
      <c r="AS21" s="615"/>
      <c r="AT21" s="616"/>
      <c r="AU21" s="616"/>
      <c r="AV21" s="617"/>
      <c r="AW21" s="13"/>
      <c r="AX21" s="614" t="s">
        <v>501</v>
      </c>
      <c r="AY21" s="615"/>
      <c r="AZ21" s="615"/>
      <c r="BA21" s="615"/>
      <c r="BB21" s="615"/>
      <c r="BC21" s="615"/>
      <c r="BD21" s="615"/>
      <c r="BE21" s="615"/>
      <c r="BF21" s="615"/>
      <c r="BG21" s="615"/>
      <c r="BH21" s="615"/>
      <c r="BI21" s="615"/>
      <c r="BJ21" s="616"/>
      <c r="BK21" s="616"/>
      <c r="BL21" s="617"/>
    </row>
    <row r="22" spans="2:64" ht="16.5" customHeight="1" x14ac:dyDescent="0.25">
      <c r="B22" s="618" t="s">
        <v>763</v>
      </c>
      <c r="C22" s="619">
        <v>2964.7248</v>
      </c>
      <c r="D22" s="619">
        <v>2148.5385000000001</v>
      </c>
      <c r="E22" s="619">
        <v>1830.1481000000001</v>
      </c>
      <c r="F22" s="619">
        <v>1444.7863</v>
      </c>
      <c r="G22" s="619">
        <v>1562.9570000000001</v>
      </c>
      <c r="H22" s="619">
        <v>1664.19</v>
      </c>
      <c r="I22" s="619">
        <v>1682.6280999999999</v>
      </c>
      <c r="J22" s="619">
        <v>1704.9059999999999</v>
      </c>
      <c r="K22" s="619">
        <v>1741.88</v>
      </c>
      <c r="L22" s="619">
        <v>2110.6217999999999</v>
      </c>
      <c r="M22" s="619">
        <v>1764.2293</v>
      </c>
      <c r="N22" s="620">
        <v>1594.6858</v>
      </c>
      <c r="O22" s="620">
        <v>1767.1378</v>
      </c>
      <c r="P22" s="621">
        <v>1666.9360999999999</v>
      </c>
      <c r="Q22" s="13"/>
      <c r="R22" s="618" t="s">
        <v>763</v>
      </c>
      <c r="S22" s="619">
        <v>2775.3551000000002</v>
      </c>
      <c r="T22" s="619">
        <v>1991.9508000000001</v>
      </c>
      <c r="U22" s="619">
        <v>1699.2387000000001</v>
      </c>
      <c r="V22" s="619">
        <v>1346.1690000000001</v>
      </c>
      <c r="W22" s="619">
        <v>1467.7055</v>
      </c>
      <c r="X22" s="619">
        <v>1571.79</v>
      </c>
      <c r="Y22" s="619">
        <v>1589.48</v>
      </c>
      <c r="Z22" s="619">
        <v>1616.3434999999999</v>
      </c>
      <c r="AA22" s="619">
        <v>1658.5505000000001</v>
      </c>
      <c r="AB22" s="619">
        <v>1992.3357000000001</v>
      </c>
      <c r="AC22" s="619">
        <v>1675.3936000000001</v>
      </c>
      <c r="AD22" s="620">
        <v>1495.7537</v>
      </c>
      <c r="AE22" s="620">
        <v>1677.9445000000001</v>
      </c>
      <c r="AF22" s="621">
        <v>1572.0842</v>
      </c>
      <c r="AH22" s="618" t="s">
        <v>763</v>
      </c>
      <c r="AI22" s="619">
        <v>3120.9371000000001</v>
      </c>
      <c r="AJ22" s="619">
        <v>2180.0708</v>
      </c>
      <c r="AK22" s="619">
        <v>1789.9555</v>
      </c>
      <c r="AL22" s="619">
        <v>1421.6362999999999</v>
      </c>
      <c r="AM22" s="619">
        <v>1607.0835</v>
      </c>
      <c r="AN22" s="619">
        <v>1595.6324999999999</v>
      </c>
      <c r="AO22" s="619">
        <v>1633.2954999999999</v>
      </c>
      <c r="AP22" s="619">
        <v>1687.454</v>
      </c>
      <c r="AQ22" s="619">
        <v>1712.4937</v>
      </c>
      <c r="AR22" s="619">
        <v>2024.6261999999999</v>
      </c>
      <c r="AS22" s="619">
        <v>1757.0992000000001</v>
      </c>
      <c r="AT22" s="620">
        <v>1572.4453000000001</v>
      </c>
      <c r="AU22" s="620">
        <v>1745.107</v>
      </c>
      <c r="AV22" s="621">
        <v>1644.7834</v>
      </c>
      <c r="AW22" s="13"/>
      <c r="AX22" s="618" t="s">
        <v>763</v>
      </c>
      <c r="AY22" s="619">
        <v>3008.8625999999999</v>
      </c>
      <c r="AZ22" s="619">
        <v>2094.4618</v>
      </c>
      <c r="BA22" s="619">
        <v>1677.5059000000001</v>
      </c>
      <c r="BB22" s="619">
        <v>1331.0134</v>
      </c>
      <c r="BC22" s="619">
        <v>1539.4676999999999</v>
      </c>
      <c r="BD22" s="619">
        <v>1523.8098</v>
      </c>
      <c r="BE22" s="619">
        <v>1542.3967</v>
      </c>
      <c r="BF22" s="619">
        <v>1599.8277</v>
      </c>
      <c r="BG22" s="619">
        <v>1588.825</v>
      </c>
      <c r="BH22" s="619">
        <v>1946.0644</v>
      </c>
      <c r="BI22" s="619">
        <v>1668.1739</v>
      </c>
      <c r="BJ22" s="620">
        <v>1486.9799</v>
      </c>
      <c r="BK22" s="620">
        <v>1646.7583</v>
      </c>
      <c r="BL22" s="621">
        <v>1553.9204999999999</v>
      </c>
    </row>
    <row r="23" spans="2:64" ht="16.5" customHeight="1" x14ac:dyDescent="0.25">
      <c r="B23" s="622" t="s">
        <v>764</v>
      </c>
      <c r="C23" s="623">
        <v>1606.9612</v>
      </c>
      <c r="D23" s="623">
        <v>1307.2562</v>
      </c>
      <c r="E23" s="623">
        <v>1070.1376</v>
      </c>
      <c r="F23" s="623">
        <v>1136.1083000000001</v>
      </c>
      <c r="G23" s="623">
        <v>1236.8685</v>
      </c>
      <c r="H23" s="623">
        <v>1580.9762000000001</v>
      </c>
      <c r="I23" s="623">
        <v>1507.1868999999999</v>
      </c>
      <c r="J23" s="623">
        <v>1661.383</v>
      </c>
      <c r="K23" s="623">
        <v>1988.6621</v>
      </c>
      <c r="L23" s="623" t="s">
        <v>102</v>
      </c>
      <c r="M23" s="623">
        <v>1581.1365000000001</v>
      </c>
      <c r="N23" s="624">
        <v>1244.1316999999999</v>
      </c>
      <c r="O23" s="624">
        <v>1767.9459999999999</v>
      </c>
      <c r="P23" s="609">
        <v>1382.7242000000001</v>
      </c>
      <c r="Q23" s="13"/>
      <c r="R23" s="622" t="s">
        <v>764</v>
      </c>
      <c r="S23" s="623">
        <v>1515.4237000000001</v>
      </c>
      <c r="T23" s="623">
        <v>1218.2722000000001</v>
      </c>
      <c r="U23" s="623">
        <v>992.8492</v>
      </c>
      <c r="V23" s="623">
        <v>1050.8607</v>
      </c>
      <c r="W23" s="623">
        <v>1168.9278999999999</v>
      </c>
      <c r="X23" s="623">
        <v>1491.9735000000001</v>
      </c>
      <c r="Y23" s="623">
        <v>1423.1587999999999</v>
      </c>
      <c r="Z23" s="623">
        <v>1571.0464999999999</v>
      </c>
      <c r="AA23" s="623">
        <v>1845.845</v>
      </c>
      <c r="AB23" s="623" t="s">
        <v>102</v>
      </c>
      <c r="AC23" s="623">
        <v>1501.4541999999999</v>
      </c>
      <c r="AD23" s="624">
        <v>1162.0256999999999</v>
      </c>
      <c r="AE23" s="624">
        <v>1659.6912</v>
      </c>
      <c r="AF23" s="609">
        <v>1293.6995999999999</v>
      </c>
      <c r="AH23" s="622" t="s">
        <v>764</v>
      </c>
      <c r="AI23" s="623">
        <v>1697.0174999999999</v>
      </c>
      <c r="AJ23" s="623">
        <v>1297.9989</v>
      </c>
      <c r="AK23" s="623">
        <v>1089.4842000000001</v>
      </c>
      <c r="AL23" s="623">
        <v>1116.4059</v>
      </c>
      <c r="AM23" s="623">
        <v>1273.4867999999999</v>
      </c>
      <c r="AN23" s="623">
        <v>1591.3034</v>
      </c>
      <c r="AO23" s="623">
        <v>1481.1206999999999</v>
      </c>
      <c r="AP23" s="623">
        <v>1621.4908</v>
      </c>
      <c r="AQ23" s="623">
        <v>1994.8189</v>
      </c>
      <c r="AR23" s="623" t="s">
        <v>102</v>
      </c>
      <c r="AS23" s="623">
        <v>1514.4151999999999</v>
      </c>
      <c r="AT23" s="624">
        <v>1242.2280000000001</v>
      </c>
      <c r="AU23" s="624">
        <v>1737.2183</v>
      </c>
      <c r="AV23" s="609">
        <v>1373.1940999999999</v>
      </c>
      <c r="AW23" s="13"/>
      <c r="AX23" s="622" t="s">
        <v>764</v>
      </c>
      <c r="AY23" s="623">
        <v>1590.9448</v>
      </c>
      <c r="AZ23" s="623">
        <v>1238.4493</v>
      </c>
      <c r="BA23" s="623">
        <v>1031.1805999999999</v>
      </c>
      <c r="BB23" s="623">
        <v>1052.3686</v>
      </c>
      <c r="BC23" s="623">
        <v>1192.8423</v>
      </c>
      <c r="BD23" s="623">
        <v>1527.2523000000001</v>
      </c>
      <c r="BE23" s="623">
        <v>1435.6955</v>
      </c>
      <c r="BF23" s="623">
        <v>1500.1383000000001</v>
      </c>
      <c r="BG23" s="623">
        <v>1811.1581000000001</v>
      </c>
      <c r="BH23" s="623" t="s">
        <v>102</v>
      </c>
      <c r="BI23" s="623">
        <v>1501.0821000000001</v>
      </c>
      <c r="BJ23" s="624">
        <v>1179.4090000000001</v>
      </c>
      <c r="BK23" s="624">
        <v>1630.3706999999999</v>
      </c>
      <c r="BL23" s="609">
        <v>1298.7257999999999</v>
      </c>
    </row>
    <row r="24" spans="2:64" ht="16.5" customHeight="1" x14ac:dyDescent="0.25">
      <c r="B24" s="618" t="s">
        <v>51</v>
      </c>
      <c r="C24" s="619">
        <v>2105.9218999999998</v>
      </c>
      <c r="D24" s="619">
        <v>2454.4929999999999</v>
      </c>
      <c r="E24" s="619">
        <v>1355.5742</v>
      </c>
      <c r="F24" s="619">
        <v>1238.8715</v>
      </c>
      <c r="G24" s="619">
        <v>1343.3054999999999</v>
      </c>
      <c r="H24" s="619">
        <v>1445.0373999999999</v>
      </c>
      <c r="I24" s="619">
        <v>1515.0016000000001</v>
      </c>
      <c r="J24" s="619">
        <v>1590.3969999999999</v>
      </c>
      <c r="K24" s="619">
        <v>1861.4799</v>
      </c>
      <c r="L24" s="619">
        <v>1709.0785000000001</v>
      </c>
      <c r="M24" s="619">
        <v>1543.0809999999999</v>
      </c>
      <c r="N24" s="620">
        <v>1382.0852</v>
      </c>
      <c r="O24" s="620">
        <v>1640.1433</v>
      </c>
      <c r="P24" s="621">
        <v>1469.4666999999999</v>
      </c>
      <c r="Q24" s="13"/>
      <c r="R24" s="618" t="s">
        <v>51</v>
      </c>
      <c r="S24" s="619">
        <v>2041.8193000000001</v>
      </c>
      <c r="T24" s="619">
        <v>2333.3838999999998</v>
      </c>
      <c r="U24" s="619">
        <v>1258.1962000000001</v>
      </c>
      <c r="V24" s="619">
        <v>1162.7734</v>
      </c>
      <c r="W24" s="619">
        <v>1265.9169999999999</v>
      </c>
      <c r="X24" s="619">
        <v>1371.2028</v>
      </c>
      <c r="Y24" s="619">
        <v>1425.8703</v>
      </c>
      <c r="Z24" s="619">
        <v>1485.8373999999999</v>
      </c>
      <c r="AA24" s="619">
        <v>1743.1468</v>
      </c>
      <c r="AB24" s="619">
        <v>1599.1020000000001</v>
      </c>
      <c r="AC24" s="619">
        <v>1465.4682</v>
      </c>
      <c r="AD24" s="620">
        <v>1301.9342999999999</v>
      </c>
      <c r="AE24" s="620">
        <v>1540.8806</v>
      </c>
      <c r="AF24" s="621">
        <v>1382.8443</v>
      </c>
      <c r="AH24" s="618" t="s">
        <v>51</v>
      </c>
      <c r="AI24" s="619">
        <v>2348.3035</v>
      </c>
      <c r="AJ24" s="619">
        <v>2100.3944000000001</v>
      </c>
      <c r="AK24" s="619">
        <v>1390.5342000000001</v>
      </c>
      <c r="AL24" s="619">
        <v>1197.2348999999999</v>
      </c>
      <c r="AM24" s="619">
        <v>1296.8435999999999</v>
      </c>
      <c r="AN24" s="619">
        <v>1424.5768</v>
      </c>
      <c r="AO24" s="619">
        <v>1481.1567</v>
      </c>
      <c r="AP24" s="619">
        <v>1578.1699000000001</v>
      </c>
      <c r="AQ24" s="619">
        <v>1881.6684</v>
      </c>
      <c r="AR24" s="619">
        <v>1713.1293000000001</v>
      </c>
      <c r="AS24" s="619">
        <v>1503.2394999999999</v>
      </c>
      <c r="AT24" s="620">
        <v>1346.8735999999999</v>
      </c>
      <c r="AU24" s="620">
        <v>1627.2706000000001</v>
      </c>
      <c r="AV24" s="621">
        <v>1441.8193000000001</v>
      </c>
      <c r="AW24" s="13"/>
      <c r="AX24" s="618" t="s">
        <v>51</v>
      </c>
      <c r="AY24" s="619">
        <v>2345.4187999999999</v>
      </c>
      <c r="AZ24" s="619">
        <v>2073.0194000000001</v>
      </c>
      <c r="BA24" s="619">
        <v>1303.4919</v>
      </c>
      <c r="BB24" s="619">
        <v>1138.3173999999999</v>
      </c>
      <c r="BC24" s="619">
        <v>1238.3725999999999</v>
      </c>
      <c r="BD24" s="619">
        <v>1318.7579000000001</v>
      </c>
      <c r="BE24" s="619">
        <v>1395.9667999999999</v>
      </c>
      <c r="BF24" s="619">
        <v>1431.8424</v>
      </c>
      <c r="BG24" s="619">
        <v>1713.3589999999999</v>
      </c>
      <c r="BH24" s="619">
        <v>1583.6474000000001</v>
      </c>
      <c r="BI24" s="619">
        <v>1433.2218</v>
      </c>
      <c r="BJ24" s="620">
        <v>1271.4143999999999</v>
      </c>
      <c r="BK24" s="620">
        <v>1503.8107</v>
      </c>
      <c r="BL24" s="621">
        <v>1350.1065000000001</v>
      </c>
    </row>
    <row r="25" spans="2:64" ht="16.5" customHeight="1" x14ac:dyDescent="0.25">
      <c r="B25" s="622" t="s">
        <v>765</v>
      </c>
      <c r="C25" s="623">
        <v>1451.8889999999999</v>
      </c>
      <c r="D25" s="623">
        <v>1222.8489</v>
      </c>
      <c r="E25" s="623">
        <v>1072.4602</v>
      </c>
      <c r="F25" s="623">
        <v>1109.2427</v>
      </c>
      <c r="G25" s="623">
        <v>1268.6291000000001</v>
      </c>
      <c r="H25" s="623">
        <v>1397.8518999999999</v>
      </c>
      <c r="I25" s="623">
        <v>1515.1886999999999</v>
      </c>
      <c r="J25" s="623">
        <v>1725.797</v>
      </c>
      <c r="K25" s="623">
        <v>2041.6067</v>
      </c>
      <c r="L25" s="623">
        <v>1894.4427000000001</v>
      </c>
      <c r="M25" s="623">
        <v>1789.6188</v>
      </c>
      <c r="N25" s="624">
        <v>1240.617</v>
      </c>
      <c r="O25" s="624">
        <v>1856.3015</v>
      </c>
      <c r="P25" s="609">
        <v>1457.4559999999999</v>
      </c>
      <c r="Q25" s="13"/>
      <c r="R25" s="622" t="s">
        <v>765</v>
      </c>
      <c r="S25" s="623">
        <v>1404.8137999999999</v>
      </c>
      <c r="T25" s="623">
        <v>1166.2853</v>
      </c>
      <c r="U25" s="623">
        <v>1018.4193</v>
      </c>
      <c r="V25" s="623">
        <v>1048.73</v>
      </c>
      <c r="W25" s="623">
        <v>1208.9186999999999</v>
      </c>
      <c r="X25" s="623">
        <v>1335.3511000000001</v>
      </c>
      <c r="Y25" s="623">
        <v>1427.1735000000001</v>
      </c>
      <c r="Z25" s="623">
        <v>1652.4015999999999</v>
      </c>
      <c r="AA25" s="623">
        <v>1930.0035</v>
      </c>
      <c r="AB25" s="623">
        <v>1703.1741999999999</v>
      </c>
      <c r="AC25" s="623">
        <v>1659.655</v>
      </c>
      <c r="AD25" s="624">
        <v>1176.0052000000001</v>
      </c>
      <c r="AE25" s="624">
        <v>1746.539</v>
      </c>
      <c r="AF25" s="609">
        <v>1376.9425000000001</v>
      </c>
      <c r="AH25" s="622" t="s">
        <v>765</v>
      </c>
      <c r="AI25" s="623">
        <v>1565.1628000000001</v>
      </c>
      <c r="AJ25" s="623">
        <v>1260.9792</v>
      </c>
      <c r="AK25" s="623">
        <v>1073.5904</v>
      </c>
      <c r="AL25" s="623">
        <v>1095.5600999999999</v>
      </c>
      <c r="AM25" s="623">
        <v>1271.8202000000001</v>
      </c>
      <c r="AN25" s="623">
        <v>1354.6574000000001</v>
      </c>
      <c r="AO25" s="623">
        <v>1480.9493</v>
      </c>
      <c r="AP25" s="623">
        <v>1735.0420999999999</v>
      </c>
      <c r="AQ25" s="623">
        <v>1971.7338</v>
      </c>
      <c r="AR25" s="623">
        <v>1767.7197000000001</v>
      </c>
      <c r="AS25" s="623">
        <v>1809.8806</v>
      </c>
      <c r="AT25" s="624">
        <v>1225.6603</v>
      </c>
      <c r="AU25" s="624">
        <v>1833.7585999999999</v>
      </c>
      <c r="AV25" s="609">
        <v>1439.8275000000001</v>
      </c>
      <c r="AW25" s="13"/>
      <c r="AX25" s="622" t="s">
        <v>765</v>
      </c>
      <c r="AY25" s="623">
        <v>1564.8203000000001</v>
      </c>
      <c r="AZ25" s="623">
        <v>1220.8023000000001</v>
      </c>
      <c r="BA25" s="623">
        <v>1033.5066999999999</v>
      </c>
      <c r="BB25" s="623">
        <v>1054.8959</v>
      </c>
      <c r="BC25" s="623">
        <v>1229.8061</v>
      </c>
      <c r="BD25" s="623">
        <v>1294.2891</v>
      </c>
      <c r="BE25" s="623">
        <v>1416.002</v>
      </c>
      <c r="BF25" s="623">
        <v>1669.6098</v>
      </c>
      <c r="BG25" s="623">
        <v>1821.5295000000001</v>
      </c>
      <c r="BH25" s="623">
        <v>1691.6429000000001</v>
      </c>
      <c r="BI25" s="623">
        <v>1684.3882000000001</v>
      </c>
      <c r="BJ25" s="624">
        <v>1178.3670999999999</v>
      </c>
      <c r="BK25" s="624">
        <v>1723.7427</v>
      </c>
      <c r="BL25" s="609">
        <v>1370.4439</v>
      </c>
    </row>
    <row r="26" spans="2:64" ht="16.5" customHeight="1" x14ac:dyDescent="0.25">
      <c r="B26" s="618" t="s">
        <v>54</v>
      </c>
      <c r="C26" s="619">
        <v>4705.7493000000004</v>
      </c>
      <c r="D26" s="619">
        <v>3635.5886999999998</v>
      </c>
      <c r="E26" s="619">
        <v>2615.9385000000002</v>
      </c>
      <c r="F26" s="619">
        <v>1995.3037999999999</v>
      </c>
      <c r="G26" s="619">
        <v>1928.3824999999999</v>
      </c>
      <c r="H26" s="619">
        <v>2041.5463999999999</v>
      </c>
      <c r="I26" s="619">
        <v>1822.549</v>
      </c>
      <c r="J26" s="619">
        <v>3804.9272000000001</v>
      </c>
      <c r="K26" s="619">
        <v>1737.9063000000001</v>
      </c>
      <c r="L26" s="619">
        <v>2040.9266</v>
      </c>
      <c r="M26" s="619" t="s">
        <v>102</v>
      </c>
      <c r="N26" s="620">
        <v>2171.3404999999998</v>
      </c>
      <c r="O26" s="620">
        <v>2078.7132000000001</v>
      </c>
      <c r="P26" s="621">
        <v>2135.7696999999998</v>
      </c>
      <c r="Q26" s="13"/>
      <c r="R26" s="618" t="s">
        <v>54</v>
      </c>
      <c r="S26" s="619">
        <v>4366.7664000000004</v>
      </c>
      <c r="T26" s="619">
        <v>3448.3060999999998</v>
      </c>
      <c r="U26" s="619">
        <v>2475.3204000000001</v>
      </c>
      <c r="V26" s="619">
        <v>1909.6132</v>
      </c>
      <c r="W26" s="619">
        <v>1864.1875</v>
      </c>
      <c r="X26" s="619">
        <v>1947.9783</v>
      </c>
      <c r="Y26" s="619">
        <v>1784.3163999999999</v>
      </c>
      <c r="Z26" s="619">
        <v>3637.0412000000001</v>
      </c>
      <c r="AA26" s="619">
        <v>1670.6420000000001</v>
      </c>
      <c r="AB26" s="619">
        <v>1863.046</v>
      </c>
      <c r="AC26" s="619" t="s">
        <v>102</v>
      </c>
      <c r="AD26" s="620">
        <v>2081.7957000000001</v>
      </c>
      <c r="AE26" s="620">
        <v>1942.0139999999999</v>
      </c>
      <c r="AF26" s="621">
        <v>2028.1166000000001</v>
      </c>
      <c r="AH26" s="618" t="s">
        <v>54</v>
      </c>
      <c r="AI26" s="619">
        <v>4843.4399999999996</v>
      </c>
      <c r="AJ26" s="619">
        <v>3638.6401999999998</v>
      </c>
      <c r="AK26" s="619">
        <v>2672.5940000000001</v>
      </c>
      <c r="AL26" s="619">
        <v>2197.9965999999999</v>
      </c>
      <c r="AM26" s="619">
        <v>1890.3254999999999</v>
      </c>
      <c r="AN26" s="619">
        <v>2153.2919000000002</v>
      </c>
      <c r="AO26" s="619">
        <v>1777.2617</v>
      </c>
      <c r="AP26" s="619">
        <v>3769.4067</v>
      </c>
      <c r="AQ26" s="619">
        <v>1839.8418999999999</v>
      </c>
      <c r="AR26" s="619">
        <v>2006.6878999999999</v>
      </c>
      <c r="AS26" s="619" t="s">
        <v>102</v>
      </c>
      <c r="AT26" s="620">
        <v>2231.6781999999998</v>
      </c>
      <c r="AU26" s="620">
        <v>2094.0286999999998</v>
      </c>
      <c r="AV26" s="621">
        <v>2178.8179</v>
      </c>
      <c r="AW26" s="13"/>
      <c r="AX26" s="618" t="s">
        <v>54</v>
      </c>
      <c r="AY26" s="619">
        <v>4710.3572000000004</v>
      </c>
      <c r="AZ26" s="619">
        <v>3324.8960000000002</v>
      </c>
      <c r="BA26" s="619">
        <v>2538.1039999999998</v>
      </c>
      <c r="BB26" s="619">
        <v>2030.4487999999999</v>
      </c>
      <c r="BC26" s="619">
        <v>1820.8571999999999</v>
      </c>
      <c r="BD26" s="619">
        <v>1699.7516000000001</v>
      </c>
      <c r="BE26" s="619">
        <v>1643.8567</v>
      </c>
      <c r="BF26" s="619">
        <v>3505.5180999999998</v>
      </c>
      <c r="BG26" s="619">
        <v>1839.7810999999999</v>
      </c>
      <c r="BH26" s="619">
        <v>1864.5808</v>
      </c>
      <c r="BI26" s="619" t="s">
        <v>102</v>
      </c>
      <c r="BJ26" s="620">
        <v>2059.5169000000001</v>
      </c>
      <c r="BK26" s="620">
        <v>1993.4872</v>
      </c>
      <c r="BL26" s="621">
        <v>2034.1601000000001</v>
      </c>
    </row>
    <row r="27" spans="2:64" ht="16.5" customHeight="1" x14ac:dyDescent="0.25">
      <c r="B27" s="622" t="s">
        <v>132</v>
      </c>
      <c r="C27" s="623">
        <v>1628.1818000000001</v>
      </c>
      <c r="D27" s="623">
        <v>1255.2054000000001</v>
      </c>
      <c r="E27" s="623">
        <v>1088.8308</v>
      </c>
      <c r="F27" s="623">
        <v>1120.521</v>
      </c>
      <c r="G27" s="623">
        <v>1255.3902</v>
      </c>
      <c r="H27" s="623">
        <v>1345.0852</v>
      </c>
      <c r="I27" s="623">
        <v>1494.1144999999999</v>
      </c>
      <c r="J27" s="623">
        <v>1461.2329999999999</v>
      </c>
      <c r="K27" s="623">
        <v>1671.8191999999999</v>
      </c>
      <c r="L27" s="623">
        <v>1971.8268</v>
      </c>
      <c r="M27" s="623">
        <v>1905.1789000000001</v>
      </c>
      <c r="N27" s="624">
        <v>1246.9867999999999</v>
      </c>
      <c r="O27" s="624">
        <v>1713.33</v>
      </c>
      <c r="P27" s="609">
        <v>1419.4583</v>
      </c>
      <c r="Q27" s="13"/>
      <c r="R27" s="622" t="s">
        <v>132</v>
      </c>
      <c r="S27" s="623">
        <v>1515.65</v>
      </c>
      <c r="T27" s="623">
        <v>1167.2826</v>
      </c>
      <c r="U27" s="623">
        <v>1013.4693</v>
      </c>
      <c r="V27" s="623">
        <v>1046.6748</v>
      </c>
      <c r="W27" s="623">
        <v>1181.8155999999999</v>
      </c>
      <c r="X27" s="623">
        <v>1276.2422999999999</v>
      </c>
      <c r="Y27" s="623">
        <v>1410.4435000000001</v>
      </c>
      <c r="Z27" s="623">
        <v>1385.0319999999999</v>
      </c>
      <c r="AA27" s="623">
        <v>1556.8136999999999</v>
      </c>
      <c r="AB27" s="623">
        <v>1865.2284999999999</v>
      </c>
      <c r="AC27" s="623">
        <v>1774.9195</v>
      </c>
      <c r="AD27" s="624">
        <v>1170.4532999999999</v>
      </c>
      <c r="AE27" s="624">
        <v>1605.4666</v>
      </c>
      <c r="AF27" s="609">
        <v>1331.3378</v>
      </c>
      <c r="AH27" s="622" t="s">
        <v>132</v>
      </c>
      <c r="AI27" s="623">
        <v>1656.3979999999999</v>
      </c>
      <c r="AJ27" s="623">
        <v>1322.8603000000001</v>
      </c>
      <c r="AK27" s="623">
        <v>1085.8368</v>
      </c>
      <c r="AL27" s="623">
        <v>1107.2</v>
      </c>
      <c r="AM27" s="623">
        <v>1218.5495000000001</v>
      </c>
      <c r="AN27" s="623">
        <v>1332.2408</v>
      </c>
      <c r="AO27" s="623">
        <v>1434.8237999999999</v>
      </c>
      <c r="AP27" s="623">
        <v>1424.0202999999999</v>
      </c>
      <c r="AQ27" s="623">
        <v>1671.5175999999999</v>
      </c>
      <c r="AR27" s="623">
        <v>2057.8497000000002</v>
      </c>
      <c r="AS27" s="623">
        <v>1878.3897999999999</v>
      </c>
      <c r="AT27" s="624">
        <v>1226.3622</v>
      </c>
      <c r="AU27" s="624">
        <v>1696.3089</v>
      </c>
      <c r="AV27" s="609">
        <v>1400.1664000000001</v>
      </c>
      <c r="AW27" s="13"/>
      <c r="AX27" s="622" t="s">
        <v>132</v>
      </c>
      <c r="AY27" s="623">
        <v>1583.5387000000001</v>
      </c>
      <c r="AZ27" s="623">
        <v>1242.5949000000001</v>
      </c>
      <c r="BA27" s="623">
        <v>1027.0635</v>
      </c>
      <c r="BB27" s="623">
        <v>1056.2863</v>
      </c>
      <c r="BC27" s="623">
        <v>1148.3468</v>
      </c>
      <c r="BD27" s="623">
        <v>1250.6134999999999</v>
      </c>
      <c r="BE27" s="623">
        <v>1356.0871</v>
      </c>
      <c r="BF27" s="623">
        <v>1353.7899</v>
      </c>
      <c r="BG27" s="623">
        <v>1542.8553999999999</v>
      </c>
      <c r="BH27" s="623">
        <v>1839.0365999999999</v>
      </c>
      <c r="BI27" s="623">
        <v>1681.8422</v>
      </c>
      <c r="BJ27" s="624">
        <v>1161.2061000000001</v>
      </c>
      <c r="BK27" s="624">
        <v>1554.4757999999999</v>
      </c>
      <c r="BL27" s="609">
        <v>1306.6522</v>
      </c>
    </row>
    <row r="28" spans="2:64" ht="16.5" customHeight="1" x14ac:dyDescent="0.25">
      <c r="B28" s="618" t="s">
        <v>766</v>
      </c>
      <c r="C28" s="619">
        <v>1348.3431</v>
      </c>
      <c r="D28" s="619">
        <v>1086.7815000000001</v>
      </c>
      <c r="E28" s="619">
        <v>952.7527</v>
      </c>
      <c r="F28" s="619">
        <v>1019.2884</v>
      </c>
      <c r="G28" s="619">
        <v>1241.8629000000001</v>
      </c>
      <c r="H28" s="619">
        <v>1388.9984999999999</v>
      </c>
      <c r="I28" s="619">
        <v>1508.3879999999999</v>
      </c>
      <c r="J28" s="619">
        <v>1663.6955</v>
      </c>
      <c r="K28" s="619">
        <v>1840.9580000000001</v>
      </c>
      <c r="L28" s="619">
        <v>1896.3487</v>
      </c>
      <c r="M28" s="619">
        <v>1873.3242</v>
      </c>
      <c r="N28" s="620">
        <v>1215.6642999999999</v>
      </c>
      <c r="O28" s="620">
        <v>1802.2982</v>
      </c>
      <c r="P28" s="621">
        <v>1466.1642999999999</v>
      </c>
      <c r="Q28" s="13"/>
      <c r="R28" s="618" t="s">
        <v>766</v>
      </c>
      <c r="S28" s="619">
        <v>1274.5609999999999</v>
      </c>
      <c r="T28" s="619">
        <v>1019.1251</v>
      </c>
      <c r="U28" s="619">
        <v>896.55200000000002</v>
      </c>
      <c r="V28" s="619">
        <v>961.85260000000005</v>
      </c>
      <c r="W28" s="619">
        <v>1184.904</v>
      </c>
      <c r="X28" s="619">
        <v>1325.5985000000001</v>
      </c>
      <c r="Y28" s="619">
        <v>1438.1441</v>
      </c>
      <c r="Z28" s="619">
        <v>1579.9090000000001</v>
      </c>
      <c r="AA28" s="619">
        <v>1746.3892000000001</v>
      </c>
      <c r="AB28" s="619">
        <v>1779.0667000000001</v>
      </c>
      <c r="AC28" s="619">
        <v>1773.1773000000001</v>
      </c>
      <c r="AD28" s="620">
        <v>1154.2915</v>
      </c>
      <c r="AE28" s="620">
        <v>1705.6151</v>
      </c>
      <c r="AF28" s="621">
        <v>1389.7136</v>
      </c>
      <c r="AH28" s="618" t="s">
        <v>766</v>
      </c>
      <c r="AI28" s="619">
        <v>1390.7372</v>
      </c>
      <c r="AJ28" s="619">
        <v>1102.6346000000001</v>
      </c>
      <c r="AK28" s="619">
        <v>957.14449999999999</v>
      </c>
      <c r="AL28" s="619">
        <v>1013.5113</v>
      </c>
      <c r="AM28" s="619">
        <v>1226.528</v>
      </c>
      <c r="AN28" s="619">
        <v>1383.1085</v>
      </c>
      <c r="AO28" s="619">
        <v>1462.9867999999999</v>
      </c>
      <c r="AP28" s="619">
        <v>1658.4006999999999</v>
      </c>
      <c r="AQ28" s="619">
        <v>1823.1678999999999</v>
      </c>
      <c r="AR28" s="619">
        <v>1899.223</v>
      </c>
      <c r="AS28" s="619">
        <v>1866.5463999999999</v>
      </c>
      <c r="AT28" s="620">
        <v>1200.5662</v>
      </c>
      <c r="AU28" s="620">
        <v>1794.1615999999999</v>
      </c>
      <c r="AV28" s="621">
        <v>1454.0389</v>
      </c>
      <c r="AW28" s="13"/>
      <c r="AX28" s="618" t="s">
        <v>766</v>
      </c>
      <c r="AY28" s="619">
        <v>1319.4847</v>
      </c>
      <c r="AZ28" s="619">
        <v>1061.7011</v>
      </c>
      <c r="BA28" s="619">
        <v>914.39059999999995</v>
      </c>
      <c r="BB28" s="619">
        <v>975.96559999999999</v>
      </c>
      <c r="BC28" s="619">
        <v>1179.0715</v>
      </c>
      <c r="BD28" s="619">
        <v>1337.6043</v>
      </c>
      <c r="BE28" s="619">
        <v>1432.1786</v>
      </c>
      <c r="BF28" s="619">
        <v>1602.3779</v>
      </c>
      <c r="BG28" s="619">
        <v>1741.0436</v>
      </c>
      <c r="BH28" s="619">
        <v>1780.7322999999999</v>
      </c>
      <c r="BI28" s="619">
        <v>1708.3334</v>
      </c>
      <c r="BJ28" s="620">
        <v>1161.1909000000001</v>
      </c>
      <c r="BK28" s="620">
        <v>1701.6893</v>
      </c>
      <c r="BL28" s="621">
        <v>1391.9905000000001</v>
      </c>
    </row>
    <row r="29" spans="2:64" ht="16.5" customHeight="1" x14ac:dyDescent="0.25">
      <c r="B29" s="622" t="s">
        <v>133</v>
      </c>
      <c r="C29" s="623">
        <v>1156.9191000000001</v>
      </c>
      <c r="D29" s="623">
        <v>945.173</v>
      </c>
      <c r="E29" s="623">
        <v>838.52340000000004</v>
      </c>
      <c r="F29" s="623">
        <v>980.85850000000005</v>
      </c>
      <c r="G29" s="623">
        <v>1246.3255999999999</v>
      </c>
      <c r="H29" s="623">
        <v>1710.3825999999999</v>
      </c>
      <c r="I29" s="623">
        <v>1719.1169</v>
      </c>
      <c r="J29" s="623">
        <v>1877.2035000000001</v>
      </c>
      <c r="K29" s="623">
        <v>1866.4597000000001</v>
      </c>
      <c r="L29" s="623">
        <v>2316.674</v>
      </c>
      <c r="M29" s="623">
        <v>1705.4183</v>
      </c>
      <c r="N29" s="624">
        <v>1213.5956000000001</v>
      </c>
      <c r="O29" s="624">
        <v>1845.8216</v>
      </c>
      <c r="P29" s="609">
        <v>1426.5133000000001</v>
      </c>
      <c r="Q29" s="13"/>
      <c r="R29" s="622" t="s">
        <v>133</v>
      </c>
      <c r="S29" s="623">
        <v>1115.1134999999999</v>
      </c>
      <c r="T29" s="623">
        <v>889.8827</v>
      </c>
      <c r="U29" s="623">
        <v>792.74009999999998</v>
      </c>
      <c r="V29" s="623">
        <v>928.98130000000003</v>
      </c>
      <c r="W29" s="623">
        <v>1176.6116</v>
      </c>
      <c r="X29" s="623">
        <v>1623.8776</v>
      </c>
      <c r="Y29" s="623">
        <v>1615.7175999999999</v>
      </c>
      <c r="Z29" s="623">
        <v>1791.9195999999999</v>
      </c>
      <c r="AA29" s="623">
        <v>1771.8859</v>
      </c>
      <c r="AB29" s="623">
        <v>2246.5587</v>
      </c>
      <c r="AC29" s="623">
        <v>1591.5196000000001</v>
      </c>
      <c r="AD29" s="624">
        <v>1146.953</v>
      </c>
      <c r="AE29" s="624">
        <v>1749.163</v>
      </c>
      <c r="AF29" s="609">
        <v>1349.7620999999999</v>
      </c>
      <c r="AH29" s="622" t="s">
        <v>133</v>
      </c>
      <c r="AI29" s="623">
        <v>1182.0091</v>
      </c>
      <c r="AJ29" s="623">
        <v>965.41030000000001</v>
      </c>
      <c r="AK29" s="623">
        <v>866.49800000000005</v>
      </c>
      <c r="AL29" s="623">
        <v>997.89049999999997</v>
      </c>
      <c r="AM29" s="623">
        <v>1232.3076000000001</v>
      </c>
      <c r="AN29" s="623">
        <v>1685.4001000000001</v>
      </c>
      <c r="AO29" s="623">
        <v>1670.7554</v>
      </c>
      <c r="AP29" s="623">
        <v>1870.308</v>
      </c>
      <c r="AQ29" s="623">
        <v>1854.5547999999999</v>
      </c>
      <c r="AR29" s="623">
        <v>2254.0201000000002</v>
      </c>
      <c r="AS29" s="623">
        <v>1721.7594999999999</v>
      </c>
      <c r="AT29" s="624">
        <v>1211.3921</v>
      </c>
      <c r="AU29" s="624">
        <v>1841.6285</v>
      </c>
      <c r="AV29" s="609">
        <v>1423.6397999999999</v>
      </c>
      <c r="AW29" s="13"/>
      <c r="AX29" s="622" t="s">
        <v>133</v>
      </c>
      <c r="AY29" s="623">
        <v>1174.5407</v>
      </c>
      <c r="AZ29" s="623">
        <v>926.09379999999999</v>
      </c>
      <c r="BA29" s="623">
        <v>843.43920000000003</v>
      </c>
      <c r="BB29" s="623">
        <v>970.43370000000004</v>
      </c>
      <c r="BC29" s="623">
        <v>1197.7715000000001</v>
      </c>
      <c r="BD29" s="623">
        <v>1593.9167</v>
      </c>
      <c r="BE29" s="623">
        <v>1610.4773</v>
      </c>
      <c r="BF29" s="623">
        <v>1801.9748</v>
      </c>
      <c r="BG29" s="623">
        <v>1749.2254</v>
      </c>
      <c r="BH29" s="623">
        <v>2142.7979</v>
      </c>
      <c r="BI29" s="623">
        <v>1624.0963999999999</v>
      </c>
      <c r="BJ29" s="624">
        <v>1170.0688</v>
      </c>
      <c r="BK29" s="624">
        <v>1749.8970999999999</v>
      </c>
      <c r="BL29" s="609">
        <v>1365.3404</v>
      </c>
    </row>
    <row r="30" spans="2:64" ht="16.5" customHeight="1" x14ac:dyDescent="0.25">
      <c r="B30" s="618" t="s">
        <v>767</v>
      </c>
      <c r="C30" s="619">
        <v>1846.1532</v>
      </c>
      <c r="D30" s="619">
        <v>1360.6651999999999</v>
      </c>
      <c r="E30" s="619">
        <v>1154.5834</v>
      </c>
      <c r="F30" s="619">
        <v>1184.6524999999999</v>
      </c>
      <c r="G30" s="619">
        <v>1303.3361</v>
      </c>
      <c r="H30" s="619">
        <v>1445.0416</v>
      </c>
      <c r="I30" s="619">
        <v>1566.5245</v>
      </c>
      <c r="J30" s="619">
        <v>1763.8493000000001</v>
      </c>
      <c r="K30" s="619">
        <v>1816.9603</v>
      </c>
      <c r="L30" s="619">
        <v>1794.6547</v>
      </c>
      <c r="M30" s="619">
        <v>1908.5699</v>
      </c>
      <c r="N30" s="620">
        <v>1315.1075000000001</v>
      </c>
      <c r="O30" s="620">
        <v>1816.3857</v>
      </c>
      <c r="P30" s="621">
        <v>1493.2302</v>
      </c>
      <c r="Q30" s="13"/>
      <c r="R30" s="618" t="s">
        <v>767</v>
      </c>
      <c r="S30" s="619">
        <v>1743.0011</v>
      </c>
      <c r="T30" s="619">
        <v>1275.2351000000001</v>
      </c>
      <c r="U30" s="619">
        <v>1083.7954</v>
      </c>
      <c r="V30" s="619">
        <v>1113.6063999999999</v>
      </c>
      <c r="W30" s="619">
        <v>1233.6664000000001</v>
      </c>
      <c r="X30" s="619">
        <v>1372.6043999999999</v>
      </c>
      <c r="Y30" s="619">
        <v>1484.8703</v>
      </c>
      <c r="Z30" s="619">
        <v>1677.5707</v>
      </c>
      <c r="AA30" s="619">
        <v>1708.5120999999999</v>
      </c>
      <c r="AB30" s="619">
        <v>1705.95</v>
      </c>
      <c r="AC30" s="619">
        <v>1798.5827999999999</v>
      </c>
      <c r="AD30" s="620">
        <v>1241.5023000000001</v>
      </c>
      <c r="AE30" s="620">
        <v>1717.2005999999999</v>
      </c>
      <c r="AF30" s="621">
        <v>1410.5355</v>
      </c>
      <c r="AH30" s="618" t="s">
        <v>767</v>
      </c>
      <c r="AI30" s="619">
        <v>1900.0445999999999</v>
      </c>
      <c r="AJ30" s="619">
        <v>1389.5693000000001</v>
      </c>
      <c r="AK30" s="619">
        <v>1159.3751999999999</v>
      </c>
      <c r="AL30" s="619">
        <v>1161.6087</v>
      </c>
      <c r="AM30" s="619">
        <v>1284.7855999999999</v>
      </c>
      <c r="AN30" s="619">
        <v>1438.5244</v>
      </c>
      <c r="AO30" s="619">
        <v>1526.175</v>
      </c>
      <c r="AP30" s="619">
        <v>1678.578</v>
      </c>
      <c r="AQ30" s="619">
        <v>1791.6686999999999</v>
      </c>
      <c r="AR30" s="619">
        <v>1802.0944999999999</v>
      </c>
      <c r="AS30" s="619">
        <v>1895.2818</v>
      </c>
      <c r="AT30" s="620">
        <v>1295.461</v>
      </c>
      <c r="AU30" s="620">
        <v>1787.3951</v>
      </c>
      <c r="AV30" s="621">
        <v>1470.2634</v>
      </c>
      <c r="AW30" s="13"/>
      <c r="AX30" s="618" t="s">
        <v>767</v>
      </c>
      <c r="AY30" s="619">
        <v>1844.2208000000001</v>
      </c>
      <c r="AZ30" s="619">
        <v>1332.0226</v>
      </c>
      <c r="BA30" s="619">
        <v>1109.55</v>
      </c>
      <c r="BB30" s="619">
        <v>1102.4041999999999</v>
      </c>
      <c r="BC30" s="619">
        <v>1202.5707</v>
      </c>
      <c r="BD30" s="619">
        <v>1357.1847</v>
      </c>
      <c r="BE30" s="619">
        <v>1457.568</v>
      </c>
      <c r="BF30" s="619">
        <v>1615.2180000000001</v>
      </c>
      <c r="BG30" s="619">
        <v>1658.9195999999999</v>
      </c>
      <c r="BH30" s="619">
        <v>1610.2256</v>
      </c>
      <c r="BI30" s="619">
        <v>1655.0057999999999</v>
      </c>
      <c r="BJ30" s="620">
        <v>1229.0866000000001</v>
      </c>
      <c r="BK30" s="620">
        <v>1637.1454000000001</v>
      </c>
      <c r="BL30" s="621">
        <v>1374.085</v>
      </c>
    </row>
    <row r="31" spans="2:64" ht="16.5" customHeight="1" x14ac:dyDescent="0.25">
      <c r="B31" s="622" t="s">
        <v>134</v>
      </c>
      <c r="C31" s="623">
        <v>2282.7381999999998</v>
      </c>
      <c r="D31" s="623">
        <v>1641.1575</v>
      </c>
      <c r="E31" s="623">
        <v>1326.2275</v>
      </c>
      <c r="F31" s="623">
        <v>1372.5252</v>
      </c>
      <c r="G31" s="623">
        <v>1344.317</v>
      </c>
      <c r="H31" s="623">
        <v>1441.3306</v>
      </c>
      <c r="I31" s="623">
        <v>1706.2774999999999</v>
      </c>
      <c r="J31" s="623">
        <v>1661.8344999999999</v>
      </c>
      <c r="K31" s="623">
        <v>1923.4306999999999</v>
      </c>
      <c r="L31" s="623">
        <v>1936.6632999999999</v>
      </c>
      <c r="M31" s="623">
        <v>1767.1359</v>
      </c>
      <c r="N31" s="624">
        <v>1474.9168999999999</v>
      </c>
      <c r="O31" s="624">
        <v>1795.3755000000001</v>
      </c>
      <c r="P31" s="609">
        <v>1607.0165</v>
      </c>
      <c r="Q31" s="13"/>
      <c r="R31" s="622" t="s">
        <v>134</v>
      </c>
      <c r="S31" s="623">
        <v>2144.4974999999999</v>
      </c>
      <c r="T31" s="623">
        <v>1539.2554</v>
      </c>
      <c r="U31" s="623">
        <v>1241.6741</v>
      </c>
      <c r="V31" s="623">
        <v>1282.0974000000001</v>
      </c>
      <c r="W31" s="623">
        <v>1263.5911000000001</v>
      </c>
      <c r="X31" s="623">
        <v>1361.2842000000001</v>
      </c>
      <c r="Y31" s="623">
        <v>1607.4504999999999</v>
      </c>
      <c r="Z31" s="623">
        <v>1571.0233000000001</v>
      </c>
      <c r="AA31" s="623">
        <v>1811.0984000000001</v>
      </c>
      <c r="AB31" s="623">
        <v>1816.2736</v>
      </c>
      <c r="AC31" s="623">
        <v>1687.2425000000001</v>
      </c>
      <c r="AD31" s="624">
        <v>1384.9929</v>
      </c>
      <c r="AE31" s="624">
        <v>1701.2783999999999</v>
      </c>
      <c r="AF31" s="609">
        <v>1515.3723</v>
      </c>
      <c r="AH31" s="622" t="s">
        <v>134</v>
      </c>
      <c r="AI31" s="623">
        <v>2399.8488000000002</v>
      </c>
      <c r="AJ31" s="623">
        <v>1654.1882000000001</v>
      </c>
      <c r="AK31" s="623">
        <v>1331.1611</v>
      </c>
      <c r="AL31" s="623">
        <v>1354.0075999999999</v>
      </c>
      <c r="AM31" s="623">
        <v>1314.7891999999999</v>
      </c>
      <c r="AN31" s="623">
        <v>1439.0425</v>
      </c>
      <c r="AO31" s="623">
        <v>1687.6041</v>
      </c>
      <c r="AP31" s="623">
        <v>1648.0736999999999</v>
      </c>
      <c r="AQ31" s="623">
        <v>1887.3187</v>
      </c>
      <c r="AR31" s="623">
        <v>1956.7657999999999</v>
      </c>
      <c r="AS31" s="623">
        <v>1698.2515000000001</v>
      </c>
      <c r="AT31" s="624">
        <v>1461.6785</v>
      </c>
      <c r="AU31" s="624">
        <v>1756.165</v>
      </c>
      <c r="AV31" s="609">
        <v>1583.0718999999999</v>
      </c>
      <c r="AW31" s="13"/>
      <c r="AX31" s="622" t="s">
        <v>134</v>
      </c>
      <c r="AY31" s="623">
        <v>2242.4666000000002</v>
      </c>
      <c r="AZ31" s="623">
        <v>1563.9680000000001</v>
      </c>
      <c r="BA31" s="623">
        <v>1262.2334000000001</v>
      </c>
      <c r="BB31" s="623">
        <v>1275.1043</v>
      </c>
      <c r="BC31" s="623">
        <v>1231.3471999999999</v>
      </c>
      <c r="BD31" s="623">
        <v>1355.3046999999999</v>
      </c>
      <c r="BE31" s="623">
        <v>1564.9306999999999</v>
      </c>
      <c r="BF31" s="623">
        <v>1537.7451000000001</v>
      </c>
      <c r="BG31" s="623">
        <v>1796.6978999999999</v>
      </c>
      <c r="BH31" s="623">
        <v>1695.7728999999999</v>
      </c>
      <c r="BI31" s="623">
        <v>1537.0523000000001</v>
      </c>
      <c r="BJ31" s="624">
        <v>1370.171</v>
      </c>
      <c r="BK31" s="624">
        <v>1613.5101</v>
      </c>
      <c r="BL31" s="609">
        <v>1470.4803999999999</v>
      </c>
    </row>
    <row r="32" spans="2:64" ht="16.5" customHeight="1" x14ac:dyDescent="0.25">
      <c r="B32" s="618" t="s">
        <v>63</v>
      </c>
      <c r="C32" s="619">
        <v>1504.5215000000001</v>
      </c>
      <c r="D32" s="619">
        <v>1206.8795</v>
      </c>
      <c r="E32" s="619">
        <v>1080.6628000000001</v>
      </c>
      <c r="F32" s="619">
        <v>1123.0120999999999</v>
      </c>
      <c r="G32" s="619">
        <v>1312.0121999999999</v>
      </c>
      <c r="H32" s="619">
        <v>1381.8661</v>
      </c>
      <c r="I32" s="619">
        <v>1460.1188</v>
      </c>
      <c r="J32" s="619">
        <v>1617.2351000000001</v>
      </c>
      <c r="K32" s="619">
        <v>1519.6079</v>
      </c>
      <c r="L32" s="619">
        <v>1744.501</v>
      </c>
      <c r="M32" s="619">
        <v>1689.1746000000001</v>
      </c>
      <c r="N32" s="620">
        <v>1310.5368000000001</v>
      </c>
      <c r="O32" s="620">
        <v>1641.2139</v>
      </c>
      <c r="P32" s="621">
        <v>1460.4154000000001</v>
      </c>
      <c r="Q32" s="13"/>
      <c r="R32" s="618" t="s">
        <v>63</v>
      </c>
      <c r="S32" s="619">
        <v>1413.0387000000001</v>
      </c>
      <c r="T32" s="619">
        <v>1151.0613000000001</v>
      </c>
      <c r="U32" s="619">
        <v>1010.6901</v>
      </c>
      <c r="V32" s="619">
        <v>1054.78</v>
      </c>
      <c r="W32" s="619">
        <v>1243.5651</v>
      </c>
      <c r="X32" s="619">
        <v>1314.6782000000001</v>
      </c>
      <c r="Y32" s="619">
        <v>1383.4129</v>
      </c>
      <c r="Z32" s="619">
        <v>1526.8151</v>
      </c>
      <c r="AA32" s="619">
        <v>1461.5024000000001</v>
      </c>
      <c r="AB32" s="619">
        <v>1643.973</v>
      </c>
      <c r="AC32" s="619">
        <v>1609.0099</v>
      </c>
      <c r="AD32" s="620">
        <v>1239.7669000000001</v>
      </c>
      <c r="AE32" s="620">
        <v>1560.1765</v>
      </c>
      <c r="AF32" s="621">
        <v>1384.9918</v>
      </c>
      <c r="AH32" s="618" t="s">
        <v>63</v>
      </c>
      <c r="AI32" s="619">
        <v>1283.9922999999999</v>
      </c>
      <c r="AJ32" s="619">
        <v>1197.6454000000001</v>
      </c>
      <c r="AK32" s="619">
        <v>1050.9781</v>
      </c>
      <c r="AL32" s="619">
        <v>1092.6422</v>
      </c>
      <c r="AM32" s="619">
        <v>1255.7805000000001</v>
      </c>
      <c r="AN32" s="619">
        <v>1348.4721999999999</v>
      </c>
      <c r="AO32" s="619">
        <v>1424.9503999999999</v>
      </c>
      <c r="AP32" s="619">
        <v>1616.7643</v>
      </c>
      <c r="AQ32" s="619">
        <v>1507.0854999999999</v>
      </c>
      <c r="AR32" s="619">
        <v>1722.7737</v>
      </c>
      <c r="AS32" s="619">
        <v>1679.4583</v>
      </c>
      <c r="AT32" s="620">
        <v>1272.1451999999999</v>
      </c>
      <c r="AU32" s="620">
        <v>1631.2557999999999</v>
      </c>
      <c r="AV32" s="621">
        <v>1434.9112</v>
      </c>
      <c r="AW32" s="13"/>
      <c r="AX32" s="618" t="s">
        <v>63</v>
      </c>
      <c r="AY32" s="619">
        <v>1283.9922999999999</v>
      </c>
      <c r="AZ32" s="619">
        <v>1152.2594999999999</v>
      </c>
      <c r="BA32" s="619">
        <v>987.02869999999996</v>
      </c>
      <c r="BB32" s="619">
        <v>1035.5776000000001</v>
      </c>
      <c r="BC32" s="619">
        <v>1187.3677</v>
      </c>
      <c r="BD32" s="619">
        <v>1297.7926</v>
      </c>
      <c r="BE32" s="619">
        <v>1361.0927999999999</v>
      </c>
      <c r="BF32" s="619">
        <v>1521.8448000000001</v>
      </c>
      <c r="BG32" s="619">
        <v>1385.6141</v>
      </c>
      <c r="BH32" s="619">
        <v>1513.7878000000001</v>
      </c>
      <c r="BI32" s="619">
        <v>1553.3783000000001</v>
      </c>
      <c r="BJ32" s="620">
        <v>1211.0863999999999</v>
      </c>
      <c r="BK32" s="620">
        <v>1500.6893</v>
      </c>
      <c r="BL32" s="621">
        <v>1342.3481999999999</v>
      </c>
    </row>
    <row r="33" spans="2:64" ht="16.5" customHeight="1" x14ac:dyDescent="0.25">
      <c r="B33" s="622" t="s">
        <v>93</v>
      </c>
      <c r="C33" s="623">
        <v>3213.6696000000002</v>
      </c>
      <c r="D33" s="623">
        <v>3170.3119999999999</v>
      </c>
      <c r="E33" s="623">
        <v>2611.3607000000002</v>
      </c>
      <c r="F33" s="623">
        <v>2270.2365</v>
      </c>
      <c r="G33" s="623">
        <v>1746.1505</v>
      </c>
      <c r="H33" s="623">
        <v>1784.7209</v>
      </c>
      <c r="I33" s="623">
        <v>1812.9414999999999</v>
      </c>
      <c r="J33" s="623">
        <v>2037.9544000000001</v>
      </c>
      <c r="K33" s="623">
        <v>2152.6174999999998</v>
      </c>
      <c r="L33" s="623">
        <v>2379.7775000000001</v>
      </c>
      <c r="M33" s="623">
        <v>1872.2312999999999</v>
      </c>
      <c r="N33" s="624">
        <v>1931.1419000000001</v>
      </c>
      <c r="O33" s="624">
        <v>2046.1612</v>
      </c>
      <c r="P33" s="609">
        <v>2014.2928999999999</v>
      </c>
      <c r="Q33" s="13"/>
      <c r="R33" s="622" t="s">
        <v>93</v>
      </c>
      <c r="S33" s="623">
        <v>2965.2174</v>
      </c>
      <c r="T33" s="623">
        <v>2895.0246999999999</v>
      </c>
      <c r="U33" s="623">
        <v>2419.2743999999998</v>
      </c>
      <c r="V33" s="623">
        <v>2142.4036999999998</v>
      </c>
      <c r="W33" s="623">
        <v>1658.3632</v>
      </c>
      <c r="X33" s="623">
        <v>1699.7017000000001</v>
      </c>
      <c r="Y33" s="623">
        <v>1740.9571000000001</v>
      </c>
      <c r="Z33" s="623">
        <v>1946.9175</v>
      </c>
      <c r="AA33" s="623">
        <v>2040.4484</v>
      </c>
      <c r="AB33" s="623">
        <v>2201.5895</v>
      </c>
      <c r="AC33" s="623">
        <v>1735.8430000000001</v>
      </c>
      <c r="AD33" s="624">
        <v>1836.547</v>
      </c>
      <c r="AE33" s="624">
        <v>1918.7029</v>
      </c>
      <c r="AF33" s="609">
        <v>1895.94</v>
      </c>
      <c r="AH33" s="622" t="s">
        <v>93</v>
      </c>
      <c r="AI33" s="623">
        <v>3243.7141999999999</v>
      </c>
      <c r="AJ33" s="623">
        <v>3107.4189999999999</v>
      </c>
      <c r="AK33" s="623">
        <v>2503.4141</v>
      </c>
      <c r="AL33" s="623">
        <v>2187.7743999999998</v>
      </c>
      <c r="AM33" s="623">
        <v>1707.4396999999999</v>
      </c>
      <c r="AN33" s="623">
        <v>1752.9398000000001</v>
      </c>
      <c r="AO33" s="623">
        <v>1746.0201999999999</v>
      </c>
      <c r="AP33" s="623">
        <v>1990.0949000000001</v>
      </c>
      <c r="AQ33" s="623">
        <v>2082.1876000000002</v>
      </c>
      <c r="AR33" s="623">
        <v>2397.9955</v>
      </c>
      <c r="AS33" s="623">
        <v>1852.3987999999999</v>
      </c>
      <c r="AT33" s="624">
        <v>1870.97</v>
      </c>
      <c r="AU33" s="624">
        <v>2013.3448000000001</v>
      </c>
      <c r="AV33" s="609">
        <v>1973.8970999999999</v>
      </c>
      <c r="AW33" s="13"/>
      <c r="AX33" s="622" t="s">
        <v>93</v>
      </c>
      <c r="AY33" s="623">
        <v>3090.2305000000001</v>
      </c>
      <c r="AZ33" s="623">
        <v>2813.9434999999999</v>
      </c>
      <c r="BA33" s="623">
        <v>2425.5994999999998</v>
      </c>
      <c r="BB33" s="623">
        <v>2052.0502999999999</v>
      </c>
      <c r="BC33" s="623">
        <v>1660.1189999999999</v>
      </c>
      <c r="BD33" s="623">
        <v>1693.5469000000001</v>
      </c>
      <c r="BE33" s="623">
        <v>1694.5597</v>
      </c>
      <c r="BF33" s="623">
        <v>1907.377</v>
      </c>
      <c r="BG33" s="623">
        <v>1970.0028</v>
      </c>
      <c r="BH33" s="623">
        <v>2245.9908999999998</v>
      </c>
      <c r="BI33" s="623">
        <v>1722.4749999999999</v>
      </c>
      <c r="BJ33" s="624">
        <v>1799.4965999999999</v>
      </c>
      <c r="BK33" s="624">
        <v>1893.7775999999999</v>
      </c>
      <c r="BL33" s="609">
        <v>1867.6551999999999</v>
      </c>
    </row>
    <row r="34" spans="2:64" ht="16.5" customHeight="1" x14ac:dyDescent="0.25">
      <c r="B34" s="618" t="s">
        <v>135</v>
      </c>
      <c r="C34" s="619">
        <v>3012.1556999999998</v>
      </c>
      <c r="D34" s="619">
        <v>1513.4292</v>
      </c>
      <c r="E34" s="619">
        <v>1347.7435</v>
      </c>
      <c r="F34" s="619">
        <v>1282.8466000000001</v>
      </c>
      <c r="G34" s="619">
        <v>1568.8217999999999</v>
      </c>
      <c r="H34" s="619">
        <v>1571.3766000000001</v>
      </c>
      <c r="I34" s="619">
        <v>1724.9994999999999</v>
      </c>
      <c r="J34" s="619">
        <v>1857.9205999999999</v>
      </c>
      <c r="K34" s="619">
        <v>2034.0053</v>
      </c>
      <c r="L34" s="619">
        <v>2296.2337000000002</v>
      </c>
      <c r="M34" s="619">
        <v>4027.3960000000002</v>
      </c>
      <c r="N34" s="620">
        <v>1559.7737</v>
      </c>
      <c r="O34" s="620">
        <v>2570.9126000000001</v>
      </c>
      <c r="P34" s="621">
        <v>2418.3440999999998</v>
      </c>
      <c r="Q34" s="13"/>
      <c r="R34" s="618" t="s">
        <v>135</v>
      </c>
      <c r="S34" s="619">
        <v>2897.0637999999999</v>
      </c>
      <c r="T34" s="619">
        <v>1363.3324</v>
      </c>
      <c r="U34" s="619">
        <v>1277.1460999999999</v>
      </c>
      <c r="V34" s="619">
        <v>1223.4223</v>
      </c>
      <c r="W34" s="619">
        <v>1501.7896000000001</v>
      </c>
      <c r="X34" s="619">
        <v>1496.9302</v>
      </c>
      <c r="Y34" s="619">
        <v>1654.8344999999999</v>
      </c>
      <c r="Z34" s="619">
        <v>1775.8323</v>
      </c>
      <c r="AA34" s="619">
        <v>1929.1522</v>
      </c>
      <c r="AB34" s="619">
        <v>2145.9171000000001</v>
      </c>
      <c r="AC34" s="619">
        <v>3877.2033999999999</v>
      </c>
      <c r="AD34" s="620">
        <v>1491.634</v>
      </c>
      <c r="AE34" s="620">
        <v>2446.1605</v>
      </c>
      <c r="AF34" s="621">
        <v>2302.1341000000002</v>
      </c>
      <c r="AH34" s="618" t="s">
        <v>135</v>
      </c>
      <c r="AI34" s="619">
        <v>2721.1999000000001</v>
      </c>
      <c r="AJ34" s="619">
        <v>1517.4449</v>
      </c>
      <c r="AK34" s="619">
        <v>1278.2560000000001</v>
      </c>
      <c r="AL34" s="619">
        <v>1241.6262999999999</v>
      </c>
      <c r="AM34" s="619">
        <v>1557.3295000000001</v>
      </c>
      <c r="AN34" s="619">
        <v>1593.7853</v>
      </c>
      <c r="AO34" s="619">
        <v>1710.9268</v>
      </c>
      <c r="AP34" s="619">
        <v>1807.8357000000001</v>
      </c>
      <c r="AQ34" s="619">
        <v>2003.2763</v>
      </c>
      <c r="AR34" s="619">
        <v>2307.0356999999999</v>
      </c>
      <c r="AS34" s="619">
        <v>3889.8456000000001</v>
      </c>
      <c r="AT34" s="620">
        <v>1542.6693</v>
      </c>
      <c r="AU34" s="620">
        <v>2521.9443000000001</v>
      </c>
      <c r="AV34" s="621">
        <v>2374.1835999999998</v>
      </c>
      <c r="AW34" s="13"/>
      <c r="AX34" s="618" t="s">
        <v>135</v>
      </c>
      <c r="AY34" s="619">
        <v>2635.1936000000001</v>
      </c>
      <c r="AZ34" s="619">
        <v>1436.1369</v>
      </c>
      <c r="BA34" s="619">
        <v>1221.7279000000001</v>
      </c>
      <c r="BB34" s="619">
        <v>1196.0347999999999</v>
      </c>
      <c r="BC34" s="619">
        <v>1480.2742000000001</v>
      </c>
      <c r="BD34" s="619">
        <v>1537.6409000000001</v>
      </c>
      <c r="BE34" s="619">
        <v>1650.3498</v>
      </c>
      <c r="BF34" s="619">
        <v>1723.5459000000001</v>
      </c>
      <c r="BG34" s="619">
        <v>1899.2174</v>
      </c>
      <c r="BH34" s="619">
        <v>2140.8476000000001</v>
      </c>
      <c r="BI34" s="619">
        <v>3406.7997999999998</v>
      </c>
      <c r="BJ34" s="620">
        <v>1483.7339999999999</v>
      </c>
      <c r="BK34" s="620">
        <v>2311.0920999999998</v>
      </c>
      <c r="BL34" s="621">
        <v>2186.2539000000002</v>
      </c>
    </row>
    <row r="35" spans="2:64" s="8" customFormat="1" ht="16.5" customHeight="1" x14ac:dyDescent="0.25">
      <c r="B35" s="972" t="s">
        <v>804</v>
      </c>
      <c r="C35" s="973" t="s">
        <v>102</v>
      </c>
      <c r="D35" s="973" t="s">
        <v>102</v>
      </c>
      <c r="E35" s="973">
        <v>5438.7402000000002</v>
      </c>
      <c r="F35" s="973">
        <v>2304.5803999999998</v>
      </c>
      <c r="G35" s="973">
        <v>2455.6451999999999</v>
      </c>
      <c r="H35" s="973">
        <v>2272.5300999999999</v>
      </c>
      <c r="I35" s="973">
        <v>2148.7211000000002</v>
      </c>
      <c r="J35" s="973">
        <v>1853.8914</v>
      </c>
      <c r="K35" s="973">
        <v>1961.6020000000001</v>
      </c>
      <c r="L35" s="973">
        <v>1975.0902000000001</v>
      </c>
      <c r="M35" s="973">
        <v>2109.7575000000002</v>
      </c>
      <c r="N35" s="974">
        <v>2202.6660000000002</v>
      </c>
      <c r="O35" s="974">
        <v>1961.9247</v>
      </c>
      <c r="P35" s="975">
        <v>1999.8610000000001</v>
      </c>
      <c r="R35" s="972" t="s">
        <v>804</v>
      </c>
      <c r="S35" s="973" t="s">
        <v>102</v>
      </c>
      <c r="T35" s="973" t="s">
        <v>102</v>
      </c>
      <c r="U35" s="973">
        <v>5315.6661999999997</v>
      </c>
      <c r="V35" s="973">
        <v>2262.2498000000001</v>
      </c>
      <c r="W35" s="973">
        <v>2411.7350000000001</v>
      </c>
      <c r="X35" s="973">
        <v>2173.8126999999999</v>
      </c>
      <c r="Y35" s="973">
        <v>2083.2332000000001</v>
      </c>
      <c r="Z35" s="973">
        <v>1801.7886000000001</v>
      </c>
      <c r="AA35" s="973">
        <v>1884.5445999999999</v>
      </c>
      <c r="AB35" s="973">
        <v>1860.6559999999999</v>
      </c>
      <c r="AC35" s="973">
        <v>1954.5036</v>
      </c>
      <c r="AD35" s="974">
        <v>2135.723</v>
      </c>
      <c r="AE35" s="974">
        <v>1867.46</v>
      </c>
      <c r="AF35" s="975">
        <v>1909.7331999999999</v>
      </c>
      <c r="AH35" s="972" t="s">
        <v>804</v>
      </c>
      <c r="AI35" s="973" t="s">
        <v>102</v>
      </c>
      <c r="AJ35" s="973" t="s">
        <v>102</v>
      </c>
      <c r="AK35" s="973">
        <v>7262.0232999999998</v>
      </c>
      <c r="AL35" s="973">
        <v>2380.2055</v>
      </c>
      <c r="AM35" s="973">
        <v>2686.1657</v>
      </c>
      <c r="AN35" s="973">
        <v>2329.8465000000001</v>
      </c>
      <c r="AO35" s="973">
        <v>2236.6918999999998</v>
      </c>
      <c r="AP35" s="973">
        <v>1892.6211000000001</v>
      </c>
      <c r="AQ35" s="973">
        <v>1977.9818</v>
      </c>
      <c r="AR35" s="973">
        <v>1958.7313999999999</v>
      </c>
      <c r="AS35" s="973">
        <v>2040.8271999999999</v>
      </c>
      <c r="AT35" s="974">
        <v>2300.8878</v>
      </c>
      <c r="AU35" s="974">
        <v>1960.7728</v>
      </c>
      <c r="AV35" s="975">
        <v>2014.3685</v>
      </c>
      <c r="AX35" s="972" t="s">
        <v>804</v>
      </c>
      <c r="AY35" s="973" t="s">
        <v>102</v>
      </c>
      <c r="AZ35" s="973" t="s">
        <v>102</v>
      </c>
      <c r="BA35" s="973">
        <v>7262.0232999999998</v>
      </c>
      <c r="BB35" s="973">
        <v>2380.2055</v>
      </c>
      <c r="BC35" s="973">
        <v>2653.9132</v>
      </c>
      <c r="BD35" s="973">
        <v>2266.4987999999998</v>
      </c>
      <c r="BE35" s="973">
        <v>2126.4857999999999</v>
      </c>
      <c r="BF35" s="973">
        <v>1848.7982</v>
      </c>
      <c r="BG35" s="973">
        <v>1901.1583000000001</v>
      </c>
      <c r="BH35" s="973">
        <v>1910.3248000000001</v>
      </c>
      <c r="BI35" s="973">
        <v>1920.1485</v>
      </c>
      <c r="BJ35" s="974">
        <v>2208.2170000000001</v>
      </c>
      <c r="BK35" s="974">
        <v>1894.5923</v>
      </c>
      <c r="BL35" s="975">
        <v>1944.0136</v>
      </c>
    </row>
    <row r="36" spans="2:64" ht="16.5" customHeight="1" x14ac:dyDescent="0.25">
      <c r="B36" s="850" t="s">
        <v>808</v>
      </c>
      <c r="C36" s="619" t="s">
        <v>102</v>
      </c>
      <c r="D36" s="619" t="s">
        <v>102</v>
      </c>
      <c r="E36" s="619" t="s">
        <v>102</v>
      </c>
      <c r="F36" s="619">
        <v>2752.6084000000001</v>
      </c>
      <c r="G36" s="619">
        <v>1970.6695999999999</v>
      </c>
      <c r="H36" s="619">
        <v>2416.1660999999999</v>
      </c>
      <c r="I36" s="619">
        <v>1950.2408</v>
      </c>
      <c r="J36" s="619">
        <v>2115.0652</v>
      </c>
      <c r="K36" s="619">
        <v>2062.1621</v>
      </c>
      <c r="L36" s="619">
        <v>1943.1771000000001</v>
      </c>
      <c r="M36" s="619" t="s">
        <v>102</v>
      </c>
      <c r="N36" s="620">
        <v>2061.1831999999999</v>
      </c>
      <c r="O36" s="620">
        <v>2060.5378000000001</v>
      </c>
      <c r="P36" s="621">
        <v>2060.6979999999999</v>
      </c>
      <c r="Q36" s="13"/>
      <c r="R36" s="850" t="s">
        <v>808</v>
      </c>
      <c r="S36" s="619" t="s">
        <v>102</v>
      </c>
      <c r="T36" s="619" t="s">
        <v>102</v>
      </c>
      <c r="U36" s="619" t="s">
        <v>102</v>
      </c>
      <c r="V36" s="619">
        <v>2698.8687</v>
      </c>
      <c r="W36" s="619">
        <v>1952.5175999999999</v>
      </c>
      <c r="X36" s="619">
        <v>2383.1754999999998</v>
      </c>
      <c r="Y36" s="619">
        <v>1888.4952000000001</v>
      </c>
      <c r="Z36" s="619">
        <v>2040.5011</v>
      </c>
      <c r="AA36" s="619">
        <v>1979.6004</v>
      </c>
      <c r="AB36" s="619">
        <v>1854.9949999999999</v>
      </c>
      <c r="AC36" s="619" t="s">
        <v>102</v>
      </c>
      <c r="AD36" s="620">
        <v>2006.3637000000001</v>
      </c>
      <c r="AE36" s="620">
        <v>1979.9523999999999</v>
      </c>
      <c r="AF36" s="621">
        <v>1986.5045</v>
      </c>
      <c r="AH36" s="850" t="s">
        <v>808</v>
      </c>
      <c r="AI36" s="619" t="s">
        <v>102</v>
      </c>
      <c r="AJ36" s="619" t="s">
        <v>102</v>
      </c>
      <c r="AK36" s="619" t="s">
        <v>102</v>
      </c>
      <c r="AL36" s="619">
        <v>2952.9796000000001</v>
      </c>
      <c r="AM36" s="619">
        <v>2187.1185</v>
      </c>
      <c r="AN36" s="619">
        <v>2704.9513999999999</v>
      </c>
      <c r="AO36" s="619">
        <v>2018.9984999999999</v>
      </c>
      <c r="AP36" s="619">
        <v>2135.145</v>
      </c>
      <c r="AQ36" s="619">
        <v>2096.0164</v>
      </c>
      <c r="AR36" s="619">
        <v>2085.0916999999999</v>
      </c>
      <c r="AS36" s="619" t="s">
        <v>102</v>
      </c>
      <c r="AT36" s="620">
        <v>2175.9645999999998</v>
      </c>
      <c r="AU36" s="620">
        <v>2108.6628999999998</v>
      </c>
      <c r="AV36" s="621">
        <v>2125.3591000000001</v>
      </c>
      <c r="AW36" s="13"/>
      <c r="AX36" s="850" t="s">
        <v>808</v>
      </c>
      <c r="AY36" s="619" t="s">
        <v>102</v>
      </c>
      <c r="AZ36" s="619" t="s">
        <v>102</v>
      </c>
      <c r="BA36" s="619" t="s">
        <v>102</v>
      </c>
      <c r="BB36" s="619">
        <v>2952.9796000000001</v>
      </c>
      <c r="BC36" s="619">
        <v>2187.1185</v>
      </c>
      <c r="BD36" s="619">
        <v>2495.5102999999999</v>
      </c>
      <c r="BE36" s="619">
        <v>1962.0811000000001</v>
      </c>
      <c r="BF36" s="619">
        <v>2106.7426999999998</v>
      </c>
      <c r="BG36" s="619">
        <v>2075.3796000000002</v>
      </c>
      <c r="BH36" s="619">
        <v>1989.9522999999999</v>
      </c>
      <c r="BI36" s="619" t="s">
        <v>102</v>
      </c>
      <c r="BJ36" s="620">
        <v>2105.4598000000001</v>
      </c>
      <c r="BK36" s="620">
        <v>2071.7419</v>
      </c>
      <c r="BL36" s="621">
        <v>2080.1066999999998</v>
      </c>
    </row>
    <row r="37" spans="2:64" ht="16.5" customHeight="1" x14ac:dyDescent="0.25">
      <c r="B37" s="851" t="s">
        <v>809</v>
      </c>
      <c r="C37" s="623" t="s">
        <v>102</v>
      </c>
      <c r="D37" s="623" t="s">
        <v>102</v>
      </c>
      <c r="E37" s="623" t="s">
        <v>102</v>
      </c>
      <c r="F37" s="623">
        <v>2302.7100999999998</v>
      </c>
      <c r="G37" s="623">
        <v>2811.9335000000001</v>
      </c>
      <c r="H37" s="623">
        <v>2239.3022000000001</v>
      </c>
      <c r="I37" s="623">
        <v>2058.8933999999999</v>
      </c>
      <c r="J37" s="623">
        <v>1789.1496</v>
      </c>
      <c r="K37" s="623">
        <v>2168.7276999999999</v>
      </c>
      <c r="L37" s="623">
        <v>2268.2752999999998</v>
      </c>
      <c r="M37" s="623" t="s">
        <v>102</v>
      </c>
      <c r="N37" s="624">
        <v>2185.7442000000001</v>
      </c>
      <c r="O37" s="624">
        <v>2011.1822999999999</v>
      </c>
      <c r="P37" s="609">
        <v>2057.3557000000001</v>
      </c>
      <c r="Q37" s="13"/>
      <c r="R37" s="851" t="s">
        <v>809</v>
      </c>
      <c r="S37" s="623" t="s">
        <v>102</v>
      </c>
      <c r="T37" s="623" t="s">
        <v>102</v>
      </c>
      <c r="U37" s="623" t="s">
        <v>102</v>
      </c>
      <c r="V37" s="623">
        <v>2277.5922</v>
      </c>
      <c r="W37" s="623">
        <v>2803.5021999999999</v>
      </c>
      <c r="X37" s="623">
        <v>2092.3325</v>
      </c>
      <c r="Y37" s="623">
        <v>2020.3323</v>
      </c>
      <c r="Z37" s="623">
        <v>1730.4002</v>
      </c>
      <c r="AA37" s="623">
        <v>2130.7559000000001</v>
      </c>
      <c r="AB37" s="623">
        <v>2055.4663999999998</v>
      </c>
      <c r="AC37" s="623" t="s">
        <v>102</v>
      </c>
      <c r="AD37" s="624">
        <v>2122.3542000000002</v>
      </c>
      <c r="AE37" s="624">
        <v>1913.7859000000001</v>
      </c>
      <c r="AF37" s="609">
        <v>1968.9544000000001</v>
      </c>
      <c r="AH37" s="851" t="s">
        <v>809</v>
      </c>
      <c r="AI37" s="623" t="s">
        <v>102</v>
      </c>
      <c r="AJ37" s="623" t="s">
        <v>102</v>
      </c>
      <c r="AK37" s="623" t="s">
        <v>102</v>
      </c>
      <c r="AL37" s="623">
        <v>2247.4647</v>
      </c>
      <c r="AM37" s="623">
        <v>2901.8872999999999</v>
      </c>
      <c r="AN37" s="623">
        <v>2225.9812999999999</v>
      </c>
      <c r="AO37" s="623">
        <v>2180.1226999999999</v>
      </c>
      <c r="AP37" s="623">
        <v>1841.0336</v>
      </c>
      <c r="AQ37" s="623">
        <v>2188.9852999999998</v>
      </c>
      <c r="AR37" s="623">
        <v>2555.5841</v>
      </c>
      <c r="AS37" s="623" t="s">
        <v>102</v>
      </c>
      <c r="AT37" s="624">
        <v>2256.2098000000001</v>
      </c>
      <c r="AU37" s="624">
        <v>2122.1529</v>
      </c>
      <c r="AV37" s="609">
        <v>2157.6122999999998</v>
      </c>
      <c r="AW37" s="13"/>
      <c r="AX37" s="851" t="s">
        <v>809</v>
      </c>
      <c r="AY37" s="623" t="s">
        <v>102</v>
      </c>
      <c r="AZ37" s="623" t="s">
        <v>102</v>
      </c>
      <c r="BA37" s="623" t="s">
        <v>102</v>
      </c>
      <c r="BB37" s="623">
        <v>2247.4647</v>
      </c>
      <c r="BC37" s="623">
        <v>2797.998</v>
      </c>
      <c r="BD37" s="623">
        <v>2225.9382000000001</v>
      </c>
      <c r="BE37" s="623">
        <v>2091.1511999999998</v>
      </c>
      <c r="BF37" s="623">
        <v>1806.7276999999999</v>
      </c>
      <c r="BG37" s="623">
        <v>2026.4677999999999</v>
      </c>
      <c r="BH37" s="623">
        <v>2453.4926999999998</v>
      </c>
      <c r="BI37" s="623" t="s">
        <v>102</v>
      </c>
      <c r="BJ37" s="624">
        <v>2195.8229000000001</v>
      </c>
      <c r="BK37" s="624">
        <v>2039.3515</v>
      </c>
      <c r="BL37" s="609">
        <v>2080.7397999999998</v>
      </c>
    </row>
    <row r="38" spans="2:64" ht="16.5" customHeight="1" x14ac:dyDescent="0.25">
      <c r="B38" s="850" t="s">
        <v>810</v>
      </c>
      <c r="C38" s="619" t="s">
        <v>102</v>
      </c>
      <c r="D38" s="619" t="s">
        <v>102</v>
      </c>
      <c r="E38" s="619">
        <v>5438.7402000000002</v>
      </c>
      <c r="F38" s="619">
        <v>1790.6655000000001</v>
      </c>
      <c r="G38" s="619">
        <v>2454.7460000000001</v>
      </c>
      <c r="H38" s="619">
        <v>2050.1797000000001</v>
      </c>
      <c r="I38" s="619">
        <v>1849.8423</v>
      </c>
      <c r="J38" s="619">
        <v>1637.6139000000001</v>
      </c>
      <c r="K38" s="619">
        <v>1757.5225</v>
      </c>
      <c r="L38" s="619">
        <v>1849.6232</v>
      </c>
      <c r="M38" s="619" t="s">
        <v>102</v>
      </c>
      <c r="N38" s="620">
        <v>2040.9073000000001</v>
      </c>
      <c r="O38" s="620">
        <v>1786.85</v>
      </c>
      <c r="P38" s="621">
        <v>1836.1737000000001</v>
      </c>
      <c r="Q38" s="13"/>
      <c r="R38" s="850" t="s">
        <v>810</v>
      </c>
      <c r="S38" s="619" t="s">
        <v>102</v>
      </c>
      <c r="T38" s="619" t="s">
        <v>102</v>
      </c>
      <c r="U38" s="619">
        <v>5315.6661999999997</v>
      </c>
      <c r="V38" s="619">
        <v>1736.6434999999999</v>
      </c>
      <c r="W38" s="619">
        <v>2374.4542000000001</v>
      </c>
      <c r="X38" s="619">
        <v>2032.0488</v>
      </c>
      <c r="Y38" s="619">
        <v>1833.0296000000001</v>
      </c>
      <c r="Z38" s="619">
        <v>1612.2713000000001</v>
      </c>
      <c r="AA38" s="619">
        <v>1724.3452</v>
      </c>
      <c r="AB38" s="619">
        <v>1815.6949999999999</v>
      </c>
      <c r="AC38" s="619" t="s">
        <v>102</v>
      </c>
      <c r="AD38" s="620">
        <v>2005.7684999999999</v>
      </c>
      <c r="AE38" s="620">
        <v>1754.3444</v>
      </c>
      <c r="AF38" s="621">
        <v>1803.1569</v>
      </c>
      <c r="AH38" s="850" t="s">
        <v>810</v>
      </c>
      <c r="AI38" s="619" t="s">
        <v>102</v>
      </c>
      <c r="AJ38" s="619" t="s">
        <v>102</v>
      </c>
      <c r="AK38" s="619">
        <v>7262.0232999999998</v>
      </c>
      <c r="AL38" s="619">
        <v>1911.3624</v>
      </c>
      <c r="AM38" s="619">
        <v>2786.2907</v>
      </c>
      <c r="AN38" s="619">
        <v>1843.4736</v>
      </c>
      <c r="AO38" s="619">
        <v>1932.2733000000001</v>
      </c>
      <c r="AP38" s="619">
        <v>1810.8108999999999</v>
      </c>
      <c r="AQ38" s="619">
        <v>1809.0172</v>
      </c>
      <c r="AR38" s="619">
        <v>1813.3221000000001</v>
      </c>
      <c r="AS38" s="619" t="s">
        <v>102</v>
      </c>
      <c r="AT38" s="620">
        <v>2181.1419000000001</v>
      </c>
      <c r="AU38" s="620">
        <v>1811.3706999999999</v>
      </c>
      <c r="AV38" s="621">
        <v>1883.1596</v>
      </c>
      <c r="AW38" s="13"/>
      <c r="AX38" s="850" t="s">
        <v>810</v>
      </c>
      <c r="AY38" s="619" t="s">
        <v>102</v>
      </c>
      <c r="AZ38" s="619" t="s">
        <v>102</v>
      </c>
      <c r="BA38" s="619">
        <v>7262.0232999999998</v>
      </c>
      <c r="BB38" s="619">
        <v>1911.3624</v>
      </c>
      <c r="BC38" s="619">
        <v>2786.2017999999998</v>
      </c>
      <c r="BD38" s="619">
        <v>1843.4736</v>
      </c>
      <c r="BE38" s="619">
        <v>1931.9159</v>
      </c>
      <c r="BF38" s="619">
        <v>1810.8108999999999</v>
      </c>
      <c r="BG38" s="619">
        <v>1774.557</v>
      </c>
      <c r="BH38" s="619">
        <v>1813.3221000000001</v>
      </c>
      <c r="BI38" s="619" t="s">
        <v>102</v>
      </c>
      <c r="BJ38" s="620">
        <v>2180.9070000000002</v>
      </c>
      <c r="BK38" s="620">
        <v>1798.42</v>
      </c>
      <c r="BL38" s="621">
        <v>1872.6776</v>
      </c>
    </row>
    <row r="39" spans="2:64" ht="16.5" customHeight="1" x14ac:dyDescent="0.25">
      <c r="B39" s="851" t="s">
        <v>811</v>
      </c>
      <c r="C39" s="623" t="s">
        <v>102</v>
      </c>
      <c r="D39" s="623" t="s">
        <v>102</v>
      </c>
      <c r="E39" s="623" t="s">
        <v>102</v>
      </c>
      <c r="F39" s="623" t="s">
        <v>102</v>
      </c>
      <c r="G39" s="623" t="s">
        <v>102</v>
      </c>
      <c r="H39" s="623" t="s">
        <v>102</v>
      </c>
      <c r="I39" s="623">
        <v>3058.9904000000001</v>
      </c>
      <c r="J39" s="623">
        <v>2263.6061</v>
      </c>
      <c r="K39" s="623">
        <v>1984.2798</v>
      </c>
      <c r="L39" s="623">
        <v>2124.0752000000002</v>
      </c>
      <c r="M39" s="623">
        <v>2109.7575000000002</v>
      </c>
      <c r="N39" s="624">
        <v>3058.9904000000001</v>
      </c>
      <c r="O39" s="624">
        <v>2087.9985000000001</v>
      </c>
      <c r="P39" s="609">
        <v>2138.0464000000002</v>
      </c>
      <c r="Q39" s="13"/>
      <c r="R39" s="851" t="s">
        <v>811</v>
      </c>
      <c r="S39" s="623" t="s">
        <v>102</v>
      </c>
      <c r="T39" s="623" t="s">
        <v>102</v>
      </c>
      <c r="U39" s="623" t="s">
        <v>102</v>
      </c>
      <c r="V39" s="623" t="s">
        <v>102</v>
      </c>
      <c r="W39" s="623" t="s">
        <v>102</v>
      </c>
      <c r="X39" s="623" t="s">
        <v>102</v>
      </c>
      <c r="Y39" s="623">
        <v>2882.0138999999999</v>
      </c>
      <c r="Z39" s="623">
        <v>2194.7067999999999</v>
      </c>
      <c r="AA39" s="623">
        <v>1876.1332</v>
      </c>
      <c r="AB39" s="623">
        <v>1980.5576000000001</v>
      </c>
      <c r="AC39" s="623">
        <v>1954.5036</v>
      </c>
      <c r="AD39" s="624">
        <v>2882.0138999999999</v>
      </c>
      <c r="AE39" s="624">
        <v>1955.6215999999999</v>
      </c>
      <c r="AF39" s="609">
        <v>2003.3706999999999</v>
      </c>
      <c r="AH39" s="851" t="s">
        <v>811</v>
      </c>
      <c r="AI39" s="623" t="s">
        <v>102</v>
      </c>
      <c r="AJ39" s="623" t="s">
        <v>102</v>
      </c>
      <c r="AK39" s="623" t="s">
        <v>102</v>
      </c>
      <c r="AL39" s="623" t="s">
        <v>102</v>
      </c>
      <c r="AM39" s="623" t="s">
        <v>102</v>
      </c>
      <c r="AN39" s="623" t="s">
        <v>102</v>
      </c>
      <c r="AO39" s="623">
        <v>3191.7134000000001</v>
      </c>
      <c r="AP39" s="623">
        <v>2157.9358999999999</v>
      </c>
      <c r="AQ39" s="623">
        <v>1977.6575</v>
      </c>
      <c r="AR39" s="623">
        <v>2036.0626999999999</v>
      </c>
      <c r="AS39" s="623">
        <v>2040.8271999999999</v>
      </c>
      <c r="AT39" s="624">
        <v>3191.7134000000001</v>
      </c>
      <c r="AU39" s="624">
        <v>2028.3298</v>
      </c>
      <c r="AV39" s="609">
        <v>2088.2941000000001</v>
      </c>
      <c r="AW39" s="13"/>
      <c r="AX39" s="851" t="s">
        <v>811</v>
      </c>
      <c r="AY39" s="623" t="s">
        <v>102</v>
      </c>
      <c r="AZ39" s="623" t="s">
        <v>102</v>
      </c>
      <c r="BA39" s="623" t="s">
        <v>102</v>
      </c>
      <c r="BB39" s="623" t="s">
        <v>102</v>
      </c>
      <c r="BC39" s="623" t="s">
        <v>102</v>
      </c>
      <c r="BD39" s="623" t="s">
        <v>102</v>
      </c>
      <c r="BE39" s="623">
        <v>3003.3108000000002</v>
      </c>
      <c r="BF39" s="623">
        <v>2075.8886000000002</v>
      </c>
      <c r="BG39" s="623">
        <v>1907.9049</v>
      </c>
      <c r="BH39" s="623">
        <v>1978.5522000000001</v>
      </c>
      <c r="BI39" s="623">
        <v>1920.1485</v>
      </c>
      <c r="BJ39" s="624">
        <v>3003.3108000000002</v>
      </c>
      <c r="BK39" s="624">
        <v>1945.8933</v>
      </c>
      <c r="BL39" s="609">
        <v>2000.3958</v>
      </c>
    </row>
    <row r="40" spans="2:64" ht="16.5" customHeight="1" x14ac:dyDescent="0.25">
      <c r="B40" s="850" t="s">
        <v>812</v>
      </c>
      <c r="C40" s="619" t="s">
        <v>102</v>
      </c>
      <c r="D40" s="619" t="s">
        <v>102</v>
      </c>
      <c r="E40" s="619" t="s">
        <v>102</v>
      </c>
      <c r="F40" s="619" t="s">
        <v>102</v>
      </c>
      <c r="G40" s="619" t="s">
        <v>102</v>
      </c>
      <c r="H40" s="619" t="s">
        <v>102</v>
      </c>
      <c r="I40" s="619">
        <v>1912.5157999999999</v>
      </c>
      <c r="J40" s="619">
        <v>1530.2446</v>
      </c>
      <c r="K40" s="619">
        <v>1549.0292999999999</v>
      </c>
      <c r="L40" s="619">
        <v>1319.1599000000001</v>
      </c>
      <c r="M40" s="619" t="s">
        <v>102</v>
      </c>
      <c r="N40" s="620">
        <v>1912.5157999999999</v>
      </c>
      <c r="O40" s="620">
        <v>1460.7720999999999</v>
      </c>
      <c r="P40" s="621">
        <v>1546.7357</v>
      </c>
      <c r="Q40" s="13"/>
      <c r="R40" s="850" t="s">
        <v>812</v>
      </c>
      <c r="S40" s="619" t="s">
        <v>102</v>
      </c>
      <c r="T40" s="619" t="s">
        <v>102</v>
      </c>
      <c r="U40" s="619" t="s">
        <v>102</v>
      </c>
      <c r="V40" s="619" t="s">
        <v>102</v>
      </c>
      <c r="W40" s="619" t="s">
        <v>102</v>
      </c>
      <c r="X40" s="619" t="s">
        <v>102</v>
      </c>
      <c r="Y40" s="619">
        <v>1879.5391999999999</v>
      </c>
      <c r="Z40" s="619">
        <v>1509.6297999999999</v>
      </c>
      <c r="AA40" s="619">
        <v>1531.7661000000001</v>
      </c>
      <c r="AB40" s="619">
        <v>1273.2224000000001</v>
      </c>
      <c r="AC40" s="619" t="s">
        <v>102</v>
      </c>
      <c r="AD40" s="620">
        <v>1879.5391999999999</v>
      </c>
      <c r="AE40" s="620">
        <v>1431.9920999999999</v>
      </c>
      <c r="AF40" s="621">
        <v>1517.1569999999999</v>
      </c>
      <c r="AH40" s="850" t="s">
        <v>812</v>
      </c>
      <c r="AI40" s="619" t="s">
        <v>102</v>
      </c>
      <c r="AJ40" s="619" t="s">
        <v>102</v>
      </c>
      <c r="AK40" s="619" t="s">
        <v>102</v>
      </c>
      <c r="AL40" s="619" t="s">
        <v>102</v>
      </c>
      <c r="AM40" s="619" t="s">
        <v>102</v>
      </c>
      <c r="AN40" s="619" t="s">
        <v>102</v>
      </c>
      <c r="AO40" s="619">
        <v>1953.9358</v>
      </c>
      <c r="AP40" s="619">
        <v>1603.2097000000001</v>
      </c>
      <c r="AQ40" s="619">
        <v>1563.548</v>
      </c>
      <c r="AR40" s="619">
        <v>1180.2184999999999</v>
      </c>
      <c r="AS40" s="619" t="s">
        <v>102</v>
      </c>
      <c r="AT40" s="620">
        <v>1953.9358</v>
      </c>
      <c r="AU40" s="620">
        <v>1452.1003000000001</v>
      </c>
      <c r="AV40" s="621">
        <v>1547.5959</v>
      </c>
      <c r="AW40" s="13"/>
      <c r="AX40" s="850" t="s">
        <v>812</v>
      </c>
      <c r="AY40" s="619" t="s">
        <v>102</v>
      </c>
      <c r="AZ40" s="619" t="s">
        <v>102</v>
      </c>
      <c r="BA40" s="619" t="s">
        <v>102</v>
      </c>
      <c r="BB40" s="619" t="s">
        <v>102</v>
      </c>
      <c r="BC40" s="619" t="s">
        <v>102</v>
      </c>
      <c r="BD40" s="619" t="s">
        <v>102</v>
      </c>
      <c r="BE40" s="619">
        <v>1739.4916000000001</v>
      </c>
      <c r="BF40" s="619">
        <v>1537.9194</v>
      </c>
      <c r="BG40" s="619">
        <v>1258.2230999999999</v>
      </c>
      <c r="BH40" s="619">
        <v>1180.2173</v>
      </c>
      <c r="BI40" s="619" t="s">
        <v>102</v>
      </c>
      <c r="BJ40" s="620">
        <v>1739.4916000000001</v>
      </c>
      <c r="BK40" s="620">
        <v>1372.2601</v>
      </c>
      <c r="BL40" s="621">
        <v>1442.1415</v>
      </c>
    </row>
    <row r="41" spans="2:64" ht="16.5" customHeight="1" x14ac:dyDescent="0.25">
      <c r="B41" s="976" t="s">
        <v>940</v>
      </c>
      <c r="C41" s="977"/>
      <c r="D41" s="977"/>
      <c r="E41" s="977"/>
      <c r="F41" s="977"/>
      <c r="G41" s="977"/>
      <c r="H41" s="977"/>
      <c r="I41" s="977"/>
      <c r="J41" s="977"/>
      <c r="K41" s="977"/>
      <c r="L41" s="977"/>
      <c r="M41" s="977"/>
      <c r="N41" s="978"/>
      <c r="O41" s="978"/>
      <c r="P41" s="979"/>
      <c r="Q41" s="13"/>
      <c r="R41" s="976" t="s">
        <v>940</v>
      </c>
      <c r="S41" s="977"/>
      <c r="T41" s="977"/>
      <c r="U41" s="977"/>
      <c r="V41" s="977"/>
      <c r="W41" s="977"/>
      <c r="X41" s="977"/>
      <c r="Y41" s="977"/>
      <c r="Z41" s="977"/>
      <c r="AA41" s="977"/>
      <c r="AB41" s="977"/>
      <c r="AC41" s="977"/>
      <c r="AD41" s="978"/>
      <c r="AE41" s="978"/>
      <c r="AF41" s="979"/>
      <c r="AH41" s="976" t="s">
        <v>940</v>
      </c>
      <c r="AI41" s="977"/>
      <c r="AJ41" s="977"/>
      <c r="AK41" s="977"/>
      <c r="AL41" s="977"/>
      <c r="AM41" s="977"/>
      <c r="AN41" s="977"/>
      <c r="AO41" s="977"/>
      <c r="AP41" s="977"/>
      <c r="AQ41" s="977"/>
      <c r="AR41" s="977"/>
      <c r="AS41" s="977"/>
      <c r="AT41" s="978"/>
      <c r="AU41" s="978"/>
      <c r="AV41" s="979"/>
      <c r="AW41" s="13"/>
      <c r="AX41" s="976" t="s">
        <v>940</v>
      </c>
      <c r="AY41" s="977"/>
      <c r="AZ41" s="977"/>
      <c r="BA41" s="977"/>
      <c r="BB41" s="977"/>
      <c r="BC41" s="977"/>
      <c r="BD41" s="977"/>
      <c r="BE41" s="977"/>
      <c r="BF41" s="977"/>
      <c r="BG41" s="977"/>
      <c r="BH41" s="977"/>
      <c r="BI41" s="977"/>
      <c r="BJ41" s="978"/>
      <c r="BK41" s="978"/>
      <c r="BL41" s="979"/>
    </row>
    <row r="42" spans="2:64" ht="16.5" customHeight="1" x14ac:dyDescent="0.25">
      <c r="B42" s="852" t="s">
        <v>502</v>
      </c>
      <c r="C42" s="853">
        <v>988.3383</v>
      </c>
      <c r="D42" s="853">
        <v>1918.2964999999999</v>
      </c>
      <c r="E42" s="853">
        <v>1005.7258</v>
      </c>
      <c r="F42" s="853">
        <v>1167.0337999999999</v>
      </c>
      <c r="G42" s="853">
        <v>1230.8122000000001</v>
      </c>
      <c r="H42" s="853">
        <v>1414.5835</v>
      </c>
      <c r="I42" s="853">
        <v>1563.7882</v>
      </c>
      <c r="J42" s="853">
        <v>1691.0696</v>
      </c>
      <c r="K42" s="853">
        <v>1933.7107000000001</v>
      </c>
      <c r="L42" s="853">
        <v>2166.703</v>
      </c>
      <c r="M42" s="853">
        <v>2392.4665</v>
      </c>
      <c r="N42" s="854">
        <v>1427.8776</v>
      </c>
      <c r="O42" s="854">
        <v>2167.8222999999998</v>
      </c>
      <c r="P42" s="855">
        <v>2055.4412000000002</v>
      </c>
      <c r="Q42" s="13"/>
      <c r="R42" s="852" t="s">
        <v>502</v>
      </c>
      <c r="S42" s="853">
        <v>964.06859999999995</v>
      </c>
      <c r="T42" s="853">
        <v>1577.0726</v>
      </c>
      <c r="U42" s="853">
        <v>894.11779999999999</v>
      </c>
      <c r="V42" s="853">
        <v>1106.7346</v>
      </c>
      <c r="W42" s="853">
        <v>1173.6415999999999</v>
      </c>
      <c r="X42" s="853">
        <v>1363.2084</v>
      </c>
      <c r="Y42" s="853">
        <v>1493.4254000000001</v>
      </c>
      <c r="Z42" s="853">
        <v>1620.2969000000001</v>
      </c>
      <c r="AA42" s="853">
        <v>1840.7824000000001</v>
      </c>
      <c r="AB42" s="853">
        <v>2031.2639999999999</v>
      </c>
      <c r="AC42" s="853">
        <v>2275.2096000000001</v>
      </c>
      <c r="AD42" s="854">
        <v>1362.6305</v>
      </c>
      <c r="AE42" s="854">
        <v>2058.8182999999999</v>
      </c>
      <c r="AF42" s="855">
        <v>1953.0829000000001</v>
      </c>
      <c r="AH42" s="852" t="s">
        <v>502</v>
      </c>
      <c r="AI42" s="853">
        <v>1049.8273999999999</v>
      </c>
      <c r="AJ42" s="853">
        <v>1893.1447000000001</v>
      </c>
      <c r="AK42" s="853">
        <v>998.76760000000002</v>
      </c>
      <c r="AL42" s="853">
        <v>1130.0379</v>
      </c>
      <c r="AM42" s="853">
        <v>1226.9105</v>
      </c>
      <c r="AN42" s="853">
        <v>1360.1405999999999</v>
      </c>
      <c r="AO42" s="853">
        <v>1520.8588</v>
      </c>
      <c r="AP42" s="853">
        <v>1655.8308999999999</v>
      </c>
      <c r="AQ42" s="853">
        <v>1898.0983000000001</v>
      </c>
      <c r="AR42" s="853">
        <v>2167.7184999999999</v>
      </c>
      <c r="AS42" s="853">
        <v>2335.8877000000002</v>
      </c>
      <c r="AT42" s="854">
        <v>1390.4535000000001</v>
      </c>
      <c r="AU42" s="854">
        <v>2127.6727999999998</v>
      </c>
      <c r="AV42" s="855">
        <v>2015.7057</v>
      </c>
      <c r="AW42" s="13"/>
      <c r="AX42" s="852" t="s">
        <v>502</v>
      </c>
      <c r="AY42" s="853">
        <v>1014.8216</v>
      </c>
      <c r="AZ42" s="853">
        <v>1745.9625000000001</v>
      </c>
      <c r="BA42" s="853">
        <v>971.37390000000005</v>
      </c>
      <c r="BB42" s="853">
        <v>1084.0275999999999</v>
      </c>
      <c r="BC42" s="853">
        <v>1172.6637000000001</v>
      </c>
      <c r="BD42" s="853">
        <v>1302.5413000000001</v>
      </c>
      <c r="BE42" s="853">
        <v>1447.7896000000001</v>
      </c>
      <c r="BF42" s="853">
        <v>1581.3887999999999</v>
      </c>
      <c r="BG42" s="853">
        <v>1811.3016</v>
      </c>
      <c r="BH42" s="853">
        <v>2020.0735999999999</v>
      </c>
      <c r="BI42" s="853">
        <v>2108.3703999999998</v>
      </c>
      <c r="BJ42" s="854">
        <v>1326.8656000000001</v>
      </c>
      <c r="BK42" s="854">
        <v>1963.8694</v>
      </c>
      <c r="BL42" s="855">
        <v>1867.1228000000001</v>
      </c>
    </row>
    <row r="43" spans="2:64" ht="16.5" customHeight="1" x14ac:dyDescent="0.25">
      <c r="B43" s="856" t="s">
        <v>472</v>
      </c>
      <c r="C43" s="857">
        <v>2117.6882999999998</v>
      </c>
      <c r="D43" s="857">
        <v>1417.9690000000001</v>
      </c>
      <c r="E43" s="857">
        <v>1155.9482</v>
      </c>
      <c r="F43" s="857">
        <v>1136.8172</v>
      </c>
      <c r="G43" s="857">
        <v>1317.1275000000001</v>
      </c>
      <c r="H43" s="857">
        <v>1450.6982</v>
      </c>
      <c r="I43" s="857">
        <v>1632.2728999999999</v>
      </c>
      <c r="J43" s="857">
        <v>1775.0302999999999</v>
      </c>
      <c r="K43" s="857">
        <v>1928.9535000000001</v>
      </c>
      <c r="L43" s="857">
        <v>2074.6974</v>
      </c>
      <c r="M43" s="857">
        <v>1972.7623000000001</v>
      </c>
      <c r="N43" s="858">
        <v>1371.8775000000001</v>
      </c>
      <c r="O43" s="858">
        <v>1924.2519</v>
      </c>
      <c r="P43" s="859">
        <v>1677.8146999999999</v>
      </c>
      <c r="Q43" s="13"/>
      <c r="R43" s="856" t="s">
        <v>472</v>
      </c>
      <c r="S43" s="857">
        <v>1974.3342</v>
      </c>
      <c r="T43" s="857">
        <v>1313.5608999999999</v>
      </c>
      <c r="U43" s="857">
        <v>1079.8900000000001</v>
      </c>
      <c r="V43" s="857">
        <v>1066.7874999999999</v>
      </c>
      <c r="W43" s="857">
        <v>1247.2718</v>
      </c>
      <c r="X43" s="857">
        <v>1375.6873000000001</v>
      </c>
      <c r="Y43" s="857">
        <v>1550.4373000000001</v>
      </c>
      <c r="Z43" s="857">
        <v>1689.0736999999999</v>
      </c>
      <c r="AA43" s="857">
        <v>1820.0024000000001</v>
      </c>
      <c r="AB43" s="857">
        <v>1940.2992999999999</v>
      </c>
      <c r="AC43" s="857">
        <v>1852.7512999999999</v>
      </c>
      <c r="AD43" s="858">
        <v>1296.9390000000001</v>
      </c>
      <c r="AE43" s="858">
        <v>1814.8945000000001</v>
      </c>
      <c r="AF43" s="859">
        <v>1583.8130000000001</v>
      </c>
      <c r="AH43" s="856" t="s">
        <v>472</v>
      </c>
      <c r="AI43" s="857">
        <v>2148.0396999999998</v>
      </c>
      <c r="AJ43" s="857">
        <v>1410.914</v>
      </c>
      <c r="AK43" s="857">
        <v>1139.8479</v>
      </c>
      <c r="AL43" s="857">
        <v>1123.0427</v>
      </c>
      <c r="AM43" s="857">
        <v>1285.6728000000001</v>
      </c>
      <c r="AN43" s="857">
        <v>1440.4041</v>
      </c>
      <c r="AO43" s="857">
        <v>1603.3513</v>
      </c>
      <c r="AP43" s="857">
        <v>1748.9191000000001</v>
      </c>
      <c r="AQ43" s="857">
        <v>1912.2796000000001</v>
      </c>
      <c r="AR43" s="857">
        <v>2074.8218999999999</v>
      </c>
      <c r="AS43" s="857">
        <v>1962.0393999999999</v>
      </c>
      <c r="AT43" s="858">
        <v>1350.4575</v>
      </c>
      <c r="AU43" s="858">
        <v>1909.2824000000001</v>
      </c>
      <c r="AV43" s="859">
        <v>1659.9673</v>
      </c>
      <c r="AW43" s="13"/>
      <c r="AX43" s="856" t="s">
        <v>472</v>
      </c>
      <c r="AY43" s="857">
        <v>2092.0050000000001</v>
      </c>
      <c r="AZ43" s="857">
        <v>1332.9055000000001</v>
      </c>
      <c r="BA43" s="857">
        <v>1080.203</v>
      </c>
      <c r="BB43" s="857">
        <v>1068.2889</v>
      </c>
      <c r="BC43" s="857">
        <v>1227.8819000000001</v>
      </c>
      <c r="BD43" s="857">
        <v>1370.3348000000001</v>
      </c>
      <c r="BE43" s="857">
        <v>1535.7650000000001</v>
      </c>
      <c r="BF43" s="857">
        <v>1668.7729999999999</v>
      </c>
      <c r="BG43" s="857">
        <v>1781.9186999999999</v>
      </c>
      <c r="BH43" s="857">
        <v>1915.8426999999999</v>
      </c>
      <c r="BI43" s="857">
        <v>1830.2598</v>
      </c>
      <c r="BJ43" s="858">
        <v>1288.6139000000001</v>
      </c>
      <c r="BK43" s="858">
        <v>1785.55</v>
      </c>
      <c r="BL43" s="859">
        <v>1563.8461</v>
      </c>
    </row>
    <row r="44" spans="2:64" ht="16.5" customHeight="1" x14ac:dyDescent="0.25">
      <c r="B44" s="865" t="s">
        <v>97</v>
      </c>
      <c r="C44" s="853">
        <v>1924.028</v>
      </c>
      <c r="D44" s="853">
        <v>1434.9755</v>
      </c>
      <c r="E44" s="853">
        <v>1194.2438999999999</v>
      </c>
      <c r="F44" s="853">
        <v>1230.2905000000001</v>
      </c>
      <c r="G44" s="853">
        <v>1376.2383</v>
      </c>
      <c r="H44" s="853">
        <v>1517.1247000000001</v>
      </c>
      <c r="I44" s="853">
        <v>1627.087</v>
      </c>
      <c r="J44" s="853">
        <v>1732.8711000000001</v>
      </c>
      <c r="K44" s="853">
        <v>1876.3588999999999</v>
      </c>
      <c r="L44" s="866">
        <v>1562.4459999999999</v>
      </c>
      <c r="M44" s="866" t="s">
        <v>102</v>
      </c>
      <c r="N44" s="854">
        <v>1366.3444999999999</v>
      </c>
      <c r="O44" s="854">
        <v>1743.5164</v>
      </c>
      <c r="P44" s="855">
        <v>1405.6691000000001</v>
      </c>
      <c r="Q44" s="13"/>
      <c r="R44" s="865" t="s">
        <v>97</v>
      </c>
      <c r="S44" s="853">
        <v>1804.1703</v>
      </c>
      <c r="T44" s="853">
        <v>1341.9809</v>
      </c>
      <c r="U44" s="853">
        <v>1117.6349</v>
      </c>
      <c r="V44" s="853">
        <v>1152.2789</v>
      </c>
      <c r="W44" s="853">
        <v>1298.624</v>
      </c>
      <c r="X44" s="853">
        <v>1435.1909000000001</v>
      </c>
      <c r="Y44" s="853">
        <v>1536.7922000000001</v>
      </c>
      <c r="Z44" s="853">
        <v>1634.9478999999999</v>
      </c>
      <c r="AA44" s="853">
        <v>1785.1831999999999</v>
      </c>
      <c r="AB44" s="866">
        <v>1545.8407999999999</v>
      </c>
      <c r="AC44" s="866" t="s">
        <v>102</v>
      </c>
      <c r="AD44" s="854">
        <v>1285.1208999999999</v>
      </c>
      <c r="AE44" s="854">
        <v>1648.3272999999999</v>
      </c>
      <c r="AF44" s="855">
        <v>1322.9893999999999</v>
      </c>
      <c r="AH44" s="865" t="s">
        <v>97</v>
      </c>
      <c r="AI44" s="853">
        <v>1992.0337</v>
      </c>
      <c r="AJ44" s="853">
        <v>1451.6552999999999</v>
      </c>
      <c r="AK44" s="853">
        <v>1193.8559</v>
      </c>
      <c r="AL44" s="853">
        <v>1206.4054000000001</v>
      </c>
      <c r="AM44" s="853">
        <v>1350.0938000000001</v>
      </c>
      <c r="AN44" s="853">
        <v>1492.8215</v>
      </c>
      <c r="AO44" s="853">
        <v>1585.4069999999999</v>
      </c>
      <c r="AP44" s="853">
        <v>1732.0745999999999</v>
      </c>
      <c r="AQ44" s="853">
        <v>1778.9529</v>
      </c>
      <c r="AR44" s="866">
        <v>1645.2167999999999</v>
      </c>
      <c r="AS44" s="866" t="s">
        <v>102</v>
      </c>
      <c r="AT44" s="854">
        <v>1343.6428000000001</v>
      </c>
      <c r="AU44" s="854">
        <v>1734.7728999999999</v>
      </c>
      <c r="AV44" s="855">
        <v>1384.4227000000001</v>
      </c>
      <c r="AW44" s="13"/>
      <c r="AX44" s="865" t="s">
        <v>97</v>
      </c>
      <c r="AY44" s="853">
        <v>1891.8589999999999</v>
      </c>
      <c r="AZ44" s="853">
        <v>1383.8538000000001</v>
      </c>
      <c r="BA44" s="853">
        <v>1135.5832</v>
      </c>
      <c r="BB44" s="853">
        <v>1142.9453000000001</v>
      </c>
      <c r="BC44" s="853">
        <v>1280.2786000000001</v>
      </c>
      <c r="BD44" s="853">
        <v>1417.4581000000001</v>
      </c>
      <c r="BE44" s="853">
        <v>1506.1685</v>
      </c>
      <c r="BF44" s="853">
        <v>1634.9006999999999</v>
      </c>
      <c r="BG44" s="853">
        <v>1674.3013000000001</v>
      </c>
      <c r="BH44" s="866">
        <v>1645.2167999999999</v>
      </c>
      <c r="BI44" s="866" t="s">
        <v>102</v>
      </c>
      <c r="BJ44" s="854">
        <v>1275.1072999999999</v>
      </c>
      <c r="BK44" s="854">
        <v>1639.2517</v>
      </c>
      <c r="BL44" s="855">
        <v>1313.0735999999999</v>
      </c>
    </row>
    <row r="45" spans="2:64" ht="16.5" customHeight="1" x14ac:dyDescent="0.25">
      <c r="B45" s="860" t="s">
        <v>96</v>
      </c>
      <c r="C45" s="861">
        <v>2071.8265000000001</v>
      </c>
      <c r="D45" s="861">
        <v>1470.8187</v>
      </c>
      <c r="E45" s="861">
        <v>1339.8282999999999</v>
      </c>
      <c r="F45" s="861">
        <v>1588.3979999999999</v>
      </c>
      <c r="G45" s="861">
        <v>2026.5168000000001</v>
      </c>
      <c r="H45" s="861">
        <v>2245.2096000000001</v>
      </c>
      <c r="I45" s="861">
        <v>2014.9041999999999</v>
      </c>
      <c r="J45" s="861">
        <v>1943.2470000000001</v>
      </c>
      <c r="K45" s="861" t="s">
        <v>102</v>
      </c>
      <c r="L45" s="862" t="s">
        <v>102</v>
      </c>
      <c r="M45" s="862" t="s">
        <v>102</v>
      </c>
      <c r="N45" s="863">
        <v>1707.6366</v>
      </c>
      <c r="O45" s="863">
        <v>1943.2470000000001</v>
      </c>
      <c r="P45" s="864">
        <v>1718.5070000000001</v>
      </c>
      <c r="Q45" s="13"/>
      <c r="R45" s="860" t="s">
        <v>96</v>
      </c>
      <c r="S45" s="861">
        <v>1948.1085</v>
      </c>
      <c r="T45" s="861">
        <v>1384.5698</v>
      </c>
      <c r="U45" s="861">
        <v>1257.8675000000001</v>
      </c>
      <c r="V45" s="861">
        <v>1497.1778999999999</v>
      </c>
      <c r="W45" s="861">
        <v>1922.8867</v>
      </c>
      <c r="X45" s="861">
        <v>2137.3321000000001</v>
      </c>
      <c r="Y45" s="861">
        <v>1911.2927999999999</v>
      </c>
      <c r="Z45" s="861">
        <v>1855.0159000000001</v>
      </c>
      <c r="AA45" s="861" t="s">
        <v>102</v>
      </c>
      <c r="AB45" s="862" t="s">
        <v>102</v>
      </c>
      <c r="AC45" s="862" t="s">
        <v>102</v>
      </c>
      <c r="AD45" s="863">
        <v>1613.2860000000001</v>
      </c>
      <c r="AE45" s="863">
        <v>1855.0159000000001</v>
      </c>
      <c r="AF45" s="864">
        <v>1624.4387999999999</v>
      </c>
      <c r="AH45" s="860" t="s">
        <v>96</v>
      </c>
      <c r="AI45" s="861">
        <v>2173.2321999999999</v>
      </c>
      <c r="AJ45" s="861">
        <v>1524.8098</v>
      </c>
      <c r="AK45" s="861">
        <v>1357.5036</v>
      </c>
      <c r="AL45" s="861">
        <v>1612.4654</v>
      </c>
      <c r="AM45" s="861">
        <v>2270.857</v>
      </c>
      <c r="AN45" s="861">
        <v>2296.4180999999999</v>
      </c>
      <c r="AO45" s="861">
        <v>1992.5586000000001</v>
      </c>
      <c r="AP45" s="861">
        <v>1783.5183</v>
      </c>
      <c r="AQ45" s="861" t="s">
        <v>102</v>
      </c>
      <c r="AR45" s="862" t="s">
        <v>102</v>
      </c>
      <c r="AS45" s="862" t="s">
        <v>102</v>
      </c>
      <c r="AT45" s="863">
        <v>1759.5405000000001</v>
      </c>
      <c r="AU45" s="863">
        <v>1783.5183</v>
      </c>
      <c r="AV45" s="864">
        <v>1760.6467</v>
      </c>
      <c r="AW45" s="13"/>
      <c r="AX45" s="860" t="s">
        <v>96</v>
      </c>
      <c r="AY45" s="861">
        <v>2068.8150000000001</v>
      </c>
      <c r="AZ45" s="861">
        <v>1435.1224</v>
      </c>
      <c r="BA45" s="861">
        <v>1293.5764999999999</v>
      </c>
      <c r="BB45" s="861">
        <v>1538.6389999999999</v>
      </c>
      <c r="BC45" s="861">
        <v>2176.1817999999998</v>
      </c>
      <c r="BD45" s="861">
        <v>2144.261</v>
      </c>
      <c r="BE45" s="861">
        <v>1935.2189000000001</v>
      </c>
      <c r="BF45" s="861">
        <v>1714.0634</v>
      </c>
      <c r="BG45" s="861" t="s">
        <v>102</v>
      </c>
      <c r="BH45" s="862" t="s">
        <v>102</v>
      </c>
      <c r="BI45" s="862" t="s">
        <v>102</v>
      </c>
      <c r="BJ45" s="863">
        <v>1678.1464000000001</v>
      </c>
      <c r="BK45" s="863">
        <v>1714.0634</v>
      </c>
      <c r="BL45" s="864">
        <v>1679.8035</v>
      </c>
    </row>
    <row r="46" spans="2:64" s="288" customFormat="1" x14ac:dyDescent="0.2">
      <c r="B46" s="37" t="s">
        <v>270</v>
      </c>
      <c r="C46" s="290"/>
      <c r="D46" s="290"/>
      <c r="E46" s="290"/>
      <c r="F46" s="290"/>
      <c r="G46" s="290"/>
      <c r="H46" s="290"/>
      <c r="I46" s="290"/>
      <c r="J46" s="290"/>
      <c r="K46" s="290"/>
      <c r="L46" s="290"/>
      <c r="M46" s="290"/>
      <c r="N46" s="290"/>
      <c r="O46" s="290"/>
      <c r="P46" s="291"/>
      <c r="R46" s="37" t="s">
        <v>270</v>
      </c>
      <c r="S46" s="290"/>
      <c r="T46" s="290"/>
      <c r="U46" s="290"/>
      <c r="V46" s="290"/>
      <c r="W46" s="290"/>
      <c r="X46" s="290"/>
      <c r="Y46" s="290"/>
      <c r="Z46" s="290"/>
      <c r="AA46" s="290"/>
      <c r="AB46" s="290"/>
      <c r="AC46" s="290"/>
      <c r="AD46" s="290"/>
      <c r="AE46" s="290"/>
      <c r="AF46" s="291"/>
      <c r="AH46" s="37" t="s">
        <v>270</v>
      </c>
      <c r="AI46" s="290"/>
      <c r="AJ46" s="290"/>
      <c r="AK46" s="290"/>
      <c r="AL46" s="290"/>
      <c r="AM46" s="290"/>
      <c r="AN46" s="290"/>
      <c r="AO46" s="290"/>
      <c r="AP46" s="290"/>
      <c r="AQ46" s="290"/>
      <c r="AR46" s="290"/>
      <c r="AS46" s="290"/>
      <c r="AT46" s="290"/>
      <c r="AU46" s="290"/>
      <c r="AV46" s="291"/>
      <c r="AX46" s="37" t="s">
        <v>270</v>
      </c>
      <c r="AY46" s="290"/>
      <c r="AZ46" s="290"/>
      <c r="BA46" s="290"/>
      <c r="BB46" s="290"/>
      <c r="BC46" s="290"/>
      <c r="BD46" s="290"/>
      <c r="BE46" s="290"/>
      <c r="BF46" s="290"/>
      <c r="BG46" s="290"/>
      <c r="BH46" s="290"/>
      <c r="BI46" s="290"/>
      <c r="BJ46" s="290"/>
      <c r="BK46" s="290"/>
      <c r="BL46" s="291"/>
    </row>
    <row r="47" spans="2:64" s="288" customFormat="1" x14ac:dyDescent="0.2">
      <c r="B47" s="37" t="s">
        <v>503</v>
      </c>
      <c r="C47" s="290"/>
      <c r="D47" s="290"/>
      <c r="E47" s="290"/>
      <c r="F47" s="290"/>
      <c r="G47" s="290"/>
      <c r="H47" s="290"/>
      <c r="I47" s="290"/>
      <c r="J47" s="290"/>
      <c r="K47" s="290"/>
      <c r="L47" s="290"/>
      <c r="M47" s="290"/>
      <c r="N47" s="290"/>
      <c r="O47" s="290"/>
      <c r="P47" s="291"/>
      <c r="R47" s="37" t="s">
        <v>503</v>
      </c>
      <c r="S47" s="290"/>
      <c r="T47" s="290"/>
      <c r="U47" s="290"/>
      <c r="V47" s="290"/>
      <c r="W47" s="290"/>
      <c r="X47" s="290"/>
      <c r="Y47" s="290"/>
      <c r="Z47" s="290"/>
      <c r="AA47" s="290"/>
      <c r="AB47" s="290"/>
      <c r="AC47" s="290"/>
      <c r="AD47" s="290"/>
      <c r="AE47" s="290"/>
      <c r="AF47" s="291"/>
      <c r="AH47" s="37" t="s">
        <v>503</v>
      </c>
      <c r="AI47" s="290"/>
      <c r="AJ47" s="290"/>
      <c r="AK47" s="290"/>
      <c r="AL47" s="290"/>
      <c r="AM47" s="290"/>
      <c r="AN47" s="290"/>
      <c r="AO47" s="290"/>
      <c r="AP47" s="290"/>
      <c r="AQ47" s="290"/>
      <c r="AR47" s="290"/>
      <c r="AS47" s="290"/>
      <c r="AT47" s="290"/>
      <c r="AU47" s="290"/>
      <c r="AV47" s="291"/>
      <c r="AX47" s="37" t="s">
        <v>503</v>
      </c>
      <c r="AY47" s="290"/>
      <c r="AZ47" s="290"/>
      <c r="BA47" s="290"/>
      <c r="BB47" s="290"/>
      <c r="BC47" s="290"/>
      <c r="BD47" s="290"/>
      <c r="BE47" s="290"/>
      <c r="BF47" s="290"/>
      <c r="BG47" s="290"/>
      <c r="BH47" s="290"/>
      <c r="BI47" s="290"/>
      <c r="BJ47" s="290"/>
      <c r="BK47" s="290"/>
      <c r="BL47" s="291"/>
    </row>
    <row r="48" spans="2:64" s="288" customFormat="1" x14ac:dyDescent="0.2">
      <c r="B48" s="68" t="s">
        <v>473</v>
      </c>
      <c r="C48" s="292"/>
      <c r="D48" s="292"/>
      <c r="E48" s="292"/>
      <c r="F48" s="292"/>
      <c r="G48" s="292"/>
      <c r="H48" s="292"/>
      <c r="I48" s="292"/>
      <c r="J48" s="292"/>
      <c r="K48" s="292"/>
      <c r="L48" s="292"/>
      <c r="M48" s="292"/>
      <c r="N48" s="292"/>
      <c r="O48" s="292"/>
      <c r="P48" s="293"/>
      <c r="R48" s="68" t="s">
        <v>473</v>
      </c>
      <c r="S48" s="292"/>
      <c r="T48" s="292"/>
      <c r="U48" s="292"/>
      <c r="V48" s="292"/>
      <c r="W48" s="292"/>
      <c r="X48" s="292"/>
      <c r="Y48" s="292"/>
      <c r="Z48" s="292"/>
      <c r="AA48" s="292"/>
      <c r="AB48" s="292"/>
      <c r="AC48" s="292"/>
      <c r="AD48" s="292"/>
      <c r="AE48" s="292"/>
      <c r="AF48" s="293"/>
      <c r="AH48" s="68" t="s">
        <v>473</v>
      </c>
      <c r="AI48" s="292"/>
      <c r="AJ48" s="292"/>
      <c r="AK48" s="292"/>
      <c r="AL48" s="292"/>
      <c r="AM48" s="292"/>
      <c r="AN48" s="292"/>
      <c r="AO48" s="292"/>
      <c r="AP48" s="292"/>
      <c r="AQ48" s="292"/>
      <c r="AR48" s="292"/>
      <c r="AS48" s="292"/>
      <c r="AT48" s="292"/>
      <c r="AU48" s="292"/>
      <c r="AV48" s="293"/>
      <c r="AX48" s="68" t="s">
        <v>473</v>
      </c>
      <c r="AY48" s="292"/>
      <c r="AZ48" s="292"/>
      <c r="BA48" s="292"/>
      <c r="BB48" s="292"/>
      <c r="BC48" s="292"/>
      <c r="BD48" s="292"/>
      <c r="BE48" s="292"/>
      <c r="BF48" s="292"/>
      <c r="BG48" s="292"/>
      <c r="BH48" s="292"/>
      <c r="BI48" s="292"/>
      <c r="BJ48" s="292"/>
      <c r="BK48" s="292"/>
      <c r="BL48" s="293"/>
    </row>
    <row r="49" spans="1:64" s="288" customFormat="1" x14ac:dyDescent="0.2">
      <c r="A49" s="294"/>
      <c r="B49" s="625" t="s">
        <v>888</v>
      </c>
      <c r="C49" s="295"/>
      <c r="D49" s="295"/>
      <c r="E49" s="295"/>
      <c r="F49" s="295"/>
      <c r="G49" s="295"/>
      <c r="H49" s="295"/>
      <c r="I49" s="295"/>
      <c r="J49" s="295"/>
      <c r="K49" s="295"/>
      <c r="L49" s="295"/>
      <c r="M49" s="295"/>
      <c r="N49" s="295"/>
      <c r="O49" s="295"/>
      <c r="P49" s="296"/>
      <c r="Q49" s="294"/>
      <c r="R49" s="625" t="s">
        <v>888</v>
      </c>
      <c r="S49" s="295"/>
      <c r="T49" s="295"/>
      <c r="U49" s="295"/>
      <c r="V49" s="295"/>
      <c r="W49" s="295"/>
      <c r="X49" s="295"/>
      <c r="Y49" s="295"/>
      <c r="Z49" s="295"/>
      <c r="AA49" s="295"/>
      <c r="AB49" s="295"/>
      <c r="AC49" s="295"/>
      <c r="AD49" s="295"/>
      <c r="AE49" s="295"/>
      <c r="AF49" s="296"/>
      <c r="AG49" s="294"/>
      <c r="AH49" s="625" t="s">
        <v>888</v>
      </c>
      <c r="AI49" s="295"/>
      <c r="AJ49" s="295"/>
      <c r="AK49" s="295"/>
      <c r="AL49" s="295"/>
      <c r="AM49" s="295"/>
      <c r="AN49" s="295"/>
      <c r="AO49" s="295"/>
      <c r="AP49" s="295"/>
      <c r="AQ49" s="295"/>
      <c r="AR49" s="295"/>
      <c r="AS49" s="295"/>
      <c r="AT49" s="295"/>
      <c r="AU49" s="295"/>
      <c r="AV49" s="296"/>
      <c r="AW49" s="294"/>
      <c r="AX49" s="625" t="s">
        <v>888</v>
      </c>
      <c r="AY49" s="295"/>
      <c r="AZ49" s="295"/>
      <c r="BA49" s="295"/>
      <c r="BB49" s="295"/>
      <c r="BC49" s="295"/>
      <c r="BD49" s="295"/>
      <c r="BE49" s="295"/>
      <c r="BF49" s="295"/>
      <c r="BG49" s="295"/>
      <c r="BH49" s="295"/>
      <c r="BI49" s="295"/>
      <c r="BJ49" s="295"/>
      <c r="BK49" s="295"/>
      <c r="BL49" s="296"/>
    </row>
  </sheetData>
  <phoneticPr fontId="2" type="noConversion"/>
  <pageMargins left="0.78740157480314965" right="0.78740157480314965" top="0.78740157480314965" bottom="0.78740157480314965" header="0.39370078740157483" footer="0.39370078740157483"/>
  <pageSetup paperSize="9" scale="62" firstPageNumber="62" fitToWidth="4" fitToHeight="0" orientation="landscape" useFirstPageNumber="1" r:id="rId1"/>
  <headerFooter alignWithMargins="0">
    <oddHeader xml:space="preserve">&amp;R&amp;12Les finances des communes en 2024
</oddHeader>
    <oddFooter>&amp;L&amp;12Direction Générale des Collectivités Locales / DESL&amp;C&amp;12&amp;P&amp;R&amp;12Mise en ligne : janvier 2026</oddFooter>
  </headerFooter>
  <colBreaks count="3" manualBreakCount="3">
    <brk id="16" max="1048575" man="1"/>
    <brk id="32" max="48" man="1"/>
    <brk id="48" max="48"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I55"/>
  <sheetViews>
    <sheetView view="pageBreakPreview" zoomScale="60" zoomScaleNormal="100" zoomScalePageLayoutView="85" workbookViewId="0"/>
  </sheetViews>
  <sheetFormatPr baseColWidth="10" defaultRowHeight="12.75" x14ac:dyDescent="0.2"/>
  <cols>
    <col min="1" max="1" width="2.85546875" customWidth="1"/>
    <col min="2" max="2" width="29.28515625" customWidth="1"/>
    <col min="14" max="15" width="13.42578125" customWidth="1"/>
    <col min="16" max="16" width="13.5703125" style="94" customWidth="1"/>
    <col min="17" max="17" width="3.42578125" customWidth="1"/>
    <col min="18" max="18" width="27.7109375" customWidth="1"/>
    <col min="30" max="31" width="13.42578125" customWidth="1"/>
    <col min="33" max="33" width="2.5703125" customWidth="1"/>
    <col min="34" max="34" width="27.28515625" customWidth="1"/>
    <col min="46" max="47" width="13.42578125" customWidth="1"/>
    <col min="48" max="48" width="11.42578125" style="94"/>
    <col min="49" max="49" width="2.7109375" customWidth="1"/>
    <col min="50" max="50" width="27.42578125" customWidth="1"/>
    <col min="62" max="63" width="13.42578125" customWidth="1"/>
    <col min="64" max="64" width="13.140625" style="94" customWidth="1"/>
    <col min="65" max="65" width="3.7109375" customWidth="1"/>
    <col min="66" max="66" width="29.7109375" customWidth="1"/>
    <col min="78" max="79" width="13.42578125" customWidth="1"/>
    <col min="80" max="80" width="12.85546875" style="94" customWidth="1"/>
    <col min="81" max="81" width="5.28515625" hidden="1" customWidth="1"/>
    <col min="82" max="82" width="5.28515625" customWidth="1"/>
    <col min="83" max="83" width="28.140625" customWidth="1"/>
    <col min="95" max="96" width="13.42578125" customWidth="1"/>
    <col min="97" max="97" width="11.42578125" style="94"/>
    <col min="98" max="98" width="4.140625" customWidth="1"/>
    <col min="99" max="99" width="27.7109375" customWidth="1"/>
    <col min="111" max="112" width="13.42578125" customWidth="1"/>
    <col min="113" max="113" width="11.42578125" style="94"/>
  </cols>
  <sheetData>
    <row r="1" spans="1:113" s="13" customFormat="1" ht="20.25" x14ac:dyDescent="0.3">
      <c r="A1" s="10" t="s">
        <v>941</v>
      </c>
      <c r="B1" s="50"/>
      <c r="C1" s="70"/>
      <c r="D1" s="70"/>
      <c r="E1" s="70"/>
      <c r="F1" s="70"/>
      <c r="G1" s="70"/>
      <c r="H1" s="70"/>
      <c r="I1" s="70"/>
      <c r="J1" s="70"/>
      <c r="K1" s="70"/>
      <c r="L1" s="70"/>
      <c r="M1" s="70"/>
      <c r="N1" s="70"/>
      <c r="O1" s="70"/>
      <c r="P1" s="89"/>
      <c r="Q1" s="49"/>
      <c r="R1" s="50"/>
      <c r="S1" s="186"/>
      <c r="T1" s="186"/>
      <c r="U1" s="186"/>
      <c r="V1" s="186"/>
      <c r="W1" s="186"/>
      <c r="X1" s="186"/>
      <c r="Y1" s="186"/>
      <c r="Z1" s="186"/>
      <c r="AA1" s="186"/>
      <c r="AB1" s="186"/>
      <c r="AC1" s="186"/>
      <c r="AD1" s="186"/>
      <c r="AE1" s="186"/>
      <c r="AF1" s="187"/>
      <c r="AG1" s="69"/>
      <c r="AH1" s="78"/>
      <c r="AI1" s="67"/>
      <c r="AJ1" s="67"/>
      <c r="AK1" s="67"/>
      <c r="AL1" s="67"/>
      <c r="AM1" s="67"/>
      <c r="AN1" s="67"/>
      <c r="AO1" s="67"/>
      <c r="AP1" s="67"/>
      <c r="AQ1" s="67"/>
      <c r="AR1" s="67"/>
      <c r="AS1" s="67"/>
      <c r="AT1" s="67"/>
      <c r="AU1" s="67"/>
      <c r="AV1" s="89"/>
      <c r="AW1" s="69"/>
      <c r="AX1" s="78"/>
      <c r="AY1" s="67"/>
      <c r="AZ1" s="67"/>
      <c r="BA1" s="67"/>
      <c r="BB1" s="67"/>
      <c r="BC1" s="67"/>
      <c r="BD1" s="67"/>
      <c r="BE1" s="67"/>
      <c r="BF1" s="67"/>
      <c r="BG1" s="67"/>
      <c r="BH1" s="67"/>
      <c r="BI1" s="67"/>
      <c r="BJ1" s="67"/>
      <c r="BK1" s="67"/>
      <c r="BL1" s="89"/>
      <c r="BM1" s="69"/>
      <c r="BN1" s="79"/>
      <c r="BO1" s="80"/>
      <c r="BP1" s="80"/>
      <c r="BQ1" s="80"/>
      <c r="BR1" s="80"/>
      <c r="BS1" s="80"/>
      <c r="BT1" s="80"/>
      <c r="BU1" s="80"/>
      <c r="BV1" s="80"/>
      <c r="BW1" s="80"/>
      <c r="BX1" s="67"/>
      <c r="BY1" s="67"/>
      <c r="BZ1" s="67"/>
      <c r="CA1" s="67"/>
      <c r="CB1" s="89"/>
      <c r="CC1" s="69"/>
      <c r="CD1" s="69"/>
      <c r="CE1" s="77"/>
      <c r="CF1" s="80"/>
      <c r="CG1" s="80"/>
      <c r="CH1" s="80"/>
      <c r="CI1" s="80"/>
      <c r="CJ1" s="80"/>
      <c r="CK1" s="80"/>
      <c r="CL1" s="80"/>
      <c r="CM1" s="80"/>
      <c r="CN1" s="80"/>
      <c r="CO1" s="80"/>
      <c r="CP1" s="80"/>
      <c r="CQ1" s="80"/>
      <c r="CR1" s="80"/>
      <c r="CS1" s="98"/>
      <c r="CT1" s="69"/>
      <c r="CU1" s="77"/>
      <c r="CV1" s="80"/>
      <c r="CW1" s="80"/>
      <c r="CX1" s="80"/>
      <c r="CY1" s="80"/>
      <c r="CZ1" s="80"/>
      <c r="DA1" s="80"/>
      <c r="DB1" s="80"/>
      <c r="DC1" s="80"/>
      <c r="DD1" s="80"/>
      <c r="DE1" s="80"/>
      <c r="DF1" s="80"/>
      <c r="DG1" s="80"/>
      <c r="DH1" s="80"/>
      <c r="DI1" s="98"/>
    </row>
    <row r="2" spans="1:113" s="13" customFormat="1" ht="12.75" customHeight="1" x14ac:dyDescent="0.3">
      <c r="A2" s="9"/>
      <c r="B2" s="50"/>
      <c r="C2" s="70"/>
      <c r="D2" s="70"/>
      <c r="E2" s="70"/>
      <c r="F2" s="70"/>
      <c r="G2" s="70"/>
      <c r="H2" s="70"/>
      <c r="I2" s="70"/>
      <c r="J2" s="70"/>
      <c r="K2" s="70"/>
      <c r="L2" s="70"/>
      <c r="M2" s="70"/>
      <c r="N2" s="70"/>
      <c r="O2" s="70"/>
      <c r="P2" s="89"/>
      <c r="R2" s="28"/>
      <c r="S2" s="52"/>
      <c r="T2" s="52"/>
      <c r="U2" s="52"/>
      <c r="V2" s="52"/>
      <c r="W2" s="52"/>
      <c r="X2" s="52"/>
      <c r="Y2" s="52"/>
      <c r="Z2" s="52"/>
      <c r="AA2" s="52"/>
      <c r="AB2" s="52"/>
      <c r="AC2" s="52"/>
      <c r="AD2" s="52"/>
      <c r="AE2" s="52"/>
      <c r="AF2" s="53"/>
      <c r="AG2" s="69"/>
      <c r="AH2" s="78"/>
      <c r="AI2" s="67"/>
      <c r="AJ2" s="67"/>
      <c r="AK2" s="67"/>
      <c r="AL2" s="67"/>
      <c r="AM2" s="67"/>
      <c r="AN2" s="67"/>
      <c r="AO2" s="67"/>
      <c r="AP2" s="67"/>
      <c r="AQ2" s="67"/>
      <c r="AR2" s="67"/>
      <c r="AS2" s="67"/>
      <c r="AT2" s="67"/>
      <c r="AU2" s="67"/>
      <c r="AV2" s="89"/>
      <c r="AW2" s="69"/>
      <c r="AX2" s="78"/>
      <c r="AY2" s="67"/>
      <c r="AZ2" s="67"/>
      <c r="BA2" s="67"/>
      <c r="BB2" s="67"/>
      <c r="BC2" s="67"/>
      <c r="BD2" s="67"/>
      <c r="BE2" s="67"/>
      <c r="BF2" s="67"/>
      <c r="BG2" s="67"/>
      <c r="BH2" s="67"/>
      <c r="BI2" s="67"/>
      <c r="BJ2" s="67"/>
      <c r="BK2" s="67"/>
      <c r="BL2" s="89"/>
      <c r="BM2" s="69"/>
      <c r="BN2" s="79"/>
      <c r="BO2" s="80"/>
      <c r="BP2" s="80"/>
      <c r="BQ2" s="80"/>
      <c r="BR2" s="80"/>
      <c r="BS2" s="80"/>
      <c r="BT2" s="80"/>
      <c r="BU2" s="80"/>
      <c r="BV2" s="80"/>
      <c r="BW2" s="80"/>
      <c r="BX2" s="67"/>
      <c r="BY2" s="67"/>
      <c r="BZ2" s="67"/>
      <c r="CA2" s="67"/>
      <c r="CB2" s="89"/>
      <c r="CC2" s="69"/>
      <c r="CD2" s="69"/>
      <c r="CE2" s="77"/>
      <c r="CF2" s="80"/>
      <c r="CG2" s="80"/>
      <c r="CH2" s="80"/>
      <c r="CI2" s="80"/>
      <c r="CJ2" s="80"/>
      <c r="CK2" s="80"/>
      <c r="CL2" s="80"/>
      <c r="CM2" s="80"/>
      <c r="CN2" s="80"/>
      <c r="CO2" s="80"/>
      <c r="CP2" s="80"/>
      <c r="CQ2" s="80"/>
      <c r="CR2" s="80"/>
      <c r="CS2" s="98"/>
      <c r="CT2" s="69"/>
      <c r="CU2" s="77"/>
      <c r="CV2" s="80"/>
      <c r="CW2" s="80"/>
      <c r="CX2" s="80"/>
      <c r="CY2" s="80"/>
      <c r="CZ2" s="80"/>
      <c r="DA2" s="80"/>
      <c r="DB2" s="80"/>
      <c r="DC2" s="80"/>
      <c r="DD2" s="80"/>
      <c r="DE2" s="80"/>
      <c r="DF2" s="80"/>
      <c r="DG2" s="80"/>
      <c r="DH2" s="80"/>
      <c r="DI2" s="98"/>
    </row>
    <row r="3" spans="1:113" x14ac:dyDescent="0.2">
      <c r="A3" s="13"/>
      <c r="B3" s="28"/>
      <c r="C3" s="52"/>
      <c r="D3" s="52"/>
      <c r="E3" s="52"/>
      <c r="F3" s="52"/>
      <c r="G3" s="52"/>
      <c r="H3" s="52"/>
      <c r="I3" s="52"/>
      <c r="J3" s="52"/>
      <c r="K3" s="52"/>
      <c r="L3" s="52"/>
      <c r="M3" s="52"/>
      <c r="N3" s="52"/>
      <c r="O3" s="52"/>
      <c r="P3" s="90"/>
      <c r="AG3" s="13"/>
      <c r="AH3" s="13"/>
      <c r="AI3" s="72"/>
      <c r="AJ3" s="72"/>
      <c r="AK3" s="72"/>
      <c r="AL3" s="72"/>
      <c r="AM3" s="72"/>
      <c r="AN3" s="72"/>
      <c r="AO3" s="72"/>
      <c r="AP3" s="72"/>
      <c r="AQ3" s="72"/>
      <c r="AR3" s="72"/>
      <c r="AS3" s="72"/>
      <c r="AT3" s="72"/>
      <c r="AU3" s="72"/>
      <c r="AV3" s="95"/>
      <c r="AW3" s="13"/>
      <c r="AX3" s="13"/>
      <c r="AY3" s="72"/>
      <c r="AZ3" s="72"/>
      <c r="BA3" s="72"/>
      <c r="BB3" s="72"/>
      <c r="BC3" s="72"/>
      <c r="BD3" s="72"/>
      <c r="BE3" s="72"/>
      <c r="BF3" s="72"/>
      <c r="BG3" s="72"/>
      <c r="BH3" s="72"/>
      <c r="BI3" s="72"/>
      <c r="BJ3" s="72"/>
      <c r="BK3" s="72"/>
      <c r="BL3" s="95"/>
      <c r="BM3" s="13"/>
      <c r="BN3" s="45"/>
      <c r="BO3" s="72"/>
      <c r="BP3" s="72"/>
      <c r="BQ3" s="72"/>
      <c r="BR3" s="72"/>
      <c r="BS3" s="72"/>
      <c r="BT3" s="72"/>
      <c r="BU3" s="72"/>
      <c r="BV3" s="72"/>
      <c r="BW3" s="72"/>
      <c r="BX3" s="72"/>
      <c r="BY3" s="72"/>
      <c r="BZ3" s="72"/>
      <c r="CA3" s="72"/>
      <c r="CB3" s="95"/>
      <c r="CC3" s="13"/>
      <c r="CD3" s="13"/>
      <c r="CE3" s="13"/>
      <c r="CF3" s="72"/>
      <c r="CG3" s="72"/>
      <c r="CH3" s="72"/>
      <c r="CI3" s="72"/>
      <c r="CJ3" s="72"/>
      <c r="CK3" s="72"/>
      <c r="CL3" s="72"/>
      <c r="CM3" s="72"/>
      <c r="CN3" s="72"/>
      <c r="CO3" s="72"/>
      <c r="CP3" s="72"/>
      <c r="CQ3" s="72"/>
      <c r="CR3" s="72"/>
      <c r="CS3" s="95"/>
      <c r="CT3" s="13"/>
      <c r="CU3" s="13"/>
      <c r="CV3" s="72"/>
      <c r="CW3" s="72"/>
      <c r="CX3" s="72"/>
      <c r="CY3" s="72"/>
      <c r="CZ3" s="72"/>
      <c r="DA3" s="72"/>
      <c r="DB3" s="72"/>
      <c r="DC3" s="72"/>
      <c r="DD3" s="72"/>
      <c r="DE3" s="72"/>
      <c r="DF3" s="72"/>
      <c r="DG3" s="72"/>
      <c r="DH3" s="72"/>
      <c r="DI3" s="95"/>
    </row>
    <row r="4" spans="1:113" ht="16.5" x14ac:dyDescent="0.25">
      <c r="A4" s="54" t="s">
        <v>298</v>
      </c>
      <c r="B4" s="55"/>
      <c r="C4" s="56"/>
      <c r="D4" s="56"/>
      <c r="E4" s="56"/>
      <c r="F4" s="56"/>
      <c r="G4" s="56"/>
      <c r="H4" s="56"/>
      <c r="I4" s="56"/>
      <c r="J4" s="56"/>
      <c r="K4" s="56"/>
      <c r="L4" s="56"/>
      <c r="M4" s="56"/>
      <c r="N4" s="56"/>
      <c r="O4" s="56"/>
      <c r="P4" s="91"/>
      <c r="R4" s="54" t="s">
        <v>474</v>
      </c>
      <c r="S4" s="56"/>
      <c r="T4" s="56"/>
      <c r="U4" s="56"/>
      <c r="V4" s="56"/>
      <c r="W4" s="56"/>
      <c r="X4" s="56"/>
      <c r="Y4" s="56"/>
      <c r="Z4" s="56"/>
      <c r="AA4" s="56"/>
      <c r="AB4" s="56"/>
      <c r="AC4" s="56"/>
      <c r="AD4" s="56"/>
      <c r="AE4" s="56"/>
      <c r="AF4" s="188"/>
      <c r="AG4" s="54" t="s">
        <v>299</v>
      </c>
      <c r="AH4" s="54"/>
      <c r="AI4" s="73"/>
      <c r="AJ4" s="73"/>
      <c r="AK4" s="73"/>
      <c r="AL4" s="73"/>
      <c r="AM4" s="73"/>
      <c r="AN4" s="73"/>
      <c r="AO4" s="73"/>
      <c r="AP4" s="73"/>
      <c r="AQ4" s="73"/>
      <c r="AR4" s="73"/>
      <c r="AS4" s="73"/>
      <c r="AT4" s="73"/>
      <c r="AU4" s="73"/>
      <c r="AV4" s="96"/>
      <c r="AX4" s="54" t="s">
        <v>300</v>
      </c>
      <c r="AY4" s="73"/>
      <c r="AZ4" s="73"/>
      <c r="BA4" s="73"/>
      <c r="BB4" s="73"/>
      <c r="BC4" s="73"/>
      <c r="BD4" s="73"/>
      <c r="BE4" s="73"/>
      <c r="BF4" s="73"/>
      <c r="BG4" s="73"/>
      <c r="BH4" s="73"/>
      <c r="BI4" s="73"/>
      <c r="BJ4" s="73"/>
      <c r="BK4" s="73"/>
      <c r="BL4" s="96"/>
      <c r="BN4" s="54" t="s">
        <v>301</v>
      </c>
      <c r="BO4" s="81"/>
      <c r="BP4" s="81"/>
      <c r="BQ4" s="81"/>
      <c r="BR4" s="81"/>
      <c r="BS4" s="81"/>
      <c r="BT4" s="81"/>
      <c r="BU4" s="81"/>
      <c r="BV4" s="81"/>
      <c r="BW4" s="81"/>
      <c r="BX4" s="73"/>
      <c r="BY4" s="73"/>
      <c r="BZ4" s="73"/>
      <c r="CA4" s="73"/>
      <c r="CB4" s="96"/>
      <c r="CC4" s="54" t="s">
        <v>302</v>
      </c>
      <c r="CD4" s="54"/>
      <c r="CE4" s="54" t="s">
        <v>302</v>
      </c>
      <c r="CF4" s="81"/>
      <c r="CG4" s="81"/>
      <c r="CH4" s="81"/>
      <c r="CI4" s="81"/>
      <c r="CJ4" s="81"/>
      <c r="CK4" s="81"/>
      <c r="CL4" s="81"/>
      <c r="CM4" s="81"/>
      <c r="CN4" s="81"/>
      <c r="CO4" s="81"/>
      <c r="CP4" s="81"/>
      <c r="CQ4" s="81"/>
      <c r="CR4" s="81"/>
      <c r="CS4" s="99"/>
      <c r="CU4" s="54" t="s">
        <v>304</v>
      </c>
      <c r="CV4" s="81"/>
      <c r="CW4" s="81"/>
      <c r="CX4" s="81"/>
      <c r="CY4" s="81"/>
      <c r="CZ4" s="81"/>
      <c r="DA4" s="81"/>
      <c r="DB4" s="81"/>
      <c r="DC4" s="81"/>
      <c r="DD4" s="81"/>
      <c r="DE4" s="81"/>
      <c r="DF4" s="81"/>
      <c r="DG4" s="81"/>
      <c r="DH4" s="81"/>
      <c r="DI4" s="99"/>
    </row>
    <row r="5" spans="1:113" x14ac:dyDescent="0.2">
      <c r="A5" s="39"/>
      <c r="B5" s="28"/>
      <c r="C5" s="52"/>
      <c r="D5" s="52"/>
      <c r="E5" s="52"/>
      <c r="F5" s="52"/>
      <c r="G5" s="52"/>
      <c r="H5" s="52"/>
      <c r="I5" s="52"/>
      <c r="J5" s="52"/>
      <c r="K5" s="52"/>
      <c r="L5" s="52"/>
      <c r="M5" s="52"/>
      <c r="N5" s="52"/>
      <c r="O5" s="52"/>
      <c r="P5" s="90"/>
      <c r="R5" s="39"/>
      <c r="S5" s="52"/>
      <c r="T5" s="52"/>
      <c r="U5" s="52"/>
      <c r="V5" s="52"/>
      <c r="W5" s="52"/>
      <c r="X5" s="52"/>
      <c r="Y5" s="52"/>
      <c r="Z5" s="52"/>
      <c r="AA5" s="52"/>
      <c r="AB5" s="52"/>
      <c r="AC5" s="52"/>
      <c r="AD5" s="52"/>
      <c r="AE5" s="52"/>
      <c r="AF5" s="53"/>
      <c r="AG5" s="39"/>
      <c r="AH5" s="39"/>
      <c r="AI5" s="71"/>
      <c r="AJ5" s="71"/>
      <c r="AK5" s="71"/>
      <c r="AL5" s="71"/>
      <c r="AM5" s="71"/>
      <c r="AN5" s="71"/>
      <c r="AO5" s="71"/>
      <c r="AP5" s="71"/>
      <c r="AQ5" s="71"/>
      <c r="AR5" s="71"/>
      <c r="AS5" s="71"/>
      <c r="AT5" s="71"/>
      <c r="AU5" s="71"/>
      <c r="AV5" s="97"/>
      <c r="AX5" s="39"/>
      <c r="AY5" s="71"/>
      <c r="AZ5" s="71"/>
      <c r="BA5" s="71"/>
      <c r="BB5" s="71"/>
      <c r="BC5" s="71"/>
      <c r="BD5" s="71"/>
      <c r="BE5" s="71"/>
      <c r="BF5" s="71"/>
      <c r="BG5" s="71"/>
      <c r="BH5" s="71"/>
      <c r="BI5" s="71"/>
      <c r="BJ5" s="71"/>
      <c r="BK5" s="71"/>
      <c r="BL5" s="97"/>
      <c r="BN5" s="39"/>
      <c r="BO5" s="58"/>
      <c r="BP5" s="58"/>
      <c r="BQ5" s="58"/>
      <c r="BR5" s="58"/>
      <c r="BS5" s="58"/>
      <c r="BT5" s="58"/>
      <c r="BU5" s="58"/>
      <c r="BV5" s="58"/>
      <c r="BW5" s="58"/>
      <c r="BX5" s="71"/>
      <c r="BY5" s="71"/>
      <c r="BZ5" s="71"/>
      <c r="CA5" s="71"/>
      <c r="CB5" s="97"/>
      <c r="CC5" s="39"/>
      <c r="CD5" s="39"/>
      <c r="CE5" s="83"/>
      <c r="CF5" s="58"/>
      <c r="CG5" s="58"/>
      <c r="CH5" s="58"/>
      <c r="CI5" s="58"/>
      <c r="CJ5" s="58"/>
      <c r="CK5" s="58"/>
      <c r="CL5" s="58"/>
      <c r="CM5" s="58"/>
      <c r="CN5" s="58"/>
      <c r="CO5" s="58"/>
      <c r="CP5" s="58"/>
      <c r="CQ5" s="58"/>
      <c r="CR5" s="58"/>
      <c r="CS5" s="100"/>
      <c r="CU5" s="39"/>
      <c r="CV5" s="58"/>
      <c r="CW5" s="58"/>
      <c r="CX5" s="58"/>
      <c r="CY5" s="58"/>
      <c r="CZ5" s="58"/>
      <c r="DA5" s="58"/>
      <c r="DB5" s="58"/>
      <c r="DC5" s="58"/>
      <c r="DD5" s="58"/>
      <c r="DE5" s="58"/>
      <c r="DF5" s="58"/>
      <c r="DG5" s="58"/>
      <c r="DH5" s="58"/>
      <c r="DI5" s="100"/>
    </row>
    <row r="6" spans="1:113" x14ac:dyDescent="0.2">
      <c r="A6" s="13"/>
      <c r="B6" s="895" t="s">
        <v>573</v>
      </c>
      <c r="C6" s="58"/>
      <c r="D6" s="58"/>
      <c r="E6" s="58"/>
      <c r="F6" s="58"/>
      <c r="G6" s="58"/>
      <c r="H6" s="58"/>
      <c r="I6" s="58"/>
      <c r="J6" s="58"/>
      <c r="K6" s="58"/>
      <c r="L6" s="58"/>
      <c r="M6" s="58"/>
      <c r="N6" s="58"/>
      <c r="O6" s="58"/>
      <c r="P6" s="92"/>
      <c r="R6" s="895" t="s">
        <v>573</v>
      </c>
      <c r="S6" s="58"/>
      <c r="T6" s="58"/>
      <c r="U6" s="58"/>
      <c r="V6" s="58"/>
      <c r="W6" s="58"/>
      <c r="X6" s="58"/>
      <c r="Y6" s="58"/>
      <c r="Z6" s="58"/>
      <c r="AA6" s="58"/>
      <c r="AB6" s="58"/>
      <c r="AC6" s="58"/>
      <c r="AD6" s="58"/>
      <c r="AE6" s="58"/>
      <c r="AF6" s="189"/>
      <c r="AG6" s="68" t="s">
        <v>573</v>
      </c>
      <c r="AH6" s="13"/>
      <c r="AI6" s="72"/>
      <c r="AJ6" s="72"/>
      <c r="AK6" s="72"/>
      <c r="AL6" s="72"/>
      <c r="AM6" s="72"/>
      <c r="AN6" s="72"/>
      <c r="AO6" s="72"/>
      <c r="AP6" s="72"/>
      <c r="AQ6" s="72"/>
      <c r="AR6" s="72"/>
      <c r="AS6" s="72"/>
      <c r="AT6" s="72"/>
      <c r="AU6" s="72"/>
      <c r="AV6" s="95"/>
      <c r="AX6" s="68" t="s">
        <v>573</v>
      </c>
      <c r="AY6" s="72"/>
      <c r="AZ6" s="72"/>
      <c r="BA6" s="72"/>
      <c r="BB6" s="72"/>
      <c r="BC6" s="72"/>
      <c r="BD6" s="72"/>
      <c r="BE6" s="72"/>
      <c r="BF6" s="72"/>
      <c r="BG6" s="72"/>
      <c r="BH6" s="72"/>
      <c r="BI6" s="72"/>
      <c r="BJ6" s="72"/>
      <c r="BK6" s="72"/>
      <c r="BL6" s="95"/>
      <c r="BN6" s="13"/>
      <c r="BO6" s="72"/>
      <c r="BP6" s="72"/>
      <c r="BQ6" s="72"/>
      <c r="BR6" s="72"/>
      <c r="BS6" s="72"/>
      <c r="BT6" s="72"/>
      <c r="BU6" s="72"/>
      <c r="BV6" s="72"/>
      <c r="BW6" s="72"/>
      <c r="BX6" s="72"/>
      <c r="BY6" s="72"/>
      <c r="BZ6" s="72"/>
      <c r="CA6" s="72"/>
      <c r="CB6" s="95"/>
      <c r="CC6" s="13"/>
      <c r="CD6" s="13"/>
      <c r="CE6" s="13"/>
      <c r="CF6" s="72"/>
      <c r="CG6" s="72"/>
      <c r="CH6" s="72"/>
      <c r="CI6" s="72"/>
      <c r="CJ6" s="72"/>
      <c r="CK6" s="72"/>
      <c r="CL6" s="72"/>
      <c r="CM6" s="72"/>
      <c r="CN6" s="72"/>
      <c r="CO6" s="72"/>
      <c r="CP6" s="72"/>
      <c r="CQ6" s="72"/>
      <c r="CR6" s="72"/>
      <c r="CS6" s="95"/>
      <c r="CU6" s="68" t="s">
        <v>250</v>
      </c>
      <c r="CV6" s="72"/>
      <c r="CW6" s="72"/>
      <c r="CX6" s="72"/>
      <c r="CY6" s="72"/>
      <c r="CZ6" s="72"/>
      <c r="DA6" s="72"/>
      <c r="DB6" s="72"/>
      <c r="DC6" s="72"/>
      <c r="DD6" s="72"/>
      <c r="DE6" s="72"/>
      <c r="DF6" s="72"/>
      <c r="DG6" s="72"/>
      <c r="DH6" s="72"/>
      <c r="DI6" s="95"/>
    </row>
    <row r="7" spans="1:113" x14ac:dyDescent="0.2">
      <c r="A7" s="13"/>
      <c r="B7" s="68" t="s">
        <v>836</v>
      </c>
      <c r="C7" s="270"/>
      <c r="D7" s="72"/>
      <c r="E7" s="72"/>
      <c r="F7" s="72"/>
      <c r="G7" s="72"/>
      <c r="H7" s="52"/>
      <c r="I7" s="52"/>
      <c r="J7" s="52"/>
      <c r="K7" s="52"/>
      <c r="L7" s="52"/>
      <c r="M7" s="52"/>
      <c r="N7" s="52"/>
      <c r="O7" s="52"/>
      <c r="P7" s="90"/>
      <c r="R7" s="68" t="s">
        <v>836</v>
      </c>
      <c r="S7" s="52"/>
      <c r="T7" s="52"/>
      <c r="U7" s="52"/>
      <c r="V7" s="52"/>
      <c r="W7" s="52"/>
      <c r="X7" s="52"/>
      <c r="Y7" s="52"/>
      <c r="Z7" s="52"/>
      <c r="AA7" s="52"/>
      <c r="AB7" s="52"/>
      <c r="AC7" s="52"/>
      <c r="AD7" s="52"/>
      <c r="AE7" s="52"/>
      <c r="AF7" s="53"/>
      <c r="AG7" s="68" t="s">
        <v>246</v>
      </c>
      <c r="AH7" s="13"/>
      <c r="AI7" s="72"/>
      <c r="AJ7" s="72"/>
      <c r="AK7" s="72"/>
      <c r="AL7" s="72"/>
      <c r="AM7" s="72"/>
      <c r="AN7" s="72"/>
      <c r="AO7" s="72"/>
      <c r="AP7" s="72"/>
      <c r="AQ7" s="72"/>
      <c r="AR7" s="72"/>
      <c r="AS7" s="72"/>
      <c r="AT7" s="72"/>
      <c r="AU7" s="72"/>
      <c r="AV7" s="95"/>
      <c r="AX7" s="68" t="s">
        <v>336</v>
      </c>
      <c r="AY7" s="72"/>
      <c r="AZ7" s="72"/>
      <c r="BA7" s="72"/>
      <c r="BB7" s="72"/>
      <c r="BC7" s="72"/>
      <c r="BD7" s="72"/>
      <c r="BE7" s="72"/>
      <c r="BF7" s="72"/>
      <c r="BG7" s="72"/>
      <c r="BH7" s="72"/>
      <c r="BI7" s="72"/>
      <c r="BJ7" s="72"/>
      <c r="BK7" s="72"/>
      <c r="BL7" s="95"/>
      <c r="BN7" s="68" t="s">
        <v>563</v>
      </c>
      <c r="BO7" s="72"/>
      <c r="BP7" s="72"/>
      <c r="BQ7" s="72"/>
      <c r="BR7" s="72"/>
      <c r="BS7" s="72"/>
      <c r="BT7" s="72"/>
      <c r="BU7" s="72"/>
      <c r="BV7" s="72"/>
      <c r="BW7" s="72"/>
      <c r="BX7" s="72"/>
      <c r="BY7" s="72"/>
      <c r="BZ7" s="72"/>
      <c r="CA7" s="72"/>
      <c r="CB7" s="95"/>
      <c r="CC7" s="68" t="s">
        <v>249</v>
      </c>
      <c r="CD7" s="68"/>
      <c r="CE7" s="68" t="s">
        <v>564</v>
      </c>
      <c r="CF7" s="72"/>
      <c r="CG7" s="72"/>
      <c r="CH7" s="72"/>
      <c r="CI7" s="72"/>
      <c r="CJ7" s="72"/>
      <c r="CK7" s="72"/>
      <c r="CL7" s="72"/>
      <c r="CM7" s="72"/>
      <c r="CN7" s="72"/>
      <c r="CO7" s="72"/>
      <c r="CP7" s="72"/>
      <c r="CQ7" s="72"/>
      <c r="CR7" s="72"/>
      <c r="CS7" s="95"/>
      <c r="CU7" s="744" t="str">
        <f>+CE8</f>
        <v>Dépenses de fonctionnement : débit net du compte 6 hormis les comptes 675, 676, 68 et 65882 en M57, et hormis 65541 (M14) et 65561 (M57) pour les communes de la MGP</v>
      </c>
      <c r="CV7" s="72"/>
      <c r="CW7" s="72"/>
      <c r="CX7" s="72"/>
      <c r="CY7" s="72"/>
      <c r="CZ7" s="72"/>
      <c r="DA7" s="72"/>
      <c r="DB7" s="72"/>
      <c r="DC7" s="72"/>
      <c r="DD7" s="72"/>
      <c r="DE7" s="72"/>
      <c r="DF7" s="72"/>
      <c r="DG7" s="72"/>
      <c r="DH7" s="72"/>
      <c r="DI7" s="95"/>
    </row>
    <row r="8" spans="1:113" x14ac:dyDescent="0.2">
      <c r="A8" s="8"/>
      <c r="B8" s="260"/>
      <c r="C8" s="53"/>
      <c r="D8" s="53"/>
      <c r="E8" s="53"/>
      <c r="F8" s="53"/>
      <c r="G8" s="53"/>
      <c r="H8" s="53"/>
      <c r="I8" s="53"/>
      <c r="J8" s="53"/>
      <c r="K8" s="53"/>
      <c r="L8" s="53"/>
      <c r="M8" s="53"/>
      <c r="N8" s="53"/>
      <c r="O8" s="53"/>
      <c r="P8" s="90"/>
      <c r="R8" s="68" t="s">
        <v>475</v>
      </c>
      <c r="S8" s="53"/>
      <c r="T8" s="53"/>
      <c r="U8" s="53"/>
      <c r="V8" s="53"/>
      <c r="W8" s="53"/>
      <c r="X8" s="53"/>
      <c r="Y8" s="53"/>
      <c r="Z8" s="53"/>
      <c r="AA8" s="53"/>
      <c r="AB8" s="53"/>
      <c r="AC8" s="53"/>
      <c r="AD8" s="53"/>
      <c r="AE8" s="53"/>
      <c r="AF8" s="53"/>
      <c r="AG8" s="269" t="str">
        <f>+B7</f>
        <v>Dépenses de fonctionnement : débit net du compte 6 hormis les comptes 675, 676, 68 et 65882 en M57, et hormis 65541 (M14) et 65561 (M57) pour les communes de la MGP</v>
      </c>
      <c r="AH8" s="13"/>
      <c r="AI8" s="72"/>
      <c r="AJ8" s="72"/>
      <c r="AK8" s="72"/>
      <c r="AL8" s="72"/>
      <c r="AM8" s="72"/>
      <c r="AN8" s="72"/>
      <c r="AO8" s="72"/>
      <c r="AP8" s="72"/>
      <c r="AQ8" s="72"/>
      <c r="AR8" s="72"/>
      <c r="AS8" s="72"/>
      <c r="AT8" s="72"/>
      <c r="AU8" s="72"/>
      <c r="AV8" s="95"/>
      <c r="AX8" s="269" t="str">
        <f>+AG8</f>
        <v>Dépenses de fonctionnement : débit net du compte 6 hormis les comptes 675, 676, 68 et 65882 en M57, et hormis 65541 (M14) et 65561 (M57) pour les communes de la MGP</v>
      </c>
      <c r="AY8" s="72"/>
      <c r="AZ8" s="72"/>
      <c r="BA8" s="72"/>
      <c r="BB8" s="72"/>
      <c r="BC8" s="72"/>
      <c r="BD8" s="72"/>
      <c r="BE8" s="72"/>
      <c r="BF8" s="72"/>
      <c r="BG8" s="72"/>
      <c r="BH8" s="72"/>
      <c r="BI8" s="72"/>
      <c r="BJ8" s="72"/>
      <c r="BK8" s="72"/>
      <c r="BL8" s="95"/>
      <c r="BN8" s="68" t="s">
        <v>635</v>
      </c>
      <c r="BO8" s="72"/>
      <c r="BP8" s="72"/>
      <c r="BQ8" s="72"/>
      <c r="BR8" s="72"/>
      <c r="BS8" s="72"/>
      <c r="BT8" s="72"/>
      <c r="BU8" s="72"/>
      <c r="BV8" s="72"/>
      <c r="BW8" s="72"/>
      <c r="BX8" s="72"/>
      <c r="BY8" s="72"/>
      <c r="BZ8" s="72"/>
      <c r="CA8" s="72"/>
      <c r="CB8" s="95"/>
      <c r="CC8" s="269" t="s">
        <v>245</v>
      </c>
      <c r="CD8" s="269"/>
      <c r="CE8" s="269" t="str">
        <f>+BN9</f>
        <v>Dépenses de fonctionnement : débit net du compte 6 hormis les comptes 675, 676, 68 et 65882 en M57, et hormis 65541 (M14) et 65561 (M57) pour les communes de la MGP</v>
      </c>
      <c r="CF8" s="72"/>
      <c r="CG8" s="72"/>
      <c r="CH8" s="72"/>
      <c r="CI8" s="72"/>
      <c r="CJ8" s="72"/>
      <c r="CK8" s="72"/>
      <c r="CL8" s="72"/>
      <c r="CM8" s="72"/>
      <c r="CN8" s="72"/>
      <c r="CO8" s="72"/>
      <c r="CP8" s="72"/>
      <c r="CQ8" s="72"/>
      <c r="CR8" s="72"/>
      <c r="CS8" s="95"/>
      <c r="CV8" s="72"/>
      <c r="CW8" s="72"/>
      <c r="CX8" s="72"/>
      <c r="CY8" s="72"/>
      <c r="CZ8" s="72"/>
      <c r="DA8" s="72"/>
      <c r="DB8" s="72"/>
      <c r="DC8" s="72"/>
      <c r="DD8" s="72"/>
      <c r="DE8" s="72"/>
      <c r="DF8" s="72"/>
      <c r="DG8" s="72"/>
      <c r="DH8" s="72"/>
      <c r="DI8" s="95"/>
    </row>
    <row r="9" spans="1:113" x14ac:dyDescent="0.2">
      <c r="A9" s="8"/>
      <c r="C9" s="53"/>
      <c r="D9" s="53"/>
      <c r="E9" s="53"/>
      <c r="F9" s="53"/>
      <c r="G9" s="53"/>
      <c r="H9" s="53"/>
      <c r="I9" s="53"/>
      <c r="J9" s="53"/>
      <c r="K9" s="53"/>
      <c r="L9" s="53"/>
      <c r="M9" s="53"/>
      <c r="N9" s="53"/>
      <c r="O9" s="53"/>
      <c r="P9" s="90"/>
      <c r="R9" s="260"/>
      <c r="S9" s="53"/>
      <c r="T9" s="53"/>
      <c r="U9" s="53"/>
      <c r="V9" s="53"/>
      <c r="W9" s="53"/>
      <c r="X9" s="53"/>
      <c r="Y9" s="53"/>
      <c r="Z9" s="53"/>
      <c r="AA9" s="53"/>
      <c r="AB9" s="53"/>
      <c r="AC9" s="53"/>
      <c r="AD9" s="53"/>
      <c r="AE9" s="53"/>
      <c r="AF9" s="53"/>
      <c r="AG9" s="13"/>
      <c r="AH9" s="8"/>
      <c r="AI9" s="84"/>
      <c r="AJ9" s="84"/>
      <c r="AK9" s="84"/>
      <c r="AL9" s="84"/>
      <c r="AM9" s="84"/>
      <c r="AN9" s="84"/>
      <c r="AO9" s="84"/>
      <c r="AP9" s="84"/>
      <c r="AQ9" s="84"/>
      <c r="AR9" s="84"/>
      <c r="AS9" s="84"/>
      <c r="AT9" s="84"/>
      <c r="AU9" s="84"/>
      <c r="AV9" s="89"/>
      <c r="AX9" s="13"/>
      <c r="AY9" s="84"/>
      <c r="AZ9" s="84"/>
      <c r="BA9" s="84"/>
      <c r="BB9" s="84"/>
      <c r="BC9" s="84"/>
      <c r="BD9" s="84"/>
      <c r="BE9" s="84"/>
      <c r="BF9" s="84"/>
      <c r="BG9" s="84"/>
      <c r="BH9" s="84"/>
      <c r="BI9" s="84"/>
      <c r="BJ9" s="84"/>
      <c r="BK9" s="84"/>
      <c r="BL9" s="89"/>
      <c r="BN9" s="68" t="s">
        <v>836</v>
      </c>
      <c r="BO9" s="84"/>
      <c r="BP9" s="84"/>
      <c r="BQ9" s="84"/>
      <c r="BR9" s="84"/>
      <c r="BS9" s="84"/>
      <c r="BT9" s="84"/>
      <c r="BU9" s="84"/>
      <c r="BV9" s="84"/>
      <c r="BW9" s="84"/>
      <c r="BX9" s="84"/>
      <c r="BY9" s="84"/>
      <c r="BZ9" s="84"/>
      <c r="CA9" s="84"/>
      <c r="CB9" s="89"/>
      <c r="CE9" s="8"/>
      <c r="CF9" s="84"/>
      <c r="CG9" s="84"/>
      <c r="CH9" s="84"/>
      <c r="CI9" s="84"/>
      <c r="CJ9" s="84"/>
      <c r="CK9" s="84"/>
      <c r="CL9" s="84"/>
      <c r="CM9" s="84"/>
      <c r="CN9" s="84"/>
      <c r="CO9" s="84"/>
      <c r="CP9" s="84"/>
      <c r="CQ9" s="84"/>
      <c r="CR9" s="84"/>
      <c r="CS9" s="89"/>
      <c r="CV9" s="84"/>
      <c r="CW9" s="84"/>
      <c r="CX9" s="84"/>
      <c r="CY9" s="84"/>
      <c r="CZ9" s="84"/>
      <c r="DA9" s="84"/>
      <c r="DB9" s="84"/>
      <c r="DC9" s="84"/>
      <c r="DD9" s="84"/>
      <c r="DE9" s="84"/>
      <c r="DF9" s="84"/>
      <c r="DG9" s="84"/>
      <c r="DH9" s="84"/>
      <c r="DI9" s="89"/>
    </row>
    <row r="10" spans="1:113" x14ac:dyDescent="0.2">
      <c r="B10" s="29"/>
      <c r="C10" s="53"/>
      <c r="D10" s="53"/>
      <c r="E10" s="53"/>
      <c r="F10" s="53"/>
      <c r="G10" s="53"/>
      <c r="H10" s="53"/>
      <c r="I10" s="53"/>
      <c r="J10" s="53"/>
      <c r="K10" s="53"/>
      <c r="L10" s="53"/>
      <c r="M10" s="53"/>
      <c r="N10" s="53"/>
      <c r="O10" s="53"/>
      <c r="P10" s="90"/>
      <c r="S10" s="53"/>
      <c r="T10" s="53"/>
      <c r="U10" s="53"/>
      <c r="V10" s="53"/>
      <c r="W10" s="53"/>
      <c r="X10" s="53"/>
      <c r="Y10" s="53"/>
      <c r="Z10" s="53"/>
      <c r="AA10" s="53"/>
      <c r="AB10" s="53"/>
      <c r="AC10" s="53"/>
      <c r="AD10" s="53"/>
      <c r="AE10" s="53"/>
      <c r="AF10" s="53"/>
      <c r="AG10" s="13"/>
      <c r="AH10" s="13"/>
      <c r="AI10" s="72"/>
      <c r="AJ10" s="72"/>
      <c r="AK10" s="72"/>
      <c r="AL10" s="72"/>
      <c r="AM10" s="72"/>
      <c r="AN10" s="72"/>
      <c r="AO10" s="72"/>
      <c r="AP10" s="72"/>
      <c r="AQ10" s="72"/>
      <c r="AR10" s="72"/>
      <c r="AS10" s="72"/>
      <c r="AT10" s="72"/>
      <c r="AU10" s="72"/>
      <c r="AV10" s="95"/>
      <c r="AX10" s="13"/>
      <c r="AY10" s="72"/>
      <c r="AZ10" s="72"/>
      <c r="BA10" s="72"/>
      <c r="BB10" s="72"/>
      <c r="BC10" s="72"/>
      <c r="BD10" s="72"/>
      <c r="BE10" s="72"/>
      <c r="BF10" s="72"/>
      <c r="BG10" s="72"/>
      <c r="BH10" s="72"/>
      <c r="BI10" s="72"/>
      <c r="BJ10" s="72"/>
      <c r="BK10" s="72"/>
      <c r="BL10" s="95"/>
      <c r="BN10" s="13"/>
      <c r="BO10" s="72"/>
      <c r="BP10" s="72"/>
      <c r="BQ10" s="72"/>
      <c r="BR10" s="72"/>
      <c r="BS10" s="72"/>
      <c r="BT10" s="72"/>
      <c r="BU10" s="72"/>
      <c r="BV10" s="72"/>
      <c r="BW10" s="72"/>
      <c r="BX10" s="72"/>
      <c r="BY10" s="72"/>
      <c r="BZ10" s="72"/>
      <c r="CA10" s="72"/>
      <c r="CB10" s="95"/>
      <c r="CC10" s="13"/>
      <c r="CD10" s="13"/>
      <c r="CE10" s="13"/>
      <c r="CF10" s="72"/>
      <c r="CG10" s="72"/>
      <c r="CH10" s="72"/>
      <c r="CI10" s="72"/>
      <c r="CJ10" s="72"/>
      <c r="CK10" s="72"/>
      <c r="CL10" s="72"/>
      <c r="CM10" s="72"/>
      <c r="CN10" s="72"/>
      <c r="CO10" s="72"/>
      <c r="CP10" s="72"/>
      <c r="CQ10" s="72"/>
      <c r="CR10" s="72"/>
      <c r="CS10" s="95"/>
      <c r="CU10" s="13"/>
      <c r="CV10" s="72"/>
      <c r="CW10" s="72"/>
      <c r="CX10" s="72"/>
      <c r="CY10" s="72"/>
      <c r="CZ10" s="72"/>
      <c r="DA10" s="72"/>
      <c r="DB10" s="72"/>
      <c r="DC10" s="72"/>
      <c r="DD10" s="72"/>
      <c r="DE10" s="72"/>
      <c r="DF10" s="72"/>
      <c r="DG10" s="72"/>
      <c r="DH10" s="72"/>
      <c r="DI10" s="95"/>
    </row>
    <row r="11" spans="1:113" s="59" customFormat="1" x14ac:dyDescent="0.2">
      <c r="B11" s="59" t="s">
        <v>372</v>
      </c>
      <c r="C11" s="276"/>
      <c r="D11" s="276"/>
      <c r="E11" s="276"/>
      <c r="F11" s="276"/>
      <c r="G11" s="276"/>
      <c r="H11" s="276"/>
      <c r="I11" s="276"/>
      <c r="J11" s="276"/>
      <c r="K11" s="276"/>
      <c r="L11" s="276"/>
      <c r="M11" s="276"/>
      <c r="N11" s="276"/>
      <c r="O11" s="276"/>
      <c r="P11" s="277"/>
      <c r="S11" s="276"/>
      <c r="T11" s="276"/>
      <c r="U11" s="276"/>
      <c r="V11" s="276"/>
      <c r="W11" s="276"/>
      <c r="X11" s="276"/>
      <c r="Y11" s="276"/>
      <c r="Z11" s="276"/>
      <c r="AA11" s="276"/>
      <c r="AB11" s="276"/>
      <c r="AC11" s="276"/>
      <c r="AD11" s="276"/>
      <c r="AE11" s="276"/>
      <c r="AF11" s="276"/>
      <c r="AG11" s="59" t="s">
        <v>373</v>
      </c>
      <c r="AI11" s="276"/>
      <c r="AJ11" s="276"/>
      <c r="AK11" s="276"/>
      <c r="AL11" s="276"/>
      <c r="AM11" s="276"/>
      <c r="AN11" s="276"/>
      <c r="AO11" s="276"/>
      <c r="AP11" s="276"/>
      <c r="AQ11" s="276"/>
      <c r="AR11" s="276"/>
      <c r="AS11" s="276"/>
      <c r="AT11" s="276"/>
      <c r="AU11" s="276"/>
      <c r="AV11" s="277"/>
      <c r="AX11" s="59" t="s">
        <v>33</v>
      </c>
      <c r="AY11" s="276"/>
      <c r="AZ11" s="276"/>
      <c r="BA11" s="276"/>
      <c r="BB11" s="276"/>
      <c r="BC11" s="276"/>
      <c r="BD11" s="276"/>
      <c r="BE11" s="276"/>
      <c r="BF11" s="276"/>
      <c r="BG11" s="276"/>
      <c r="BH11" s="276"/>
      <c r="BI11" s="276"/>
      <c r="BJ11" s="276"/>
      <c r="BK11" s="276"/>
      <c r="BL11" s="277"/>
      <c r="BN11" s="59" t="s">
        <v>388</v>
      </c>
      <c r="BO11" s="276"/>
      <c r="BP11" s="276"/>
      <c r="BQ11" s="276"/>
      <c r="BR11" s="276"/>
      <c r="BS11" s="276"/>
      <c r="BT11" s="276"/>
      <c r="BU11" s="276"/>
      <c r="BV11" s="276"/>
      <c r="BW11" s="276"/>
      <c r="BX11" s="276"/>
      <c r="BY11" s="276"/>
      <c r="BZ11" s="276"/>
      <c r="CA11" s="276"/>
      <c r="CB11" s="277"/>
      <c r="CC11" s="59" t="s">
        <v>303</v>
      </c>
      <c r="CE11" s="59" t="s">
        <v>425</v>
      </c>
      <c r="CF11" s="276"/>
      <c r="CG11" s="276"/>
      <c r="CH11" s="276"/>
      <c r="CI11" s="276"/>
      <c r="CJ11" s="276"/>
      <c r="CK11" s="276"/>
      <c r="CL11" s="276"/>
      <c r="CM11" s="276"/>
      <c r="CN11" s="276"/>
      <c r="CO11" s="276"/>
      <c r="CP11" s="276"/>
      <c r="CQ11" s="276"/>
      <c r="CR11" s="276"/>
      <c r="CS11" s="277"/>
      <c r="CU11" s="59" t="s">
        <v>256</v>
      </c>
      <c r="CV11" s="276"/>
      <c r="CW11" s="276"/>
      <c r="CX11" s="276"/>
      <c r="CY11" s="276"/>
      <c r="CZ11" s="276"/>
      <c r="DA11" s="276"/>
      <c r="DB11" s="276"/>
      <c r="DC11" s="276"/>
      <c r="DD11" s="276"/>
      <c r="DE11" s="276"/>
      <c r="DF11" s="276"/>
      <c r="DG11" s="276"/>
      <c r="DH11" s="276"/>
      <c r="DI11" s="277"/>
    </row>
    <row r="12" spans="1:113" x14ac:dyDescent="0.2">
      <c r="B12" s="29"/>
      <c r="C12" s="53"/>
      <c r="D12" s="53"/>
      <c r="E12" s="53"/>
      <c r="F12" s="53"/>
      <c r="G12" s="53"/>
      <c r="H12" s="53"/>
      <c r="I12" s="53"/>
      <c r="J12" s="53"/>
      <c r="K12" s="53"/>
      <c r="L12" s="53"/>
      <c r="M12" s="53"/>
      <c r="N12" s="53"/>
      <c r="O12" s="53"/>
      <c r="P12" s="90"/>
      <c r="S12" s="53"/>
      <c r="T12" s="53"/>
      <c r="U12" s="53"/>
      <c r="V12" s="53"/>
      <c r="W12" s="53"/>
      <c r="X12" s="53"/>
      <c r="Y12" s="53"/>
      <c r="Z12" s="53"/>
      <c r="AA12" s="53"/>
      <c r="AB12" s="53"/>
      <c r="AC12" s="53"/>
      <c r="AD12" s="53"/>
      <c r="AE12" s="53"/>
      <c r="AF12" s="53"/>
      <c r="AG12" s="13"/>
      <c r="AH12" s="13"/>
      <c r="AI12" s="72"/>
      <c r="AJ12" s="72"/>
      <c r="AK12" s="72"/>
      <c r="AL12" s="72"/>
      <c r="AM12" s="72"/>
      <c r="AN12" s="72"/>
      <c r="AO12" s="72"/>
      <c r="AP12" s="72"/>
      <c r="AQ12" s="72"/>
      <c r="AR12" s="72"/>
      <c r="AS12" s="72"/>
      <c r="AT12" s="72"/>
      <c r="AU12" s="72"/>
      <c r="AV12" s="95"/>
      <c r="AX12" s="13"/>
      <c r="AY12" s="72"/>
      <c r="AZ12" s="72"/>
      <c r="BA12" s="72"/>
      <c r="BB12" s="72"/>
      <c r="BC12" s="72"/>
      <c r="BD12" s="72"/>
      <c r="BE12" s="72"/>
      <c r="BF12" s="72"/>
      <c r="BG12" s="72"/>
      <c r="BH12" s="72"/>
      <c r="BI12" s="72"/>
      <c r="BJ12" s="72"/>
      <c r="BK12" s="72"/>
      <c r="BL12" s="95"/>
      <c r="BN12" s="13"/>
      <c r="BO12" s="72"/>
      <c r="BP12" s="72"/>
      <c r="BQ12" s="72"/>
      <c r="BR12" s="72"/>
      <c r="BS12" s="72"/>
      <c r="BT12" s="72"/>
      <c r="BU12" s="72"/>
      <c r="BV12" s="72"/>
      <c r="BW12" s="72"/>
      <c r="BX12" s="72"/>
      <c r="BY12" s="72"/>
      <c r="BZ12" s="72"/>
      <c r="CA12" s="72"/>
      <c r="CB12" s="95"/>
      <c r="CC12" s="13"/>
      <c r="CD12" s="13"/>
      <c r="CE12" s="13"/>
      <c r="CF12" s="72"/>
      <c r="CG12" s="72"/>
      <c r="CH12" s="72"/>
      <c r="CI12" s="72"/>
      <c r="CJ12" s="72"/>
      <c r="CK12" s="72"/>
      <c r="CL12" s="72"/>
      <c r="CM12" s="72"/>
      <c r="CN12" s="72"/>
      <c r="CO12" s="72"/>
      <c r="CP12" s="72"/>
      <c r="CQ12" s="72"/>
      <c r="CR12" s="72"/>
      <c r="CS12" s="95"/>
      <c r="CT12" s="13"/>
      <c r="CU12" s="13"/>
      <c r="CV12" s="72"/>
      <c r="CW12" s="72"/>
      <c r="CX12" s="72"/>
      <c r="CY12" s="72"/>
      <c r="CZ12" s="72"/>
      <c r="DA12" s="72"/>
      <c r="DB12" s="72"/>
      <c r="DC12" s="72"/>
      <c r="DD12" s="72"/>
      <c r="DE12" s="72"/>
      <c r="DF12" s="72"/>
      <c r="DG12" s="72"/>
      <c r="DH12" s="72"/>
      <c r="DI12" s="95"/>
    </row>
    <row r="13" spans="1:113" x14ac:dyDescent="0.2">
      <c r="B13" s="29"/>
      <c r="C13" s="53"/>
      <c r="D13" s="53"/>
      <c r="E13" s="53"/>
      <c r="F13" s="53"/>
      <c r="G13" s="53"/>
      <c r="H13" s="53"/>
      <c r="I13" s="53"/>
      <c r="J13" s="53"/>
      <c r="K13" s="53"/>
      <c r="L13" s="53"/>
      <c r="M13" s="53"/>
      <c r="N13" s="53"/>
      <c r="O13" s="53"/>
      <c r="P13" s="90"/>
      <c r="R13" s="8" t="s">
        <v>247</v>
      </c>
      <c r="S13" s="53"/>
      <c r="T13" s="53"/>
      <c r="U13" s="53"/>
      <c r="V13" s="53"/>
      <c r="W13" s="53"/>
      <c r="X13" s="53"/>
      <c r="Y13" s="53"/>
      <c r="Z13" s="53"/>
      <c r="AA13" s="53"/>
      <c r="AB13" s="53"/>
      <c r="AC13" s="53"/>
      <c r="AD13" s="53"/>
      <c r="AE13" s="53"/>
      <c r="AF13" s="53"/>
      <c r="AG13" s="13"/>
      <c r="AH13" s="13"/>
      <c r="AI13" s="72"/>
      <c r="AJ13" s="72"/>
      <c r="AK13" s="72"/>
      <c r="AL13" s="72"/>
      <c r="AM13" s="72"/>
      <c r="AN13" s="72"/>
      <c r="AO13" s="72"/>
      <c r="AP13" s="72"/>
      <c r="AQ13" s="72"/>
      <c r="AR13" s="85"/>
      <c r="AS13" s="72"/>
      <c r="AT13" s="72"/>
      <c r="AU13" s="72"/>
      <c r="AV13" s="95"/>
      <c r="AX13" s="8" t="s">
        <v>248</v>
      </c>
      <c r="AY13" s="72"/>
      <c r="AZ13" s="72"/>
      <c r="BA13" s="72"/>
      <c r="BB13" s="72"/>
      <c r="BC13" s="72"/>
      <c r="BD13" s="72"/>
      <c r="BE13" s="72"/>
      <c r="BF13" s="72"/>
      <c r="BG13" s="72"/>
      <c r="BH13" s="72"/>
      <c r="BI13" s="72"/>
      <c r="BJ13" s="72"/>
      <c r="BK13" s="72"/>
      <c r="BL13" s="95"/>
      <c r="BM13" s="86"/>
      <c r="BN13" s="13"/>
      <c r="BO13" s="72"/>
      <c r="BP13" s="72"/>
      <c r="BQ13" s="72"/>
      <c r="BR13" s="72"/>
      <c r="BS13" s="72"/>
      <c r="BT13" s="72"/>
      <c r="BU13" s="72"/>
      <c r="BV13" s="72"/>
      <c r="BW13" s="72"/>
      <c r="BX13" s="72"/>
      <c r="BY13" s="72"/>
      <c r="BZ13" s="72"/>
      <c r="CA13" s="72"/>
      <c r="CB13" s="95"/>
      <c r="CC13" s="13"/>
      <c r="CD13" s="13"/>
      <c r="CE13" s="13"/>
      <c r="CF13" s="72"/>
      <c r="CG13" s="72"/>
      <c r="CH13" s="72"/>
      <c r="CI13" s="72"/>
      <c r="CJ13" s="72"/>
      <c r="CK13" s="72"/>
      <c r="CL13" s="72"/>
      <c r="CM13" s="72"/>
      <c r="CN13" s="72"/>
      <c r="CO13" s="72"/>
      <c r="CP13" s="72"/>
      <c r="CQ13" s="72"/>
      <c r="CR13" s="72"/>
      <c r="CS13" s="95"/>
      <c r="CT13" s="13"/>
      <c r="CU13" s="13"/>
      <c r="CV13" s="72"/>
      <c r="CW13" s="72"/>
      <c r="CX13" s="72"/>
      <c r="CY13" s="72"/>
      <c r="CZ13" s="72"/>
      <c r="DA13" s="72"/>
      <c r="DB13" s="72"/>
      <c r="DC13" s="72"/>
      <c r="DD13" s="72"/>
      <c r="DE13" s="72"/>
      <c r="DF13" s="72"/>
      <c r="DG13" s="72"/>
      <c r="DH13" s="72"/>
      <c r="DI13" s="95"/>
    </row>
    <row r="14" spans="1:113" x14ac:dyDescent="0.2">
      <c r="B14" s="60"/>
      <c r="C14" s="11"/>
      <c r="D14" s="11"/>
      <c r="E14" s="11"/>
      <c r="F14" s="11"/>
      <c r="G14" s="11"/>
      <c r="H14" s="11"/>
      <c r="I14" s="11"/>
      <c r="J14" s="11"/>
      <c r="K14" s="11"/>
      <c r="L14" s="11"/>
      <c r="M14" s="11"/>
      <c r="N14" s="11"/>
      <c r="O14" s="11"/>
      <c r="P14" s="61"/>
      <c r="R14" s="60"/>
      <c r="S14" s="11"/>
      <c r="T14" s="11"/>
      <c r="U14" s="11"/>
      <c r="V14" s="11"/>
      <c r="W14" s="11"/>
      <c r="X14" s="11"/>
      <c r="Y14" s="11"/>
      <c r="Z14" s="11"/>
      <c r="AA14" s="11"/>
      <c r="AB14" s="11"/>
      <c r="AC14" s="11"/>
      <c r="AD14" s="11"/>
      <c r="AE14" s="11"/>
      <c r="AF14" s="61"/>
      <c r="AG14" s="13"/>
      <c r="AH14" s="13"/>
      <c r="AI14" s="72"/>
      <c r="AJ14" s="72"/>
      <c r="AK14" s="72"/>
      <c r="AL14" s="72"/>
      <c r="AM14" s="72"/>
      <c r="AN14" s="72"/>
      <c r="AO14" s="72"/>
      <c r="AP14" s="72"/>
      <c r="AQ14" s="72"/>
      <c r="AR14" s="72"/>
      <c r="AS14" s="72"/>
      <c r="AT14" s="72"/>
      <c r="AU14" s="72"/>
      <c r="AV14" s="95"/>
      <c r="AW14" s="13"/>
      <c r="AX14" s="13"/>
      <c r="AY14" s="72"/>
      <c r="AZ14" s="72"/>
      <c r="BA14" s="72"/>
      <c r="BB14" s="72"/>
      <c r="BC14" s="72"/>
      <c r="BD14" s="72"/>
      <c r="BE14" s="72"/>
      <c r="BF14" s="72"/>
      <c r="BG14" s="72"/>
      <c r="BH14" s="72"/>
      <c r="BI14" s="72"/>
      <c r="BJ14" s="72"/>
      <c r="BK14" s="72"/>
      <c r="BL14" s="95"/>
      <c r="BM14" s="86"/>
      <c r="BN14" s="13"/>
      <c r="BO14" s="72"/>
      <c r="BP14" s="72"/>
      <c r="BQ14" s="72"/>
      <c r="BR14" s="72"/>
      <c r="BS14" s="72"/>
      <c r="BT14" s="72"/>
      <c r="BU14" s="72"/>
      <c r="BV14" s="72"/>
      <c r="BW14" s="72"/>
      <c r="BX14" s="72"/>
      <c r="BY14" s="72"/>
      <c r="BZ14" s="72"/>
      <c r="CA14" s="72"/>
      <c r="CB14" s="95"/>
      <c r="CC14" s="13"/>
      <c r="CD14" s="13"/>
      <c r="CE14" s="13"/>
      <c r="CF14" s="72"/>
      <c r="CG14" s="72"/>
      <c r="CH14" s="72"/>
      <c r="CI14" s="72"/>
      <c r="CJ14" s="72"/>
      <c r="CK14" s="72"/>
      <c r="CL14" s="72"/>
      <c r="CM14" s="72"/>
      <c r="CN14" s="72"/>
      <c r="CO14" s="72"/>
      <c r="CP14" s="72"/>
      <c r="CQ14" s="72"/>
      <c r="CR14" s="72"/>
      <c r="CS14" s="95"/>
      <c r="CT14" s="13"/>
      <c r="CU14" s="13"/>
      <c r="CV14" s="72"/>
      <c r="CW14" s="72"/>
      <c r="CX14" s="72"/>
      <c r="CY14" s="72"/>
      <c r="CZ14" s="72"/>
      <c r="DA14" s="72"/>
      <c r="DB14" s="72"/>
      <c r="DC14" s="72"/>
      <c r="DD14" s="72"/>
      <c r="DE14" s="72"/>
      <c r="DF14" s="72"/>
      <c r="DG14" s="72"/>
      <c r="DH14" s="72"/>
      <c r="DI14" s="95"/>
    </row>
    <row r="15" spans="1:113" x14ac:dyDescent="0.2">
      <c r="B15" s="60"/>
      <c r="C15" s="11"/>
      <c r="D15" s="11"/>
      <c r="E15" s="11"/>
      <c r="F15" s="11"/>
      <c r="G15" s="11"/>
      <c r="H15" s="11"/>
      <c r="I15" s="11"/>
      <c r="J15" s="11"/>
      <c r="K15" s="11"/>
      <c r="L15" s="11"/>
      <c r="M15" s="11"/>
      <c r="N15" s="11"/>
      <c r="O15" s="11"/>
      <c r="P15" s="61" t="s">
        <v>98</v>
      </c>
      <c r="R15" s="60"/>
      <c r="S15" s="11"/>
      <c r="T15" s="11"/>
      <c r="U15" s="11"/>
      <c r="V15" s="11"/>
      <c r="W15" s="11"/>
      <c r="X15" s="11"/>
      <c r="Y15" s="11"/>
      <c r="Z15" s="11"/>
      <c r="AA15" s="11"/>
      <c r="AB15" s="11"/>
      <c r="AC15" s="11"/>
      <c r="AD15" s="11"/>
      <c r="AE15" s="11"/>
      <c r="AF15" s="61" t="s">
        <v>98</v>
      </c>
      <c r="AG15" s="7"/>
      <c r="AH15" s="87"/>
      <c r="AI15" s="63"/>
      <c r="AJ15" s="63"/>
      <c r="AK15" s="63"/>
      <c r="AL15" s="63"/>
      <c r="AM15" s="63"/>
      <c r="AN15" s="63"/>
      <c r="AO15" s="63"/>
      <c r="AP15" s="63"/>
      <c r="AQ15" s="63"/>
      <c r="AR15" s="63"/>
      <c r="AS15" s="63"/>
      <c r="AT15" s="63"/>
      <c r="AU15" s="63"/>
      <c r="AV15" s="61" t="s">
        <v>99</v>
      </c>
      <c r="AW15" s="7"/>
      <c r="AX15" s="87"/>
      <c r="AY15" s="63"/>
      <c r="AZ15" s="63"/>
      <c r="BA15" s="63"/>
      <c r="BB15" s="63"/>
      <c r="BC15" s="63"/>
      <c r="BD15" s="63"/>
      <c r="BE15" s="63"/>
      <c r="BF15" s="63"/>
      <c r="BG15" s="63"/>
      <c r="BH15" s="63"/>
      <c r="BI15" s="63"/>
      <c r="BJ15" s="63"/>
      <c r="BK15" s="63"/>
      <c r="BL15" s="61" t="s">
        <v>99</v>
      </c>
      <c r="BM15" s="7"/>
      <c r="BN15" s="87"/>
      <c r="BO15" s="63"/>
      <c r="BP15" s="63"/>
      <c r="BQ15" s="63"/>
      <c r="BR15" s="63"/>
      <c r="BS15" s="63"/>
      <c r="BT15" s="63"/>
      <c r="BU15" s="63"/>
      <c r="BV15" s="63"/>
      <c r="BW15" s="63"/>
      <c r="BX15" s="63"/>
      <c r="BY15" s="63"/>
      <c r="BZ15" s="63"/>
      <c r="CA15" s="63"/>
      <c r="CB15" s="61" t="s">
        <v>99</v>
      </c>
      <c r="CC15" s="7"/>
      <c r="CD15" s="7"/>
      <c r="CE15" s="87"/>
      <c r="CF15" s="63"/>
      <c r="CG15" s="63"/>
      <c r="CH15" s="63"/>
      <c r="CI15" s="63"/>
      <c r="CJ15" s="63"/>
      <c r="CK15" s="63"/>
      <c r="CL15" s="63"/>
      <c r="CM15" s="63"/>
      <c r="CN15" s="63"/>
      <c r="CO15" s="63"/>
      <c r="CP15" s="63"/>
      <c r="CQ15" s="63"/>
      <c r="CR15" s="63"/>
      <c r="CS15" s="61" t="s">
        <v>99</v>
      </c>
      <c r="CT15" s="7"/>
      <c r="CU15" s="87"/>
      <c r="CV15" s="63"/>
      <c r="CW15" s="63"/>
      <c r="CX15" s="63"/>
      <c r="CY15" s="63"/>
      <c r="CZ15" s="63"/>
      <c r="DA15" s="63"/>
      <c r="DB15" s="63"/>
      <c r="DC15" s="63"/>
      <c r="DD15" s="63"/>
      <c r="DE15" s="63"/>
      <c r="DF15" s="63"/>
      <c r="DG15" s="63"/>
      <c r="DH15" s="63"/>
      <c r="DI15" s="61" t="s">
        <v>99</v>
      </c>
    </row>
    <row r="16" spans="1:113" x14ac:dyDescent="0.2">
      <c r="A16" s="7"/>
      <c r="B16" s="7"/>
      <c r="C16" s="7"/>
      <c r="D16" s="7"/>
      <c r="E16" s="63"/>
      <c r="F16" s="63"/>
      <c r="G16" s="63"/>
      <c r="H16" s="63"/>
      <c r="I16" s="63"/>
      <c r="J16" s="63"/>
      <c r="K16" s="63"/>
      <c r="L16" s="63"/>
      <c r="M16" s="63"/>
      <c r="N16" s="63"/>
      <c r="O16" s="63"/>
      <c r="P16" s="93"/>
      <c r="Q16" s="7"/>
      <c r="R16" s="7"/>
      <c r="S16" s="7"/>
      <c r="T16" s="7"/>
      <c r="U16" s="7"/>
      <c r="V16" s="7"/>
      <c r="W16" s="7"/>
      <c r="X16" s="7"/>
      <c r="Y16" s="7"/>
      <c r="Z16" s="7"/>
      <c r="AA16" s="63"/>
      <c r="AB16" s="63"/>
      <c r="AC16" s="63"/>
      <c r="AD16" s="63"/>
      <c r="AE16" s="63"/>
      <c r="AF16" s="52"/>
      <c r="AG16" s="7"/>
      <c r="AH16" s="87"/>
      <c r="AI16" s="63"/>
      <c r="AJ16" s="63"/>
      <c r="AK16" s="63"/>
      <c r="AL16" s="63"/>
      <c r="AM16" s="63"/>
      <c r="AN16" s="63"/>
      <c r="AO16" s="63"/>
      <c r="AP16" s="63"/>
      <c r="AQ16" s="63"/>
      <c r="AR16" s="63"/>
      <c r="AS16" s="63"/>
      <c r="AT16" s="63"/>
      <c r="AU16" s="63"/>
      <c r="AV16" s="62"/>
      <c r="AW16" s="7"/>
      <c r="AX16" s="87"/>
      <c r="AY16" s="63"/>
      <c r="AZ16" s="63"/>
      <c r="BA16" s="63"/>
      <c r="BB16" s="63"/>
      <c r="BC16" s="63"/>
      <c r="BD16" s="63"/>
      <c r="BE16" s="63"/>
      <c r="BF16" s="63"/>
      <c r="BG16" s="63"/>
      <c r="BH16" s="63"/>
      <c r="BI16" s="63"/>
      <c r="BJ16" s="63"/>
      <c r="BK16" s="63"/>
      <c r="BL16" s="62"/>
      <c r="BM16" s="7"/>
      <c r="BN16" s="87"/>
      <c r="BO16" s="63"/>
      <c r="BP16" s="63"/>
      <c r="BQ16" s="63"/>
      <c r="BR16" s="63"/>
      <c r="BS16" s="63"/>
      <c r="BT16" s="63"/>
      <c r="BU16" s="63"/>
      <c r="BV16" s="63"/>
      <c r="BW16" s="63"/>
      <c r="BX16" s="63"/>
      <c r="BY16" s="63"/>
      <c r="BZ16" s="63"/>
      <c r="CA16" s="63"/>
      <c r="CB16" s="62"/>
      <c r="CC16" s="7"/>
      <c r="CD16" s="7"/>
      <c r="CE16" s="87"/>
      <c r="CF16" s="63"/>
      <c r="CG16" s="63"/>
      <c r="CH16" s="63"/>
      <c r="CI16" s="63"/>
      <c r="CJ16" s="63"/>
      <c r="CK16" s="63"/>
      <c r="CL16" s="63"/>
      <c r="CM16" s="63"/>
      <c r="CN16" s="63"/>
      <c r="CO16" s="63"/>
      <c r="CP16" s="63"/>
      <c r="CQ16" s="63"/>
      <c r="CR16" s="63"/>
      <c r="CS16" s="62"/>
      <c r="CT16" s="7"/>
      <c r="CU16" s="87"/>
      <c r="CV16" s="63"/>
      <c r="CW16" s="63"/>
      <c r="CX16" s="63"/>
      <c r="CY16" s="63"/>
      <c r="CZ16" s="63"/>
      <c r="DA16" s="63"/>
      <c r="DB16" s="63"/>
      <c r="DC16" s="63"/>
      <c r="DD16" s="63"/>
      <c r="DE16" s="63"/>
      <c r="DF16" s="63"/>
      <c r="DG16" s="63"/>
      <c r="DH16" s="63"/>
      <c r="DI16" s="62"/>
    </row>
    <row r="17" spans="2:113" x14ac:dyDescent="0.2">
      <c r="B17" s="64" t="s">
        <v>238</v>
      </c>
      <c r="C17" s="262" t="s">
        <v>35</v>
      </c>
      <c r="D17" s="262" t="s">
        <v>121</v>
      </c>
      <c r="E17" s="262" t="s">
        <v>123</v>
      </c>
      <c r="F17" s="262" t="s">
        <v>36</v>
      </c>
      <c r="G17" s="262" t="s">
        <v>37</v>
      </c>
      <c r="H17" s="262" t="s">
        <v>38</v>
      </c>
      <c r="I17" s="262" t="s">
        <v>39</v>
      </c>
      <c r="J17" s="262" t="s">
        <v>125</v>
      </c>
      <c r="K17" s="262" t="s">
        <v>126</v>
      </c>
      <c r="L17" s="262" t="s">
        <v>127</v>
      </c>
      <c r="M17" s="263">
        <v>100000</v>
      </c>
      <c r="N17" s="264" t="s">
        <v>228</v>
      </c>
      <c r="O17" s="264" t="s">
        <v>228</v>
      </c>
      <c r="P17" s="264" t="s">
        <v>77</v>
      </c>
      <c r="R17" s="64" t="s">
        <v>238</v>
      </c>
      <c r="S17" s="262" t="s">
        <v>35</v>
      </c>
      <c r="T17" s="262" t="s">
        <v>121</v>
      </c>
      <c r="U17" s="262" t="s">
        <v>123</v>
      </c>
      <c r="V17" s="262" t="s">
        <v>36</v>
      </c>
      <c r="W17" s="262" t="s">
        <v>37</v>
      </c>
      <c r="X17" s="262" t="s">
        <v>38</v>
      </c>
      <c r="Y17" s="262" t="s">
        <v>39</v>
      </c>
      <c r="Z17" s="262" t="s">
        <v>125</v>
      </c>
      <c r="AA17" s="262" t="s">
        <v>126</v>
      </c>
      <c r="AB17" s="262" t="s">
        <v>127</v>
      </c>
      <c r="AC17" s="263">
        <v>100000</v>
      </c>
      <c r="AD17" s="264" t="s">
        <v>228</v>
      </c>
      <c r="AE17" s="264" t="s">
        <v>228</v>
      </c>
      <c r="AF17" s="264" t="s">
        <v>77</v>
      </c>
      <c r="AH17" s="64" t="s">
        <v>238</v>
      </c>
      <c r="AI17" s="262" t="s">
        <v>35</v>
      </c>
      <c r="AJ17" s="262" t="s">
        <v>121</v>
      </c>
      <c r="AK17" s="262" t="s">
        <v>123</v>
      </c>
      <c r="AL17" s="262" t="s">
        <v>36</v>
      </c>
      <c r="AM17" s="262" t="s">
        <v>37</v>
      </c>
      <c r="AN17" s="262" t="s">
        <v>38</v>
      </c>
      <c r="AO17" s="262" t="s">
        <v>39</v>
      </c>
      <c r="AP17" s="262" t="s">
        <v>125</v>
      </c>
      <c r="AQ17" s="262" t="s">
        <v>126</v>
      </c>
      <c r="AR17" s="262" t="s">
        <v>127</v>
      </c>
      <c r="AS17" s="263">
        <v>100000</v>
      </c>
      <c r="AT17" s="264" t="s">
        <v>228</v>
      </c>
      <c r="AU17" s="264" t="s">
        <v>228</v>
      </c>
      <c r="AV17" s="264" t="s">
        <v>77</v>
      </c>
      <c r="AX17" s="64" t="s">
        <v>238</v>
      </c>
      <c r="AY17" s="262" t="s">
        <v>35</v>
      </c>
      <c r="AZ17" s="262" t="s">
        <v>121</v>
      </c>
      <c r="BA17" s="262" t="s">
        <v>123</v>
      </c>
      <c r="BB17" s="262" t="s">
        <v>36</v>
      </c>
      <c r="BC17" s="262" t="s">
        <v>37</v>
      </c>
      <c r="BD17" s="262" t="s">
        <v>38</v>
      </c>
      <c r="BE17" s="262" t="s">
        <v>39</v>
      </c>
      <c r="BF17" s="262" t="s">
        <v>125</v>
      </c>
      <c r="BG17" s="262" t="s">
        <v>126</v>
      </c>
      <c r="BH17" s="262" t="s">
        <v>127</v>
      </c>
      <c r="BI17" s="263">
        <v>100000</v>
      </c>
      <c r="BJ17" s="264" t="s">
        <v>228</v>
      </c>
      <c r="BK17" s="264" t="s">
        <v>228</v>
      </c>
      <c r="BL17" s="264" t="s">
        <v>77</v>
      </c>
      <c r="BN17" s="64" t="s">
        <v>238</v>
      </c>
      <c r="BO17" s="262" t="s">
        <v>35</v>
      </c>
      <c r="BP17" s="262" t="s">
        <v>121</v>
      </c>
      <c r="BQ17" s="262" t="s">
        <v>123</v>
      </c>
      <c r="BR17" s="262" t="s">
        <v>36</v>
      </c>
      <c r="BS17" s="262" t="s">
        <v>37</v>
      </c>
      <c r="BT17" s="262" t="s">
        <v>38</v>
      </c>
      <c r="BU17" s="262" t="s">
        <v>39</v>
      </c>
      <c r="BV17" s="262" t="s">
        <v>125</v>
      </c>
      <c r="BW17" s="262" t="s">
        <v>126</v>
      </c>
      <c r="BX17" s="262" t="s">
        <v>127</v>
      </c>
      <c r="BY17" s="263">
        <v>100000</v>
      </c>
      <c r="BZ17" s="264" t="s">
        <v>228</v>
      </c>
      <c r="CA17" s="264" t="s">
        <v>228</v>
      </c>
      <c r="CB17" s="264" t="s">
        <v>77</v>
      </c>
      <c r="CE17" s="64" t="s">
        <v>238</v>
      </c>
      <c r="CF17" s="262" t="s">
        <v>35</v>
      </c>
      <c r="CG17" s="262" t="s">
        <v>121</v>
      </c>
      <c r="CH17" s="262" t="s">
        <v>123</v>
      </c>
      <c r="CI17" s="262" t="s">
        <v>36</v>
      </c>
      <c r="CJ17" s="262" t="s">
        <v>37</v>
      </c>
      <c r="CK17" s="262" t="s">
        <v>38</v>
      </c>
      <c r="CL17" s="262" t="s">
        <v>39</v>
      </c>
      <c r="CM17" s="262" t="s">
        <v>125</v>
      </c>
      <c r="CN17" s="262" t="s">
        <v>126</v>
      </c>
      <c r="CO17" s="262" t="s">
        <v>127</v>
      </c>
      <c r="CP17" s="263">
        <v>100000</v>
      </c>
      <c r="CQ17" s="264" t="s">
        <v>228</v>
      </c>
      <c r="CR17" s="264" t="s">
        <v>228</v>
      </c>
      <c r="CS17" s="264" t="s">
        <v>77</v>
      </c>
      <c r="CU17" s="64" t="s">
        <v>238</v>
      </c>
      <c r="CV17" s="262" t="s">
        <v>35</v>
      </c>
      <c r="CW17" s="262" t="s">
        <v>121</v>
      </c>
      <c r="CX17" s="262" t="s">
        <v>123</v>
      </c>
      <c r="CY17" s="262" t="s">
        <v>36</v>
      </c>
      <c r="CZ17" s="262" t="s">
        <v>37</v>
      </c>
      <c r="DA17" s="262" t="s">
        <v>38</v>
      </c>
      <c r="DB17" s="262" t="s">
        <v>39</v>
      </c>
      <c r="DC17" s="262" t="s">
        <v>125</v>
      </c>
      <c r="DD17" s="262" t="s">
        <v>126</v>
      </c>
      <c r="DE17" s="262" t="s">
        <v>127</v>
      </c>
      <c r="DF17" s="263">
        <v>100000</v>
      </c>
      <c r="DG17" s="264" t="s">
        <v>228</v>
      </c>
      <c r="DH17" s="264" t="s">
        <v>228</v>
      </c>
      <c r="DI17" s="264" t="s">
        <v>77</v>
      </c>
    </row>
    <row r="18" spans="2:113" x14ac:dyDescent="0.2">
      <c r="B18" s="65"/>
      <c r="C18" s="261" t="s">
        <v>120</v>
      </c>
      <c r="D18" s="261" t="s">
        <v>40</v>
      </c>
      <c r="E18" s="261" t="s">
        <v>40</v>
      </c>
      <c r="F18" s="261" t="s">
        <v>40</v>
      </c>
      <c r="G18" s="261" t="s">
        <v>40</v>
      </c>
      <c r="H18" s="261" t="s">
        <v>40</v>
      </c>
      <c r="I18" s="261" t="s">
        <v>40</v>
      </c>
      <c r="J18" s="261" t="s">
        <v>40</v>
      </c>
      <c r="K18" s="261" t="s">
        <v>40</v>
      </c>
      <c r="L18" s="261" t="s">
        <v>40</v>
      </c>
      <c r="M18" s="261" t="s">
        <v>43</v>
      </c>
      <c r="N18" s="12" t="s">
        <v>230</v>
      </c>
      <c r="O18" s="12" t="s">
        <v>138</v>
      </c>
      <c r="P18" s="12" t="s">
        <v>137</v>
      </c>
      <c r="R18" s="65"/>
      <c r="S18" s="261" t="s">
        <v>120</v>
      </c>
      <c r="T18" s="261" t="s">
        <v>40</v>
      </c>
      <c r="U18" s="261" t="s">
        <v>40</v>
      </c>
      <c r="V18" s="261" t="s">
        <v>40</v>
      </c>
      <c r="W18" s="261" t="s">
        <v>40</v>
      </c>
      <c r="X18" s="261" t="s">
        <v>40</v>
      </c>
      <c r="Y18" s="261" t="s">
        <v>40</v>
      </c>
      <c r="Z18" s="261" t="s">
        <v>40</v>
      </c>
      <c r="AA18" s="261" t="s">
        <v>40</v>
      </c>
      <c r="AB18" s="261" t="s">
        <v>40</v>
      </c>
      <c r="AC18" s="261" t="s">
        <v>43</v>
      </c>
      <c r="AD18" s="12" t="s">
        <v>230</v>
      </c>
      <c r="AE18" s="12" t="s">
        <v>138</v>
      </c>
      <c r="AF18" s="12" t="s">
        <v>137</v>
      </c>
      <c r="AH18" s="65"/>
      <c r="AI18" s="261" t="s">
        <v>120</v>
      </c>
      <c r="AJ18" s="261" t="s">
        <v>40</v>
      </c>
      <c r="AK18" s="261" t="s">
        <v>40</v>
      </c>
      <c r="AL18" s="261" t="s">
        <v>40</v>
      </c>
      <c r="AM18" s="261" t="s">
        <v>40</v>
      </c>
      <c r="AN18" s="261" t="s">
        <v>40</v>
      </c>
      <c r="AO18" s="261" t="s">
        <v>40</v>
      </c>
      <c r="AP18" s="261" t="s">
        <v>40</v>
      </c>
      <c r="AQ18" s="261" t="s">
        <v>40</v>
      </c>
      <c r="AR18" s="261" t="s">
        <v>40</v>
      </c>
      <c r="AS18" s="261" t="s">
        <v>43</v>
      </c>
      <c r="AT18" s="12" t="s">
        <v>230</v>
      </c>
      <c r="AU18" s="12" t="s">
        <v>138</v>
      </c>
      <c r="AV18" s="12" t="s">
        <v>137</v>
      </c>
      <c r="AX18" s="65"/>
      <c r="AY18" s="261" t="s">
        <v>120</v>
      </c>
      <c r="AZ18" s="261" t="s">
        <v>40</v>
      </c>
      <c r="BA18" s="261" t="s">
        <v>40</v>
      </c>
      <c r="BB18" s="261" t="s">
        <v>40</v>
      </c>
      <c r="BC18" s="261" t="s">
        <v>40</v>
      </c>
      <c r="BD18" s="261" t="s">
        <v>40</v>
      </c>
      <c r="BE18" s="261" t="s">
        <v>40</v>
      </c>
      <c r="BF18" s="261" t="s">
        <v>40</v>
      </c>
      <c r="BG18" s="261" t="s">
        <v>40</v>
      </c>
      <c r="BH18" s="261" t="s">
        <v>40</v>
      </c>
      <c r="BI18" s="261" t="s">
        <v>43</v>
      </c>
      <c r="BJ18" s="12" t="s">
        <v>230</v>
      </c>
      <c r="BK18" s="12" t="s">
        <v>138</v>
      </c>
      <c r="BL18" s="12" t="s">
        <v>137</v>
      </c>
      <c r="BN18" s="65"/>
      <c r="BO18" s="261" t="s">
        <v>120</v>
      </c>
      <c r="BP18" s="261" t="s">
        <v>40</v>
      </c>
      <c r="BQ18" s="261" t="s">
        <v>40</v>
      </c>
      <c r="BR18" s="261" t="s">
        <v>40</v>
      </c>
      <c r="BS18" s="261" t="s">
        <v>40</v>
      </c>
      <c r="BT18" s="261" t="s">
        <v>40</v>
      </c>
      <c r="BU18" s="261" t="s">
        <v>40</v>
      </c>
      <c r="BV18" s="261" t="s">
        <v>40</v>
      </c>
      <c r="BW18" s="261" t="s">
        <v>40</v>
      </c>
      <c r="BX18" s="261" t="s">
        <v>40</v>
      </c>
      <c r="BY18" s="261" t="s">
        <v>43</v>
      </c>
      <c r="BZ18" s="12" t="s">
        <v>230</v>
      </c>
      <c r="CA18" s="12" t="s">
        <v>138</v>
      </c>
      <c r="CB18" s="12" t="s">
        <v>137</v>
      </c>
      <c r="CE18" s="65"/>
      <c r="CF18" s="261" t="s">
        <v>120</v>
      </c>
      <c r="CG18" s="261" t="s">
        <v>40</v>
      </c>
      <c r="CH18" s="261" t="s">
        <v>40</v>
      </c>
      <c r="CI18" s="261" t="s">
        <v>40</v>
      </c>
      <c r="CJ18" s="261" t="s">
        <v>40</v>
      </c>
      <c r="CK18" s="261" t="s">
        <v>40</v>
      </c>
      <c r="CL18" s="261" t="s">
        <v>40</v>
      </c>
      <c r="CM18" s="261" t="s">
        <v>40</v>
      </c>
      <c r="CN18" s="261" t="s">
        <v>40</v>
      </c>
      <c r="CO18" s="261" t="s">
        <v>40</v>
      </c>
      <c r="CP18" s="261" t="s">
        <v>43</v>
      </c>
      <c r="CQ18" s="12" t="s">
        <v>230</v>
      </c>
      <c r="CR18" s="12" t="s">
        <v>138</v>
      </c>
      <c r="CS18" s="12" t="s">
        <v>137</v>
      </c>
      <c r="CU18" s="65"/>
      <c r="CV18" s="261" t="s">
        <v>120</v>
      </c>
      <c r="CW18" s="261" t="s">
        <v>40</v>
      </c>
      <c r="CX18" s="261" t="s">
        <v>40</v>
      </c>
      <c r="CY18" s="261" t="s">
        <v>40</v>
      </c>
      <c r="CZ18" s="261" t="s">
        <v>40</v>
      </c>
      <c r="DA18" s="261" t="s">
        <v>40</v>
      </c>
      <c r="DB18" s="261" t="s">
        <v>40</v>
      </c>
      <c r="DC18" s="261" t="s">
        <v>40</v>
      </c>
      <c r="DD18" s="261" t="s">
        <v>40</v>
      </c>
      <c r="DE18" s="261" t="s">
        <v>40</v>
      </c>
      <c r="DF18" s="261" t="s">
        <v>43</v>
      </c>
      <c r="DG18" s="12" t="s">
        <v>230</v>
      </c>
      <c r="DH18" s="12" t="s">
        <v>138</v>
      </c>
      <c r="DI18" s="12" t="s">
        <v>137</v>
      </c>
    </row>
    <row r="19" spans="2:113" x14ac:dyDescent="0.2">
      <c r="B19" s="66"/>
      <c r="C19" s="265" t="s">
        <v>43</v>
      </c>
      <c r="D19" s="265" t="s">
        <v>122</v>
      </c>
      <c r="E19" s="265" t="s">
        <v>124</v>
      </c>
      <c r="F19" s="265" t="s">
        <v>44</v>
      </c>
      <c r="G19" s="265" t="s">
        <v>45</v>
      </c>
      <c r="H19" s="265" t="s">
        <v>46</v>
      </c>
      <c r="I19" s="265" t="s">
        <v>42</v>
      </c>
      <c r="J19" s="265" t="s">
        <v>128</v>
      </c>
      <c r="K19" s="265" t="s">
        <v>129</v>
      </c>
      <c r="L19" s="265" t="s">
        <v>130</v>
      </c>
      <c r="M19" s="265" t="s">
        <v>131</v>
      </c>
      <c r="N19" s="266" t="s">
        <v>138</v>
      </c>
      <c r="O19" s="266" t="s">
        <v>131</v>
      </c>
      <c r="P19" s="266" t="s">
        <v>41</v>
      </c>
      <c r="R19" s="66"/>
      <c r="S19" s="265" t="s">
        <v>43</v>
      </c>
      <c r="T19" s="265" t="s">
        <v>122</v>
      </c>
      <c r="U19" s="265" t="s">
        <v>124</v>
      </c>
      <c r="V19" s="265" t="s">
        <v>44</v>
      </c>
      <c r="W19" s="265" t="s">
        <v>45</v>
      </c>
      <c r="X19" s="265" t="s">
        <v>46</v>
      </c>
      <c r="Y19" s="265" t="s">
        <v>42</v>
      </c>
      <c r="Z19" s="265" t="s">
        <v>128</v>
      </c>
      <c r="AA19" s="265" t="s">
        <v>129</v>
      </c>
      <c r="AB19" s="265" t="s">
        <v>130</v>
      </c>
      <c r="AC19" s="265" t="s">
        <v>131</v>
      </c>
      <c r="AD19" s="266" t="s">
        <v>138</v>
      </c>
      <c r="AE19" s="266" t="s">
        <v>131</v>
      </c>
      <c r="AF19" s="266" t="s">
        <v>41</v>
      </c>
      <c r="AH19" s="66"/>
      <c r="AI19" s="265" t="s">
        <v>43</v>
      </c>
      <c r="AJ19" s="265" t="s">
        <v>122</v>
      </c>
      <c r="AK19" s="265" t="s">
        <v>124</v>
      </c>
      <c r="AL19" s="265" t="s">
        <v>44</v>
      </c>
      <c r="AM19" s="265" t="s">
        <v>45</v>
      </c>
      <c r="AN19" s="265" t="s">
        <v>46</v>
      </c>
      <c r="AO19" s="265" t="s">
        <v>42</v>
      </c>
      <c r="AP19" s="265" t="s">
        <v>128</v>
      </c>
      <c r="AQ19" s="265" t="s">
        <v>129</v>
      </c>
      <c r="AR19" s="265" t="s">
        <v>130</v>
      </c>
      <c r="AS19" s="265" t="s">
        <v>131</v>
      </c>
      <c r="AT19" s="266" t="s">
        <v>138</v>
      </c>
      <c r="AU19" s="266" t="s">
        <v>131</v>
      </c>
      <c r="AV19" s="266" t="s">
        <v>41</v>
      </c>
      <c r="AX19" s="66"/>
      <c r="AY19" s="265" t="s">
        <v>43</v>
      </c>
      <c r="AZ19" s="265" t="s">
        <v>122</v>
      </c>
      <c r="BA19" s="265" t="s">
        <v>124</v>
      </c>
      <c r="BB19" s="265" t="s">
        <v>44</v>
      </c>
      <c r="BC19" s="265" t="s">
        <v>45</v>
      </c>
      <c r="BD19" s="265" t="s">
        <v>46</v>
      </c>
      <c r="BE19" s="265" t="s">
        <v>42</v>
      </c>
      <c r="BF19" s="265" t="s">
        <v>128</v>
      </c>
      <c r="BG19" s="265" t="s">
        <v>129</v>
      </c>
      <c r="BH19" s="265" t="s">
        <v>130</v>
      </c>
      <c r="BI19" s="265" t="s">
        <v>131</v>
      </c>
      <c r="BJ19" s="266" t="s">
        <v>138</v>
      </c>
      <c r="BK19" s="266" t="s">
        <v>131</v>
      </c>
      <c r="BL19" s="266" t="s">
        <v>41</v>
      </c>
      <c r="BN19" s="66"/>
      <c r="BO19" s="265" t="s">
        <v>43</v>
      </c>
      <c r="BP19" s="265" t="s">
        <v>122</v>
      </c>
      <c r="BQ19" s="265" t="s">
        <v>124</v>
      </c>
      <c r="BR19" s="265" t="s">
        <v>44</v>
      </c>
      <c r="BS19" s="265" t="s">
        <v>45</v>
      </c>
      <c r="BT19" s="265" t="s">
        <v>46</v>
      </c>
      <c r="BU19" s="265" t="s">
        <v>42</v>
      </c>
      <c r="BV19" s="265" t="s">
        <v>128</v>
      </c>
      <c r="BW19" s="265" t="s">
        <v>129</v>
      </c>
      <c r="BX19" s="265" t="s">
        <v>130</v>
      </c>
      <c r="BY19" s="265" t="s">
        <v>131</v>
      </c>
      <c r="BZ19" s="266" t="s">
        <v>138</v>
      </c>
      <c r="CA19" s="266" t="s">
        <v>131</v>
      </c>
      <c r="CB19" s="266" t="s">
        <v>41</v>
      </c>
      <c r="CE19" s="66"/>
      <c r="CF19" s="265" t="s">
        <v>43</v>
      </c>
      <c r="CG19" s="265" t="s">
        <v>122</v>
      </c>
      <c r="CH19" s="265" t="s">
        <v>124</v>
      </c>
      <c r="CI19" s="265" t="s">
        <v>44</v>
      </c>
      <c r="CJ19" s="265" t="s">
        <v>45</v>
      </c>
      <c r="CK19" s="265" t="s">
        <v>46</v>
      </c>
      <c r="CL19" s="265" t="s">
        <v>42</v>
      </c>
      <c r="CM19" s="265" t="s">
        <v>128</v>
      </c>
      <c r="CN19" s="265" t="s">
        <v>129</v>
      </c>
      <c r="CO19" s="265" t="s">
        <v>130</v>
      </c>
      <c r="CP19" s="265" t="s">
        <v>131</v>
      </c>
      <c r="CQ19" s="266" t="s">
        <v>138</v>
      </c>
      <c r="CR19" s="266" t="s">
        <v>131</v>
      </c>
      <c r="CS19" s="266" t="s">
        <v>41</v>
      </c>
      <c r="CU19" s="66"/>
      <c r="CV19" s="265" t="s">
        <v>43</v>
      </c>
      <c r="CW19" s="265" t="s">
        <v>122</v>
      </c>
      <c r="CX19" s="265" t="s">
        <v>124</v>
      </c>
      <c r="CY19" s="265" t="s">
        <v>44</v>
      </c>
      <c r="CZ19" s="265" t="s">
        <v>45</v>
      </c>
      <c r="DA19" s="265" t="s">
        <v>46</v>
      </c>
      <c r="DB19" s="265" t="s">
        <v>42</v>
      </c>
      <c r="DC19" s="265" t="s">
        <v>128</v>
      </c>
      <c r="DD19" s="265" t="s">
        <v>129</v>
      </c>
      <c r="DE19" s="265" t="s">
        <v>130</v>
      </c>
      <c r="DF19" s="265" t="s">
        <v>131</v>
      </c>
      <c r="DG19" s="266" t="s">
        <v>138</v>
      </c>
      <c r="DH19" s="266" t="s">
        <v>131</v>
      </c>
      <c r="DI19" s="266" t="s">
        <v>41</v>
      </c>
    </row>
    <row r="20" spans="2:113" s="465" customFormat="1" ht="15.75" customHeight="1" x14ac:dyDescent="0.25">
      <c r="B20" s="606" t="s">
        <v>90</v>
      </c>
      <c r="C20" s="607">
        <v>1108.0961</v>
      </c>
      <c r="D20" s="607">
        <v>830.71590000000003</v>
      </c>
      <c r="E20" s="607">
        <v>723.82330000000002</v>
      </c>
      <c r="F20" s="607">
        <v>757.29399999999998</v>
      </c>
      <c r="G20" s="607">
        <v>874.85199999999998</v>
      </c>
      <c r="H20" s="607">
        <v>999.2405</v>
      </c>
      <c r="I20" s="607">
        <v>1108.4014</v>
      </c>
      <c r="J20" s="607">
        <v>1251.8403000000001</v>
      </c>
      <c r="K20" s="607">
        <v>1397.6981000000001</v>
      </c>
      <c r="L20" s="607">
        <v>1506.6052</v>
      </c>
      <c r="M20" s="607">
        <v>1776.8179</v>
      </c>
      <c r="N20" s="608">
        <v>897.02359999999999</v>
      </c>
      <c r="O20" s="608">
        <v>1497.5041000000001</v>
      </c>
      <c r="P20" s="609">
        <v>1202.0581</v>
      </c>
      <c r="R20" s="606" t="s">
        <v>90</v>
      </c>
      <c r="S20" s="607">
        <v>1107.3287</v>
      </c>
      <c r="T20" s="607">
        <v>830.37900000000002</v>
      </c>
      <c r="U20" s="607">
        <v>723.30619999999999</v>
      </c>
      <c r="V20" s="607">
        <v>756.30939999999998</v>
      </c>
      <c r="W20" s="607">
        <v>872.51850000000002</v>
      </c>
      <c r="X20" s="607">
        <v>995.2912</v>
      </c>
      <c r="Y20" s="607">
        <v>1103.4454000000001</v>
      </c>
      <c r="Z20" s="607">
        <v>1247.4549</v>
      </c>
      <c r="AA20" s="607">
        <v>1394.2565999999999</v>
      </c>
      <c r="AB20" s="607">
        <v>1503.9634000000001</v>
      </c>
      <c r="AC20" s="607">
        <v>1775.1001000000001</v>
      </c>
      <c r="AD20" s="608">
        <v>894.49609999999996</v>
      </c>
      <c r="AE20" s="608">
        <v>1494.5092</v>
      </c>
      <c r="AF20" s="609">
        <v>1199.2932000000001</v>
      </c>
      <c r="AG20" s="632"/>
      <c r="AH20" s="606" t="s">
        <v>90</v>
      </c>
      <c r="AI20" s="645">
        <v>40.321599999999997</v>
      </c>
      <c r="AJ20" s="645">
        <v>38.634300000000003</v>
      </c>
      <c r="AK20" s="645">
        <v>36.277099999999997</v>
      </c>
      <c r="AL20" s="645">
        <v>34.622900000000001</v>
      </c>
      <c r="AM20" s="645">
        <v>33.2254</v>
      </c>
      <c r="AN20" s="645">
        <v>31.141400000000001</v>
      </c>
      <c r="AO20" s="645">
        <v>28.667899999999999</v>
      </c>
      <c r="AP20" s="645">
        <v>26.103400000000001</v>
      </c>
      <c r="AQ20" s="645">
        <v>24.814499999999999</v>
      </c>
      <c r="AR20" s="645">
        <v>22.702300000000001</v>
      </c>
      <c r="AS20" s="645">
        <v>18.453700000000001</v>
      </c>
      <c r="AT20" s="646">
        <v>32.306699999999999</v>
      </c>
      <c r="AU20" s="646">
        <v>22.441400000000002</v>
      </c>
      <c r="AV20" s="640">
        <v>26.063600000000001</v>
      </c>
      <c r="AX20" s="606" t="s">
        <v>90</v>
      </c>
      <c r="AY20" s="645">
        <v>22.848199999999999</v>
      </c>
      <c r="AZ20" s="645">
        <v>27.957999999999998</v>
      </c>
      <c r="BA20" s="645">
        <v>34.856099999999998</v>
      </c>
      <c r="BB20" s="645">
        <v>44.295499999999997</v>
      </c>
      <c r="BC20" s="645">
        <v>50.569800000000001</v>
      </c>
      <c r="BD20" s="645">
        <v>53.692399999999999</v>
      </c>
      <c r="BE20" s="645">
        <v>56.857500000000002</v>
      </c>
      <c r="BF20" s="645">
        <v>59.397100000000002</v>
      </c>
      <c r="BG20" s="645">
        <v>60.768500000000003</v>
      </c>
      <c r="BH20" s="645">
        <v>60.3947</v>
      </c>
      <c r="BI20" s="645">
        <v>49.776699999999998</v>
      </c>
      <c r="BJ20" s="646">
        <v>49.357599999999998</v>
      </c>
      <c r="BK20" s="646">
        <v>56.596800000000002</v>
      </c>
      <c r="BL20" s="640">
        <v>53.938800000000001</v>
      </c>
      <c r="BN20" s="606" t="s">
        <v>90</v>
      </c>
      <c r="BO20" s="645">
        <v>12.5044</v>
      </c>
      <c r="BP20" s="645">
        <v>13.879200000000001</v>
      </c>
      <c r="BQ20" s="645">
        <v>15.334099999999999</v>
      </c>
      <c r="BR20" s="645">
        <v>10.715400000000001</v>
      </c>
      <c r="BS20" s="645">
        <v>8.8518000000000008</v>
      </c>
      <c r="BT20" s="645">
        <v>8.8162000000000003</v>
      </c>
      <c r="BU20" s="645">
        <v>9.2467000000000006</v>
      </c>
      <c r="BV20" s="645">
        <v>9.9734999999999996</v>
      </c>
      <c r="BW20" s="645">
        <v>10.043100000000001</v>
      </c>
      <c r="BX20" s="645">
        <v>11.6251</v>
      </c>
      <c r="BY20" s="645">
        <v>26.9816</v>
      </c>
      <c r="BZ20" s="646">
        <v>10.098100000000001</v>
      </c>
      <c r="CA20" s="646">
        <v>16.255700000000001</v>
      </c>
      <c r="CB20" s="640">
        <v>13.994899999999999</v>
      </c>
      <c r="CE20" s="606" t="s">
        <v>90</v>
      </c>
      <c r="CF20" s="645">
        <v>1.4574</v>
      </c>
      <c r="CG20" s="645">
        <v>1.6692</v>
      </c>
      <c r="CH20" s="645">
        <v>1.7319</v>
      </c>
      <c r="CI20" s="645">
        <v>1.9251</v>
      </c>
      <c r="CJ20" s="645">
        <v>1.9487000000000001</v>
      </c>
      <c r="CK20" s="645">
        <v>1.8153999999999999</v>
      </c>
      <c r="CL20" s="645">
        <v>1.8092999999999999</v>
      </c>
      <c r="CM20" s="645">
        <v>1.7291000000000001</v>
      </c>
      <c r="CN20" s="645">
        <v>1.9673</v>
      </c>
      <c r="CO20" s="645">
        <v>2.5966999999999998</v>
      </c>
      <c r="CP20" s="645">
        <v>2.4306999999999999</v>
      </c>
      <c r="CQ20" s="646">
        <v>1.8549</v>
      </c>
      <c r="CR20" s="646">
        <v>2.198</v>
      </c>
      <c r="CS20" s="640">
        <v>2.0720000000000001</v>
      </c>
      <c r="CU20" s="606" t="s">
        <v>90</v>
      </c>
      <c r="CV20" s="645">
        <v>22.868400000000001</v>
      </c>
      <c r="CW20" s="645">
        <v>17.859400000000001</v>
      </c>
      <c r="CX20" s="645">
        <v>11.8009</v>
      </c>
      <c r="CY20" s="645">
        <v>8.4411000000000005</v>
      </c>
      <c r="CZ20" s="645">
        <v>5.4043999999999999</v>
      </c>
      <c r="DA20" s="645">
        <v>4.5347</v>
      </c>
      <c r="DB20" s="645">
        <v>3.4186000000000001</v>
      </c>
      <c r="DC20" s="645">
        <v>2.7968000000000002</v>
      </c>
      <c r="DD20" s="645">
        <v>2.4066000000000001</v>
      </c>
      <c r="DE20" s="645">
        <v>2.6810999999999998</v>
      </c>
      <c r="DF20" s="645">
        <v>2.3572000000000002</v>
      </c>
      <c r="DG20" s="646">
        <v>6.3826999999999998</v>
      </c>
      <c r="DH20" s="646">
        <v>2.508</v>
      </c>
      <c r="DI20" s="640">
        <v>3.9306999999999999</v>
      </c>
    </row>
    <row r="21" spans="2:113" s="465" customFormat="1" ht="15.75" customHeight="1" x14ac:dyDescent="0.25">
      <c r="B21" s="610" t="s">
        <v>239</v>
      </c>
      <c r="C21" s="611">
        <v>1108.0961</v>
      </c>
      <c r="D21" s="611">
        <v>830.71590000000003</v>
      </c>
      <c r="E21" s="611">
        <v>722.97349999999994</v>
      </c>
      <c r="F21" s="611">
        <v>755.5557</v>
      </c>
      <c r="G21" s="611">
        <v>869.80190000000005</v>
      </c>
      <c r="H21" s="611">
        <v>990.8614</v>
      </c>
      <c r="I21" s="611">
        <v>1096.8887</v>
      </c>
      <c r="J21" s="611">
        <v>1243.7029</v>
      </c>
      <c r="K21" s="611">
        <v>1390.7799</v>
      </c>
      <c r="L21" s="611">
        <v>1513.9666999999999</v>
      </c>
      <c r="M21" s="611">
        <v>1784.3125</v>
      </c>
      <c r="N21" s="612">
        <v>889.94569999999999</v>
      </c>
      <c r="O21" s="612">
        <v>1499.5754999999999</v>
      </c>
      <c r="P21" s="613">
        <v>1192.9435000000001</v>
      </c>
      <c r="R21" s="610" t="s">
        <v>239</v>
      </c>
      <c r="S21" s="611">
        <v>1107.3287</v>
      </c>
      <c r="T21" s="611">
        <v>830.37900000000002</v>
      </c>
      <c r="U21" s="611">
        <v>722.45619999999997</v>
      </c>
      <c r="V21" s="611">
        <v>754.56949999999995</v>
      </c>
      <c r="W21" s="611">
        <v>867.48599999999999</v>
      </c>
      <c r="X21" s="611">
        <v>987.14</v>
      </c>
      <c r="Y21" s="611">
        <v>1092.6771000000001</v>
      </c>
      <c r="Z21" s="611">
        <v>1239.4106999999999</v>
      </c>
      <c r="AA21" s="611">
        <v>1387.7337</v>
      </c>
      <c r="AB21" s="611">
        <v>1511.6169</v>
      </c>
      <c r="AC21" s="611">
        <v>1782.66</v>
      </c>
      <c r="AD21" s="612">
        <v>887.65160000000003</v>
      </c>
      <c r="AE21" s="612">
        <v>1496.8024</v>
      </c>
      <c r="AF21" s="613">
        <v>1190.4113</v>
      </c>
      <c r="AG21" s="632"/>
      <c r="AH21" s="610" t="s">
        <v>239</v>
      </c>
      <c r="AI21" s="633">
        <v>40.321599999999997</v>
      </c>
      <c r="AJ21" s="633">
        <v>38.634300000000003</v>
      </c>
      <c r="AK21" s="633">
        <v>36.278399999999998</v>
      </c>
      <c r="AL21" s="633">
        <v>34.668599999999998</v>
      </c>
      <c r="AM21" s="633">
        <v>33.3553</v>
      </c>
      <c r="AN21" s="633">
        <v>31.363900000000001</v>
      </c>
      <c r="AO21" s="633">
        <v>28.988499999999998</v>
      </c>
      <c r="AP21" s="633">
        <v>26.667999999999999</v>
      </c>
      <c r="AQ21" s="633">
        <v>25.249500000000001</v>
      </c>
      <c r="AR21" s="633">
        <v>23.4467</v>
      </c>
      <c r="AS21" s="633">
        <v>18.342600000000001</v>
      </c>
      <c r="AT21" s="641">
        <v>32.514899999999997</v>
      </c>
      <c r="AU21" s="641">
        <v>22.6965</v>
      </c>
      <c r="AV21" s="634">
        <v>26.380600000000001</v>
      </c>
      <c r="AX21" s="610" t="s">
        <v>239</v>
      </c>
      <c r="AY21" s="633">
        <v>22.848199999999999</v>
      </c>
      <c r="AZ21" s="633">
        <v>27.957999999999998</v>
      </c>
      <c r="BA21" s="633">
        <v>34.824399999999997</v>
      </c>
      <c r="BB21" s="633">
        <v>44.223599999999998</v>
      </c>
      <c r="BC21" s="633">
        <v>50.4086</v>
      </c>
      <c r="BD21" s="633">
        <v>53.446899999999999</v>
      </c>
      <c r="BE21" s="633">
        <v>56.515099999999997</v>
      </c>
      <c r="BF21" s="633">
        <v>59.195799999999998</v>
      </c>
      <c r="BG21" s="633">
        <v>60.5961</v>
      </c>
      <c r="BH21" s="633">
        <v>59.839100000000002</v>
      </c>
      <c r="BI21" s="633">
        <v>49.640599999999999</v>
      </c>
      <c r="BJ21" s="641">
        <v>49.067500000000003</v>
      </c>
      <c r="BK21" s="641">
        <v>56.251399999999997</v>
      </c>
      <c r="BL21" s="634">
        <v>53.555799999999998</v>
      </c>
      <c r="BN21" s="610" t="s">
        <v>239</v>
      </c>
      <c r="BO21" s="633">
        <v>12.5044</v>
      </c>
      <c r="BP21" s="633">
        <v>13.879200000000001</v>
      </c>
      <c r="BQ21" s="633">
        <v>15.3535</v>
      </c>
      <c r="BR21" s="633">
        <v>10.72</v>
      </c>
      <c r="BS21" s="633">
        <v>8.8459000000000003</v>
      </c>
      <c r="BT21" s="633">
        <v>8.7977000000000007</v>
      </c>
      <c r="BU21" s="633">
        <v>9.2074999999999996</v>
      </c>
      <c r="BV21" s="633">
        <v>9.6097000000000001</v>
      </c>
      <c r="BW21" s="633">
        <v>9.7233000000000001</v>
      </c>
      <c r="BX21" s="633">
        <v>11.389699999999999</v>
      </c>
      <c r="BY21" s="633">
        <v>27.2195</v>
      </c>
      <c r="BZ21" s="641">
        <v>10.1005</v>
      </c>
      <c r="CA21" s="641">
        <v>16.320699999999999</v>
      </c>
      <c r="CB21" s="634">
        <v>13.986700000000001</v>
      </c>
      <c r="CE21" s="610" t="s">
        <v>239</v>
      </c>
      <c r="CF21" s="633">
        <v>1.4574</v>
      </c>
      <c r="CG21" s="633">
        <v>1.6692</v>
      </c>
      <c r="CH21" s="633">
        <v>1.7339</v>
      </c>
      <c r="CI21" s="633">
        <v>1.93</v>
      </c>
      <c r="CJ21" s="633">
        <v>1.9613</v>
      </c>
      <c r="CK21" s="633">
        <v>1.8339000000000001</v>
      </c>
      <c r="CL21" s="633">
        <v>1.8478000000000001</v>
      </c>
      <c r="CM21" s="633">
        <v>1.768</v>
      </c>
      <c r="CN21" s="633">
        <v>1.9962</v>
      </c>
      <c r="CO21" s="633">
        <v>2.6177000000000001</v>
      </c>
      <c r="CP21" s="633">
        <v>2.4296000000000002</v>
      </c>
      <c r="CQ21" s="641">
        <v>1.8733</v>
      </c>
      <c r="CR21" s="641">
        <v>2.2174</v>
      </c>
      <c r="CS21" s="634">
        <v>2.0882999999999998</v>
      </c>
      <c r="CU21" s="610" t="s">
        <v>239</v>
      </c>
      <c r="CV21" s="633">
        <v>22.868400000000001</v>
      </c>
      <c r="CW21" s="633">
        <v>17.859400000000001</v>
      </c>
      <c r="CX21" s="633">
        <v>11.809799999999999</v>
      </c>
      <c r="CY21" s="633">
        <v>8.4578000000000007</v>
      </c>
      <c r="CZ21" s="633">
        <v>5.4287999999999998</v>
      </c>
      <c r="DA21" s="633">
        <v>4.5575000000000001</v>
      </c>
      <c r="DB21" s="633">
        <v>3.4409999999999998</v>
      </c>
      <c r="DC21" s="633">
        <v>2.7584</v>
      </c>
      <c r="DD21" s="633">
        <v>2.4350000000000001</v>
      </c>
      <c r="DE21" s="633">
        <v>2.7067000000000001</v>
      </c>
      <c r="DF21" s="633">
        <v>2.3677000000000001</v>
      </c>
      <c r="DG21" s="641">
        <v>6.4436999999999998</v>
      </c>
      <c r="DH21" s="641">
        <v>2.5139999999999998</v>
      </c>
      <c r="DI21" s="634">
        <v>3.9885999999999999</v>
      </c>
    </row>
    <row r="22" spans="2:113" s="465" customFormat="1" ht="15.75" customHeight="1" x14ac:dyDescent="0.25">
      <c r="B22" s="614" t="s">
        <v>501</v>
      </c>
      <c r="C22" s="615"/>
      <c r="D22" s="615"/>
      <c r="E22" s="615"/>
      <c r="F22" s="615"/>
      <c r="G22" s="615"/>
      <c r="H22" s="615"/>
      <c r="I22" s="615"/>
      <c r="J22" s="615"/>
      <c r="K22" s="615"/>
      <c r="L22" s="615"/>
      <c r="M22" s="615"/>
      <c r="N22" s="616"/>
      <c r="O22" s="616"/>
      <c r="P22" s="617"/>
      <c r="R22" s="614" t="s">
        <v>501</v>
      </c>
      <c r="S22" s="615"/>
      <c r="T22" s="615"/>
      <c r="U22" s="615"/>
      <c r="V22" s="615"/>
      <c r="W22" s="615"/>
      <c r="X22" s="615"/>
      <c r="Y22" s="615"/>
      <c r="Z22" s="615"/>
      <c r="AA22" s="615"/>
      <c r="AB22" s="615"/>
      <c r="AC22" s="615"/>
      <c r="AD22" s="616"/>
      <c r="AE22" s="616"/>
      <c r="AF22" s="617"/>
      <c r="AG22" s="632"/>
      <c r="AH22" s="614" t="s">
        <v>501</v>
      </c>
      <c r="AI22" s="635"/>
      <c r="AJ22" s="635"/>
      <c r="AK22" s="635"/>
      <c r="AL22" s="635"/>
      <c r="AM22" s="635"/>
      <c r="AN22" s="635"/>
      <c r="AO22" s="635"/>
      <c r="AP22" s="635"/>
      <c r="AQ22" s="635"/>
      <c r="AR22" s="635"/>
      <c r="AS22" s="635"/>
      <c r="AT22" s="642"/>
      <c r="AU22" s="642"/>
      <c r="AV22" s="636"/>
      <c r="AX22" s="614" t="s">
        <v>501</v>
      </c>
      <c r="AY22" s="635"/>
      <c r="AZ22" s="635"/>
      <c r="BA22" s="635"/>
      <c r="BB22" s="635"/>
      <c r="BC22" s="635"/>
      <c r="BD22" s="635"/>
      <c r="BE22" s="635"/>
      <c r="BF22" s="635"/>
      <c r="BG22" s="635"/>
      <c r="BH22" s="635"/>
      <c r="BI22" s="635"/>
      <c r="BJ22" s="642"/>
      <c r="BK22" s="642"/>
      <c r="BL22" s="636"/>
      <c r="BN22" s="614" t="s">
        <v>501</v>
      </c>
      <c r="BO22" s="635"/>
      <c r="BP22" s="635"/>
      <c r="BQ22" s="635"/>
      <c r="BR22" s="635"/>
      <c r="BS22" s="635"/>
      <c r="BT22" s="635"/>
      <c r="BU22" s="635"/>
      <c r="BV22" s="635"/>
      <c r="BW22" s="635"/>
      <c r="BX22" s="635"/>
      <c r="BY22" s="635"/>
      <c r="BZ22" s="642"/>
      <c r="CA22" s="642"/>
      <c r="CB22" s="636"/>
      <c r="CE22" s="614" t="s">
        <v>501</v>
      </c>
      <c r="CF22" s="635"/>
      <c r="CG22" s="635"/>
      <c r="CH22" s="635"/>
      <c r="CI22" s="635"/>
      <c r="CJ22" s="635"/>
      <c r="CK22" s="635"/>
      <c r="CL22" s="635"/>
      <c r="CM22" s="635"/>
      <c r="CN22" s="635"/>
      <c r="CO22" s="635"/>
      <c r="CP22" s="635"/>
      <c r="CQ22" s="642"/>
      <c r="CR22" s="642"/>
      <c r="CS22" s="636"/>
      <c r="CU22" s="614" t="s">
        <v>501</v>
      </c>
      <c r="CV22" s="635"/>
      <c r="CW22" s="635"/>
      <c r="CX22" s="635"/>
      <c r="CY22" s="635"/>
      <c r="CZ22" s="635"/>
      <c r="DA22" s="635"/>
      <c r="DB22" s="635"/>
      <c r="DC22" s="635"/>
      <c r="DD22" s="635"/>
      <c r="DE22" s="635"/>
      <c r="DF22" s="635"/>
      <c r="DG22" s="642"/>
      <c r="DH22" s="642"/>
      <c r="DI22" s="636"/>
    </row>
    <row r="23" spans="2:113" s="571" customFormat="1" ht="15.75" customHeight="1" x14ac:dyDescent="0.25">
      <c r="B23" s="618" t="s">
        <v>763</v>
      </c>
      <c r="C23" s="619">
        <v>1579.5409999999999</v>
      </c>
      <c r="D23" s="619">
        <v>1179.6584</v>
      </c>
      <c r="E23" s="619">
        <v>1032.3991000000001</v>
      </c>
      <c r="F23" s="619">
        <v>846.3519</v>
      </c>
      <c r="G23" s="619">
        <v>960.84569999999997</v>
      </c>
      <c r="H23" s="619">
        <v>1022.6431</v>
      </c>
      <c r="I23" s="619">
        <v>1089.2938999999999</v>
      </c>
      <c r="J23" s="619">
        <v>1209.4331999999999</v>
      </c>
      <c r="K23" s="619">
        <v>1227.8095000000001</v>
      </c>
      <c r="L23" s="619">
        <v>1559.9292</v>
      </c>
      <c r="M23" s="619">
        <v>1339.5053</v>
      </c>
      <c r="N23" s="620">
        <v>971.58370000000002</v>
      </c>
      <c r="O23" s="620">
        <v>1288.7458999999999</v>
      </c>
      <c r="P23" s="621">
        <v>1104.4616000000001</v>
      </c>
      <c r="R23" s="618" t="s">
        <v>763</v>
      </c>
      <c r="S23" s="619">
        <v>1577.7398000000001</v>
      </c>
      <c r="T23" s="619">
        <v>1178.9118000000001</v>
      </c>
      <c r="U23" s="619">
        <v>1031.7102</v>
      </c>
      <c r="V23" s="619">
        <v>845.5711</v>
      </c>
      <c r="W23" s="619">
        <v>958.87760000000003</v>
      </c>
      <c r="X23" s="619">
        <v>1019.5954</v>
      </c>
      <c r="Y23" s="619">
        <v>1086.0018</v>
      </c>
      <c r="Z23" s="619">
        <v>1204.5237999999999</v>
      </c>
      <c r="AA23" s="619">
        <v>1224.9377999999999</v>
      </c>
      <c r="AB23" s="619">
        <v>1559.0092</v>
      </c>
      <c r="AC23" s="619">
        <v>1338.8161</v>
      </c>
      <c r="AD23" s="620">
        <v>969.65160000000003</v>
      </c>
      <c r="AE23" s="620">
        <v>1286.3215</v>
      </c>
      <c r="AF23" s="621">
        <v>1102.3233</v>
      </c>
      <c r="AG23" s="632"/>
      <c r="AH23" s="618" t="s">
        <v>763</v>
      </c>
      <c r="AI23" s="637">
        <v>40.483899999999998</v>
      </c>
      <c r="AJ23" s="637">
        <v>40.177199999999999</v>
      </c>
      <c r="AK23" s="637">
        <v>37.078200000000002</v>
      </c>
      <c r="AL23" s="637">
        <v>35.064300000000003</v>
      </c>
      <c r="AM23" s="637">
        <v>34.987400000000001</v>
      </c>
      <c r="AN23" s="637">
        <v>33.119100000000003</v>
      </c>
      <c r="AO23" s="637">
        <v>29.940100000000001</v>
      </c>
      <c r="AP23" s="637">
        <v>25.837599999999998</v>
      </c>
      <c r="AQ23" s="637">
        <v>24.408300000000001</v>
      </c>
      <c r="AR23" s="637">
        <v>18.9955</v>
      </c>
      <c r="AS23" s="637">
        <v>20.188600000000001</v>
      </c>
      <c r="AT23" s="643">
        <v>33.548200000000001</v>
      </c>
      <c r="AU23" s="643">
        <v>22.6313</v>
      </c>
      <c r="AV23" s="638">
        <v>28.211300000000001</v>
      </c>
      <c r="AX23" s="618" t="s">
        <v>763</v>
      </c>
      <c r="AY23" s="637">
        <v>25.490400000000001</v>
      </c>
      <c r="AZ23" s="637">
        <v>31.1022</v>
      </c>
      <c r="BA23" s="637">
        <v>36.742400000000004</v>
      </c>
      <c r="BB23" s="637">
        <v>42.0533</v>
      </c>
      <c r="BC23" s="637">
        <v>45.005499999999998</v>
      </c>
      <c r="BD23" s="637">
        <v>48.613199999999999</v>
      </c>
      <c r="BE23" s="637">
        <v>53.731099999999998</v>
      </c>
      <c r="BF23" s="637">
        <v>59.4</v>
      </c>
      <c r="BG23" s="637">
        <v>60.101900000000001</v>
      </c>
      <c r="BH23" s="637">
        <v>59.953000000000003</v>
      </c>
      <c r="BI23" s="637">
        <v>58.863199999999999</v>
      </c>
      <c r="BJ23" s="643">
        <v>46.2393</v>
      </c>
      <c r="BK23" s="643">
        <v>59.439399999999999</v>
      </c>
      <c r="BL23" s="638">
        <v>52.692399999999999</v>
      </c>
      <c r="BN23" s="618" t="s">
        <v>763</v>
      </c>
      <c r="BO23" s="637">
        <v>10.4899</v>
      </c>
      <c r="BP23" s="637">
        <v>10.83</v>
      </c>
      <c r="BQ23" s="637">
        <v>14.236700000000001</v>
      </c>
      <c r="BR23" s="637">
        <v>12.3613</v>
      </c>
      <c r="BS23" s="637">
        <v>12.4983</v>
      </c>
      <c r="BT23" s="637">
        <v>11.354799999999999</v>
      </c>
      <c r="BU23" s="637">
        <v>10.5136</v>
      </c>
      <c r="BV23" s="637">
        <v>10.2479</v>
      </c>
      <c r="BW23" s="637">
        <v>11.232200000000001</v>
      </c>
      <c r="BX23" s="637">
        <v>10.723100000000001</v>
      </c>
      <c r="BY23" s="637">
        <v>15.687900000000001</v>
      </c>
      <c r="BZ23" s="643">
        <v>11.8125</v>
      </c>
      <c r="CA23" s="643">
        <v>12.6982</v>
      </c>
      <c r="CB23" s="638">
        <v>12.2455</v>
      </c>
      <c r="CE23" s="618" t="s">
        <v>763</v>
      </c>
      <c r="CF23" s="637">
        <v>1.8494999999999999</v>
      </c>
      <c r="CG23" s="637">
        <v>2.2115999999999998</v>
      </c>
      <c r="CH23" s="637">
        <v>2.3068</v>
      </c>
      <c r="CI23" s="637">
        <v>2.4622999999999999</v>
      </c>
      <c r="CJ23" s="637">
        <v>2.2282000000000002</v>
      </c>
      <c r="CK23" s="637">
        <v>1.9455</v>
      </c>
      <c r="CL23" s="637">
        <v>2.0924</v>
      </c>
      <c r="CM23" s="637">
        <v>1.7343</v>
      </c>
      <c r="CN23" s="637">
        <v>1.8596999999999999</v>
      </c>
      <c r="CO23" s="637">
        <v>1.6691</v>
      </c>
      <c r="CP23" s="637">
        <v>1.8637999999999999</v>
      </c>
      <c r="CQ23" s="643">
        <v>2.2269999999999999</v>
      </c>
      <c r="CR23" s="643">
        <v>1.8153999999999999</v>
      </c>
      <c r="CS23" s="638">
        <v>2.0257999999999998</v>
      </c>
      <c r="CU23" s="618" t="s">
        <v>763</v>
      </c>
      <c r="CV23" s="637">
        <v>21.686399999999999</v>
      </c>
      <c r="CW23" s="637">
        <v>15.678900000000001</v>
      </c>
      <c r="CX23" s="637">
        <v>9.6358999999999995</v>
      </c>
      <c r="CY23" s="637">
        <v>8.0587999999999997</v>
      </c>
      <c r="CZ23" s="637">
        <v>5.2805999999999997</v>
      </c>
      <c r="DA23" s="637">
        <v>4.9673999999999996</v>
      </c>
      <c r="DB23" s="637">
        <v>3.7227999999999999</v>
      </c>
      <c r="DC23" s="637">
        <v>2.7801999999999998</v>
      </c>
      <c r="DD23" s="637">
        <v>2.3978999999999999</v>
      </c>
      <c r="DE23" s="637">
        <v>8.6593</v>
      </c>
      <c r="DF23" s="637">
        <v>3.3965999999999998</v>
      </c>
      <c r="DG23" s="643">
        <v>6.173</v>
      </c>
      <c r="DH23" s="643">
        <v>3.4157000000000002</v>
      </c>
      <c r="DI23" s="638">
        <v>4.8250999999999999</v>
      </c>
    </row>
    <row r="24" spans="2:113" s="465" customFormat="1" ht="15.75" customHeight="1" x14ac:dyDescent="0.25">
      <c r="B24" s="622" t="s">
        <v>764</v>
      </c>
      <c r="C24" s="623">
        <v>991.72569999999996</v>
      </c>
      <c r="D24" s="623">
        <v>753.28530000000001</v>
      </c>
      <c r="E24" s="623">
        <v>646.18460000000005</v>
      </c>
      <c r="F24" s="623">
        <v>682.27380000000005</v>
      </c>
      <c r="G24" s="623">
        <v>776.35720000000003</v>
      </c>
      <c r="H24" s="623">
        <v>1089.7859000000001</v>
      </c>
      <c r="I24" s="623">
        <v>1070.3929000000001</v>
      </c>
      <c r="J24" s="623">
        <v>1180.5365999999999</v>
      </c>
      <c r="K24" s="623">
        <v>1383.7088000000001</v>
      </c>
      <c r="L24" s="623" t="s">
        <v>102</v>
      </c>
      <c r="M24" s="623">
        <v>1120.3076000000001</v>
      </c>
      <c r="N24" s="624">
        <v>785.62750000000005</v>
      </c>
      <c r="O24" s="624">
        <v>1242.7837</v>
      </c>
      <c r="P24" s="609">
        <v>906.58330000000001</v>
      </c>
      <c r="R24" s="622" t="s">
        <v>764</v>
      </c>
      <c r="S24" s="623">
        <v>991.70510000000002</v>
      </c>
      <c r="T24" s="623">
        <v>753.22270000000003</v>
      </c>
      <c r="U24" s="623">
        <v>645.88070000000005</v>
      </c>
      <c r="V24" s="623">
        <v>681.72410000000002</v>
      </c>
      <c r="W24" s="623">
        <v>775.00940000000003</v>
      </c>
      <c r="X24" s="623">
        <v>1086.6847</v>
      </c>
      <c r="Y24" s="623">
        <v>1066.7825</v>
      </c>
      <c r="Z24" s="623">
        <v>1178.2560000000001</v>
      </c>
      <c r="AA24" s="623">
        <v>1376.5847000000001</v>
      </c>
      <c r="AB24" s="623" t="s">
        <v>102</v>
      </c>
      <c r="AC24" s="623">
        <v>1117.4143999999999</v>
      </c>
      <c r="AD24" s="624">
        <v>784.41409999999996</v>
      </c>
      <c r="AE24" s="624">
        <v>1238.2507000000001</v>
      </c>
      <c r="AF24" s="609">
        <v>904.49159999999995</v>
      </c>
      <c r="AG24" s="632"/>
      <c r="AH24" s="622" t="s">
        <v>764</v>
      </c>
      <c r="AI24" s="639">
        <v>44.098399999999998</v>
      </c>
      <c r="AJ24" s="639">
        <v>42.384900000000002</v>
      </c>
      <c r="AK24" s="639">
        <v>39.7759</v>
      </c>
      <c r="AL24" s="639">
        <v>36.040599999999998</v>
      </c>
      <c r="AM24" s="639">
        <v>33.6661</v>
      </c>
      <c r="AN24" s="639">
        <v>29.396699999999999</v>
      </c>
      <c r="AO24" s="639">
        <v>28.1614</v>
      </c>
      <c r="AP24" s="639">
        <v>27.4283</v>
      </c>
      <c r="AQ24" s="639">
        <v>25.6661</v>
      </c>
      <c r="AR24" s="639" t="s">
        <v>102</v>
      </c>
      <c r="AS24" s="639">
        <v>23.0642</v>
      </c>
      <c r="AT24" s="644">
        <v>34.552999999999997</v>
      </c>
      <c r="AU24" s="644">
        <v>25.133099999999999</v>
      </c>
      <c r="AV24" s="640">
        <v>31.136399999999998</v>
      </c>
      <c r="AX24" s="622" t="s">
        <v>764</v>
      </c>
      <c r="AY24" s="639">
        <v>16.2347</v>
      </c>
      <c r="AZ24" s="639">
        <v>21.732500000000002</v>
      </c>
      <c r="BA24" s="639">
        <v>30.0093</v>
      </c>
      <c r="BB24" s="639">
        <v>41.596600000000002</v>
      </c>
      <c r="BC24" s="639">
        <v>49.633200000000002</v>
      </c>
      <c r="BD24" s="639">
        <v>53.794600000000003</v>
      </c>
      <c r="BE24" s="639">
        <v>57.375</v>
      </c>
      <c r="BF24" s="639">
        <v>57.4422</v>
      </c>
      <c r="BG24" s="639">
        <v>58.859499999999997</v>
      </c>
      <c r="BH24" s="639" t="s">
        <v>102</v>
      </c>
      <c r="BI24" s="639">
        <v>53.898299999999999</v>
      </c>
      <c r="BJ24" s="644">
        <v>43.6524</v>
      </c>
      <c r="BK24" s="644">
        <v>56.902700000000003</v>
      </c>
      <c r="BL24" s="640">
        <v>48.458300000000001</v>
      </c>
      <c r="BN24" s="622" t="s">
        <v>764</v>
      </c>
      <c r="BO24" s="639">
        <v>14.8775</v>
      </c>
      <c r="BP24" s="639">
        <v>15.2988</v>
      </c>
      <c r="BQ24" s="639">
        <v>15.2616</v>
      </c>
      <c r="BR24" s="639">
        <v>10.8255</v>
      </c>
      <c r="BS24" s="639">
        <v>8.6966999999999999</v>
      </c>
      <c r="BT24" s="639">
        <v>9.4712999999999994</v>
      </c>
      <c r="BU24" s="639">
        <v>9.3434000000000008</v>
      </c>
      <c r="BV24" s="639">
        <v>10.5975</v>
      </c>
      <c r="BW24" s="639">
        <v>10.8148</v>
      </c>
      <c r="BX24" s="639" t="s">
        <v>102</v>
      </c>
      <c r="BY24" s="639">
        <v>17.46</v>
      </c>
      <c r="BZ24" s="644">
        <v>11.1135</v>
      </c>
      <c r="CA24" s="644">
        <v>13.019299999999999</v>
      </c>
      <c r="CB24" s="640">
        <v>11.8047</v>
      </c>
      <c r="CE24" s="622" t="s">
        <v>764</v>
      </c>
      <c r="CF24" s="639">
        <v>1.2664</v>
      </c>
      <c r="CG24" s="639">
        <v>1.7619</v>
      </c>
      <c r="CH24" s="639">
        <v>1.8579000000000001</v>
      </c>
      <c r="CI24" s="639">
        <v>2.0375000000000001</v>
      </c>
      <c r="CJ24" s="639">
        <v>1.9977</v>
      </c>
      <c r="CK24" s="639">
        <v>1.9851000000000001</v>
      </c>
      <c r="CL24" s="639">
        <v>1.7528999999999999</v>
      </c>
      <c r="CM24" s="639">
        <v>1.81</v>
      </c>
      <c r="CN24" s="639">
        <v>2.3129</v>
      </c>
      <c r="CO24" s="639" t="s">
        <v>102</v>
      </c>
      <c r="CP24" s="639">
        <v>2.1044999999999998</v>
      </c>
      <c r="CQ24" s="644">
        <v>1.9093</v>
      </c>
      <c r="CR24" s="644">
        <v>2.1434000000000002</v>
      </c>
      <c r="CS24" s="640">
        <v>1.9942</v>
      </c>
      <c r="CU24" s="622" t="s">
        <v>764</v>
      </c>
      <c r="CV24" s="639">
        <v>23.523</v>
      </c>
      <c r="CW24" s="639">
        <v>18.821899999999999</v>
      </c>
      <c r="CX24" s="639">
        <v>13.0953</v>
      </c>
      <c r="CY24" s="639">
        <v>9.4997000000000007</v>
      </c>
      <c r="CZ24" s="639">
        <v>6.0064000000000002</v>
      </c>
      <c r="DA24" s="639">
        <v>5.3522999999999996</v>
      </c>
      <c r="DB24" s="639">
        <v>3.3673000000000002</v>
      </c>
      <c r="DC24" s="639">
        <v>2.7219000000000002</v>
      </c>
      <c r="DD24" s="639">
        <v>2.3466999999999998</v>
      </c>
      <c r="DE24" s="639" t="s">
        <v>102</v>
      </c>
      <c r="DF24" s="639">
        <v>3.4729999999999999</v>
      </c>
      <c r="DG24" s="644">
        <v>8.7718000000000007</v>
      </c>
      <c r="DH24" s="644">
        <v>2.8014999999999999</v>
      </c>
      <c r="DI24" s="640">
        <v>6.6063999999999998</v>
      </c>
    </row>
    <row r="25" spans="2:113" s="571" customFormat="1" ht="15.75" customHeight="1" x14ac:dyDescent="0.25">
      <c r="B25" s="618" t="s">
        <v>51</v>
      </c>
      <c r="C25" s="619">
        <v>1131.4010000000001</v>
      </c>
      <c r="D25" s="619">
        <v>1087.7792999999999</v>
      </c>
      <c r="E25" s="619">
        <v>777.34960000000001</v>
      </c>
      <c r="F25" s="619">
        <v>724.42269999999996</v>
      </c>
      <c r="G25" s="619">
        <v>807.52380000000005</v>
      </c>
      <c r="H25" s="619">
        <v>907.68439999999998</v>
      </c>
      <c r="I25" s="619">
        <v>971.90250000000003</v>
      </c>
      <c r="J25" s="619">
        <v>1090.1724999999999</v>
      </c>
      <c r="K25" s="619">
        <v>1325.9953</v>
      </c>
      <c r="L25" s="619">
        <v>1217.8373999999999</v>
      </c>
      <c r="M25" s="619">
        <v>1211.5508</v>
      </c>
      <c r="N25" s="620">
        <v>847.64580000000001</v>
      </c>
      <c r="O25" s="620">
        <v>1188.4019000000001</v>
      </c>
      <c r="P25" s="621">
        <v>963.0299</v>
      </c>
      <c r="R25" s="618" t="s">
        <v>51</v>
      </c>
      <c r="S25" s="619">
        <v>1101.7603999999999</v>
      </c>
      <c r="T25" s="619">
        <v>1085.5246999999999</v>
      </c>
      <c r="U25" s="619">
        <v>774.98080000000004</v>
      </c>
      <c r="V25" s="619">
        <v>722.87800000000004</v>
      </c>
      <c r="W25" s="619">
        <v>803.03530000000001</v>
      </c>
      <c r="X25" s="619">
        <v>901.85550000000001</v>
      </c>
      <c r="Y25" s="619">
        <v>965.42359999999996</v>
      </c>
      <c r="Z25" s="619">
        <v>1079.3683000000001</v>
      </c>
      <c r="AA25" s="619">
        <v>1316.3420000000001</v>
      </c>
      <c r="AB25" s="619">
        <v>1210.0713000000001</v>
      </c>
      <c r="AC25" s="619">
        <v>1207.7348999999999</v>
      </c>
      <c r="AD25" s="620">
        <v>843.24760000000003</v>
      </c>
      <c r="AE25" s="620">
        <v>1180.4634000000001</v>
      </c>
      <c r="AF25" s="621">
        <v>957.43280000000004</v>
      </c>
      <c r="AG25" s="632"/>
      <c r="AH25" s="618" t="s">
        <v>51</v>
      </c>
      <c r="AI25" s="637">
        <v>31.447399999999998</v>
      </c>
      <c r="AJ25" s="637">
        <v>36.174700000000001</v>
      </c>
      <c r="AK25" s="637">
        <v>34.2712</v>
      </c>
      <c r="AL25" s="637">
        <v>32.404299999999999</v>
      </c>
      <c r="AM25" s="637">
        <v>31.166699999999999</v>
      </c>
      <c r="AN25" s="637">
        <v>29.975200000000001</v>
      </c>
      <c r="AO25" s="637">
        <v>27.463999999999999</v>
      </c>
      <c r="AP25" s="637">
        <v>26.4544</v>
      </c>
      <c r="AQ25" s="637">
        <v>21.7514</v>
      </c>
      <c r="AR25" s="637">
        <v>21.517700000000001</v>
      </c>
      <c r="AS25" s="637">
        <v>21.762599999999999</v>
      </c>
      <c r="AT25" s="643">
        <v>30.140699999999999</v>
      </c>
      <c r="AU25" s="643">
        <v>23.2712</v>
      </c>
      <c r="AV25" s="638">
        <v>27.270299999999999</v>
      </c>
      <c r="AX25" s="618" t="s">
        <v>51</v>
      </c>
      <c r="AY25" s="637">
        <v>37.617699999999999</v>
      </c>
      <c r="AZ25" s="637">
        <v>37.3504</v>
      </c>
      <c r="BA25" s="637">
        <v>39.937600000000003</v>
      </c>
      <c r="BB25" s="637">
        <v>46.719099999999997</v>
      </c>
      <c r="BC25" s="637">
        <v>51.342100000000002</v>
      </c>
      <c r="BD25" s="637">
        <v>54.241100000000003</v>
      </c>
      <c r="BE25" s="637">
        <v>56.968000000000004</v>
      </c>
      <c r="BF25" s="637">
        <v>58.147599999999997</v>
      </c>
      <c r="BG25" s="637">
        <v>61.528799999999997</v>
      </c>
      <c r="BH25" s="637">
        <v>58.398299999999999</v>
      </c>
      <c r="BI25" s="637">
        <v>54.8339</v>
      </c>
      <c r="BJ25" s="643">
        <v>52.289000000000001</v>
      </c>
      <c r="BK25" s="643">
        <v>57.768599999999999</v>
      </c>
      <c r="BL25" s="638">
        <v>54.578600000000002</v>
      </c>
      <c r="BN25" s="618" t="s">
        <v>51</v>
      </c>
      <c r="BO25" s="637">
        <v>9.1290999999999993</v>
      </c>
      <c r="BP25" s="637">
        <v>8.718</v>
      </c>
      <c r="BQ25" s="637">
        <v>12.470599999999999</v>
      </c>
      <c r="BR25" s="637">
        <v>10.3134</v>
      </c>
      <c r="BS25" s="637">
        <v>9.2583000000000002</v>
      </c>
      <c r="BT25" s="637">
        <v>8.8437999999999999</v>
      </c>
      <c r="BU25" s="637">
        <v>9.8154000000000003</v>
      </c>
      <c r="BV25" s="637">
        <v>10.1408</v>
      </c>
      <c r="BW25" s="637">
        <v>11.8399</v>
      </c>
      <c r="BX25" s="637">
        <v>14.321300000000001</v>
      </c>
      <c r="BY25" s="637">
        <v>20.0519</v>
      </c>
      <c r="BZ25" s="643">
        <v>9.6783000000000001</v>
      </c>
      <c r="CA25" s="643">
        <v>14.3071</v>
      </c>
      <c r="CB25" s="638">
        <v>11.612500000000001</v>
      </c>
      <c r="CE25" s="618" t="s">
        <v>51</v>
      </c>
      <c r="CF25" s="637">
        <v>3.6299999999999999E-2</v>
      </c>
      <c r="CG25" s="637">
        <v>2.1263000000000001</v>
      </c>
      <c r="CH25" s="637">
        <v>2.4161000000000001</v>
      </c>
      <c r="CI25" s="637">
        <v>2.0973999999999999</v>
      </c>
      <c r="CJ25" s="637">
        <v>2.3725999999999998</v>
      </c>
      <c r="CK25" s="637">
        <v>2.0211000000000001</v>
      </c>
      <c r="CL25" s="637">
        <v>2.1408999999999998</v>
      </c>
      <c r="CM25" s="637">
        <v>2.2383999999999999</v>
      </c>
      <c r="CN25" s="637">
        <v>2.4592000000000001</v>
      </c>
      <c r="CO25" s="637">
        <v>1.9693000000000001</v>
      </c>
      <c r="CP25" s="637">
        <v>1.3077000000000001</v>
      </c>
      <c r="CQ25" s="643">
        <v>2.1627000000000001</v>
      </c>
      <c r="CR25" s="643">
        <v>1.9392</v>
      </c>
      <c r="CS25" s="638">
        <v>2.0693000000000001</v>
      </c>
      <c r="CU25" s="618" t="s">
        <v>51</v>
      </c>
      <c r="CV25" s="637">
        <v>21.769600000000001</v>
      </c>
      <c r="CW25" s="637">
        <v>15.630599999999999</v>
      </c>
      <c r="CX25" s="637">
        <v>10.904500000000001</v>
      </c>
      <c r="CY25" s="637">
        <v>8.4657999999999998</v>
      </c>
      <c r="CZ25" s="637">
        <v>5.8602999999999996</v>
      </c>
      <c r="DA25" s="637">
        <v>4.9187000000000003</v>
      </c>
      <c r="DB25" s="637">
        <v>3.6118000000000001</v>
      </c>
      <c r="DC25" s="637">
        <v>3.0188999999999999</v>
      </c>
      <c r="DD25" s="637">
        <v>2.4207000000000001</v>
      </c>
      <c r="DE25" s="637">
        <v>3.7934000000000001</v>
      </c>
      <c r="DF25" s="637">
        <v>2.0438999999999998</v>
      </c>
      <c r="DG25" s="643">
        <v>5.7293000000000003</v>
      </c>
      <c r="DH25" s="643">
        <v>2.7138</v>
      </c>
      <c r="DI25" s="638">
        <v>4.4692999999999996</v>
      </c>
    </row>
    <row r="26" spans="2:113" s="465" customFormat="1" ht="15.75" customHeight="1" x14ac:dyDescent="0.25">
      <c r="B26" s="622" t="s">
        <v>765</v>
      </c>
      <c r="C26" s="623">
        <v>1035.1234999999999</v>
      </c>
      <c r="D26" s="623">
        <v>827.03210000000001</v>
      </c>
      <c r="E26" s="623">
        <v>713.2577</v>
      </c>
      <c r="F26" s="623">
        <v>739.47349999999994</v>
      </c>
      <c r="G26" s="623">
        <v>834.99300000000005</v>
      </c>
      <c r="H26" s="623">
        <v>963.22019999999998</v>
      </c>
      <c r="I26" s="623">
        <v>1051.3108999999999</v>
      </c>
      <c r="J26" s="623">
        <v>1291.0885000000001</v>
      </c>
      <c r="K26" s="623">
        <v>1397.8184000000001</v>
      </c>
      <c r="L26" s="623">
        <v>1257.6545000000001</v>
      </c>
      <c r="M26" s="623">
        <v>1317.7035000000001</v>
      </c>
      <c r="N26" s="624">
        <v>836.24390000000005</v>
      </c>
      <c r="O26" s="624">
        <v>1330.1903</v>
      </c>
      <c r="P26" s="609">
        <v>1010.2077</v>
      </c>
      <c r="R26" s="622" t="s">
        <v>765</v>
      </c>
      <c r="S26" s="623">
        <v>1035.1234999999999</v>
      </c>
      <c r="T26" s="623">
        <v>827.00080000000003</v>
      </c>
      <c r="U26" s="623">
        <v>713.04039999999998</v>
      </c>
      <c r="V26" s="623">
        <v>738.88419999999996</v>
      </c>
      <c r="W26" s="623">
        <v>833.36339999999996</v>
      </c>
      <c r="X26" s="623">
        <v>961.13779999999997</v>
      </c>
      <c r="Y26" s="623">
        <v>1048.2609</v>
      </c>
      <c r="Z26" s="623">
        <v>1287.8635999999999</v>
      </c>
      <c r="AA26" s="623">
        <v>1391.4828</v>
      </c>
      <c r="AB26" s="623">
        <v>1250.1733999999999</v>
      </c>
      <c r="AC26" s="623">
        <v>1313.6329000000001</v>
      </c>
      <c r="AD26" s="624">
        <v>834.9194</v>
      </c>
      <c r="AE26" s="624">
        <v>1325.4350999999999</v>
      </c>
      <c r="AF26" s="609">
        <v>1007.675</v>
      </c>
      <c r="AG26" s="632"/>
      <c r="AH26" s="622" t="s">
        <v>765</v>
      </c>
      <c r="AI26" s="639">
        <v>35.145600000000002</v>
      </c>
      <c r="AJ26" s="639">
        <v>34.792200000000001</v>
      </c>
      <c r="AK26" s="639">
        <v>32.26</v>
      </c>
      <c r="AL26" s="639">
        <v>33.314300000000003</v>
      </c>
      <c r="AM26" s="639">
        <v>32.306699999999999</v>
      </c>
      <c r="AN26" s="639">
        <v>30.712900000000001</v>
      </c>
      <c r="AO26" s="639">
        <v>28.427499999999998</v>
      </c>
      <c r="AP26" s="639">
        <v>25.070699999999999</v>
      </c>
      <c r="AQ26" s="639">
        <v>23.014600000000002</v>
      </c>
      <c r="AR26" s="639">
        <v>19.2225</v>
      </c>
      <c r="AS26" s="639">
        <v>22.780899999999999</v>
      </c>
      <c r="AT26" s="644">
        <v>31.640899999999998</v>
      </c>
      <c r="AU26" s="644">
        <v>23.3551</v>
      </c>
      <c r="AV26" s="640">
        <v>27.798400000000001</v>
      </c>
      <c r="AX26" s="622" t="s">
        <v>765</v>
      </c>
      <c r="AY26" s="639">
        <v>29.7593</v>
      </c>
      <c r="AZ26" s="639">
        <v>33.674300000000002</v>
      </c>
      <c r="BA26" s="639">
        <v>38.834200000000003</v>
      </c>
      <c r="BB26" s="639">
        <v>45.532299999999999</v>
      </c>
      <c r="BC26" s="639">
        <v>54.064</v>
      </c>
      <c r="BD26" s="639">
        <v>55.750799999999998</v>
      </c>
      <c r="BE26" s="639">
        <v>58.272300000000001</v>
      </c>
      <c r="BF26" s="639">
        <v>63.117400000000004</v>
      </c>
      <c r="BG26" s="639">
        <v>61.2102</v>
      </c>
      <c r="BH26" s="639">
        <v>61.218299999999999</v>
      </c>
      <c r="BI26" s="639">
        <v>59.948599999999999</v>
      </c>
      <c r="BJ26" s="644">
        <v>50.319800000000001</v>
      </c>
      <c r="BK26" s="644">
        <v>61.472900000000003</v>
      </c>
      <c r="BL26" s="640">
        <v>55.492100000000001</v>
      </c>
      <c r="BN26" s="622" t="s">
        <v>765</v>
      </c>
      <c r="BO26" s="639">
        <v>10.888</v>
      </c>
      <c r="BP26" s="639">
        <v>12.0967</v>
      </c>
      <c r="BQ26" s="639">
        <v>15.670299999999999</v>
      </c>
      <c r="BR26" s="639">
        <v>11.081300000000001</v>
      </c>
      <c r="BS26" s="639">
        <v>5.9516</v>
      </c>
      <c r="BT26" s="639">
        <v>7.1684000000000001</v>
      </c>
      <c r="BU26" s="639">
        <v>7.6093999999999999</v>
      </c>
      <c r="BV26" s="639">
        <v>7.7869000000000002</v>
      </c>
      <c r="BW26" s="639">
        <v>10.0776</v>
      </c>
      <c r="BX26" s="639">
        <v>11.3179</v>
      </c>
      <c r="BY26" s="639">
        <v>12.5244</v>
      </c>
      <c r="BZ26" s="644">
        <v>9.3486999999999991</v>
      </c>
      <c r="CA26" s="644">
        <v>10.103999999999999</v>
      </c>
      <c r="CB26" s="640">
        <v>9.6989999999999998</v>
      </c>
      <c r="CE26" s="622" t="s">
        <v>765</v>
      </c>
      <c r="CF26" s="639">
        <v>0.6744</v>
      </c>
      <c r="CG26" s="639">
        <v>1.0461</v>
      </c>
      <c r="CH26" s="639">
        <v>1.2501</v>
      </c>
      <c r="CI26" s="639">
        <v>1.5556000000000001</v>
      </c>
      <c r="CJ26" s="639">
        <v>1.5938000000000001</v>
      </c>
      <c r="CK26" s="639">
        <v>1.7117</v>
      </c>
      <c r="CL26" s="639">
        <v>2.1002000000000001</v>
      </c>
      <c r="CM26" s="639">
        <v>1.5306999999999999</v>
      </c>
      <c r="CN26" s="639">
        <v>2.2269000000000001</v>
      </c>
      <c r="CO26" s="639">
        <v>3.806</v>
      </c>
      <c r="CP26" s="639">
        <v>2.5141</v>
      </c>
      <c r="CQ26" s="644">
        <v>1.6632</v>
      </c>
      <c r="CR26" s="644">
        <v>2.1890000000000001</v>
      </c>
      <c r="CS26" s="640">
        <v>1.9071</v>
      </c>
      <c r="CU26" s="622" t="s">
        <v>765</v>
      </c>
      <c r="CV26" s="639">
        <v>23.532800000000002</v>
      </c>
      <c r="CW26" s="639">
        <v>18.390699999999999</v>
      </c>
      <c r="CX26" s="639">
        <v>11.9855</v>
      </c>
      <c r="CY26" s="639">
        <v>8.5166000000000004</v>
      </c>
      <c r="CZ26" s="639">
        <v>6.0838999999999999</v>
      </c>
      <c r="DA26" s="639">
        <v>4.6562999999999999</v>
      </c>
      <c r="DB26" s="639">
        <v>3.5905</v>
      </c>
      <c r="DC26" s="639">
        <v>2.4944000000000002</v>
      </c>
      <c r="DD26" s="639">
        <v>3.4708000000000001</v>
      </c>
      <c r="DE26" s="639">
        <v>4.4352999999999998</v>
      </c>
      <c r="DF26" s="639">
        <v>2.2320000000000002</v>
      </c>
      <c r="DG26" s="644">
        <v>7.0273000000000003</v>
      </c>
      <c r="DH26" s="644">
        <v>2.879</v>
      </c>
      <c r="DI26" s="640">
        <v>5.1035000000000004</v>
      </c>
    </row>
    <row r="27" spans="2:113" s="571" customFormat="1" ht="15.75" customHeight="1" x14ac:dyDescent="0.25">
      <c r="B27" s="618" t="s">
        <v>54</v>
      </c>
      <c r="C27" s="619">
        <v>1992.1451</v>
      </c>
      <c r="D27" s="619">
        <v>1475.1095</v>
      </c>
      <c r="E27" s="619">
        <v>1214.2403999999999</v>
      </c>
      <c r="F27" s="619">
        <v>1209.4237000000001</v>
      </c>
      <c r="G27" s="619">
        <v>1174.4051999999999</v>
      </c>
      <c r="H27" s="619">
        <v>1006.6625</v>
      </c>
      <c r="I27" s="619">
        <v>1195.8081999999999</v>
      </c>
      <c r="J27" s="619">
        <v>2268.1350000000002</v>
      </c>
      <c r="K27" s="619">
        <v>1121.9911999999999</v>
      </c>
      <c r="L27" s="619">
        <v>1408.7777000000001</v>
      </c>
      <c r="M27" s="637" t="s">
        <v>102</v>
      </c>
      <c r="N27" s="620">
        <v>1214.7231999999999</v>
      </c>
      <c r="O27" s="620">
        <v>1376.4329</v>
      </c>
      <c r="P27" s="621">
        <v>1276.8231000000001</v>
      </c>
      <c r="R27" s="618" t="s">
        <v>54</v>
      </c>
      <c r="S27" s="619">
        <v>1992.1451</v>
      </c>
      <c r="T27" s="619">
        <v>1470.6718000000001</v>
      </c>
      <c r="U27" s="619">
        <v>1214.2403999999999</v>
      </c>
      <c r="V27" s="619">
        <v>1209.0407</v>
      </c>
      <c r="W27" s="619">
        <v>1171.9445000000001</v>
      </c>
      <c r="X27" s="619">
        <v>1003.9596</v>
      </c>
      <c r="Y27" s="619">
        <v>1186.6342999999999</v>
      </c>
      <c r="Z27" s="619">
        <v>2268.1350000000002</v>
      </c>
      <c r="AA27" s="619">
        <v>1115.0372</v>
      </c>
      <c r="AB27" s="619">
        <v>1408.7777000000001</v>
      </c>
      <c r="AC27" s="637" t="s">
        <v>102</v>
      </c>
      <c r="AD27" s="620">
        <v>1211.6512</v>
      </c>
      <c r="AE27" s="620">
        <v>1373.8968</v>
      </c>
      <c r="AF27" s="621">
        <v>1273.9568999999999</v>
      </c>
      <c r="AG27" s="632"/>
      <c r="AH27" s="618" t="s">
        <v>54</v>
      </c>
      <c r="AI27" s="637">
        <v>46.085099999999997</v>
      </c>
      <c r="AJ27" s="637">
        <v>42.956600000000002</v>
      </c>
      <c r="AK27" s="637">
        <v>38.815199999999997</v>
      </c>
      <c r="AL27" s="637">
        <v>32.3354</v>
      </c>
      <c r="AM27" s="637">
        <v>30.5458</v>
      </c>
      <c r="AN27" s="637">
        <v>34.680799999999998</v>
      </c>
      <c r="AO27" s="637">
        <v>29.665600000000001</v>
      </c>
      <c r="AP27" s="637">
        <v>22.101500000000001</v>
      </c>
      <c r="AQ27" s="637">
        <v>20.340299999999999</v>
      </c>
      <c r="AR27" s="637">
        <v>15.973100000000001</v>
      </c>
      <c r="AS27" s="637" t="s">
        <v>102</v>
      </c>
      <c r="AT27" s="643">
        <v>33.515799999999999</v>
      </c>
      <c r="AU27" s="643">
        <v>18.1203</v>
      </c>
      <c r="AV27" s="638">
        <v>27.142399999999999</v>
      </c>
      <c r="AX27" s="618" t="s">
        <v>54</v>
      </c>
      <c r="AY27" s="637">
        <v>24.346900000000002</v>
      </c>
      <c r="AZ27" s="637">
        <v>36.664499999999997</v>
      </c>
      <c r="BA27" s="637">
        <v>43.999299999999998</v>
      </c>
      <c r="BB27" s="637">
        <v>48.330500000000001</v>
      </c>
      <c r="BC27" s="637">
        <v>48.416699999999999</v>
      </c>
      <c r="BD27" s="637">
        <v>51.464199999999998</v>
      </c>
      <c r="BE27" s="637">
        <v>54.067399999999999</v>
      </c>
      <c r="BF27" s="637">
        <v>62.572200000000002</v>
      </c>
      <c r="BG27" s="637">
        <v>66.861400000000003</v>
      </c>
      <c r="BH27" s="637">
        <v>69.860799999999998</v>
      </c>
      <c r="BI27" s="637" t="s">
        <v>102</v>
      </c>
      <c r="BJ27" s="643">
        <v>47.450200000000002</v>
      </c>
      <c r="BK27" s="643">
        <v>67.959400000000002</v>
      </c>
      <c r="BL27" s="638">
        <v>55.940600000000003</v>
      </c>
      <c r="BN27" s="618" t="s">
        <v>54</v>
      </c>
      <c r="BO27" s="637">
        <v>7.9966999999999997</v>
      </c>
      <c r="BP27" s="637">
        <v>5.9549000000000003</v>
      </c>
      <c r="BQ27" s="637">
        <v>7.0789999999999997</v>
      </c>
      <c r="BR27" s="637">
        <v>11.023400000000001</v>
      </c>
      <c r="BS27" s="637">
        <v>15.559200000000001</v>
      </c>
      <c r="BT27" s="637">
        <v>6.4447999999999999</v>
      </c>
      <c r="BU27" s="637">
        <v>12.946</v>
      </c>
      <c r="BV27" s="637">
        <v>10.505800000000001</v>
      </c>
      <c r="BW27" s="637">
        <v>8.2238000000000007</v>
      </c>
      <c r="BX27" s="637">
        <v>10.4277</v>
      </c>
      <c r="BY27" s="637" t="s">
        <v>102</v>
      </c>
      <c r="BZ27" s="643">
        <v>11.2408</v>
      </c>
      <c r="CA27" s="643">
        <v>9.7834000000000003</v>
      </c>
      <c r="CB27" s="638">
        <v>10.6374</v>
      </c>
      <c r="CE27" s="618" t="s">
        <v>54</v>
      </c>
      <c r="CF27" s="637">
        <v>2.0827</v>
      </c>
      <c r="CG27" s="637">
        <v>1.5505</v>
      </c>
      <c r="CH27" s="637">
        <v>1.9674</v>
      </c>
      <c r="CI27" s="637">
        <v>2.0539000000000001</v>
      </c>
      <c r="CJ27" s="637">
        <v>1.7611000000000001</v>
      </c>
      <c r="CK27" s="637">
        <v>2.9367000000000001</v>
      </c>
      <c r="CL27" s="637">
        <v>1.1488</v>
      </c>
      <c r="CM27" s="637">
        <v>2.7128000000000001</v>
      </c>
      <c r="CN27" s="637">
        <v>2.8149999999999999</v>
      </c>
      <c r="CO27" s="637">
        <v>2.3089</v>
      </c>
      <c r="CP27" s="637" t="s">
        <v>102</v>
      </c>
      <c r="CQ27" s="643">
        <v>1.8478000000000001</v>
      </c>
      <c r="CR27" s="643">
        <v>2.5152999999999999</v>
      </c>
      <c r="CS27" s="638">
        <v>2.1242000000000001</v>
      </c>
      <c r="CU27" s="618" t="s">
        <v>54</v>
      </c>
      <c r="CV27" s="637">
        <v>19.488700000000001</v>
      </c>
      <c r="CW27" s="637">
        <v>12.8736</v>
      </c>
      <c r="CX27" s="637">
        <v>8.1392000000000007</v>
      </c>
      <c r="CY27" s="637">
        <v>6.2568000000000001</v>
      </c>
      <c r="CZ27" s="637">
        <v>3.7172000000000001</v>
      </c>
      <c r="DA27" s="637">
        <v>4.4734999999999996</v>
      </c>
      <c r="DB27" s="637">
        <v>2.1722999999999999</v>
      </c>
      <c r="DC27" s="637">
        <v>2.1076000000000001</v>
      </c>
      <c r="DD27" s="637">
        <v>1.7595000000000001</v>
      </c>
      <c r="DE27" s="637">
        <v>1.4295</v>
      </c>
      <c r="DF27" s="637" t="s">
        <v>102</v>
      </c>
      <c r="DG27" s="643">
        <v>5.9454000000000002</v>
      </c>
      <c r="DH27" s="643">
        <v>1.6215999999999999</v>
      </c>
      <c r="DI27" s="638">
        <v>4.1554000000000002</v>
      </c>
    </row>
    <row r="28" spans="2:113" s="465" customFormat="1" ht="15.75" customHeight="1" x14ac:dyDescent="0.25">
      <c r="B28" s="622" t="s">
        <v>132</v>
      </c>
      <c r="C28" s="623">
        <v>903.64739999999995</v>
      </c>
      <c r="D28" s="623">
        <v>706.19479999999999</v>
      </c>
      <c r="E28" s="623">
        <v>616.24350000000004</v>
      </c>
      <c r="F28" s="623">
        <v>658.38220000000001</v>
      </c>
      <c r="G28" s="623">
        <v>772.64400000000001</v>
      </c>
      <c r="H28" s="623">
        <v>865.79190000000006</v>
      </c>
      <c r="I28" s="623">
        <v>975.32799999999997</v>
      </c>
      <c r="J28" s="623">
        <v>1013.2503</v>
      </c>
      <c r="K28" s="623">
        <v>1196.7493999999999</v>
      </c>
      <c r="L28" s="623">
        <v>1294.7737999999999</v>
      </c>
      <c r="M28" s="623">
        <v>1358.6093000000001</v>
      </c>
      <c r="N28" s="624">
        <v>759.86379999999997</v>
      </c>
      <c r="O28" s="624">
        <v>1206.491</v>
      </c>
      <c r="P28" s="609">
        <v>925.04359999999997</v>
      </c>
      <c r="R28" s="622" t="s">
        <v>132</v>
      </c>
      <c r="S28" s="623">
        <v>903.505</v>
      </c>
      <c r="T28" s="623">
        <v>706.10339999999997</v>
      </c>
      <c r="U28" s="623">
        <v>615.79020000000003</v>
      </c>
      <c r="V28" s="623">
        <v>657.75609999999995</v>
      </c>
      <c r="W28" s="623">
        <v>771.06309999999996</v>
      </c>
      <c r="X28" s="623">
        <v>861.87329999999997</v>
      </c>
      <c r="Y28" s="623">
        <v>972.55240000000003</v>
      </c>
      <c r="Z28" s="623">
        <v>1010.6552</v>
      </c>
      <c r="AA28" s="623">
        <v>1192.0352</v>
      </c>
      <c r="AB28" s="623">
        <v>1286.8875</v>
      </c>
      <c r="AC28" s="623">
        <v>1356.4360999999999</v>
      </c>
      <c r="AD28" s="624">
        <v>758.37909999999999</v>
      </c>
      <c r="AE28" s="624">
        <v>1203.2452000000001</v>
      </c>
      <c r="AF28" s="609">
        <v>922.90750000000003</v>
      </c>
      <c r="AG28" s="632"/>
      <c r="AH28" s="622" t="s">
        <v>132</v>
      </c>
      <c r="AI28" s="639">
        <v>42.585599999999999</v>
      </c>
      <c r="AJ28" s="639">
        <v>41.080800000000004</v>
      </c>
      <c r="AK28" s="639">
        <v>39.403300000000002</v>
      </c>
      <c r="AL28" s="639">
        <v>37.238500000000002</v>
      </c>
      <c r="AM28" s="639">
        <v>36.235300000000002</v>
      </c>
      <c r="AN28" s="639">
        <v>35.185899999999997</v>
      </c>
      <c r="AO28" s="639">
        <v>30.7029</v>
      </c>
      <c r="AP28" s="639">
        <v>27.538900000000002</v>
      </c>
      <c r="AQ28" s="639">
        <v>26.623899999999999</v>
      </c>
      <c r="AR28" s="639">
        <v>24.240400000000001</v>
      </c>
      <c r="AS28" s="639">
        <v>22.644200000000001</v>
      </c>
      <c r="AT28" s="644">
        <v>35.690199999999997</v>
      </c>
      <c r="AU28" s="644">
        <v>24.972300000000001</v>
      </c>
      <c r="AV28" s="640">
        <v>30.520199999999999</v>
      </c>
      <c r="AX28" s="622" t="s">
        <v>132</v>
      </c>
      <c r="AY28" s="639">
        <v>19.1464</v>
      </c>
      <c r="AZ28" s="639">
        <v>22.662299999999998</v>
      </c>
      <c r="BA28" s="639">
        <v>29.697900000000001</v>
      </c>
      <c r="BB28" s="639">
        <v>40.788699999999999</v>
      </c>
      <c r="BC28" s="639">
        <v>47.367199999999997</v>
      </c>
      <c r="BD28" s="639">
        <v>49.238799999999998</v>
      </c>
      <c r="BE28" s="639">
        <v>52.539900000000003</v>
      </c>
      <c r="BF28" s="639">
        <v>56.106400000000001</v>
      </c>
      <c r="BG28" s="639">
        <v>56.500799999999998</v>
      </c>
      <c r="BH28" s="639">
        <v>63.009900000000002</v>
      </c>
      <c r="BI28" s="639">
        <v>54.374899999999997</v>
      </c>
      <c r="BJ28" s="644">
        <v>43.551299999999998</v>
      </c>
      <c r="BK28" s="644">
        <v>55.907800000000002</v>
      </c>
      <c r="BL28" s="640">
        <v>49.511600000000001</v>
      </c>
      <c r="BN28" s="622" t="s">
        <v>132</v>
      </c>
      <c r="BO28" s="639">
        <v>11.330500000000001</v>
      </c>
      <c r="BP28" s="639">
        <v>14.0809</v>
      </c>
      <c r="BQ28" s="639">
        <v>14.7516</v>
      </c>
      <c r="BR28" s="639">
        <v>10.0222</v>
      </c>
      <c r="BS28" s="639">
        <v>8.2444000000000006</v>
      </c>
      <c r="BT28" s="639">
        <v>9.0023</v>
      </c>
      <c r="BU28" s="639">
        <v>10.754799999999999</v>
      </c>
      <c r="BV28" s="639">
        <v>10.9208</v>
      </c>
      <c r="BW28" s="639">
        <v>12.268700000000001</v>
      </c>
      <c r="BX28" s="639">
        <v>8.7413000000000007</v>
      </c>
      <c r="BY28" s="639">
        <v>18.096499999999999</v>
      </c>
      <c r="BZ28" s="644">
        <v>10.4442</v>
      </c>
      <c r="CA28" s="644">
        <v>14.208399999999999</v>
      </c>
      <c r="CB28" s="640">
        <v>12.2599</v>
      </c>
      <c r="CE28" s="622" t="s">
        <v>132</v>
      </c>
      <c r="CF28" s="639">
        <v>1.5111000000000001</v>
      </c>
      <c r="CG28" s="639">
        <v>1.8056000000000001</v>
      </c>
      <c r="CH28" s="639">
        <v>1.9466000000000001</v>
      </c>
      <c r="CI28" s="639">
        <v>1.9404999999999999</v>
      </c>
      <c r="CJ28" s="639">
        <v>2.0329999999999999</v>
      </c>
      <c r="CK28" s="639">
        <v>1.6301000000000001</v>
      </c>
      <c r="CL28" s="639">
        <v>1.8838999999999999</v>
      </c>
      <c r="CM28" s="639">
        <v>1.8879999999999999</v>
      </c>
      <c r="CN28" s="639">
        <v>2.3115000000000001</v>
      </c>
      <c r="CO28" s="639">
        <v>1.8342000000000001</v>
      </c>
      <c r="CP28" s="639">
        <v>2.3502999999999998</v>
      </c>
      <c r="CQ28" s="644">
        <v>1.8931</v>
      </c>
      <c r="CR28" s="644">
        <v>2.1812</v>
      </c>
      <c r="CS28" s="640">
        <v>2.032</v>
      </c>
      <c r="CU28" s="622" t="s">
        <v>132</v>
      </c>
      <c r="CV28" s="639">
        <v>25.426400000000001</v>
      </c>
      <c r="CW28" s="639">
        <v>20.3705</v>
      </c>
      <c r="CX28" s="639">
        <v>14.2006</v>
      </c>
      <c r="CY28" s="639">
        <v>10.010199999999999</v>
      </c>
      <c r="CZ28" s="639">
        <v>6.1201999999999996</v>
      </c>
      <c r="DA28" s="639">
        <v>4.9428999999999998</v>
      </c>
      <c r="DB28" s="639">
        <v>4.1184000000000003</v>
      </c>
      <c r="DC28" s="639">
        <v>3.5459000000000001</v>
      </c>
      <c r="DD28" s="639">
        <v>2.2951999999999999</v>
      </c>
      <c r="DE28" s="639">
        <v>2.1741999999999999</v>
      </c>
      <c r="DF28" s="639">
        <v>2.5339999999999998</v>
      </c>
      <c r="DG28" s="644">
        <v>8.4213000000000005</v>
      </c>
      <c r="DH28" s="644">
        <v>2.7303000000000002</v>
      </c>
      <c r="DI28" s="640">
        <v>5.6761999999999997</v>
      </c>
    </row>
    <row r="29" spans="2:113" s="571" customFormat="1" ht="15.75" customHeight="1" x14ac:dyDescent="0.25">
      <c r="B29" s="618" t="s">
        <v>766</v>
      </c>
      <c r="C29" s="619">
        <v>790.08150000000001</v>
      </c>
      <c r="D29" s="619">
        <v>649.42319999999995</v>
      </c>
      <c r="E29" s="619">
        <v>581.7876</v>
      </c>
      <c r="F29" s="619">
        <v>668.91089999999997</v>
      </c>
      <c r="G29" s="619">
        <v>847.94650000000001</v>
      </c>
      <c r="H29" s="619">
        <v>998.85199999999998</v>
      </c>
      <c r="I29" s="619">
        <v>1097.4873</v>
      </c>
      <c r="J29" s="619">
        <v>1240.5806</v>
      </c>
      <c r="K29" s="619">
        <v>1345.4403</v>
      </c>
      <c r="L29" s="619">
        <v>1427.66</v>
      </c>
      <c r="M29" s="619">
        <v>1380.385</v>
      </c>
      <c r="N29" s="620">
        <v>832.96789999999999</v>
      </c>
      <c r="O29" s="620">
        <v>1334.9358999999999</v>
      </c>
      <c r="P29" s="621">
        <v>1047.3145</v>
      </c>
      <c r="R29" s="618" t="s">
        <v>766</v>
      </c>
      <c r="S29" s="619">
        <v>790.08150000000001</v>
      </c>
      <c r="T29" s="619">
        <v>649.36260000000004</v>
      </c>
      <c r="U29" s="619">
        <v>581.63229999999999</v>
      </c>
      <c r="V29" s="619">
        <v>668.37919999999997</v>
      </c>
      <c r="W29" s="619">
        <v>846.39430000000004</v>
      </c>
      <c r="X29" s="619">
        <v>996.44100000000003</v>
      </c>
      <c r="Y29" s="619">
        <v>1094.5626999999999</v>
      </c>
      <c r="Z29" s="619">
        <v>1237.6531</v>
      </c>
      <c r="AA29" s="619">
        <v>1343.1844000000001</v>
      </c>
      <c r="AB29" s="619">
        <v>1422.4326000000001</v>
      </c>
      <c r="AC29" s="619">
        <v>1379.0518999999999</v>
      </c>
      <c r="AD29" s="620">
        <v>831.51610000000005</v>
      </c>
      <c r="AE29" s="620">
        <v>1332</v>
      </c>
      <c r="AF29" s="621">
        <v>1045.229</v>
      </c>
      <c r="AG29" s="632"/>
      <c r="AH29" s="618" t="s">
        <v>766</v>
      </c>
      <c r="AI29" s="637">
        <v>36.319000000000003</v>
      </c>
      <c r="AJ29" s="637">
        <v>37.190199999999997</v>
      </c>
      <c r="AK29" s="637">
        <v>36.637</v>
      </c>
      <c r="AL29" s="637">
        <v>36.1372</v>
      </c>
      <c r="AM29" s="637">
        <v>34.198599999999999</v>
      </c>
      <c r="AN29" s="637">
        <v>30.523700000000002</v>
      </c>
      <c r="AO29" s="637">
        <v>28.918199999999999</v>
      </c>
      <c r="AP29" s="637">
        <v>27.102799999999998</v>
      </c>
      <c r="AQ29" s="637">
        <v>23.740600000000001</v>
      </c>
      <c r="AR29" s="637">
        <v>21.062000000000001</v>
      </c>
      <c r="AS29" s="637">
        <v>21.570799999999998</v>
      </c>
      <c r="AT29" s="643">
        <v>32.764899999999997</v>
      </c>
      <c r="AU29" s="643">
        <v>23.7956</v>
      </c>
      <c r="AV29" s="638">
        <v>27.883099999999999</v>
      </c>
      <c r="AX29" s="618" t="s">
        <v>766</v>
      </c>
      <c r="AY29" s="637">
        <v>23.069099999999999</v>
      </c>
      <c r="AZ29" s="637">
        <v>25.718</v>
      </c>
      <c r="BA29" s="637">
        <v>32.546300000000002</v>
      </c>
      <c r="BB29" s="637">
        <v>44.136699999999998</v>
      </c>
      <c r="BC29" s="637">
        <v>51.8568</v>
      </c>
      <c r="BD29" s="637">
        <v>55.755000000000003</v>
      </c>
      <c r="BE29" s="637">
        <v>57.334000000000003</v>
      </c>
      <c r="BF29" s="637">
        <v>58.302799999999998</v>
      </c>
      <c r="BG29" s="637">
        <v>60.306399999999996</v>
      </c>
      <c r="BH29" s="637">
        <v>60.4071</v>
      </c>
      <c r="BI29" s="637">
        <v>64.026300000000006</v>
      </c>
      <c r="BJ29" s="643">
        <v>49.990600000000001</v>
      </c>
      <c r="BK29" s="643">
        <v>60.309399999999997</v>
      </c>
      <c r="BL29" s="638">
        <v>55.606900000000003</v>
      </c>
      <c r="BN29" s="618" t="s">
        <v>766</v>
      </c>
      <c r="BO29" s="637">
        <v>14.585000000000001</v>
      </c>
      <c r="BP29" s="637">
        <v>16.568000000000001</v>
      </c>
      <c r="BQ29" s="637">
        <v>16.922699999999999</v>
      </c>
      <c r="BR29" s="637">
        <v>9.6245999999999992</v>
      </c>
      <c r="BS29" s="637">
        <v>7.2596999999999996</v>
      </c>
      <c r="BT29" s="637">
        <v>8.1175999999999995</v>
      </c>
      <c r="BU29" s="637">
        <v>8.8749000000000002</v>
      </c>
      <c r="BV29" s="637">
        <v>10.4529</v>
      </c>
      <c r="BW29" s="637">
        <v>10.776400000000001</v>
      </c>
      <c r="BX29" s="637">
        <v>14.911799999999999</v>
      </c>
      <c r="BY29" s="637">
        <v>10.0054</v>
      </c>
      <c r="BZ29" s="643">
        <v>9.4688999999999997</v>
      </c>
      <c r="CA29" s="643">
        <v>11.470800000000001</v>
      </c>
      <c r="CB29" s="638">
        <v>10.5585</v>
      </c>
      <c r="CE29" s="618" t="s">
        <v>766</v>
      </c>
      <c r="CF29" s="637">
        <v>1.1175999999999999</v>
      </c>
      <c r="CG29" s="637">
        <v>1.4466000000000001</v>
      </c>
      <c r="CH29" s="637">
        <v>1.4570000000000001</v>
      </c>
      <c r="CI29" s="637">
        <v>1.6432</v>
      </c>
      <c r="CJ29" s="637">
        <v>1.7237</v>
      </c>
      <c r="CK29" s="637">
        <v>1.5949</v>
      </c>
      <c r="CL29" s="637">
        <v>1.6876</v>
      </c>
      <c r="CM29" s="637">
        <v>1.752</v>
      </c>
      <c r="CN29" s="637">
        <v>1.8244</v>
      </c>
      <c r="CO29" s="637">
        <v>1.8712</v>
      </c>
      <c r="CP29" s="637">
        <v>2.3369</v>
      </c>
      <c r="CQ29" s="643">
        <v>1.6440999999999999</v>
      </c>
      <c r="CR29" s="643">
        <v>1.8903000000000001</v>
      </c>
      <c r="CS29" s="638">
        <v>1.7781</v>
      </c>
      <c r="CU29" s="618" t="s">
        <v>766</v>
      </c>
      <c r="CV29" s="637">
        <v>24.909400000000002</v>
      </c>
      <c r="CW29" s="637">
        <v>19.077200000000001</v>
      </c>
      <c r="CX29" s="637">
        <v>12.436999999999999</v>
      </c>
      <c r="CY29" s="637">
        <v>8.4582999999999995</v>
      </c>
      <c r="CZ29" s="637">
        <v>4.9611999999999998</v>
      </c>
      <c r="DA29" s="637">
        <v>4.0087000000000002</v>
      </c>
      <c r="DB29" s="637">
        <v>3.1852</v>
      </c>
      <c r="DC29" s="637">
        <v>2.3896000000000002</v>
      </c>
      <c r="DD29" s="637">
        <v>3.3521000000000001</v>
      </c>
      <c r="DE29" s="637">
        <v>1.7478</v>
      </c>
      <c r="DF29" s="637">
        <v>2.0607000000000002</v>
      </c>
      <c r="DG29" s="643">
        <v>6.1315</v>
      </c>
      <c r="DH29" s="643">
        <v>2.5339</v>
      </c>
      <c r="DI29" s="638">
        <v>4.1734</v>
      </c>
    </row>
    <row r="30" spans="2:113" s="465" customFormat="1" ht="15.75" customHeight="1" x14ac:dyDescent="0.25">
      <c r="B30" s="622" t="s">
        <v>133</v>
      </c>
      <c r="C30" s="623">
        <v>801.47720000000004</v>
      </c>
      <c r="D30" s="623">
        <v>589.63109999999995</v>
      </c>
      <c r="E30" s="623">
        <v>544.94179999999994</v>
      </c>
      <c r="F30" s="623">
        <v>643.73050000000001</v>
      </c>
      <c r="G30" s="623">
        <v>852.95060000000001</v>
      </c>
      <c r="H30" s="623">
        <v>1156.1563000000001</v>
      </c>
      <c r="I30" s="623">
        <v>1243.9132999999999</v>
      </c>
      <c r="J30" s="623">
        <v>1373.3705</v>
      </c>
      <c r="K30" s="623">
        <v>1353.9122</v>
      </c>
      <c r="L30" s="623">
        <v>1781.6375</v>
      </c>
      <c r="M30" s="623">
        <v>1220.5386000000001</v>
      </c>
      <c r="N30" s="624">
        <v>823.89660000000003</v>
      </c>
      <c r="O30" s="624">
        <v>1343.9018000000001</v>
      </c>
      <c r="P30" s="609">
        <v>999.02120000000002</v>
      </c>
      <c r="R30" s="622" t="s">
        <v>133</v>
      </c>
      <c r="S30" s="623">
        <v>801.47720000000004</v>
      </c>
      <c r="T30" s="623">
        <v>589.63109999999995</v>
      </c>
      <c r="U30" s="623">
        <v>544.70609999999999</v>
      </c>
      <c r="V30" s="623">
        <v>643.06730000000005</v>
      </c>
      <c r="W30" s="623">
        <v>850.93489999999997</v>
      </c>
      <c r="X30" s="623">
        <v>1153.4235000000001</v>
      </c>
      <c r="Y30" s="623">
        <v>1239.7308</v>
      </c>
      <c r="Z30" s="623">
        <v>1370.0155999999999</v>
      </c>
      <c r="AA30" s="623">
        <v>1350.4091000000001</v>
      </c>
      <c r="AB30" s="623">
        <v>1776.9761000000001</v>
      </c>
      <c r="AC30" s="623">
        <v>1219.8008</v>
      </c>
      <c r="AD30" s="624">
        <v>822.26440000000002</v>
      </c>
      <c r="AE30" s="624">
        <v>1341.3149000000001</v>
      </c>
      <c r="AF30" s="609">
        <v>997.0675</v>
      </c>
      <c r="AG30" s="632"/>
      <c r="AH30" s="622" t="s">
        <v>133</v>
      </c>
      <c r="AI30" s="639">
        <v>34.4298</v>
      </c>
      <c r="AJ30" s="639">
        <v>34.732900000000001</v>
      </c>
      <c r="AK30" s="639">
        <v>34.427</v>
      </c>
      <c r="AL30" s="639">
        <v>33.535699999999999</v>
      </c>
      <c r="AM30" s="639">
        <v>32.205500000000001</v>
      </c>
      <c r="AN30" s="639">
        <v>30.212800000000001</v>
      </c>
      <c r="AO30" s="639">
        <v>26.654299999999999</v>
      </c>
      <c r="AP30" s="639">
        <v>25.870699999999999</v>
      </c>
      <c r="AQ30" s="639">
        <v>23.0852</v>
      </c>
      <c r="AR30" s="639">
        <v>23.798300000000001</v>
      </c>
      <c r="AS30" s="639">
        <v>19.949100000000001</v>
      </c>
      <c r="AT30" s="644">
        <v>31.1389</v>
      </c>
      <c r="AU30" s="644">
        <v>23.046099999999999</v>
      </c>
      <c r="AV30" s="640">
        <v>27.4726</v>
      </c>
      <c r="AX30" s="622" t="s">
        <v>133</v>
      </c>
      <c r="AY30" s="639">
        <v>27.543600000000001</v>
      </c>
      <c r="AZ30" s="639">
        <v>25.8064</v>
      </c>
      <c r="BA30" s="639">
        <v>30.287800000000001</v>
      </c>
      <c r="BB30" s="639">
        <v>43.957000000000001</v>
      </c>
      <c r="BC30" s="639">
        <v>50.999299999999998</v>
      </c>
      <c r="BD30" s="639">
        <v>52.908200000000001</v>
      </c>
      <c r="BE30" s="639">
        <v>56.909100000000002</v>
      </c>
      <c r="BF30" s="639">
        <v>57.779800000000002</v>
      </c>
      <c r="BG30" s="639">
        <v>60.997100000000003</v>
      </c>
      <c r="BH30" s="639">
        <v>62.768999999999998</v>
      </c>
      <c r="BI30" s="639">
        <v>57.869700000000002</v>
      </c>
      <c r="BJ30" s="644">
        <v>48.2517</v>
      </c>
      <c r="BK30" s="644">
        <v>59.173299999999998</v>
      </c>
      <c r="BL30" s="640">
        <v>53.199599999999997</v>
      </c>
      <c r="BN30" s="622" t="s">
        <v>133</v>
      </c>
      <c r="BO30" s="639">
        <v>9.9709000000000003</v>
      </c>
      <c r="BP30" s="639">
        <v>15.8971</v>
      </c>
      <c r="BQ30" s="639">
        <v>20.4177</v>
      </c>
      <c r="BR30" s="639">
        <v>11.9</v>
      </c>
      <c r="BS30" s="639">
        <v>9.2575000000000003</v>
      </c>
      <c r="BT30" s="639">
        <v>10.641999999999999</v>
      </c>
      <c r="BU30" s="639">
        <v>11.272</v>
      </c>
      <c r="BV30" s="639">
        <v>12.0054</v>
      </c>
      <c r="BW30" s="639">
        <v>11.3765</v>
      </c>
      <c r="BX30" s="639">
        <v>10.9392</v>
      </c>
      <c r="BY30" s="639">
        <v>16.535599999999999</v>
      </c>
      <c r="BZ30" s="644">
        <v>11.9108</v>
      </c>
      <c r="CA30" s="644">
        <v>13.146000000000001</v>
      </c>
      <c r="CB30" s="640">
        <v>12.4704</v>
      </c>
      <c r="CE30" s="622" t="s">
        <v>133</v>
      </c>
      <c r="CF30" s="639">
        <v>0.6784</v>
      </c>
      <c r="CG30" s="639">
        <v>1.0961000000000001</v>
      </c>
      <c r="CH30" s="639">
        <v>1.1034999999999999</v>
      </c>
      <c r="CI30" s="639">
        <v>1.4964</v>
      </c>
      <c r="CJ30" s="639">
        <v>1.5075000000000001</v>
      </c>
      <c r="CK30" s="639">
        <v>1.5718000000000001</v>
      </c>
      <c r="CL30" s="639">
        <v>1.5693999999999999</v>
      </c>
      <c r="CM30" s="639">
        <v>1.5153000000000001</v>
      </c>
      <c r="CN30" s="639">
        <v>2.1635</v>
      </c>
      <c r="CO30" s="639">
        <v>0.88370000000000004</v>
      </c>
      <c r="CP30" s="639">
        <v>2.3319999999999999</v>
      </c>
      <c r="CQ30" s="644">
        <v>1.4839</v>
      </c>
      <c r="CR30" s="644">
        <v>1.8938999999999999</v>
      </c>
      <c r="CS30" s="640">
        <v>1.6696</v>
      </c>
      <c r="CU30" s="622" t="s">
        <v>133</v>
      </c>
      <c r="CV30" s="639">
        <v>27.377300000000002</v>
      </c>
      <c r="CW30" s="639">
        <v>22.467600000000001</v>
      </c>
      <c r="CX30" s="639">
        <v>13.7639</v>
      </c>
      <c r="CY30" s="639">
        <v>9.1109000000000009</v>
      </c>
      <c r="CZ30" s="639">
        <v>6.0303000000000004</v>
      </c>
      <c r="DA30" s="639">
        <v>4.6651999999999996</v>
      </c>
      <c r="DB30" s="639">
        <v>3.5952000000000002</v>
      </c>
      <c r="DC30" s="639">
        <v>2.8288000000000002</v>
      </c>
      <c r="DD30" s="639">
        <v>2.3778000000000001</v>
      </c>
      <c r="DE30" s="639">
        <v>1.6097999999999999</v>
      </c>
      <c r="DF30" s="639">
        <v>3.3136000000000001</v>
      </c>
      <c r="DG30" s="644">
        <v>7.2146999999999997</v>
      </c>
      <c r="DH30" s="644">
        <v>2.7408000000000001</v>
      </c>
      <c r="DI30" s="640">
        <v>5.1878000000000002</v>
      </c>
    </row>
    <row r="31" spans="2:113" s="571" customFormat="1" ht="15.75" customHeight="1" x14ac:dyDescent="0.25">
      <c r="B31" s="618" t="s">
        <v>767</v>
      </c>
      <c r="C31" s="619">
        <v>1165.8803</v>
      </c>
      <c r="D31" s="619">
        <v>874.26520000000005</v>
      </c>
      <c r="E31" s="619">
        <v>731.61469999999997</v>
      </c>
      <c r="F31" s="619">
        <v>760.52239999999995</v>
      </c>
      <c r="G31" s="619">
        <v>854.09289999999999</v>
      </c>
      <c r="H31" s="619">
        <v>941.29819999999995</v>
      </c>
      <c r="I31" s="619">
        <v>1080.4757999999999</v>
      </c>
      <c r="J31" s="619">
        <v>1241.7230999999999</v>
      </c>
      <c r="K31" s="619">
        <v>1280.6333999999999</v>
      </c>
      <c r="L31" s="619">
        <v>1221.8895</v>
      </c>
      <c r="M31" s="619">
        <v>1330.5768</v>
      </c>
      <c r="N31" s="620">
        <v>863.32539999999995</v>
      </c>
      <c r="O31" s="620">
        <v>1267.3010999999999</v>
      </c>
      <c r="P31" s="621">
        <v>1006.8729</v>
      </c>
      <c r="R31" s="618" t="s">
        <v>767</v>
      </c>
      <c r="S31" s="619">
        <v>1165.4891</v>
      </c>
      <c r="T31" s="619">
        <v>873.67139999999995</v>
      </c>
      <c r="U31" s="619">
        <v>730.7654</v>
      </c>
      <c r="V31" s="619">
        <v>759.0702</v>
      </c>
      <c r="W31" s="619">
        <v>852.25519999999995</v>
      </c>
      <c r="X31" s="619">
        <v>936.33349999999996</v>
      </c>
      <c r="Y31" s="619">
        <v>1073.8101999999999</v>
      </c>
      <c r="Z31" s="619">
        <v>1232.6018999999999</v>
      </c>
      <c r="AA31" s="619">
        <v>1273.8810000000001</v>
      </c>
      <c r="AB31" s="619">
        <v>1218.8186000000001</v>
      </c>
      <c r="AC31" s="619">
        <v>1328.3708999999999</v>
      </c>
      <c r="AD31" s="620">
        <v>860.45169999999996</v>
      </c>
      <c r="AE31" s="620">
        <v>1261.6890000000001</v>
      </c>
      <c r="AF31" s="621">
        <v>1003.0262</v>
      </c>
      <c r="AG31" s="632"/>
      <c r="AH31" s="618" t="s">
        <v>767</v>
      </c>
      <c r="AI31" s="637">
        <v>38.664900000000003</v>
      </c>
      <c r="AJ31" s="637">
        <v>37.110599999999998</v>
      </c>
      <c r="AK31" s="637">
        <v>35.0413</v>
      </c>
      <c r="AL31" s="637">
        <v>33.573300000000003</v>
      </c>
      <c r="AM31" s="637">
        <v>32.796399999999998</v>
      </c>
      <c r="AN31" s="637">
        <v>31.195900000000002</v>
      </c>
      <c r="AO31" s="637">
        <v>28.548300000000001</v>
      </c>
      <c r="AP31" s="637">
        <v>24.511500000000002</v>
      </c>
      <c r="AQ31" s="637">
        <v>23.6175</v>
      </c>
      <c r="AR31" s="637">
        <v>21.6873</v>
      </c>
      <c r="AS31" s="637">
        <v>21.364899999999999</v>
      </c>
      <c r="AT31" s="643">
        <v>32.106299999999997</v>
      </c>
      <c r="AU31" s="643">
        <v>22.957000000000001</v>
      </c>
      <c r="AV31" s="638">
        <v>28.014299999999999</v>
      </c>
      <c r="AX31" s="618" t="s">
        <v>767</v>
      </c>
      <c r="AY31" s="637">
        <v>25.7377</v>
      </c>
      <c r="AZ31" s="637">
        <v>31.759799999999998</v>
      </c>
      <c r="BA31" s="637">
        <v>38.103000000000002</v>
      </c>
      <c r="BB31" s="637">
        <v>46.714500000000001</v>
      </c>
      <c r="BC31" s="637">
        <v>52.504899999999999</v>
      </c>
      <c r="BD31" s="637">
        <v>55.228200000000001</v>
      </c>
      <c r="BE31" s="637">
        <v>57.725700000000003</v>
      </c>
      <c r="BF31" s="637">
        <v>60.360199999999999</v>
      </c>
      <c r="BG31" s="637">
        <v>59.236499999999999</v>
      </c>
      <c r="BH31" s="637">
        <v>57.018999999999998</v>
      </c>
      <c r="BI31" s="637">
        <v>53.788899999999998</v>
      </c>
      <c r="BJ31" s="643">
        <v>50.276299999999999</v>
      </c>
      <c r="BK31" s="643">
        <v>57.958399999999997</v>
      </c>
      <c r="BL31" s="638">
        <v>53.7121</v>
      </c>
      <c r="BN31" s="618" t="s">
        <v>767</v>
      </c>
      <c r="BO31" s="637">
        <v>13.325799999999999</v>
      </c>
      <c r="BP31" s="637">
        <v>12.8979</v>
      </c>
      <c r="BQ31" s="637">
        <v>14.2828</v>
      </c>
      <c r="BR31" s="637">
        <v>9.8542000000000005</v>
      </c>
      <c r="BS31" s="637">
        <v>7.3548</v>
      </c>
      <c r="BT31" s="637">
        <v>6.7496999999999998</v>
      </c>
      <c r="BU31" s="637">
        <v>8.6068999999999996</v>
      </c>
      <c r="BV31" s="637">
        <v>10.635400000000001</v>
      </c>
      <c r="BW31" s="637">
        <v>12.8858</v>
      </c>
      <c r="BX31" s="637">
        <v>17.166799999999999</v>
      </c>
      <c r="BY31" s="637">
        <v>20.621500000000001</v>
      </c>
      <c r="BZ31" s="643">
        <v>9.2563999999999993</v>
      </c>
      <c r="CA31" s="643">
        <v>14.809799999999999</v>
      </c>
      <c r="CB31" s="638">
        <v>11.7401</v>
      </c>
      <c r="CE31" s="618" t="s">
        <v>767</v>
      </c>
      <c r="CF31" s="637">
        <v>1.2441</v>
      </c>
      <c r="CG31" s="637">
        <v>1.3315999999999999</v>
      </c>
      <c r="CH31" s="637">
        <v>1.4545999999999999</v>
      </c>
      <c r="CI31" s="637">
        <v>1.6032</v>
      </c>
      <c r="CJ31" s="637">
        <v>1.9094</v>
      </c>
      <c r="CK31" s="637">
        <v>1.8613999999999999</v>
      </c>
      <c r="CL31" s="637">
        <v>1.7901</v>
      </c>
      <c r="CM31" s="637">
        <v>1.7865</v>
      </c>
      <c r="CN31" s="637">
        <v>2.1147</v>
      </c>
      <c r="CO31" s="637">
        <v>1.8971</v>
      </c>
      <c r="CP31" s="637">
        <v>1.8125</v>
      </c>
      <c r="CQ31" s="643">
        <v>1.7118</v>
      </c>
      <c r="CR31" s="643">
        <v>1.9369000000000001</v>
      </c>
      <c r="CS31" s="638">
        <v>1.8125</v>
      </c>
      <c r="CU31" s="618" t="s">
        <v>767</v>
      </c>
      <c r="CV31" s="637">
        <v>21.0275</v>
      </c>
      <c r="CW31" s="637">
        <v>16.900099999999998</v>
      </c>
      <c r="CX31" s="637">
        <v>11.118399999999999</v>
      </c>
      <c r="CY31" s="637">
        <v>8.2548999999999992</v>
      </c>
      <c r="CZ31" s="637">
        <v>5.4344000000000001</v>
      </c>
      <c r="DA31" s="637">
        <v>4.9649000000000001</v>
      </c>
      <c r="DB31" s="637">
        <v>3.3290999999999999</v>
      </c>
      <c r="DC31" s="637">
        <v>2.7063999999999999</v>
      </c>
      <c r="DD31" s="637">
        <v>2.1455000000000002</v>
      </c>
      <c r="DE31" s="637">
        <v>2.2298</v>
      </c>
      <c r="DF31" s="637">
        <v>2.4121999999999999</v>
      </c>
      <c r="DG31" s="643">
        <v>6.6493000000000002</v>
      </c>
      <c r="DH31" s="643">
        <v>2.3378999999999999</v>
      </c>
      <c r="DI31" s="638">
        <v>4.7210000000000001</v>
      </c>
    </row>
    <row r="32" spans="2:113" s="465" customFormat="1" ht="15.75" customHeight="1" x14ac:dyDescent="0.25">
      <c r="B32" s="622" t="s">
        <v>134</v>
      </c>
      <c r="C32" s="623">
        <v>1267.5636999999999</v>
      </c>
      <c r="D32" s="623">
        <v>934.56799999999998</v>
      </c>
      <c r="E32" s="623">
        <v>788.87459999999999</v>
      </c>
      <c r="F32" s="623">
        <v>838.24659999999994</v>
      </c>
      <c r="G32" s="623">
        <v>837.09939999999995</v>
      </c>
      <c r="H32" s="623">
        <v>941.78890000000001</v>
      </c>
      <c r="I32" s="623">
        <v>1139.9079999999999</v>
      </c>
      <c r="J32" s="623">
        <v>1200.6186</v>
      </c>
      <c r="K32" s="623">
        <v>1386.0216</v>
      </c>
      <c r="L32" s="623">
        <v>1259.7571</v>
      </c>
      <c r="M32" s="623">
        <v>1229.9159</v>
      </c>
      <c r="N32" s="624">
        <v>929.38139999999999</v>
      </c>
      <c r="O32" s="624">
        <v>1262.2330999999999</v>
      </c>
      <c r="P32" s="609">
        <v>1066.5897</v>
      </c>
      <c r="R32" s="622" t="s">
        <v>134</v>
      </c>
      <c r="S32" s="623">
        <v>1264.9799</v>
      </c>
      <c r="T32" s="623">
        <v>934.05939999999998</v>
      </c>
      <c r="U32" s="623">
        <v>788.18309999999997</v>
      </c>
      <c r="V32" s="623">
        <v>835.93489999999997</v>
      </c>
      <c r="W32" s="623">
        <v>832.83989999999994</v>
      </c>
      <c r="X32" s="623">
        <v>936.42449999999997</v>
      </c>
      <c r="Y32" s="623">
        <v>1134.1362999999999</v>
      </c>
      <c r="Z32" s="623">
        <v>1194.0450000000001</v>
      </c>
      <c r="AA32" s="623">
        <v>1381.0481</v>
      </c>
      <c r="AB32" s="623">
        <v>1259.2716</v>
      </c>
      <c r="AC32" s="623">
        <v>1227.9516000000001</v>
      </c>
      <c r="AD32" s="624">
        <v>925.72119999999995</v>
      </c>
      <c r="AE32" s="624">
        <v>1258.6185</v>
      </c>
      <c r="AF32" s="609">
        <v>1062.9483</v>
      </c>
      <c r="AG32" s="632"/>
      <c r="AH32" s="622" t="s">
        <v>134</v>
      </c>
      <c r="AI32" s="639">
        <v>36.9499</v>
      </c>
      <c r="AJ32" s="639">
        <v>35.776800000000001</v>
      </c>
      <c r="AK32" s="639">
        <v>33.846400000000003</v>
      </c>
      <c r="AL32" s="639">
        <v>32.614600000000003</v>
      </c>
      <c r="AM32" s="639">
        <v>31.415400000000002</v>
      </c>
      <c r="AN32" s="639">
        <v>29.527000000000001</v>
      </c>
      <c r="AO32" s="639">
        <v>28.380600000000001</v>
      </c>
      <c r="AP32" s="639">
        <v>25.347100000000001</v>
      </c>
      <c r="AQ32" s="639">
        <v>24.335100000000001</v>
      </c>
      <c r="AR32" s="639">
        <v>24.7455</v>
      </c>
      <c r="AS32" s="639">
        <v>24.258400000000002</v>
      </c>
      <c r="AT32" s="644">
        <v>31.041499999999999</v>
      </c>
      <c r="AU32" s="644">
        <v>24.573499999999999</v>
      </c>
      <c r="AV32" s="640">
        <v>27.886199999999999</v>
      </c>
      <c r="AX32" s="622" t="s">
        <v>134</v>
      </c>
      <c r="AY32" s="639">
        <v>25.78</v>
      </c>
      <c r="AZ32" s="639">
        <v>30.376000000000001</v>
      </c>
      <c r="BA32" s="639">
        <v>36.931399999999996</v>
      </c>
      <c r="BB32" s="639">
        <v>46.658700000000003</v>
      </c>
      <c r="BC32" s="639">
        <v>52.432299999999998</v>
      </c>
      <c r="BD32" s="639">
        <v>55.610399999999998</v>
      </c>
      <c r="BE32" s="639">
        <v>57.030799999999999</v>
      </c>
      <c r="BF32" s="639">
        <v>58.946899999999999</v>
      </c>
      <c r="BG32" s="639">
        <v>58.729799999999997</v>
      </c>
      <c r="BH32" s="639">
        <v>57.177500000000002</v>
      </c>
      <c r="BI32" s="639">
        <v>60.266599999999997</v>
      </c>
      <c r="BJ32" s="644">
        <v>50.064</v>
      </c>
      <c r="BK32" s="644">
        <v>59.266100000000002</v>
      </c>
      <c r="BL32" s="640">
        <v>54.553100000000001</v>
      </c>
      <c r="BN32" s="622" t="s">
        <v>134</v>
      </c>
      <c r="BO32" s="639">
        <v>14.2475</v>
      </c>
      <c r="BP32" s="639">
        <v>15.8515</v>
      </c>
      <c r="BQ32" s="639">
        <v>16.034500000000001</v>
      </c>
      <c r="BR32" s="639">
        <v>10.6128</v>
      </c>
      <c r="BS32" s="639">
        <v>8.5253999999999994</v>
      </c>
      <c r="BT32" s="639">
        <v>8.2681000000000004</v>
      </c>
      <c r="BU32" s="639">
        <v>8.9713999999999992</v>
      </c>
      <c r="BV32" s="639">
        <v>10.6273</v>
      </c>
      <c r="BW32" s="639">
        <v>11.9544</v>
      </c>
      <c r="BX32" s="639">
        <v>13.040900000000001</v>
      </c>
      <c r="BY32" s="639">
        <v>11.270799999999999</v>
      </c>
      <c r="BZ32" s="644">
        <v>10.2166</v>
      </c>
      <c r="CA32" s="644">
        <v>11.4765</v>
      </c>
      <c r="CB32" s="640">
        <v>10.831200000000001</v>
      </c>
      <c r="CE32" s="622" t="s">
        <v>134</v>
      </c>
      <c r="CF32" s="639">
        <v>1.5694999999999999</v>
      </c>
      <c r="CG32" s="639">
        <v>1.7156</v>
      </c>
      <c r="CH32" s="639">
        <v>1.8841000000000001</v>
      </c>
      <c r="CI32" s="639">
        <v>2.2631000000000001</v>
      </c>
      <c r="CJ32" s="639">
        <v>2.1825000000000001</v>
      </c>
      <c r="CK32" s="639">
        <v>2.3961999999999999</v>
      </c>
      <c r="CL32" s="639">
        <v>2.2656000000000001</v>
      </c>
      <c r="CM32" s="639">
        <v>1.9937</v>
      </c>
      <c r="CN32" s="639">
        <v>2.1061999999999999</v>
      </c>
      <c r="CO32" s="639">
        <v>2.7464</v>
      </c>
      <c r="CP32" s="639">
        <v>2.1556999999999999</v>
      </c>
      <c r="CQ32" s="644">
        <v>2.2033</v>
      </c>
      <c r="CR32" s="644">
        <v>2.1654</v>
      </c>
      <c r="CS32" s="640">
        <v>2.1848000000000001</v>
      </c>
      <c r="CU32" s="622" t="s">
        <v>134</v>
      </c>
      <c r="CV32" s="639">
        <v>21.453099999999999</v>
      </c>
      <c r="CW32" s="639">
        <v>16.280100000000001</v>
      </c>
      <c r="CX32" s="639">
        <v>11.303599999999999</v>
      </c>
      <c r="CY32" s="639">
        <v>7.8509000000000002</v>
      </c>
      <c r="CZ32" s="639">
        <v>5.4443999999999999</v>
      </c>
      <c r="DA32" s="639">
        <v>4.1982999999999997</v>
      </c>
      <c r="DB32" s="639">
        <v>3.3515999999999999</v>
      </c>
      <c r="DC32" s="639">
        <v>3.085</v>
      </c>
      <c r="DD32" s="639">
        <v>2.8746</v>
      </c>
      <c r="DE32" s="639">
        <v>2.2896999999999998</v>
      </c>
      <c r="DF32" s="639">
        <v>2.0485000000000002</v>
      </c>
      <c r="DG32" s="644">
        <v>6.4745999999999997</v>
      </c>
      <c r="DH32" s="644">
        <v>2.5186000000000002</v>
      </c>
      <c r="DI32" s="640">
        <v>4.5446999999999997</v>
      </c>
    </row>
    <row r="33" spans="2:113" s="571" customFormat="1" ht="15.75" customHeight="1" x14ac:dyDescent="0.25">
      <c r="B33" s="618" t="s">
        <v>63</v>
      </c>
      <c r="C33" s="619">
        <v>931.36379999999997</v>
      </c>
      <c r="D33" s="619">
        <v>733.4203</v>
      </c>
      <c r="E33" s="619">
        <v>675.952</v>
      </c>
      <c r="F33" s="619">
        <v>672.1318</v>
      </c>
      <c r="G33" s="619">
        <v>799.83569999999997</v>
      </c>
      <c r="H33" s="619">
        <v>881.39059999999995</v>
      </c>
      <c r="I33" s="619">
        <v>968.80949999999996</v>
      </c>
      <c r="J33" s="619">
        <v>1111.2801999999999</v>
      </c>
      <c r="K33" s="619">
        <v>1055.5572999999999</v>
      </c>
      <c r="L33" s="619">
        <v>1198.4069999999999</v>
      </c>
      <c r="M33" s="619">
        <v>1332.0479</v>
      </c>
      <c r="N33" s="620">
        <v>826.55849999999998</v>
      </c>
      <c r="O33" s="620">
        <v>1191.289</v>
      </c>
      <c r="P33" s="621">
        <v>991.87180000000001</v>
      </c>
      <c r="R33" s="618" t="s">
        <v>63</v>
      </c>
      <c r="S33" s="619">
        <v>931.36379999999997</v>
      </c>
      <c r="T33" s="619">
        <v>733.13729999999998</v>
      </c>
      <c r="U33" s="619">
        <v>675.69579999999996</v>
      </c>
      <c r="V33" s="619">
        <v>671.20640000000003</v>
      </c>
      <c r="W33" s="619">
        <v>797.77279999999996</v>
      </c>
      <c r="X33" s="619">
        <v>879.25819999999999</v>
      </c>
      <c r="Y33" s="619">
        <v>964.21579999999994</v>
      </c>
      <c r="Z33" s="619">
        <v>1107.5042000000001</v>
      </c>
      <c r="AA33" s="619">
        <v>1052.2431999999999</v>
      </c>
      <c r="AB33" s="619">
        <v>1197.9668999999999</v>
      </c>
      <c r="AC33" s="619">
        <v>1331.4958999999999</v>
      </c>
      <c r="AD33" s="620">
        <v>824.06960000000004</v>
      </c>
      <c r="AE33" s="620">
        <v>1189.307</v>
      </c>
      <c r="AF33" s="621">
        <v>989.61260000000004</v>
      </c>
      <c r="AG33" s="632"/>
      <c r="AH33" s="618" t="s">
        <v>63</v>
      </c>
      <c r="AI33" s="637">
        <v>41.980600000000003</v>
      </c>
      <c r="AJ33" s="637">
        <v>34.112699999999997</v>
      </c>
      <c r="AK33" s="637">
        <v>33.543999999999997</v>
      </c>
      <c r="AL33" s="637">
        <v>34.3874</v>
      </c>
      <c r="AM33" s="637">
        <v>32.812399999999997</v>
      </c>
      <c r="AN33" s="637">
        <v>31.648299999999999</v>
      </c>
      <c r="AO33" s="637">
        <v>29.3049</v>
      </c>
      <c r="AP33" s="637">
        <v>28.242699999999999</v>
      </c>
      <c r="AQ33" s="637">
        <v>23.460999999999999</v>
      </c>
      <c r="AR33" s="637">
        <v>25.252099999999999</v>
      </c>
      <c r="AS33" s="637">
        <v>21.0962</v>
      </c>
      <c r="AT33" s="643">
        <v>31.714500000000001</v>
      </c>
      <c r="AU33" s="643">
        <v>23.9438</v>
      </c>
      <c r="AV33" s="638">
        <v>27.484300000000001</v>
      </c>
      <c r="AX33" s="618" t="s">
        <v>63</v>
      </c>
      <c r="AY33" s="637">
        <v>22.119599999999998</v>
      </c>
      <c r="AZ33" s="637">
        <v>31.8553</v>
      </c>
      <c r="BA33" s="637">
        <v>39.291200000000003</v>
      </c>
      <c r="BB33" s="637">
        <v>45.373199999999997</v>
      </c>
      <c r="BC33" s="637">
        <v>50.8553</v>
      </c>
      <c r="BD33" s="637">
        <v>52.512700000000002</v>
      </c>
      <c r="BE33" s="637">
        <v>55.427</v>
      </c>
      <c r="BF33" s="637">
        <v>56.010800000000003</v>
      </c>
      <c r="BG33" s="637">
        <v>59.677300000000002</v>
      </c>
      <c r="BH33" s="637">
        <v>58.127499999999998</v>
      </c>
      <c r="BI33" s="637">
        <v>55.427799999999998</v>
      </c>
      <c r="BJ33" s="643">
        <v>51.208100000000002</v>
      </c>
      <c r="BK33" s="643">
        <v>56.865099999999998</v>
      </c>
      <c r="BL33" s="638">
        <v>54.287599999999998</v>
      </c>
      <c r="BN33" s="618" t="s">
        <v>63</v>
      </c>
      <c r="BO33" s="637">
        <v>10.007899999999999</v>
      </c>
      <c r="BP33" s="637">
        <v>12.868</v>
      </c>
      <c r="BQ33" s="637">
        <v>13.8088</v>
      </c>
      <c r="BR33" s="637">
        <v>9.6768000000000001</v>
      </c>
      <c r="BS33" s="637">
        <v>8.9364000000000008</v>
      </c>
      <c r="BT33" s="637">
        <v>9.7296999999999993</v>
      </c>
      <c r="BU33" s="637">
        <v>9.5385000000000009</v>
      </c>
      <c r="BV33" s="637">
        <v>10.610799999999999</v>
      </c>
      <c r="BW33" s="637">
        <v>13.1835</v>
      </c>
      <c r="BX33" s="637">
        <v>11.757</v>
      </c>
      <c r="BY33" s="637">
        <v>20.458200000000001</v>
      </c>
      <c r="BZ33" s="643">
        <v>9.5942000000000007</v>
      </c>
      <c r="CA33" s="643">
        <v>15.237500000000001</v>
      </c>
      <c r="CB33" s="638">
        <v>12.6663</v>
      </c>
      <c r="CE33" s="618" t="s">
        <v>63</v>
      </c>
      <c r="CF33" s="637">
        <v>0.55420000000000003</v>
      </c>
      <c r="CG33" s="637">
        <v>1.0849</v>
      </c>
      <c r="CH33" s="637">
        <v>1.6056999999999999</v>
      </c>
      <c r="CI33" s="637">
        <v>1.8744000000000001</v>
      </c>
      <c r="CJ33" s="637">
        <v>2.0497000000000001</v>
      </c>
      <c r="CK33" s="637">
        <v>1.5216000000000001</v>
      </c>
      <c r="CL33" s="637">
        <v>1.9503999999999999</v>
      </c>
      <c r="CM33" s="637">
        <v>1.7407999999999999</v>
      </c>
      <c r="CN33" s="637">
        <v>1.2909999999999999</v>
      </c>
      <c r="CO33" s="637">
        <v>2.5202</v>
      </c>
      <c r="CP33" s="637">
        <v>1.66</v>
      </c>
      <c r="CQ33" s="643">
        <v>1.8741000000000001</v>
      </c>
      <c r="CR33" s="643">
        <v>1.7448999999999999</v>
      </c>
      <c r="CS33" s="638">
        <v>1.8038000000000001</v>
      </c>
      <c r="CU33" s="618" t="s">
        <v>63</v>
      </c>
      <c r="CV33" s="637">
        <v>25.337800000000001</v>
      </c>
      <c r="CW33" s="637">
        <v>20.0792</v>
      </c>
      <c r="CX33" s="637">
        <v>11.750400000000001</v>
      </c>
      <c r="CY33" s="637">
        <v>8.6882000000000001</v>
      </c>
      <c r="CZ33" s="637">
        <v>5.3461999999999996</v>
      </c>
      <c r="DA33" s="637">
        <v>4.5877999999999997</v>
      </c>
      <c r="DB33" s="637">
        <v>3.7791999999999999</v>
      </c>
      <c r="DC33" s="637">
        <v>3.3948999999999998</v>
      </c>
      <c r="DD33" s="637">
        <v>2.3872</v>
      </c>
      <c r="DE33" s="637">
        <v>2.3433000000000002</v>
      </c>
      <c r="DF33" s="637">
        <v>1.3576999999999999</v>
      </c>
      <c r="DG33" s="643">
        <v>5.6090999999999998</v>
      </c>
      <c r="DH33" s="643">
        <v>2.2088000000000001</v>
      </c>
      <c r="DI33" s="638">
        <v>3.758</v>
      </c>
    </row>
    <row r="34" spans="2:113" s="465" customFormat="1" ht="15.75" customHeight="1" x14ac:dyDescent="0.25">
      <c r="B34" s="622" t="s">
        <v>93</v>
      </c>
      <c r="C34" s="623">
        <v>1630.1098999999999</v>
      </c>
      <c r="D34" s="623">
        <v>1606.6967</v>
      </c>
      <c r="E34" s="623">
        <v>1525.8144</v>
      </c>
      <c r="F34" s="623">
        <v>1366.8742</v>
      </c>
      <c r="G34" s="623">
        <v>1128.1172999999999</v>
      </c>
      <c r="H34" s="623">
        <v>1201.8847000000001</v>
      </c>
      <c r="I34" s="623">
        <v>1236.5506</v>
      </c>
      <c r="J34" s="623">
        <v>1440.3849</v>
      </c>
      <c r="K34" s="623">
        <v>1552.4902</v>
      </c>
      <c r="L34" s="623">
        <v>1719.1231</v>
      </c>
      <c r="M34" s="623">
        <v>1416.5063</v>
      </c>
      <c r="N34" s="624">
        <v>1252.7746</v>
      </c>
      <c r="O34" s="624">
        <v>1498.1094000000001</v>
      </c>
      <c r="P34" s="609">
        <v>1430.1347000000001</v>
      </c>
      <c r="R34" s="622" t="s">
        <v>93</v>
      </c>
      <c r="S34" s="623">
        <v>1630.1098999999999</v>
      </c>
      <c r="T34" s="623">
        <v>1606.2228</v>
      </c>
      <c r="U34" s="623">
        <v>1524.2659000000001</v>
      </c>
      <c r="V34" s="623">
        <v>1365.4589000000001</v>
      </c>
      <c r="W34" s="623">
        <v>1123.8766000000001</v>
      </c>
      <c r="X34" s="623">
        <v>1195.1045999999999</v>
      </c>
      <c r="Y34" s="623">
        <v>1231.3262999999999</v>
      </c>
      <c r="Z34" s="623">
        <v>1435.9069999999999</v>
      </c>
      <c r="AA34" s="623">
        <v>1549.9051999999999</v>
      </c>
      <c r="AB34" s="623">
        <v>1718.2954999999999</v>
      </c>
      <c r="AC34" s="623">
        <v>1416.5063</v>
      </c>
      <c r="AD34" s="624">
        <v>1248.3585</v>
      </c>
      <c r="AE34" s="624">
        <v>1496.4880000000001</v>
      </c>
      <c r="AF34" s="609">
        <v>1427.739</v>
      </c>
      <c r="AG34" s="632"/>
      <c r="AH34" s="622" t="s">
        <v>93</v>
      </c>
      <c r="AI34" s="639">
        <v>38.807400000000001</v>
      </c>
      <c r="AJ34" s="639">
        <v>39.434199999999997</v>
      </c>
      <c r="AK34" s="639">
        <v>37.749000000000002</v>
      </c>
      <c r="AL34" s="639">
        <v>34.795000000000002</v>
      </c>
      <c r="AM34" s="639">
        <v>31.112300000000001</v>
      </c>
      <c r="AN34" s="639">
        <v>30.362100000000002</v>
      </c>
      <c r="AO34" s="639">
        <v>27.969000000000001</v>
      </c>
      <c r="AP34" s="639">
        <v>25.416699999999999</v>
      </c>
      <c r="AQ34" s="639">
        <v>23.883800000000001</v>
      </c>
      <c r="AR34" s="639">
        <v>20.107399999999998</v>
      </c>
      <c r="AS34" s="639">
        <v>22.086600000000001</v>
      </c>
      <c r="AT34" s="644">
        <v>30.870999999999999</v>
      </c>
      <c r="AU34" s="644">
        <v>22.850999999999999</v>
      </c>
      <c r="AV34" s="640">
        <v>24.797499999999999</v>
      </c>
      <c r="AX34" s="622" t="s">
        <v>93</v>
      </c>
      <c r="AY34" s="639">
        <v>30.752800000000001</v>
      </c>
      <c r="AZ34" s="639">
        <v>35.431699999999999</v>
      </c>
      <c r="BA34" s="639">
        <v>39.673000000000002</v>
      </c>
      <c r="BB34" s="639">
        <v>45.904899999999998</v>
      </c>
      <c r="BC34" s="639">
        <v>54.7928</v>
      </c>
      <c r="BD34" s="639">
        <v>55.145099999999999</v>
      </c>
      <c r="BE34" s="639">
        <v>58.427300000000002</v>
      </c>
      <c r="BF34" s="639">
        <v>59.773499999999999</v>
      </c>
      <c r="BG34" s="639">
        <v>61.011099999999999</v>
      </c>
      <c r="BH34" s="639">
        <v>59.441200000000002</v>
      </c>
      <c r="BI34" s="639">
        <v>58.637500000000003</v>
      </c>
      <c r="BJ34" s="644">
        <v>53.505400000000002</v>
      </c>
      <c r="BK34" s="644">
        <v>59.603900000000003</v>
      </c>
      <c r="BL34" s="640">
        <v>58.123699999999999</v>
      </c>
      <c r="BN34" s="622" t="s">
        <v>93</v>
      </c>
      <c r="BO34" s="639">
        <v>8.8249999999999993</v>
      </c>
      <c r="BP34" s="639">
        <v>8.2187000000000001</v>
      </c>
      <c r="BQ34" s="639">
        <v>10.8979</v>
      </c>
      <c r="BR34" s="639">
        <v>10.0678</v>
      </c>
      <c r="BS34" s="639">
        <v>7.3341000000000003</v>
      </c>
      <c r="BT34" s="639">
        <v>8.8522999999999996</v>
      </c>
      <c r="BU34" s="639">
        <v>8.7424999999999997</v>
      </c>
      <c r="BV34" s="639">
        <v>10.591799999999999</v>
      </c>
      <c r="BW34" s="639">
        <v>10.355600000000001</v>
      </c>
      <c r="BX34" s="639">
        <v>14.066000000000001</v>
      </c>
      <c r="BY34" s="639">
        <v>12.8796</v>
      </c>
      <c r="BZ34" s="644">
        <v>8.9041999999999994</v>
      </c>
      <c r="CA34" s="644">
        <v>11.983000000000001</v>
      </c>
      <c r="CB34" s="640">
        <v>11.235799999999999</v>
      </c>
      <c r="CE34" s="622" t="s">
        <v>93</v>
      </c>
      <c r="CF34" s="639">
        <v>1.3657999999999999</v>
      </c>
      <c r="CG34" s="639">
        <v>2.2959000000000001</v>
      </c>
      <c r="CH34" s="639">
        <v>1.5745</v>
      </c>
      <c r="CI34" s="639">
        <v>2.0901999999999998</v>
      </c>
      <c r="CJ34" s="639">
        <v>1.6589</v>
      </c>
      <c r="CK34" s="639">
        <v>1.8041</v>
      </c>
      <c r="CL34" s="639">
        <v>1.5711999999999999</v>
      </c>
      <c r="CM34" s="639">
        <v>1.7726999999999999</v>
      </c>
      <c r="CN34" s="639">
        <v>2.2751000000000001</v>
      </c>
      <c r="CO34" s="639">
        <v>3.2707999999999999</v>
      </c>
      <c r="CP34" s="639">
        <v>2.4626999999999999</v>
      </c>
      <c r="CQ34" s="644">
        <v>1.7349000000000001</v>
      </c>
      <c r="CR34" s="644">
        <v>2.4171999999999998</v>
      </c>
      <c r="CS34" s="640">
        <v>2.2515999999999998</v>
      </c>
      <c r="CU34" s="622" t="s">
        <v>93</v>
      </c>
      <c r="CV34" s="639">
        <v>20.248999999999999</v>
      </c>
      <c r="CW34" s="639">
        <v>14.6195</v>
      </c>
      <c r="CX34" s="639">
        <v>10.105600000000001</v>
      </c>
      <c r="CY34" s="639">
        <v>7.1421000000000001</v>
      </c>
      <c r="CZ34" s="639">
        <v>5.1017999999999999</v>
      </c>
      <c r="DA34" s="639">
        <v>3.8363999999999998</v>
      </c>
      <c r="DB34" s="639">
        <v>3.29</v>
      </c>
      <c r="DC34" s="639">
        <v>2.4453</v>
      </c>
      <c r="DD34" s="639">
        <v>2.4744000000000002</v>
      </c>
      <c r="DE34" s="639">
        <v>3.1145999999999998</v>
      </c>
      <c r="DF34" s="639">
        <v>3.9336000000000002</v>
      </c>
      <c r="DG34" s="644">
        <v>4.9844999999999997</v>
      </c>
      <c r="DH34" s="644">
        <v>3.1448999999999998</v>
      </c>
      <c r="DI34" s="640">
        <v>3.5914000000000001</v>
      </c>
    </row>
    <row r="35" spans="2:113" s="571" customFormat="1" ht="15.75" customHeight="1" x14ac:dyDescent="0.25">
      <c r="B35" s="618" t="s">
        <v>135</v>
      </c>
      <c r="C35" s="619">
        <v>1710.4975999999999</v>
      </c>
      <c r="D35" s="619">
        <v>923.39750000000004</v>
      </c>
      <c r="E35" s="619">
        <v>799.78489999999999</v>
      </c>
      <c r="F35" s="619">
        <v>813.93140000000005</v>
      </c>
      <c r="G35" s="619">
        <v>1035.7202</v>
      </c>
      <c r="H35" s="619">
        <v>1111.3852999999999</v>
      </c>
      <c r="I35" s="619">
        <v>1234.2574</v>
      </c>
      <c r="J35" s="619">
        <v>1354.8605</v>
      </c>
      <c r="K35" s="619">
        <v>1492.9709</v>
      </c>
      <c r="L35" s="619">
        <v>1634.0473999999999</v>
      </c>
      <c r="M35" s="619">
        <v>3115.8136</v>
      </c>
      <c r="N35" s="620">
        <v>1068.9086</v>
      </c>
      <c r="O35" s="620">
        <v>1912.5108</v>
      </c>
      <c r="P35" s="621">
        <v>1785.2215000000001</v>
      </c>
      <c r="R35" s="618" t="s">
        <v>135</v>
      </c>
      <c r="S35" s="619">
        <v>1710.4975999999999</v>
      </c>
      <c r="T35" s="619">
        <v>923.39750000000004</v>
      </c>
      <c r="U35" s="619">
        <v>799.50540000000001</v>
      </c>
      <c r="V35" s="619">
        <v>813.61670000000004</v>
      </c>
      <c r="W35" s="619">
        <v>1035.4363000000001</v>
      </c>
      <c r="X35" s="619">
        <v>1110.7049999999999</v>
      </c>
      <c r="Y35" s="619">
        <v>1232.8389</v>
      </c>
      <c r="Z35" s="619">
        <v>1353.5129999999999</v>
      </c>
      <c r="AA35" s="619">
        <v>1491.8090999999999</v>
      </c>
      <c r="AB35" s="619">
        <v>1632.3702000000001</v>
      </c>
      <c r="AC35" s="619">
        <v>3113.2952</v>
      </c>
      <c r="AD35" s="620">
        <v>1068.0824</v>
      </c>
      <c r="AE35" s="620">
        <v>1910.8625999999999</v>
      </c>
      <c r="AF35" s="621">
        <v>1783.6973</v>
      </c>
      <c r="AG35" s="632"/>
      <c r="AH35" s="618" t="s">
        <v>135</v>
      </c>
      <c r="AI35" s="637">
        <v>52.192599999999999</v>
      </c>
      <c r="AJ35" s="637">
        <v>38.110399999999998</v>
      </c>
      <c r="AK35" s="637">
        <v>35.962800000000001</v>
      </c>
      <c r="AL35" s="637">
        <v>37.795900000000003</v>
      </c>
      <c r="AM35" s="637">
        <v>35.5242</v>
      </c>
      <c r="AN35" s="637">
        <v>32.817300000000003</v>
      </c>
      <c r="AO35" s="637">
        <v>30.674399999999999</v>
      </c>
      <c r="AP35" s="637">
        <v>28.840599999999998</v>
      </c>
      <c r="AQ35" s="637">
        <v>26.947500000000002</v>
      </c>
      <c r="AR35" s="637">
        <v>25.2821</v>
      </c>
      <c r="AS35" s="637">
        <v>14.0168</v>
      </c>
      <c r="AT35" s="643">
        <v>33.198300000000003</v>
      </c>
      <c r="AU35" s="643">
        <v>21.5502</v>
      </c>
      <c r="AV35" s="638">
        <v>22.602499999999999</v>
      </c>
      <c r="AX35" s="618" t="s">
        <v>135</v>
      </c>
      <c r="AY35" s="637">
        <v>22.582100000000001</v>
      </c>
      <c r="AZ35" s="637">
        <v>25.7346</v>
      </c>
      <c r="BA35" s="637">
        <v>32.816800000000001</v>
      </c>
      <c r="BB35" s="637">
        <v>42.621699999999997</v>
      </c>
      <c r="BC35" s="637">
        <v>52.140900000000002</v>
      </c>
      <c r="BD35" s="637">
        <v>56.174799999999998</v>
      </c>
      <c r="BE35" s="637">
        <v>58.726799999999997</v>
      </c>
      <c r="BF35" s="637">
        <v>61.034100000000002</v>
      </c>
      <c r="BG35" s="637">
        <v>61.547600000000003</v>
      </c>
      <c r="BH35" s="637">
        <v>60.134300000000003</v>
      </c>
      <c r="BI35" s="637">
        <v>39.6372</v>
      </c>
      <c r="BJ35" s="643">
        <v>53.565600000000003</v>
      </c>
      <c r="BK35" s="643">
        <v>52.390500000000003</v>
      </c>
      <c r="BL35" s="638">
        <v>52.496600000000001</v>
      </c>
      <c r="BN35" s="618" t="s">
        <v>135</v>
      </c>
      <c r="BO35" s="637">
        <v>8.2560000000000002</v>
      </c>
      <c r="BP35" s="637">
        <v>19.195399999999999</v>
      </c>
      <c r="BQ35" s="637">
        <v>19.760899999999999</v>
      </c>
      <c r="BR35" s="637">
        <v>10.9443</v>
      </c>
      <c r="BS35" s="637">
        <v>6.6090999999999998</v>
      </c>
      <c r="BT35" s="637">
        <v>5.7213000000000003</v>
      </c>
      <c r="BU35" s="637">
        <v>6.4856999999999996</v>
      </c>
      <c r="BV35" s="637">
        <v>5.9867999999999997</v>
      </c>
      <c r="BW35" s="637">
        <v>7.4047999999999998</v>
      </c>
      <c r="BX35" s="637">
        <v>9.2886000000000006</v>
      </c>
      <c r="BY35" s="637">
        <v>41.748899999999999</v>
      </c>
      <c r="BZ35" s="643">
        <v>7.6241000000000003</v>
      </c>
      <c r="CA35" s="643">
        <v>21.4998</v>
      </c>
      <c r="CB35" s="638">
        <v>20.246200000000002</v>
      </c>
      <c r="CE35" s="618" t="s">
        <v>135</v>
      </c>
      <c r="CF35" s="637">
        <v>0.99580000000000002</v>
      </c>
      <c r="CG35" s="637">
        <v>1.2625</v>
      </c>
      <c r="CH35" s="637">
        <v>1.496</v>
      </c>
      <c r="CI35" s="637">
        <v>1.3191999999999999</v>
      </c>
      <c r="CJ35" s="637">
        <v>1.5407</v>
      </c>
      <c r="CK35" s="637">
        <v>1.6032999999999999</v>
      </c>
      <c r="CL35" s="637">
        <v>1.3317000000000001</v>
      </c>
      <c r="CM35" s="637">
        <v>1.6324000000000001</v>
      </c>
      <c r="CN35" s="637">
        <v>1.8968</v>
      </c>
      <c r="CO35" s="637">
        <v>2.9047000000000001</v>
      </c>
      <c r="CP35" s="637">
        <v>2.8020999999999998</v>
      </c>
      <c r="CQ35" s="643">
        <v>1.405</v>
      </c>
      <c r="CR35" s="643">
        <v>2.4548999999999999</v>
      </c>
      <c r="CS35" s="638">
        <v>2.36</v>
      </c>
      <c r="CU35" s="618" t="s">
        <v>135</v>
      </c>
      <c r="CV35" s="637">
        <v>15.973599999999999</v>
      </c>
      <c r="CW35" s="637">
        <v>15.696999999999999</v>
      </c>
      <c r="CX35" s="637">
        <v>9.9634999999999998</v>
      </c>
      <c r="CY35" s="637">
        <v>7.3189000000000002</v>
      </c>
      <c r="CZ35" s="637">
        <v>4.1852</v>
      </c>
      <c r="DA35" s="637">
        <v>3.6833</v>
      </c>
      <c r="DB35" s="637">
        <v>2.7814999999999999</v>
      </c>
      <c r="DC35" s="637">
        <v>2.5059999999999998</v>
      </c>
      <c r="DD35" s="637">
        <v>2.2033</v>
      </c>
      <c r="DE35" s="637">
        <v>2.3902999999999999</v>
      </c>
      <c r="DF35" s="637">
        <v>1.7948999999999999</v>
      </c>
      <c r="DG35" s="643">
        <v>4.2069999999999999</v>
      </c>
      <c r="DH35" s="643">
        <v>2.1048</v>
      </c>
      <c r="DI35" s="638">
        <v>2.2947000000000002</v>
      </c>
    </row>
    <row r="36" spans="2:113" s="474" customFormat="1" ht="15.75" customHeight="1" x14ac:dyDescent="0.25">
      <c r="B36" s="972" t="s">
        <v>804</v>
      </c>
      <c r="C36" s="985" t="s">
        <v>102</v>
      </c>
      <c r="D36" s="973" t="s">
        <v>102</v>
      </c>
      <c r="E36" s="973">
        <v>3913.2957999999999</v>
      </c>
      <c r="F36" s="973">
        <v>1838.2971</v>
      </c>
      <c r="G36" s="973">
        <v>2062.2878000000001</v>
      </c>
      <c r="H36" s="973">
        <v>1805.5083</v>
      </c>
      <c r="I36" s="973">
        <v>1477.8296</v>
      </c>
      <c r="J36" s="973">
        <v>1386.306</v>
      </c>
      <c r="K36" s="973">
        <v>1527.8324</v>
      </c>
      <c r="L36" s="973">
        <v>1438.1328000000001</v>
      </c>
      <c r="M36" s="973">
        <v>1489.1155000000001</v>
      </c>
      <c r="N36" s="974">
        <v>1586.1025999999999</v>
      </c>
      <c r="O36" s="974">
        <v>1460.2292</v>
      </c>
      <c r="P36" s="975">
        <v>1480.0644</v>
      </c>
      <c r="R36" s="972" t="s">
        <v>804</v>
      </c>
      <c r="S36" s="985" t="s">
        <v>102</v>
      </c>
      <c r="T36" s="973" t="s">
        <v>102</v>
      </c>
      <c r="U36" s="973">
        <v>3913.2957999999999</v>
      </c>
      <c r="V36" s="973">
        <v>1838.2971</v>
      </c>
      <c r="W36" s="973">
        <v>2055.8242</v>
      </c>
      <c r="X36" s="973">
        <v>1779.6253999999999</v>
      </c>
      <c r="Y36" s="973">
        <v>1448.9856</v>
      </c>
      <c r="Z36" s="973">
        <v>1380.3794</v>
      </c>
      <c r="AA36" s="973">
        <v>1516.9552000000001</v>
      </c>
      <c r="AB36" s="973">
        <v>1432.7739999999999</v>
      </c>
      <c r="AC36" s="973">
        <v>1484.8914</v>
      </c>
      <c r="AD36" s="974">
        <v>1560.8429000000001</v>
      </c>
      <c r="AE36" s="974">
        <v>1453.2424000000001</v>
      </c>
      <c r="AF36" s="975">
        <v>1470.1982</v>
      </c>
      <c r="AG36" s="980"/>
      <c r="AH36" s="972" t="s">
        <v>804</v>
      </c>
      <c r="AI36" s="986" t="s">
        <v>102</v>
      </c>
      <c r="AJ36" s="987" t="s">
        <v>102</v>
      </c>
      <c r="AK36" s="987">
        <v>35.322200000000002</v>
      </c>
      <c r="AL36" s="987">
        <v>22.947600000000001</v>
      </c>
      <c r="AM36" s="987">
        <v>20.3368</v>
      </c>
      <c r="AN36" s="987">
        <v>19.389199999999999</v>
      </c>
      <c r="AO36" s="987">
        <v>21.0322</v>
      </c>
      <c r="AP36" s="987">
        <v>17.7331</v>
      </c>
      <c r="AQ36" s="987">
        <v>17.366599999999998</v>
      </c>
      <c r="AR36" s="987">
        <v>15.413500000000001</v>
      </c>
      <c r="AS36" s="987">
        <v>23.563600000000001</v>
      </c>
      <c r="AT36" s="988">
        <v>20.932700000000001</v>
      </c>
      <c r="AU36" s="988">
        <v>17.727799999999998</v>
      </c>
      <c r="AV36" s="989">
        <v>18.268999999999998</v>
      </c>
      <c r="AX36" s="972" t="s">
        <v>804</v>
      </c>
      <c r="AY36" s="986" t="s">
        <v>102</v>
      </c>
      <c r="AZ36" s="987" t="s">
        <v>102</v>
      </c>
      <c r="BA36" s="987">
        <v>56.822299999999998</v>
      </c>
      <c r="BB36" s="987">
        <v>62.659799999999997</v>
      </c>
      <c r="BC36" s="987">
        <v>66.550700000000006</v>
      </c>
      <c r="BD36" s="987">
        <v>66.653499999999994</v>
      </c>
      <c r="BE36" s="987">
        <v>65.012100000000004</v>
      </c>
      <c r="BF36" s="987">
        <v>62.381700000000002</v>
      </c>
      <c r="BG36" s="987">
        <v>63.721600000000002</v>
      </c>
      <c r="BH36" s="987">
        <v>65.835099999999997</v>
      </c>
      <c r="BI36" s="987">
        <v>56.038699999999999</v>
      </c>
      <c r="BJ36" s="988">
        <v>65.202200000000005</v>
      </c>
      <c r="BK36" s="988">
        <v>62.979300000000002</v>
      </c>
      <c r="BL36" s="989">
        <v>63.354700000000001</v>
      </c>
      <c r="BN36" s="972" t="s">
        <v>804</v>
      </c>
      <c r="BO36" s="986" t="s">
        <v>102</v>
      </c>
      <c r="BP36" s="987" t="s">
        <v>102</v>
      </c>
      <c r="BQ36" s="987">
        <v>1.8629</v>
      </c>
      <c r="BR36" s="987">
        <v>9.5296000000000003</v>
      </c>
      <c r="BS36" s="987">
        <v>9.4357000000000006</v>
      </c>
      <c r="BT36" s="987">
        <v>9.7910000000000004</v>
      </c>
      <c r="BU36" s="987">
        <v>10.1808</v>
      </c>
      <c r="BV36" s="987">
        <v>15.366199999999999</v>
      </c>
      <c r="BW36" s="987">
        <v>15.519500000000001</v>
      </c>
      <c r="BX36" s="987">
        <v>13.930099999999999</v>
      </c>
      <c r="BY36" s="987">
        <v>16.039300000000001</v>
      </c>
      <c r="BZ36" s="988">
        <v>9.9663000000000004</v>
      </c>
      <c r="CA36" s="988">
        <v>15.055099999999999</v>
      </c>
      <c r="CB36" s="989">
        <v>14.1957</v>
      </c>
      <c r="CE36" s="972" t="s">
        <v>804</v>
      </c>
      <c r="CF36" s="986" t="s">
        <v>102</v>
      </c>
      <c r="CG36" s="987" t="s">
        <v>102</v>
      </c>
      <c r="CH36" s="987">
        <v>0.38619999999999999</v>
      </c>
      <c r="CI36" s="987">
        <v>0.68369999999999997</v>
      </c>
      <c r="CJ36" s="987">
        <v>0.69520000000000004</v>
      </c>
      <c r="CK36" s="987">
        <v>0.83450000000000002</v>
      </c>
      <c r="CL36" s="987">
        <v>0.8901</v>
      </c>
      <c r="CM36" s="987">
        <v>1.1526000000000001</v>
      </c>
      <c r="CN36" s="987">
        <v>1.4714</v>
      </c>
      <c r="CO36" s="987">
        <v>2.391</v>
      </c>
      <c r="CP36" s="987">
        <v>2.4807000000000001</v>
      </c>
      <c r="CQ36" s="988">
        <v>0.84819999999999995</v>
      </c>
      <c r="CR36" s="988">
        <v>1.8403</v>
      </c>
      <c r="CS36" s="989">
        <v>1.6728000000000001</v>
      </c>
      <c r="CU36" s="972" t="s">
        <v>804</v>
      </c>
      <c r="CV36" s="986" t="s">
        <v>102</v>
      </c>
      <c r="CW36" s="987" t="s">
        <v>102</v>
      </c>
      <c r="CX36" s="987">
        <v>5.6064999999999996</v>
      </c>
      <c r="CY36" s="987">
        <v>4.1792999999999996</v>
      </c>
      <c r="CZ36" s="987">
        <v>2.9815999999999998</v>
      </c>
      <c r="DA36" s="987">
        <v>3.3317999999999999</v>
      </c>
      <c r="DB36" s="987">
        <v>2.8847999999999998</v>
      </c>
      <c r="DC36" s="987">
        <v>3.3664000000000001</v>
      </c>
      <c r="DD36" s="987">
        <v>1.921</v>
      </c>
      <c r="DE36" s="987">
        <v>2.4302000000000001</v>
      </c>
      <c r="DF36" s="987">
        <v>1.8776999999999999</v>
      </c>
      <c r="DG36" s="988">
        <v>3.0507</v>
      </c>
      <c r="DH36" s="988">
        <v>2.3976000000000002</v>
      </c>
      <c r="DI36" s="989">
        <v>2.5078999999999998</v>
      </c>
    </row>
    <row r="37" spans="2:113" s="465" customFormat="1" ht="15.75" customHeight="1" x14ac:dyDescent="0.25">
      <c r="B37" s="850" t="s">
        <v>808</v>
      </c>
      <c r="C37" s="619" t="s">
        <v>102</v>
      </c>
      <c r="D37" s="619" t="s">
        <v>102</v>
      </c>
      <c r="E37" s="619" t="s">
        <v>102</v>
      </c>
      <c r="F37" s="619">
        <v>2248.0246000000002</v>
      </c>
      <c r="G37" s="619">
        <v>1583.5128999999999</v>
      </c>
      <c r="H37" s="619">
        <v>2008.9363000000001</v>
      </c>
      <c r="I37" s="619">
        <v>1537.9280000000001</v>
      </c>
      <c r="J37" s="619">
        <v>1750.8920000000001</v>
      </c>
      <c r="K37" s="619">
        <v>1673.0408</v>
      </c>
      <c r="L37" s="619">
        <v>1711.8434999999999</v>
      </c>
      <c r="M37" s="619" t="s">
        <v>102</v>
      </c>
      <c r="N37" s="620">
        <v>1645.5943</v>
      </c>
      <c r="O37" s="620">
        <v>1709.0786000000001</v>
      </c>
      <c r="P37" s="621">
        <v>1693.3294000000001</v>
      </c>
      <c r="R37" s="850" t="s">
        <v>808</v>
      </c>
      <c r="S37" s="619" t="s">
        <v>102</v>
      </c>
      <c r="T37" s="619" t="s">
        <v>102</v>
      </c>
      <c r="U37" s="619" t="s">
        <v>102</v>
      </c>
      <c r="V37" s="619">
        <v>2248.0246000000002</v>
      </c>
      <c r="W37" s="619">
        <v>1583.5128999999999</v>
      </c>
      <c r="X37" s="619">
        <v>2008.9363000000001</v>
      </c>
      <c r="Y37" s="619">
        <v>1535.4936</v>
      </c>
      <c r="Z37" s="619">
        <v>1750.8920000000001</v>
      </c>
      <c r="AA37" s="619">
        <v>1665.4239</v>
      </c>
      <c r="AB37" s="619">
        <v>1696.8347000000001</v>
      </c>
      <c r="AC37" s="619" t="s">
        <v>102</v>
      </c>
      <c r="AD37" s="620">
        <v>1643.7750000000001</v>
      </c>
      <c r="AE37" s="620">
        <v>1702.9775999999999</v>
      </c>
      <c r="AF37" s="621">
        <v>1688.2906</v>
      </c>
      <c r="AG37" s="632"/>
      <c r="AH37" s="850" t="s">
        <v>808</v>
      </c>
      <c r="AI37" s="878" t="s">
        <v>102</v>
      </c>
      <c r="AJ37" s="878" t="s">
        <v>102</v>
      </c>
      <c r="AK37" s="878" t="s">
        <v>102</v>
      </c>
      <c r="AL37" s="878">
        <v>24.3949</v>
      </c>
      <c r="AM37" s="878">
        <v>21.093499999999999</v>
      </c>
      <c r="AN37" s="878">
        <v>15.080299999999999</v>
      </c>
      <c r="AO37" s="878">
        <v>21.875299999999999</v>
      </c>
      <c r="AP37" s="878">
        <v>17.416</v>
      </c>
      <c r="AQ37" s="878">
        <v>20.1935</v>
      </c>
      <c r="AR37" s="878">
        <v>8.6191999999999993</v>
      </c>
      <c r="AS37" s="878" t="s">
        <v>102</v>
      </c>
      <c r="AT37" s="879">
        <v>20.926200000000001</v>
      </c>
      <c r="AU37" s="879">
        <v>17.048400000000001</v>
      </c>
      <c r="AV37" s="880">
        <v>17.9833</v>
      </c>
      <c r="AX37" s="850" t="s">
        <v>808</v>
      </c>
      <c r="AY37" s="637" t="s">
        <v>102</v>
      </c>
      <c r="AZ37" s="637" t="s">
        <v>102</v>
      </c>
      <c r="BA37" s="637" t="s">
        <v>102</v>
      </c>
      <c r="BB37" s="637">
        <v>61.104799999999997</v>
      </c>
      <c r="BC37" s="637">
        <v>62.988900000000001</v>
      </c>
      <c r="BD37" s="637">
        <v>73.261499999999998</v>
      </c>
      <c r="BE37" s="637">
        <v>65.551199999999994</v>
      </c>
      <c r="BF37" s="637">
        <v>63.608699999999999</v>
      </c>
      <c r="BG37" s="637">
        <v>70.024199999999993</v>
      </c>
      <c r="BH37" s="637">
        <v>68.212699999999998</v>
      </c>
      <c r="BI37" s="637" t="s">
        <v>102</v>
      </c>
      <c r="BJ37" s="643">
        <v>66.300799999999995</v>
      </c>
      <c r="BK37" s="643">
        <v>67.244299999999996</v>
      </c>
      <c r="BL37" s="638">
        <v>67.016800000000003</v>
      </c>
      <c r="BN37" s="850" t="s">
        <v>808</v>
      </c>
      <c r="BO37" s="637" t="s">
        <v>102</v>
      </c>
      <c r="BP37" s="637" t="s">
        <v>102</v>
      </c>
      <c r="BQ37" s="637" t="s">
        <v>102</v>
      </c>
      <c r="BR37" s="637">
        <v>10.6959</v>
      </c>
      <c r="BS37" s="637">
        <v>12.043699999999999</v>
      </c>
      <c r="BT37" s="637">
        <v>7.0046999999999997</v>
      </c>
      <c r="BU37" s="637">
        <v>8.5464000000000002</v>
      </c>
      <c r="BV37" s="637">
        <v>12.4749</v>
      </c>
      <c r="BW37" s="637">
        <v>7.0244999999999997</v>
      </c>
      <c r="BX37" s="637">
        <v>18.785699999999999</v>
      </c>
      <c r="BY37" s="637" t="s">
        <v>102</v>
      </c>
      <c r="BZ37" s="643">
        <v>8.6706000000000003</v>
      </c>
      <c r="CA37" s="643">
        <v>11.2256</v>
      </c>
      <c r="CB37" s="638">
        <v>10.6097</v>
      </c>
      <c r="CE37" s="850" t="s">
        <v>808</v>
      </c>
      <c r="CF37" s="637" t="s">
        <v>102</v>
      </c>
      <c r="CG37" s="637" t="s">
        <v>102</v>
      </c>
      <c r="CH37" s="637" t="s">
        <v>102</v>
      </c>
      <c r="CI37" s="637">
        <v>0.72399999999999998</v>
      </c>
      <c r="CJ37" s="637">
        <v>0.1678</v>
      </c>
      <c r="CK37" s="637">
        <v>0.9637</v>
      </c>
      <c r="CL37" s="637">
        <v>0.72719999999999996</v>
      </c>
      <c r="CM37" s="637">
        <v>1.6649</v>
      </c>
      <c r="CN37" s="637">
        <v>1.3584000000000001</v>
      </c>
      <c r="CO37" s="637">
        <v>3.1173999999999999</v>
      </c>
      <c r="CP37" s="637" t="s">
        <v>102</v>
      </c>
      <c r="CQ37" s="643">
        <v>0.73319999999999996</v>
      </c>
      <c r="CR37" s="643">
        <v>1.7921</v>
      </c>
      <c r="CS37" s="638">
        <v>1.5367999999999999</v>
      </c>
      <c r="CU37" s="850" t="s">
        <v>808</v>
      </c>
      <c r="CV37" s="637" t="s">
        <v>102</v>
      </c>
      <c r="CW37" s="637" t="s">
        <v>102</v>
      </c>
      <c r="CX37" s="637" t="s">
        <v>102</v>
      </c>
      <c r="CY37" s="637">
        <v>3.0804</v>
      </c>
      <c r="CZ37" s="637">
        <v>3.7061000000000002</v>
      </c>
      <c r="DA37" s="637">
        <v>3.6897000000000002</v>
      </c>
      <c r="DB37" s="637">
        <v>3.3</v>
      </c>
      <c r="DC37" s="637">
        <v>4.8354999999999997</v>
      </c>
      <c r="DD37" s="637">
        <v>1.3995</v>
      </c>
      <c r="DE37" s="637">
        <v>1.2649999999999999</v>
      </c>
      <c r="DF37" s="637" t="s">
        <v>102</v>
      </c>
      <c r="DG37" s="643">
        <v>3.3692000000000002</v>
      </c>
      <c r="DH37" s="643">
        <v>2.6894999999999998</v>
      </c>
      <c r="DI37" s="638">
        <v>2.8534000000000002</v>
      </c>
    </row>
    <row r="38" spans="2:113" s="465" customFormat="1" ht="15.75" customHeight="1" x14ac:dyDescent="0.25">
      <c r="B38" s="851" t="s">
        <v>809</v>
      </c>
      <c r="C38" s="623" t="s">
        <v>102</v>
      </c>
      <c r="D38" s="623" t="s">
        <v>102</v>
      </c>
      <c r="E38" s="623" t="s">
        <v>102</v>
      </c>
      <c r="F38" s="623">
        <v>1868.2472</v>
      </c>
      <c r="G38" s="623">
        <v>2370.6498000000001</v>
      </c>
      <c r="H38" s="623">
        <v>1777.7738999999999</v>
      </c>
      <c r="I38" s="623">
        <v>1535.8272999999999</v>
      </c>
      <c r="J38" s="623">
        <v>1443.8521000000001</v>
      </c>
      <c r="K38" s="623">
        <v>1815.3896</v>
      </c>
      <c r="L38" s="623">
        <v>1903.3400999999999</v>
      </c>
      <c r="M38" s="623" t="s">
        <v>102</v>
      </c>
      <c r="N38" s="624">
        <v>1692.008</v>
      </c>
      <c r="O38" s="624">
        <v>1658.5079000000001</v>
      </c>
      <c r="P38" s="609">
        <v>1667.3689999999999</v>
      </c>
      <c r="R38" s="851" t="s">
        <v>809</v>
      </c>
      <c r="S38" s="623" t="s">
        <v>102</v>
      </c>
      <c r="T38" s="623" t="s">
        <v>102</v>
      </c>
      <c r="U38" s="623" t="s">
        <v>102</v>
      </c>
      <c r="V38" s="623">
        <v>1868.2472</v>
      </c>
      <c r="W38" s="623">
        <v>2349.8033</v>
      </c>
      <c r="X38" s="623">
        <v>1733.9501</v>
      </c>
      <c r="Y38" s="623">
        <v>1484.6799000000001</v>
      </c>
      <c r="Z38" s="623">
        <v>1429.8210999999999</v>
      </c>
      <c r="AA38" s="623">
        <v>1788.5809999999999</v>
      </c>
      <c r="AB38" s="623">
        <v>1885.7845</v>
      </c>
      <c r="AC38" s="623" t="s">
        <v>102</v>
      </c>
      <c r="AD38" s="624">
        <v>1649.0467000000001</v>
      </c>
      <c r="AE38" s="624">
        <v>1640.5542</v>
      </c>
      <c r="AF38" s="609">
        <v>1642.8005000000001</v>
      </c>
      <c r="AG38" s="632"/>
      <c r="AH38" s="851" t="s">
        <v>809</v>
      </c>
      <c r="AI38" s="881" t="s">
        <v>102</v>
      </c>
      <c r="AJ38" s="881" t="s">
        <v>102</v>
      </c>
      <c r="AK38" s="881" t="s">
        <v>102</v>
      </c>
      <c r="AL38" s="881">
        <v>16.498799999999999</v>
      </c>
      <c r="AM38" s="881">
        <v>16.842500000000001</v>
      </c>
      <c r="AN38" s="881">
        <v>20.3691</v>
      </c>
      <c r="AO38" s="881">
        <v>22.140999999999998</v>
      </c>
      <c r="AP38" s="881">
        <v>15.865600000000001</v>
      </c>
      <c r="AQ38" s="881">
        <v>10.127800000000001</v>
      </c>
      <c r="AR38" s="881">
        <v>11.2075</v>
      </c>
      <c r="AS38" s="881" t="s">
        <v>102</v>
      </c>
      <c r="AT38" s="882">
        <v>20.585000000000001</v>
      </c>
      <c r="AU38" s="882">
        <v>12.9194</v>
      </c>
      <c r="AV38" s="883">
        <v>14.977</v>
      </c>
      <c r="AX38" s="851" t="s">
        <v>809</v>
      </c>
      <c r="AY38" s="639" t="s">
        <v>102</v>
      </c>
      <c r="AZ38" s="639" t="s">
        <v>102</v>
      </c>
      <c r="BA38" s="639" t="s">
        <v>102</v>
      </c>
      <c r="BB38" s="639">
        <v>67.049599999999998</v>
      </c>
      <c r="BC38" s="639">
        <v>65.066400000000002</v>
      </c>
      <c r="BD38" s="639">
        <v>63.313899999999997</v>
      </c>
      <c r="BE38" s="639">
        <v>62.169899999999998</v>
      </c>
      <c r="BF38" s="639">
        <v>60.693199999999997</v>
      </c>
      <c r="BG38" s="639">
        <v>64.851299999999995</v>
      </c>
      <c r="BH38" s="639">
        <v>64.983800000000002</v>
      </c>
      <c r="BI38" s="639" t="s">
        <v>102</v>
      </c>
      <c r="BJ38" s="644">
        <v>63.215499999999999</v>
      </c>
      <c r="BK38" s="644">
        <v>63.124200000000002</v>
      </c>
      <c r="BL38" s="640">
        <v>63.148699999999998</v>
      </c>
      <c r="BN38" s="851" t="s">
        <v>809</v>
      </c>
      <c r="BO38" s="639" t="s">
        <v>102</v>
      </c>
      <c r="BP38" s="639" t="s">
        <v>102</v>
      </c>
      <c r="BQ38" s="639" t="s">
        <v>102</v>
      </c>
      <c r="BR38" s="639">
        <v>10.6326</v>
      </c>
      <c r="BS38" s="639">
        <v>13.902900000000001</v>
      </c>
      <c r="BT38" s="639">
        <v>12.214499999999999</v>
      </c>
      <c r="BU38" s="639">
        <v>12.0025</v>
      </c>
      <c r="BV38" s="639">
        <v>19.8078</v>
      </c>
      <c r="BW38" s="639">
        <v>22.943000000000001</v>
      </c>
      <c r="BX38" s="639">
        <v>18.084800000000001</v>
      </c>
      <c r="BY38" s="639" t="s">
        <v>102</v>
      </c>
      <c r="BZ38" s="644">
        <v>12.166600000000001</v>
      </c>
      <c r="CA38" s="644">
        <v>20.037400000000002</v>
      </c>
      <c r="CB38" s="640">
        <v>17.924700000000001</v>
      </c>
      <c r="CE38" s="851" t="s">
        <v>809</v>
      </c>
      <c r="CF38" s="639" t="s">
        <v>102</v>
      </c>
      <c r="CG38" s="639" t="s">
        <v>102</v>
      </c>
      <c r="CH38" s="639" t="s">
        <v>102</v>
      </c>
      <c r="CI38" s="639">
        <v>0.35149999999999998</v>
      </c>
      <c r="CJ38" s="639">
        <v>0.15409999999999999</v>
      </c>
      <c r="CK38" s="639">
        <v>0.85589999999999999</v>
      </c>
      <c r="CL38" s="639">
        <v>1.0529999999999999</v>
      </c>
      <c r="CM38" s="639">
        <v>0.76129999999999998</v>
      </c>
      <c r="CN38" s="639">
        <v>0.63070000000000004</v>
      </c>
      <c r="CO38" s="639">
        <v>4.7457000000000003</v>
      </c>
      <c r="CP38" s="639" t="s">
        <v>102</v>
      </c>
      <c r="CQ38" s="644">
        <v>0.83830000000000005</v>
      </c>
      <c r="CR38" s="644">
        <v>2.0169999999999999</v>
      </c>
      <c r="CS38" s="640">
        <v>1.7005999999999999</v>
      </c>
      <c r="CU38" s="851" t="s">
        <v>809</v>
      </c>
      <c r="CV38" s="639" t="s">
        <v>102</v>
      </c>
      <c r="CW38" s="639" t="s">
        <v>102</v>
      </c>
      <c r="CX38" s="639" t="s">
        <v>102</v>
      </c>
      <c r="CY38" s="639">
        <v>5.4675000000000002</v>
      </c>
      <c r="CZ38" s="639">
        <v>4.0340999999999996</v>
      </c>
      <c r="DA38" s="639">
        <v>3.2465999999999999</v>
      </c>
      <c r="DB38" s="639">
        <v>2.6335999999999999</v>
      </c>
      <c r="DC38" s="639">
        <v>2.8721000000000001</v>
      </c>
      <c r="DD38" s="639">
        <v>1.4472</v>
      </c>
      <c r="DE38" s="639">
        <v>0.97819999999999996</v>
      </c>
      <c r="DF38" s="639" t="s">
        <v>102</v>
      </c>
      <c r="DG38" s="644">
        <v>3.1945000000000001</v>
      </c>
      <c r="DH38" s="644">
        <v>1.9020999999999999</v>
      </c>
      <c r="DI38" s="640">
        <v>2.2490000000000001</v>
      </c>
    </row>
    <row r="39" spans="2:113" s="465" customFormat="1" ht="15.75" customHeight="1" x14ac:dyDescent="0.25">
      <c r="B39" s="850" t="s">
        <v>810</v>
      </c>
      <c r="C39" s="619" t="s">
        <v>102</v>
      </c>
      <c r="D39" s="619" t="s">
        <v>102</v>
      </c>
      <c r="E39" s="619">
        <v>3913.2957999999999</v>
      </c>
      <c r="F39" s="619">
        <v>1322.6121000000001</v>
      </c>
      <c r="G39" s="619">
        <v>2090.4425000000001</v>
      </c>
      <c r="H39" s="619">
        <v>1383.9752000000001</v>
      </c>
      <c r="I39" s="619">
        <v>1213.1902</v>
      </c>
      <c r="J39" s="619">
        <v>1242.6244999999999</v>
      </c>
      <c r="K39" s="619">
        <v>1361.9721999999999</v>
      </c>
      <c r="L39" s="619">
        <v>1410.5809999999999</v>
      </c>
      <c r="M39" s="619" t="s">
        <v>102</v>
      </c>
      <c r="N39" s="620">
        <v>1461.1111000000001</v>
      </c>
      <c r="O39" s="620">
        <v>1370.0041000000001</v>
      </c>
      <c r="P39" s="621">
        <v>1387.692</v>
      </c>
      <c r="R39" s="850" t="s">
        <v>810</v>
      </c>
      <c r="S39" s="619" t="s">
        <v>102</v>
      </c>
      <c r="T39" s="619" t="s">
        <v>102</v>
      </c>
      <c r="U39" s="619">
        <v>3913.2957999999999</v>
      </c>
      <c r="V39" s="619">
        <v>1322.6121000000001</v>
      </c>
      <c r="W39" s="619">
        <v>2090.4425000000001</v>
      </c>
      <c r="X39" s="619">
        <v>1383.9752000000001</v>
      </c>
      <c r="Y39" s="619">
        <v>1213.1902</v>
      </c>
      <c r="Z39" s="619">
        <v>1242.6244999999999</v>
      </c>
      <c r="AA39" s="619">
        <v>1354.0252</v>
      </c>
      <c r="AB39" s="619">
        <v>1410.5809999999999</v>
      </c>
      <c r="AC39" s="619" t="s">
        <v>102</v>
      </c>
      <c r="AD39" s="620">
        <v>1461.1111000000001</v>
      </c>
      <c r="AE39" s="620">
        <v>1367.0174999999999</v>
      </c>
      <c r="AF39" s="621">
        <v>1385.2852</v>
      </c>
      <c r="AG39" s="632"/>
      <c r="AH39" s="850" t="s">
        <v>810</v>
      </c>
      <c r="AI39" s="878" t="s">
        <v>102</v>
      </c>
      <c r="AJ39" s="878" t="s">
        <v>102</v>
      </c>
      <c r="AK39" s="878">
        <v>35.322200000000002</v>
      </c>
      <c r="AL39" s="878">
        <v>33.260399999999997</v>
      </c>
      <c r="AM39" s="878">
        <v>22.709399999999999</v>
      </c>
      <c r="AN39" s="878">
        <v>30.1099</v>
      </c>
      <c r="AO39" s="878">
        <v>26.845700000000001</v>
      </c>
      <c r="AP39" s="878">
        <v>23.1831</v>
      </c>
      <c r="AQ39" s="878">
        <v>23.072700000000001</v>
      </c>
      <c r="AR39" s="878">
        <v>23.916799999999999</v>
      </c>
      <c r="AS39" s="878" t="s">
        <v>102</v>
      </c>
      <c r="AT39" s="879">
        <v>26.697099999999999</v>
      </c>
      <c r="AU39" s="879">
        <v>23.513000000000002</v>
      </c>
      <c r="AV39" s="880">
        <v>24.163900000000002</v>
      </c>
      <c r="AX39" s="850" t="s">
        <v>810</v>
      </c>
      <c r="AY39" s="637" t="s">
        <v>102</v>
      </c>
      <c r="AZ39" s="637" t="s">
        <v>102</v>
      </c>
      <c r="BA39" s="637">
        <v>56.822299999999998</v>
      </c>
      <c r="BB39" s="637">
        <v>56.756399999999999</v>
      </c>
      <c r="BC39" s="637">
        <v>69.000200000000007</v>
      </c>
      <c r="BD39" s="637">
        <v>63.230800000000002</v>
      </c>
      <c r="BE39" s="637">
        <v>64.390600000000006</v>
      </c>
      <c r="BF39" s="637">
        <v>54.223599999999998</v>
      </c>
      <c r="BG39" s="637">
        <v>53.101999999999997</v>
      </c>
      <c r="BH39" s="637">
        <v>57.875300000000003</v>
      </c>
      <c r="BI39" s="637" t="s">
        <v>102</v>
      </c>
      <c r="BJ39" s="643">
        <v>64.782200000000003</v>
      </c>
      <c r="BK39" s="643">
        <v>55.652000000000001</v>
      </c>
      <c r="BL39" s="638">
        <v>57.518300000000004</v>
      </c>
      <c r="BN39" s="850" t="s">
        <v>810</v>
      </c>
      <c r="BO39" s="637" t="s">
        <v>102</v>
      </c>
      <c r="BP39" s="637" t="s">
        <v>102</v>
      </c>
      <c r="BQ39" s="637">
        <v>1.8629</v>
      </c>
      <c r="BR39" s="637">
        <v>4.9946999999999999</v>
      </c>
      <c r="BS39" s="637">
        <v>5.0751999999999997</v>
      </c>
      <c r="BT39" s="637">
        <v>4.0380000000000003</v>
      </c>
      <c r="BU39" s="637">
        <v>5.7663000000000002</v>
      </c>
      <c r="BV39" s="637">
        <v>18.4969</v>
      </c>
      <c r="BW39" s="637">
        <v>20.150600000000001</v>
      </c>
      <c r="BX39" s="637">
        <v>10.237</v>
      </c>
      <c r="BY39" s="637" t="s">
        <v>102</v>
      </c>
      <c r="BZ39" s="643">
        <v>5.2098000000000004</v>
      </c>
      <c r="CA39" s="643">
        <v>14.936</v>
      </c>
      <c r="CB39" s="638">
        <v>12.947800000000001</v>
      </c>
      <c r="CE39" s="850" t="s">
        <v>810</v>
      </c>
      <c r="CF39" s="637" t="s">
        <v>102</v>
      </c>
      <c r="CG39" s="637" t="s">
        <v>102</v>
      </c>
      <c r="CH39" s="637">
        <v>0.38619999999999999</v>
      </c>
      <c r="CI39" s="637">
        <v>1.2822</v>
      </c>
      <c r="CJ39" s="637">
        <v>1.3019000000000001</v>
      </c>
      <c r="CK39" s="637">
        <v>0.15340000000000001</v>
      </c>
      <c r="CL39" s="637">
        <v>6.3600000000000004E-2</v>
      </c>
      <c r="CM39" s="637">
        <v>0.22520000000000001</v>
      </c>
      <c r="CN39" s="637">
        <v>0.88260000000000005</v>
      </c>
      <c r="CO39" s="637">
        <v>0.9587</v>
      </c>
      <c r="CP39" s="637" t="s">
        <v>102</v>
      </c>
      <c r="CQ39" s="643">
        <v>0.55400000000000005</v>
      </c>
      <c r="CR39" s="643">
        <v>0.84189999999999998</v>
      </c>
      <c r="CS39" s="638">
        <v>0.78300000000000003</v>
      </c>
      <c r="CU39" s="850" t="s">
        <v>810</v>
      </c>
      <c r="CV39" s="637" t="s">
        <v>102</v>
      </c>
      <c r="CW39" s="637" t="s">
        <v>102</v>
      </c>
      <c r="CX39" s="637">
        <v>5.6064999999999996</v>
      </c>
      <c r="CY39" s="637">
        <v>3.7061999999999999</v>
      </c>
      <c r="CZ39" s="637">
        <v>1.9133</v>
      </c>
      <c r="DA39" s="637">
        <v>2.4679000000000002</v>
      </c>
      <c r="DB39" s="637">
        <v>2.9337</v>
      </c>
      <c r="DC39" s="637">
        <v>3.8712</v>
      </c>
      <c r="DD39" s="637">
        <v>2.7921</v>
      </c>
      <c r="DE39" s="637">
        <v>7.0122999999999998</v>
      </c>
      <c r="DF39" s="637" t="s">
        <v>102</v>
      </c>
      <c r="DG39" s="643">
        <v>2.7568999999999999</v>
      </c>
      <c r="DH39" s="643">
        <v>5.0571000000000002</v>
      </c>
      <c r="DI39" s="638">
        <v>4.5869</v>
      </c>
    </row>
    <row r="40" spans="2:113" s="465" customFormat="1" ht="15.75" customHeight="1" x14ac:dyDescent="0.25">
      <c r="B40" s="851" t="s">
        <v>811</v>
      </c>
      <c r="C40" s="623" t="s">
        <v>102</v>
      </c>
      <c r="D40" s="623" t="s">
        <v>102</v>
      </c>
      <c r="E40" s="623" t="s">
        <v>102</v>
      </c>
      <c r="F40" s="623" t="s">
        <v>102</v>
      </c>
      <c r="G40" s="623" t="s">
        <v>102</v>
      </c>
      <c r="H40" s="623" t="s">
        <v>102</v>
      </c>
      <c r="I40" s="623">
        <v>1989.8655000000001</v>
      </c>
      <c r="J40" s="623">
        <v>1485.6203</v>
      </c>
      <c r="K40" s="623">
        <v>1542.3019999999999</v>
      </c>
      <c r="L40" s="623">
        <v>1412.4855</v>
      </c>
      <c r="M40" s="623">
        <v>1489.1155000000001</v>
      </c>
      <c r="N40" s="624">
        <v>1989.8655000000001</v>
      </c>
      <c r="O40" s="624">
        <v>1478.5335</v>
      </c>
      <c r="P40" s="609">
        <v>1504.8891000000001</v>
      </c>
      <c r="R40" s="851" t="s">
        <v>811</v>
      </c>
      <c r="S40" s="623" t="s">
        <v>102</v>
      </c>
      <c r="T40" s="623" t="s">
        <v>102</v>
      </c>
      <c r="U40" s="623" t="s">
        <v>102</v>
      </c>
      <c r="V40" s="623" t="s">
        <v>102</v>
      </c>
      <c r="W40" s="623" t="s">
        <v>102</v>
      </c>
      <c r="X40" s="623" t="s">
        <v>102</v>
      </c>
      <c r="Y40" s="623">
        <v>1893.3614</v>
      </c>
      <c r="Z40" s="623">
        <v>1471.9602</v>
      </c>
      <c r="AA40" s="623">
        <v>1531.1806999999999</v>
      </c>
      <c r="AB40" s="623">
        <v>1408.6487</v>
      </c>
      <c r="AC40" s="623">
        <v>1484.8914</v>
      </c>
      <c r="AD40" s="624">
        <v>1893.3614</v>
      </c>
      <c r="AE40" s="624">
        <v>1471.8652999999999</v>
      </c>
      <c r="AF40" s="609">
        <v>1493.5905</v>
      </c>
      <c r="AG40" s="632"/>
      <c r="AH40" s="851" t="s">
        <v>811</v>
      </c>
      <c r="AI40" s="881" t="s">
        <v>102</v>
      </c>
      <c r="AJ40" s="881" t="s">
        <v>102</v>
      </c>
      <c r="AK40" s="881" t="s">
        <v>102</v>
      </c>
      <c r="AL40" s="881" t="s">
        <v>102</v>
      </c>
      <c r="AM40" s="881" t="s">
        <v>102</v>
      </c>
      <c r="AN40" s="881" t="s">
        <v>102</v>
      </c>
      <c r="AO40" s="881">
        <v>18.652100000000001</v>
      </c>
      <c r="AP40" s="881">
        <v>17.951899999999998</v>
      </c>
      <c r="AQ40" s="881">
        <v>15.959300000000001</v>
      </c>
      <c r="AR40" s="881">
        <v>15.0619</v>
      </c>
      <c r="AS40" s="881">
        <v>23.563600000000001</v>
      </c>
      <c r="AT40" s="882">
        <v>18.652100000000001</v>
      </c>
      <c r="AU40" s="882">
        <v>18.206099999999999</v>
      </c>
      <c r="AV40" s="883">
        <v>18.236499999999999</v>
      </c>
      <c r="AX40" s="851" t="s">
        <v>811</v>
      </c>
      <c r="AY40" s="639" t="s">
        <v>102</v>
      </c>
      <c r="AZ40" s="639" t="s">
        <v>102</v>
      </c>
      <c r="BA40" s="639" t="s">
        <v>102</v>
      </c>
      <c r="BB40" s="639" t="s">
        <v>102</v>
      </c>
      <c r="BC40" s="639" t="s">
        <v>102</v>
      </c>
      <c r="BD40" s="639" t="s">
        <v>102</v>
      </c>
      <c r="BE40" s="639">
        <v>63.588000000000001</v>
      </c>
      <c r="BF40" s="639">
        <v>67.042699999999996</v>
      </c>
      <c r="BG40" s="639">
        <v>63.134099999999997</v>
      </c>
      <c r="BH40" s="639">
        <v>69.172700000000006</v>
      </c>
      <c r="BI40" s="639">
        <v>56.038699999999999</v>
      </c>
      <c r="BJ40" s="644">
        <v>63.588000000000001</v>
      </c>
      <c r="BK40" s="644">
        <v>63.063899999999997</v>
      </c>
      <c r="BL40" s="640">
        <v>63.099600000000002</v>
      </c>
      <c r="BN40" s="851" t="s">
        <v>811</v>
      </c>
      <c r="BO40" s="639" t="s">
        <v>102</v>
      </c>
      <c r="BP40" s="639" t="s">
        <v>102</v>
      </c>
      <c r="BQ40" s="639" t="s">
        <v>102</v>
      </c>
      <c r="BR40" s="639" t="s">
        <v>102</v>
      </c>
      <c r="BS40" s="639" t="s">
        <v>102</v>
      </c>
      <c r="BT40" s="639" t="s">
        <v>102</v>
      </c>
      <c r="BU40" s="639">
        <v>13.9016</v>
      </c>
      <c r="BV40" s="639">
        <v>12.1434</v>
      </c>
      <c r="BW40" s="639">
        <v>16.735700000000001</v>
      </c>
      <c r="BX40" s="639">
        <v>12.0886</v>
      </c>
      <c r="BY40" s="639">
        <v>16.039300000000001</v>
      </c>
      <c r="BZ40" s="644">
        <v>13.9016</v>
      </c>
      <c r="CA40" s="644">
        <v>14.7399</v>
      </c>
      <c r="CB40" s="640">
        <v>14.6828</v>
      </c>
      <c r="CE40" s="851" t="s">
        <v>811</v>
      </c>
      <c r="CF40" s="639" t="s">
        <v>102</v>
      </c>
      <c r="CG40" s="639" t="s">
        <v>102</v>
      </c>
      <c r="CH40" s="639" t="s">
        <v>102</v>
      </c>
      <c r="CI40" s="639" t="s">
        <v>102</v>
      </c>
      <c r="CJ40" s="639" t="s">
        <v>102</v>
      </c>
      <c r="CK40" s="639" t="s">
        <v>102</v>
      </c>
      <c r="CL40" s="639">
        <v>1.3911</v>
      </c>
      <c r="CM40" s="639">
        <v>1.3051999999999999</v>
      </c>
      <c r="CN40" s="639">
        <v>2.0430999999999999</v>
      </c>
      <c r="CO40" s="639">
        <v>2.1642000000000001</v>
      </c>
      <c r="CP40" s="639">
        <v>2.4807000000000001</v>
      </c>
      <c r="CQ40" s="644">
        <v>1.3911</v>
      </c>
      <c r="CR40" s="644">
        <v>2.1743999999999999</v>
      </c>
      <c r="CS40" s="640">
        <v>2.121</v>
      </c>
      <c r="CU40" s="851" t="s">
        <v>811</v>
      </c>
      <c r="CV40" s="639" t="s">
        <v>102</v>
      </c>
      <c r="CW40" s="639" t="s">
        <v>102</v>
      </c>
      <c r="CX40" s="639" t="s">
        <v>102</v>
      </c>
      <c r="CY40" s="639" t="s">
        <v>102</v>
      </c>
      <c r="CZ40" s="639" t="s">
        <v>102</v>
      </c>
      <c r="DA40" s="639" t="s">
        <v>102</v>
      </c>
      <c r="DB40" s="639">
        <v>2.4672000000000001</v>
      </c>
      <c r="DC40" s="639">
        <v>1.5568</v>
      </c>
      <c r="DD40" s="639">
        <v>2.1276999999999999</v>
      </c>
      <c r="DE40" s="639">
        <v>1.5125</v>
      </c>
      <c r="DF40" s="639">
        <v>1.8776999999999999</v>
      </c>
      <c r="DG40" s="644">
        <v>2.4672000000000001</v>
      </c>
      <c r="DH40" s="644">
        <v>1.8158000000000001</v>
      </c>
      <c r="DI40" s="640">
        <v>1.8602000000000001</v>
      </c>
    </row>
    <row r="41" spans="2:113" s="465" customFormat="1" ht="15.75" customHeight="1" x14ac:dyDescent="0.25">
      <c r="B41" s="850" t="s">
        <v>812</v>
      </c>
      <c r="C41" s="619" t="s">
        <v>102</v>
      </c>
      <c r="D41" s="619" t="s">
        <v>102</v>
      </c>
      <c r="E41" s="619" t="s">
        <v>102</v>
      </c>
      <c r="F41" s="619" t="s">
        <v>102</v>
      </c>
      <c r="G41" s="619" t="s">
        <v>102</v>
      </c>
      <c r="H41" s="619" t="s">
        <v>102</v>
      </c>
      <c r="I41" s="619">
        <v>1040.5364999999999</v>
      </c>
      <c r="J41" s="619">
        <v>937.16819999999996</v>
      </c>
      <c r="K41" s="619">
        <v>744.04849999999999</v>
      </c>
      <c r="L41" s="619">
        <v>900.34770000000003</v>
      </c>
      <c r="M41" s="619" t="s">
        <v>102</v>
      </c>
      <c r="N41" s="620">
        <v>1040.5364999999999</v>
      </c>
      <c r="O41" s="620">
        <v>894.83209999999997</v>
      </c>
      <c r="P41" s="621">
        <v>922.55859999999996</v>
      </c>
      <c r="R41" s="850" t="s">
        <v>812</v>
      </c>
      <c r="S41" s="619" t="s">
        <v>102</v>
      </c>
      <c r="T41" s="619" t="s">
        <v>102</v>
      </c>
      <c r="U41" s="619" t="s">
        <v>102</v>
      </c>
      <c r="V41" s="619" t="s">
        <v>102</v>
      </c>
      <c r="W41" s="619" t="s">
        <v>102</v>
      </c>
      <c r="X41" s="619" t="s">
        <v>102</v>
      </c>
      <c r="Y41" s="619">
        <v>1040.5364999999999</v>
      </c>
      <c r="Z41" s="619">
        <v>937.16819999999996</v>
      </c>
      <c r="AA41" s="619">
        <v>744.04849999999999</v>
      </c>
      <c r="AB41" s="619">
        <v>900.34770000000003</v>
      </c>
      <c r="AC41" s="619" t="s">
        <v>102</v>
      </c>
      <c r="AD41" s="620">
        <v>1040.5364999999999</v>
      </c>
      <c r="AE41" s="620">
        <v>894.83209999999997</v>
      </c>
      <c r="AF41" s="621">
        <v>922.55859999999996</v>
      </c>
      <c r="AG41" s="632"/>
      <c r="AH41" s="850" t="s">
        <v>812</v>
      </c>
      <c r="AI41" s="878" t="s">
        <v>102</v>
      </c>
      <c r="AJ41" s="878" t="s">
        <v>102</v>
      </c>
      <c r="AK41" s="878" t="s">
        <v>102</v>
      </c>
      <c r="AL41" s="878" t="s">
        <v>102</v>
      </c>
      <c r="AM41" s="878" t="s">
        <v>102</v>
      </c>
      <c r="AN41" s="878" t="s">
        <v>102</v>
      </c>
      <c r="AO41" s="878">
        <v>16.9313</v>
      </c>
      <c r="AP41" s="878">
        <v>19.6084</v>
      </c>
      <c r="AQ41" s="878">
        <v>18.699100000000001</v>
      </c>
      <c r="AR41" s="878">
        <v>15.1814</v>
      </c>
      <c r="AS41" s="878" t="s">
        <v>102</v>
      </c>
      <c r="AT41" s="879">
        <v>16.9313</v>
      </c>
      <c r="AU41" s="879">
        <v>17.9651</v>
      </c>
      <c r="AV41" s="880">
        <v>17.743200000000002</v>
      </c>
      <c r="AX41" s="850" t="s">
        <v>812</v>
      </c>
      <c r="AY41" s="637" t="s">
        <v>102</v>
      </c>
      <c r="AZ41" s="637" t="s">
        <v>102</v>
      </c>
      <c r="BA41" s="637" t="s">
        <v>102</v>
      </c>
      <c r="BB41" s="637" t="s">
        <v>102</v>
      </c>
      <c r="BC41" s="637" t="s">
        <v>102</v>
      </c>
      <c r="BD41" s="637" t="s">
        <v>102</v>
      </c>
      <c r="BE41" s="637">
        <v>71.543599999999998</v>
      </c>
      <c r="BF41" s="637">
        <v>62.762599999999999</v>
      </c>
      <c r="BG41" s="637">
        <v>62.776800000000001</v>
      </c>
      <c r="BH41" s="637">
        <v>63.889600000000002</v>
      </c>
      <c r="BI41" s="637" t="s">
        <v>102</v>
      </c>
      <c r="BJ41" s="643">
        <v>71.543599999999998</v>
      </c>
      <c r="BK41" s="643">
        <v>63.153100000000002</v>
      </c>
      <c r="BL41" s="638">
        <v>64.953999999999994</v>
      </c>
      <c r="BN41" s="850" t="s">
        <v>812</v>
      </c>
      <c r="BO41" s="637" t="s">
        <v>102</v>
      </c>
      <c r="BP41" s="637" t="s">
        <v>102</v>
      </c>
      <c r="BQ41" s="637" t="s">
        <v>102</v>
      </c>
      <c r="BR41" s="637" t="s">
        <v>102</v>
      </c>
      <c r="BS41" s="637" t="s">
        <v>102</v>
      </c>
      <c r="BT41" s="637" t="s">
        <v>102</v>
      </c>
      <c r="BU41" s="637">
        <v>7.6719999999999997</v>
      </c>
      <c r="BV41" s="637">
        <v>13.7774</v>
      </c>
      <c r="BW41" s="637">
        <v>16.6404</v>
      </c>
      <c r="BX41" s="637">
        <v>18.325199999999999</v>
      </c>
      <c r="BY41" s="637" t="s">
        <v>102</v>
      </c>
      <c r="BZ41" s="643">
        <v>7.6719999999999997</v>
      </c>
      <c r="CA41" s="643">
        <v>15.712300000000001</v>
      </c>
      <c r="CB41" s="638">
        <v>13.986599999999999</v>
      </c>
      <c r="CE41" s="850" t="s">
        <v>812</v>
      </c>
      <c r="CF41" s="637" t="s">
        <v>102</v>
      </c>
      <c r="CG41" s="637" t="s">
        <v>102</v>
      </c>
      <c r="CH41" s="637" t="s">
        <v>102</v>
      </c>
      <c r="CI41" s="637" t="s">
        <v>102</v>
      </c>
      <c r="CJ41" s="637" t="s">
        <v>102</v>
      </c>
      <c r="CK41" s="637" t="s">
        <v>102</v>
      </c>
      <c r="CL41" s="637">
        <v>0.75049999999999994</v>
      </c>
      <c r="CM41" s="637">
        <v>1.1520999999999999</v>
      </c>
      <c r="CN41" s="637">
        <v>0.51249999999999996</v>
      </c>
      <c r="CO41" s="637">
        <v>1.1186</v>
      </c>
      <c r="CP41" s="637" t="s">
        <v>102</v>
      </c>
      <c r="CQ41" s="643">
        <v>0.75049999999999994</v>
      </c>
      <c r="CR41" s="643">
        <v>1.0587</v>
      </c>
      <c r="CS41" s="638">
        <v>0.99260000000000004</v>
      </c>
      <c r="CU41" s="850" t="s">
        <v>812</v>
      </c>
      <c r="CV41" s="637" t="s">
        <v>102</v>
      </c>
      <c r="CW41" s="637" t="s">
        <v>102</v>
      </c>
      <c r="CX41" s="637" t="s">
        <v>102</v>
      </c>
      <c r="CY41" s="637" t="s">
        <v>102</v>
      </c>
      <c r="CZ41" s="637" t="s">
        <v>102</v>
      </c>
      <c r="DA41" s="637" t="s">
        <v>102</v>
      </c>
      <c r="DB41" s="637">
        <v>3.1025</v>
      </c>
      <c r="DC41" s="637">
        <v>2.6995</v>
      </c>
      <c r="DD41" s="637">
        <v>1.3713</v>
      </c>
      <c r="DE41" s="637">
        <v>1.4852000000000001</v>
      </c>
      <c r="DF41" s="637" t="s">
        <v>102</v>
      </c>
      <c r="DG41" s="643">
        <v>3.1025</v>
      </c>
      <c r="DH41" s="643">
        <v>2.1107999999999998</v>
      </c>
      <c r="DI41" s="638">
        <v>2.3235999999999999</v>
      </c>
    </row>
    <row r="42" spans="2:113" s="571" customFormat="1" ht="15.75" customHeight="1" x14ac:dyDescent="0.25">
      <c r="B42" s="976" t="s">
        <v>940</v>
      </c>
      <c r="C42" s="977"/>
      <c r="D42" s="977"/>
      <c r="E42" s="977"/>
      <c r="F42" s="977"/>
      <c r="G42" s="977"/>
      <c r="H42" s="977"/>
      <c r="I42" s="977"/>
      <c r="J42" s="977"/>
      <c r="K42" s="977"/>
      <c r="L42" s="977"/>
      <c r="M42" s="977"/>
      <c r="N42" s="978"/>
      <c r="O42" s="978"/>
      <c r="P42" s="979"/>
      <c r="R42" s="976" t="s">
        <v>940</v>
      </c>
      <c r="S42" s="977"/>
      <c r="T42" s="977"/>
      <c r="U42" s="977"/>
      <c r="V42" s="977"/>
      <c r="W42" s="977"/>
      <c r="X42" s="977"/>
      <c r="Y42" s="977"/>
      <c r="Z42" s="977"/>
      <c r="AA42" s="977"/>
      <c r="AB42" s="977"/>
      <c r="AC42" s="977"/>
      <c r="AD42" s="978"/>
      <c r="AE42" s="978"/>
      <c r="AF42" s="979"/>
      <c r="AG42" s="632"/>
      <c r="AH42" s="976" t="s">
        <v>940</v>
      </c>
      <c r="AI42" s="977"/>
      <c r="AJ42" s="977"/>
      <c r="AK42" s="977"/>
      <c r="AL42" s="977"/>
      <c r="AM42" s="977"/>
      <c r="AN42" s="977"/>
      <c r="AO42" s="977"/>
      <c r="AP42" s="977"/>
      <c r="AQ42" s="977"/>
      <c r="AR42" s="977"/>
      <c r="AS42" s="977"/>
      <c r="AT42" s="978"/>
      <c r="AU42" s="978"/>
      <c r="AV42" s="979"/>
      <c r="AX42" s="976" t="s">
        <v>940</v>
      </c>
      <c r="AY42" s="981"/>
      <c r="AZ42" s="981"/>
      <c r="BA42" s="981"/>
      <c r="BB42" s="981"/>
      <c r="BC42" s="981"/>
      <c r="BD42" s="981"/>
      <c r="BE42" s="981"/>
      <c r="BF42" s="981"/>
      <c r="BG42" s="981"/>
      <c r="BH42" s="981"/>
      <c r="BI42" s="981"/>
      <c r="BJ42" s="982"/>
      <c r="BK42" s="982"/>
      <c r="BL42" s="983"/>
      <c r="BN42" s="976" t="s">
        <v>940</v>
      </c>
      <c r="BO42" s="981"/>
      <c r="BP42" s="981"/>
      <c r="BQ42" s="981"/>
      <c r="BR42" s="981"/>
      <c r="BS42" s="981"/>
      <c r="BT42" s="981"/>
      <c r="BU42" s="981"/>
      <c r="BV42" s="981"/>
      <c r="BW42" s="981"/>
      <c r="BX42" s="981"/>
      <c r="BY42" s="981"/>
      <c r="BZ42" s="982"/>
      <c r="CA42" s="982"/>
      <c r="CB42" s="983"/>
      <c r="CE42" s="976" t="s">
        <v>940</v>
      </c>
      <c r="CF42" s="981"/>
      <c r="CG42" s="981"/>
      <c r="CH42" s="981"/>
      <c r="CI42" s="981"/>
      <c r="CJ42" s="981"/>
      <c r="CK42" s="981"/>
      <c r="CL42" s="981"/>
      <c r="CM42" s="981"/>
      <c r="CN42" s="981"/>
      <c r="CO42" s="981"/>
      <c r="CP42" s="981"/>
      <c r="CQ42" s="982"/>
      <c r="CR42" s="982"/>
      <c r="CS42" s="983"/>
      <c r="CU42" s="976" t="s">
        <v>940</v>
      </c>
      <c r="CV42" s="981"/>
      <c r="CW42" s="981"/>
      <c r="CX42" s="981"/>
      <c r="CY42" s="981"/>
      <c r="CZ42" s="981"/>
      <c r="DA42" s="981"/>
      <c r="DB42" s="981"/>
      <c r="DC42" s="981"/>
      <c r="DD42" s="981"/>
      <c r="DE42" s="981"/>
      <c r="DF42" s="981"/>
      <c r="DG42" s="982"/>
      <c r="DH42" s="982"/>
      <c r="DI42" s="983"/>
    </row>
    <row r="43" spans="2:113" s="465" customFormat="1" ht="15.75" customHeight="1" x14ac:dyDescent="0.25">
      <c r="B43" s="852" t="s">
        <v>502</v>
      </c>
      <c r="C43" s="853">
        <v>638.43910000000005</v>
      </c>
      <c r="D43" s="853">
        <v>913.40899999999999</v>
      </c>
      <c r="E43" s="853">
        <v>589.64189999999996</v>
      </c>
      <c r="F43" s="853">
        <v>730.28620000000001</v>
      </c>
      <c r="G43" s="853">
        <v>832.125</v>
      </c>
      <c r="H43" s="853">
        <v>967.43100000000004</v>
      </c>
      <c r="I43" s="853">
        <v>1106.8332</v>
      </c>
      <c r="J43" s="853">
        <v>1253.3518999999999</v>
      </c>
      <c r="K43" s="853">
        <v>1443.2152000000001</v>
      </c>
      <c r="L43" s="853">
        <v>1563.4493</v>
      </c>
      <c r="M43" s="853">
        <v>1807.2304999999999</v>
      </c>
      <c r="N43" s="854">
        <v>983.40819999999997</v>
      </c>
      <c r="O43" s="854">
        <v>1619.2313999999999</v>
      </c>
      <c r="P43" s="855">
        <v>1522.6641</v>
      </c>
      <c r="R43" s="852" t="s">
        <v>502</v>
      </c>
      <c r="S43" s="853">
        <v>638.43910000000005</v>
      </c>
      <c r="T43" s="853">
        <v>913.40899999999999</v>
      </c>
      <c r="U43" s="853">
        <v>589.53020000000004</v>
      </c>
      <c r="V43" s="853">
        <v>730.01059999999995</v>
      </c>
      <c r="W43" s="853">
        <v>831.35739999999998</v>
      </c>
      <c r="X43" s="853">
        <v>965.28970000000004</v>
      </c>
      <c r="Y43" s="853">
        <v>1104.7002</v>
      </c>
      <c r="Z43" s="853">
        <v>1250.604</v>
      </c>
      <c r="AA43" s="853">
        <v>1441.5927999999999</v>
      </c>
      <c r="AB43" s="853">
        <v>1561.4679000000001</v>
      </c>
      <c r="AC43" s="853">
        <v>1805.597</v>
      </c>
      <c r="AD43" s="854">
        <v>981.77689999999996</v>
      </c>
      <c r="AE43" s="854">
        <v>1617.4237000000001</v>
      </c>
      <c r="AF43" s="855">
        <v>1520.8832</v>
      </c>
      <c r="AG43" s="632"/>
      <c r="AH43" s="852" t="s">
        <v>502</v>
      </c>
      <c r="AI43" s="867">
        <v>53.944000000000003</v>
      </c>
      <c r="AJ43" s="867">
        <v>39.833399999999997</v>
      </c>
      <c r="AK43" s="867">
        <v>38.193800000000003</v>
      </c>
      <c r="AL43" s="867">
        <v>35.794600000000003</v>
      </c>
      <c r="AM43" s="867">
        <v>33.363100000000003</v>
      </c>
      <c r="AN43" s="867">
        <v>30.6023</v>
      </c>
      <c r="AO43" s="867">
        <v>28.2698</v>
      </c>
      <c r="AP43" s="867">
        <v>25.8977</v>
      </c>
      <c r="AQ43" s="867">
        <v>25.0138</v>
      </c>
      <c r="AR43" s="867">
        <v>23.574400000000001</v>
      </c>
      <c r="AS43" s="867">
        <v>18.038799999999998</v>
      </c>
      <c r="AT43" s="868">
        <v>30.1648</v>
      </c>
      <c r="AU43" s="868">
        <v>21.0608</v>
      </c>
      <c r="AV43" s="869">
        <v>21.953800000000001</v>
      </c>
      <c r="AX43" s="852" t="s">
        <v>502</v>
      </c>
      <c r="AY43" s="887">
        <v>13.275600000000001</v>
      </c>
      <c r="AZ43" s="887">
        <v>27.7362</v>
      </c>
      <c r="BA43" s="887">
        <v>35.590899999999998</v>
      </c>
      <c r="BB43" s="887">
        <v>45.754600000000003</v>
      </c>
      <c r="BC43" s="887">
        <v>53.479599999999998</v>
      </c>
      <c r="BD43" s="887">
        <v>55.335900000000002</v>
      </c>
      <c r="BE43" s="887">
        <v>58.412300000000002</v>
      </c>
      <c r="BF43" s="887">
        <v>60.996299999999998</v>
      </c>
      <c r="BG43" s="887">
        <v>61.651899999999998</v>
      </c>
      <c r="BH43" s="887">
        <v>60.533799999999999</v>
      </c>
      <c r="BI43" s="887">
        <v>49.325000000000003</v>
      </c>
      <c r="BJ43" s="888">
        <v>55.734000000000002</v>
      </c>
      <c r="BK43" s="888">
        <v>54.690300000000001</v>
      </c>
      <c r="BL43" s="889">
        <v>54.792700000000004</v>
      </c>
      <c r="BN43" s="852" t="s">
        <v>502</v>
      </c>
      <c r="BO43" s="887">
        <v>3.2572999999999999</v>
      </c>
      <c r="BP43" s="887">
        <v>11.6608</v>
      </c>
      <c r="BQ43" s="887">
        <v>11.9994</v>
      </c>
      <c r="BR43" s="887">
        <v>8.5698000000000008</v>
      </c>
      <c r="BS43" s="887">
        <v>6.7558999999999996</v>
      </c>
      <c r="BT43" s="887">
        <v>8.6260999999999992</v>
      </c>
      <c r="BU43" s="887">
        <v>8.7879000000000005</v>
      </c>
      <c r="BV43" s="887">
        <v>9.3287999999999993</v>
      </c>
      <c r="BW43" s="887">
        <v>9.4525000000000006</v>
      </c>
      <c r="BX43" s="887">
        <v>10.905799999999999</v>
      </c>
      <c r="BY43" s="887">
        <v>27.857199999999999</v>
      </c>
      <c r="BZ43" s="888">
        <v>8.5162999999999993</v>
      </c>
      <c r="CA43" s="888">
        <v>19.72</v>
      </c>
      <c r="CB43" s="889">
        <v>18.620999999999999</v>
      </c>
      <c r="CE43" s="852" t="s">
        <v>502</v>
      </c>
      <c r="CF43" s="887">
        <v>0.30330000000000001</v>
      </c>
      <c r="CG43" s="887">
        <v>1.2181</v>
      </c>
      <c r="CH43" s="887">
        <v>1.6142000000000001</v>
      </c>
      <c r="CI43" s="887">
        <v>1.6756</v>
      </c>
      <c r="CJ43" s="887">
        <v>1.4822</v>
      </c>
      <c r="CK43" s="887">
        <v>1.4161999999999999</v>
      </c>
      <c r="CL43" s="887">
        <v>1.5396000000000001</v>
      </c>
      <c r="CM43" s="887">
        <v>1.4097999999999999</v>
      </c>
      <c r="CN43" s="887">
        <v>1.7304999999999999</v>
      </c>
      <c r="CO43" s="887">
        <v>2.6894</v>
      </c>
      <c r="CP43" s="887">
        <v>2.4495</v>
      </c>
      <c r="CQ43" s="888">
        <v>1.5286</v>
      </c>
      <c r="CR43" s="888">
        <v>2.2400000000000002</v>
      </c>
      <c r="CS43" s="889">
        <v>2.1701999999999999</v>
      </c>
      <c r="CU43" s="852" t="s">
        <v>502</v>
      </c>
      <c r="CV43" s="887">
        <v>29.219899999999999</v>
      </c>
      <c r="CW43" s="887">
        <v>19.551600000000001</v>
      </c>
      <c r="CX43" s="887">
        <v>12.601699999999999</v>
      </c>
      <c r="CY43" s="887">
        <v>8.2053999999999991</v>
      </c>
      <c r="CZ43" s="887">
        <v>4.9191000000000003</v>
      </c>
      <c r="DA43" s="887">
        <v>4.0194999999999999</v>
      </c>
      <c r="DB43" s="887">
        <v>2.9903</v>
      </c>
      <c r="DC43" s="887">
        <v>2.3673999999999999</v>
      </c>
      <c r="DD43" s="887">
        <v>2.1511999999999998</v>
      </c>
      <c r="DE43" s="887">
        <v>2.2966000000000002</v>
      </c>
      <c r="DF43" s="887">
        <v>2.3294999999999999</v>
      </c>
      <c r="DG43" s="888">
        <v>4.0563000000000002</v>
      </c>
      <c r="DH43" s="888">
        <v>2.2888999999999999</v>
      </c>
      <c r="DI43" s="889">
        <v>2.4622999999999999</v>
      </c>
    </row>
    <row r="44" spans="2:113" s="571" customFormat="1" ht="15.75" customHeight="1" x14ac:dyDescent="0.25">
      <c r="B44" s="856" t="s">
        <v>472</v>
      </c>
      <c r="C44" s="857">
        <v>1188.0897</v>
      </c>
      <c r="D44" s="857">
        <v>794.404</v>
      </c>
      <c r="E44" s="857">
        <v>662.26310000000001</v>
      </c>
      <c r="F44" s="857">
        <v>701.10749999999996</v>
      </c>
      <c r="G44" s="857">
        <v>833.92319999999995</v>
      </c>
      <c r="H44" s="857">
        <v>962.92290000000003</v>
      </c>
      <c r="I44" s="857">
        <v>1111.3434999999999</v>
      </c>
      <c r="J44" s="857">
        <v>1265.9927</v>
      </c>
      <c r="K44" s="857">
        <v>1362.3847000000001</v>
      </c>
      <c r="L44" s="857">
        <v>1455.1857</v>
      </c>
      <c r="M44" s="857">
        <v>1409.5622000000001</v>
      </c>
      <c r="N44" s="858">
        <v>888.43719999999996</v>
      </c>
      <c r="O44" s="858">
        <v>1360.9626000000001</v>
      </c>
      <c r="P44" s="859">
        <v>1150.1493</v>
      </c>
      <c r="R44" s="856" t="s">
        <v>472</v>
      </c>
      <c r="S44" s="857">
        <v>1187.1074000000001</v>
      </c>
      <c r="T44" s="857">
        <v>794.05600000000004</v>
      </c>
      <c r="U44" s="857">
        <v>661.60929999999996</v>
      </c>
      <c r="V44" s="857">
        <v>700.13829999999996</v>
      </c>
      <c r="W44" s="857">
        <v>831.68399999999997</v>
      </c>
      <c r="X44" s="857">
        <v>959.17880000000002</v>
      </c>
      <c r="Y44" s="857">
        <v>1105.4648999999999</v>
      </c>
      <c r="Z44" s="857">
        <v>1261.4301</v>
      </c>
      <c r="AA44" s="857">
        <v>1357.4751000000001</v>
      </c>
      <c r="AB44" s="857">
        <v>1451.8436999999999</v>
      </c>
      <c r="AC44" s="857">
        <v>1406.8258000000001</v>
      </c>
      <c r="AD44" s="858">
        <v>885.35479999999995</v>
      </c>
      <c r="AE44" s="858">
        <v>1356.6324</v>
      </c>
      <c r="AF44" s="859">
        <v>1146.3758</v>
      </c>
      <c r="AG44" s="632"/>
      <c r="AH44" s="856" t="s">
        <v>472</v>
      </c>
      <c r="AI44" s="870">
        <v>39.525500000000001</v>
      </c>
      <c r="AJ44" s="870">
        <v>37.5045</v>
      </c>
      <c r="AK44" s="870">
        <v>35.348599999999998</v>
      </c>
      <c r="AL44" s="870">
        <v>34.258299999999998</v>
      </c>
      <c r="AM44" s="870">
        <v>32.43</v>
      </c>
      <c r="AN44" s="870">
        <v>30.4209</v>
      </c>
      <c r="AO44" s="870">
        <v>28.268599999999999</v>
      </c>
      <c r="AP44" s="870">
        <v>25.625699999999998</v>
      </c>
      <c r="AQ44" s="870">
        <v>24.6829</v>
      </c>
      <c r="AR44" s="870">
        <v>21.672599999999999</v>
      </c>
      <c r="AS44" s="870">
        <v>24.877700000000001</v>
      </c>
      <c r="AT44" s="871">
        <v>31.129899999999999</v>
      </c>
      <c r="AU44" s="871">
        <v>24.190100000000001</v>
      </c>
      <c r="AV44" s="872">
        <v>26.581700000000001</v>
      </c>
      <c r="AX44" s="856" t="s">
        <v>472</v>
      </c>
      <c r="AY44" s="884">
        <v>28.418500000000002</v>
      </c>
      <c r="AZ44" s="884">
        <v>29.379100000000001</v>
      </c>
      <c r="BA44" s="884">
        <v>35.360100000000003</v>
      </c>
      <c r="BB44" s="884">
        <v>45.979700000000001</v>
      </c>
      <c r="BC44" s="884">
        <v>52.288499999999999</v>
      </c>
      <c r="BD44" s="884">
        <v>55.377499999999998</v>
      </c>
      <c r="BE44" s="884">
        <v>58.230699999999999</v>
      </c>
      <c r="BF44" s="884">
        <v>59.622199999999999</v>
      </c>
      <c r="BG44" s="884">
        <v>59.962600000000002</v>
      </c>
      <c r="BH44" s="884">
        <v>60.277999999999999</v>
      </c>
      <c r="BI44" s="884">
        <v>56.770899999999997</v>
      </c>
      <c r="BJ44" s="885">
        <v>52.7057</v>
      </c>
      <c r="BK44" s="885">
        <v>59.759900000000002</v>
      </c>
      <c r="BL44" s="886">
        <v>57.328899999999997</v>
      </c>
      <c r="BN44" s="856" t="s">
        <v>472</v>
      </c>
      <c r="BO44" s="884">
        <v>9.2775999999999996</v>
      </c>
      <c r="BP44" s="884">
        <v>12.892300000000001</v>
      </c>
      <c r="BQ44" s="884">
        <v>15.3546</v>
      </c>
      <c r="BR44" s="884">
        <v>9.4519000000000002</v>
      </c>
      <c r="BS44" s="884">
        <v>7.9908999999999999</v>
      </c>
      <c r="BT44" s="884">
        <v>7.9867999999999997</v>
      </c>
      <c r="BU44" s="884">
        <v>8.6082000000000001</v>
      </c>
      <c r="BV44" s="884">
        <v>10.1653</v>
      </c>
      <c r="BW44" s="884">
        <v>10.580399999999999</v>
      </c>
      <c r="BX44" s="884">
        <v>12.4199</v>
      </c>
      <c r="BY44" s="884">
        <v>13.4245</v>
      </c>
      <c r="BZ44" s="885">
        <v>8.8766999999999996</v>
      </c>
      <c r="CA44" s="885">
        <v>11.103300000000001</v>
      </c>
      <c r="CB44" s="886">
        <v>10.335900000000001</v>
      </c>
      <c r="CE44" s="856" t="s">
        <v>472</v>
      </c>
      <c r="CF44" s="884">
        <v>1.0379</v>
      </c>
      <c r="CG44" s="884">
        <v>1.6314</v>
      </c>
      <c r="CH44" s="884">
        <v>1.8253999999999999</v>
      </c>
      <c r="CI44" s="884">
        <v>1.8329</v>
      </c>
      <c r="CJ44" s="884">
        <v>1.9019999999999999</v>
      </c>
      <c r="CK44" s="884">
        <v>1.7950999999999999</v>
      </c>
      <c r="CL44" s="884">
        <v>1.7579</v>
      </c>
      <c r="CM44" s="884">
        <v>1.7275</v>
      </c>
      <c r="CN44" s="884">
        <v>2.1593</v>
      </c>
      <c r="CO44" s="884">
        <v>2.5209999999999999</v>
      </c>
      <c r="CP44" s="884">
        <v>2.1402000000000001</v>
      </c>
      <c r="CQ44" s="885">
        <v>1.8086</v>
      </c>
      <c r="CR44" s="885">
        <v>2.1404999999999998</v>
      </c>
      <c r="CS44" s="886">
        <v>2.0261999999999998</v>
      </c>
      <c r="CU44" s="856" t="s">
        <v>472</v>
      </c>
      <c r="CV44" s="884">
        <v>21.740500000000001</v>
      </c>
      <c r="CW44" s="884">
        <v>18.592700000000001</v>
      </c>
      <c r="CX44" s="884">
        <v>12.1113</v>
      </c>
      <c r="CY44" s="884">
        <v>8.4771999999999998</v>
      </c>
      <c r="CZ44" s="884">
        <v>5.3886000000000003</v>
      </c>
      <c r="DA44" s="884">
        <v>4.4198000000000004</v>
      </c>
      <c r="DB44" s="884">
        <v>3.1345000000000001</v>
      </c>
      <c r="DC44" s="884">
        <v>2.8592</v>
      </c>
      <c r="DD44" s="884">
        <v>2.6147999999999998</v>
      </c>
      <c r="DE44" s="884">
        <v>3.1084999999999998</v>
      </c>
      <c r="DF44" s="884">
        <v>2.7866</v>
      </c>
      <c r="DG44" s="885">
        <v>5.4790999999999999</v>
      </c>
      <c r="DH44" s="885">
        <v>2.8062</v>
      </c>
      <c r="DI44" s="886">
        <v>3.7273000000000001</v>
      </c>
    </row>
    <row r="45" spans="2:113" s="465" customFormat="1" ht="15.75" customHeight="1" x14ac:dyDescent="0.25">
      <c r="B45" s="865" t="s">
        <v>97</v>
      </c>
      <c r="C45" s="853">
        <v>1104.1780000000001</v>
      </c>
      <c r="D45" s="853">
        <v>837.33569999999997</v>
      </c>
      <c r="E45" s="853">
        <v>728.35519999999997</v>
      </c>
      <c r="F45" s="853">
        <v>755.68899999999996</v>
      </c>
      <c r="G45" s="853">
        <v>868.83950000000004</v>
      </c>
      <c r="H45" s="853">
        <v>992.45989999999995</v>
      </c>
      <c r="I45" s="853">
        <v>1082.7652</v>
      </c>
      <c r="J45" s="853">
        <v>1218.3688999999999</v>
      </c>
      <c r="K45" s="853">
        <v>1366.7871</v>
      </c>
      <c r="L45" s="866">
        <v>1200.2624000000001</v>
      </c>
      <c r="M45" s="866" t="s">
        <v>102</v>
      </c>
      <c r="N45" s="854">
        <v>862.31290000000001</v>
      </c>
      <c r="O45" s="854">
        <v>1233.3347000000001</v>
      </c>
      <c r="P45" s="855">
        <v>900.99630000000002</v>
      </c>
      <c r="R45" s="865" t="s">
        <v>97</v>
      </c>
      <c r="S45" s="853">
        <v>1103.1531</v>
      </c>
      <c r="T45" s="853">
        <v>836.9511</v>
      </c>
      <c r="U45" s="853">
        <v>727.85580000000004</v>
      </c>
      <c r="V45" s="853">
        <v>754.69590000000005</v>
      </c>
      <c r="W45" s="853">
        <v>866.25739999999996</v>
      </c>
      <c r="X45" s="853">
        <v>987.72190000000001</v>
      </c>
      <c r="Y45" s="853">
        <v>1077.3117999999999</v>
      </c>
      <c r="Z45" s="853">
        <v>1212.5066999999999</v>
      </c>
      <c r="AA45" s="853">
        <v>1363.7186999999999</v>
      </c>
      <c r="AB45" s="866">
        <v>1200.2624000000001</v>
      </c>
      <c r="AC45" s="866" t="s">
        <v>102</v>
      </c>
      <c r="AD45" s="854">
        <v>859.90880000000004</v>
      </c>
      <c r="AE45" s="854">
        <v>1227.9092000000001</v>
      </c>
      <c r="AF45" s="855">
        <v>898.27719999999999</v>
      </c>
      <c r="AG45" s="632"/>
      <c r="AH45" s="865" t="s">
        <v>97</v>
      </c>
      <c r="AI45" s="867">
        <v>40.227699999999999</v>
      </c>
      <c r="AJ45" s="867">
        <v>38.642600000000002</v>
      </c>
      <c r="AK45" s="867">
        <v>36.575499999999998</v>
      </c>
      <c r="AL45" s="867">
        <v>34.704900000000002</v>
      </c>
      <c r="AM45" s="867">
        <v>33.6053</v>
      </c>
      <c r="AN45" s="867">
        <v>31.317900000000002</v>
      </c>
      <c r="AO45" s="867">
        <v>29.1494</v>
      </c>
      <c r="AP45" s="867">
        <v>27.293800000000001</v>
      </c>
      <c r="AQ45" s="867">
        <v>23.756799999999998</v>
      </c>
      <c r="AR45" s="873">
        <v>29.916399999999999</v>
      </c>
      <c r="AS45" s="873" t="s">
        <v>102</v>
      </c>
      <c r="AT45" s="868">
        <v>33.199100000000001</v>
      </c>
      <c r="AU45" s="868">
        <v>26.950399999999998</v>
      </c>
      <c r="AV45" s="869">
        <v>32.307299999999998</v>
      </c>
      <c r="AX45" s="865" t="s">
        <v>97</v>
      </c>
      <c r="AY45" s="887">
        <v>22.9969</v>
      </c>
      <c r="AZ45" s="887">
        <v>28.03</v>
      </c>
      <c r="BA45" s="887">
        <v>35.056399999999996</v>
      </c>
      <c r="BB45" s="887">
        <v>43.927100000000003</v>
      </c>
      <c r="BC45" s="887">
        <v>50.000599999999999</v>
      </c>
      <c r="BD45" s="887">
        <v>52.980699999999999</v>
      </c>
      <c r="BE45" s="887">
        <v>55.207900000000002</v>
      </c>
      <c r="BF45" s="887">
        <v>57.193899999999999</v>
      </c>
      <c r="BG45" s="887">
        <v>62.398299999999999</v>
      </c>
      <c r="BH45" s="890">
        <v>58.064</v>
      </c>
      <c r="BI45" s="890" t="s">
        <v>102</v>
      </c>
      <c r="BJ45" s="888">
        <v>47.088200000000001</v>
      </c>
      <c r="BK45" s="888">
        <v>57.8142</v>
      </c>
      <c r="BL45" s="889">
        <v>48.619</v>
      </c>
      <c r="BN45" s="865" t="s">
        <v>97</v>
      </c>
      <c r="BO45" s="887">
        <v>12.8147</v>
      </c>
      <c r="BP45" s="887">
        <v>13.988</v>
      </c>
      <c r="BQ45" s="887">
        <v>14.864000000000001</v>
      </c>
      <c r="BR45" s="887">
        <v>10.811299999999999</v>
      </c>
      <c r="BS45" s="887">
        <v>8.7605000000000004</v>
      </c>
      <c r="BT45" s="887">
        <v>8.9624000000000006</v>
      </c>
      <c r="BU45" s="887">
        <v>9.8416999999999994</v>
      </c>
      <c r="BV45" s="887">
        <v>10.2963</v>
      </c>
      <c r="BW45" s="887">
        <v>8.9956999999999994</v>
      </c>
      <c r="BX45" s="890">
        <v>9.6791999999999998</v>
      </c>
      <c r="BY45" s="890" t="s">
        <v>102</v>
      </c>
      <c r="BZ45" s="888">
        <v>10.52</v>
      </c>
      <c r="CA45" s="888">
        <v>10.131500000000001</v>
      </c>
      <c r="CB45" s="889">
        <v>10.464499999999999</v>
      </c>
      <c r="CE45" s="865" t="s">
        <v>97</v>
      </c>
      <c r="CF45" s="887">
        <v>1.5094000000000001</v>
      </c>
      <c r="CG45" s="887">
        <v>1.6541999999999999</v>
      </c>
      <c r="CH45" s="887">
        <v>1.6886000000000001</v>
      </c>
      <c r="CI45" s="887">
        <v>1.9832000000000001</v>
      </c>
      <c r="CJ45" s="887">
        <v>2.0750000000000002</v>
      </c>
      <c r="CK45" s="887">
        <v>1.9609000000000001</v>
      </c>
      <c r="CL45" s="887">
        <v>2.0101</v>
      </c>
      <c r="CM45" s="887">
        <v>2.1168</v>
      </c>
      <c r="CN45" s="887">
        <v>2.2098</v>
      </c>
      <c r="CO45" s="890">
        <v>0.89329999999999998</v>
      </c>
      <c r="CP45" s="890" t="s">
        <v>102</v>
      </c>
      <c r="CQ45" s="888">
        <v>1.9581999999999999</v>
      </c>
      <c r="CR45" s="888">
        <v>2.0977000000000001</v>
      </c>
      <c r="CS45" s="889">
        <v>1.9781</v>
      </c>
      <c r="CU45" s="865" t="s">
        <v>97</v>
      </c>
      <c r="CV45" s="887">
        <v>22.4513</v>
      </c>
      <c r="CW45" s="887">
        <v>17.685199999999998</v>
      </c>
      <c r="CX45" s="887">
        <v>11.8154</v>
      </c>
      <c r="CY45" s="887">
        <v>8.5736000000000008</v>
      </c>
      <c r="CZ45" s="887">
        <v>5.5586000000000002</v>
      </c>
      <c r="DA45" s="887">
        <v>4.7779999999999996</v>
      </c>
      <c r="DB45" s="887">
        <v>3.7909000000000002</v>
      </c>
      <c r="DC45" s="887">
        <v>3.0992000000000002</v>
      </c>
      <c r="DD45" s="887">
        <v>2.6394000000000002</v>
      </c>
      <c r="DE45" s="890">
        <v>1.4471000000000001</v>
      </c>
      <c r="DF45" s="890" t="s">
        <v>102</v>
      </c>
      <c r="DG45" s="888">
        <v>7.2344999999999997</v>
      </c>
      <c r="DH45" s="888">
        <v>3.0061</v>
      </c>
      <c r="DI45" s="889">
        <v>6.6310000000000002</v>
      </c>
    </row>
    <row r="46" spans="2:113" s="571" customFormat="1" ht="15.75" customHeight="1" x14ac:dyDescent="0.25">
      <c r="B46" s="860" t="s">
        <v>96</v>
      </c>
      <c r="C46" s="861">
        <v>1104.2927999999999</v>
      </c>
      <c r="D46" s="861">
        <v>823.18610000000001</v>
      </c>
      <c r="E46" s="861">
        <v>790.33950000000004</v>
      </c>
      <c r="F46" s="861">
        <v>988.99860000000001</v>
      </c>
      <c r="G46" s="861">
        <v>1315.9321</v>
      </c>
      <c r="H46" s="861">
        <v>1420.7251000000001</v>
      </c>
      <c r="I46" s="861">
        <v>1363.2047</v>
      </c>
      <c r="J46" s="861">
        <v>1304.7739999999999</v>
      </c>
      <c r="K46" s="861" t="s">
        <v>102</v>
      </c>
      <c r="L46" s="862" t="s">
        <v>102</v>
      </c>
      <c r="M46" s="862" t="s">
        <v>102</v>
      </c>
      <c r="N46" s="863">
        <v>1065.7566999999999</v>
      </c>
      <c r="O46" s="863">
        <v>1304.7739999999999</v>
      </c>
      <c r="P46" s="864">
        <v>1076.7843</v>
      </c>
      <c r="R46" s="860" t="s">
        <v>96</v>
      </c>
      <c r="S46" s="861">
        <v>1104.2927999999999</v>
      </c>
      <c r="T46" s="861">
        <v>823.00049999999999</v>
      </c>
      <c r="U46" s="861">
        <v>789.88520000000005</v>
      </c>
      <c r="V46" s="861">
        <v>987.61030000000005</v>
      </c>
      <c r="W46" s="861">
        <v>1312.7095999999999</v>
      </c>
      <c r="X46" s="861">
        <v>1417.9833000000001</v>
      </c>
      <c r="Y46" s="861">
        <v>1355.808</v>
      </c>
      <c r="Z46" s="861">
        <v>1297.663</v>
      </c>
      <c r="AA46" s="861" t="s">
        <v>102</v>
      </c>
      <c r="AB46" s="862" t="s">
        <v>102</v>
      </c>
      <c r="AC46" s="862" t="s">
        <v>102</v>
      </c>
      <c r="AD46" s="863">
        <v>1063.6045999999999</v>
      </c>
      <c r="AE46" s="863">
        <v>1297.663</v>
      </c>
      <c r="AF46" s="864">
        <v>1074.4033999999999</v>
      </c>
      <c r="AG46" s="632"/>
      <c r="AH46" s="860" t="s">
        <v>96</v>
      </c>
      <c r="AI46" s="874">
        <v>40.695099999999996</v>
      </c>
      <c r="AJ46" s="874">
        <v>39.103200000000001</v>
      </c>
      <c r="AK46" s="874">
        <v>35.853999999999999</v>
      </c>
      <c r="AL46" s="874">
        <v>34.609499999999997</v>
      </c>
      <c r="AM46" s="874">
        <v>34.1738</v>
      </c>
      <c r="AN46" s="874">
        <v>34.626300000000001</v>
      </c>
      <c r="AO46" s="874">
        <v>30.585699999999999</v>
      </c>
      <c r="AP46" s="874">
        <v>27.016400000000001</v>
      </c>
      <c r="AQ46" s="874" t="s">
        <v>102</v>
      </c>
      <c r="AR46" s="875" t="s">
        <v>102</v>
      </c>
      <c r="AS46" s="875" t="s">
        <v>102</v>
      </c>
      <c r="AT46" s="876">
        <v>34.504100000000001</v>
      </c>
      <c r="AU46" s="876">
        <v>27.016400000000001</v>
      </c>
      <c r="AV46" s="877">
        <v>34.085500000000003</v>
      </c>
      <c r="AX46" s="860" t="s">
        <v>96</v>
      </c>
      <c r="AY46" s="891">
        <v>20.84</v>
      </c>
      <c r="AZ46" s="891">
        <v>27.0197</v>
      </c>
      <c r="BA46" s="891">
        <v>33.294699999999999</v>
      </c>
      <c r="BB46" s="891">
        <v>41.4086</v>
      </c>
      <c r="BC46" s="891">
        <v>43.173200000000001</v>
      </c>
      <c r="BD46" s="891">
        <v>46.837600000000002</v>
      </c>
      <c r="BE46" s="891">
        <v>49.656399999999998</v>
      </c>
      <c r="BF46" s="891">
        <v>55.286799999999999</v>
      </c>
      <c r="BG46" s="891" t="s">
        <v>102</v>
      </c>
      <c r="BH46" s="892" t="s">
        <v>102</v>
      </c>
      <c r="BI46" s="892" t="s">
        <v>102</v>
      </c>
      <c r="BJ46" s="893">
        <v>41.140700000000002</v>
      </c>
      <c r="BK46" s="893">
        <v>55.286799999999999</v>
      </c>
      <c r="BL46" s="894">
        <v>41.931600000000003</v>
      </c>
      <c r="BN46" s="860" t="s">
        <v>96</v>
      </c>
      <c r="BO46" s="891">
        <v>12.700900000000001</v>
      </c>
      <c r="BP46" s="891">
        <v>14.1052</v>
      </c>
      <c r="BQ46" s="891">
        <v>17.645</v>
      </c>
      <c r="BR46" s="891">
        <v>14.3521</v>
      </c>
      <c r="BS46" s="891">
        <v>15.8695</v>
      </c>
      <c r="BT46" s="891">
        <v>12.443899999999999</v>
      </c>
      <c r="BU46" s="891">
        <v>12.595499999999999</v>
      </c>
      <c r="BV46" s="891">
        <v>11.305300000000001</v>
      </c>
      <c r="BW46" s="891" t="s">
        <v>102</v>
      </c>
      <c r="BX46" s="892" t="s">
        <v>102</v>
      </c>
      <c r="BY46" s="892" t="s">
        <v>102</v>
      </c>
      <c r="BZ46" s="893">
        <v>14.5205</v>
      </c>
      <c r="CA46" s="893">
        <v>11.305300000000001</v>
      </c>
      <c r="CB46" s="894">
        <v>14.3407</v>
      </c>
      <c r="CE46" s="860" t="s">
        <v>96</v>
      </c>
      <c r="CF46" s="891">
        <v>1.4499</v>
      </c>
      <c r="CG46" s="891">
        <v>1.7622</v>
      </c>
      <c r="CH46" s="891">
        <v>1.8134999999999999</v>
      </c>
      <c r="CI46" s="891">
        <v>1.9375</v>
      </c>
      <c r="CJ46" s="891">
        <v>1.8219000000000001</v>
      </c>
      <c r="CK46" s="891">
        <v>1.6638999999999999</v>
      </c>
      <c r="CL46" s="891">
        <v>1.9265000000000001</v>
      </c>
      <c r="CM46" s="891">
        <v>1.9846999999999999</v>
      </c>
      <c r="CN46" s="891" t="s">
        <v>102</v>
      </c>
      <c r="CO46" s="892" t="s">
        <v>102</v>
      </c>
      <c r="CP46" s="892" t="s">
        <v>102</v>
      </c>
      <c r="CQ46" s="893">
        <v>1.8467</v>
      </c>
      <c r="CR46" s="893">
        <v>1.9846999999999999</v>
      </c>
      <c r="CS46" s="894">
        <v>1.8544</v>
      </c>
      <c r="CU46" s="860" t="s">
        <v>96</v>
      </c>
      <c r="CV46" s="891">
        <v>24.3142</v>
      </c>
      <c r="CW46" s="891">
        <v>18.009699999999999</v>
      </c>
      <c r="CX46" s="891">
        <v>11.392799999999999</v>
      </c>
      <c r="CY46" s="891">
        <v>7.6921999999999997</v>
      </c>
      <c r="CZ46" s="891">
        <v>4.9615</v>
      </c>
      <c r="DA46" s="891">
        <v>4.4282000000000004</v>
      </c>
      <c r="DB46" s="891">
        <v>5.2359</v>
      </c>
      <c r="DC46" s="891">
        <v>4.4066999999999998</v>
      </c>
      <c r="DD46" s="891" t="s">
        <v>102</v>
      </c>
      <c r="DE46" s="892" t="s">
        <v>102</v>
      </c>
      <c r="DF46" s="892" t="s">
        <v>102</v>
      </c>
      <c r="DG46" s="893">
        <v>7.9880000000000004</v>
      </c>
      <c r="DH46" s="893">
        <v>4.4066999999999998</v>
      </c>
      <c r="DI46" s="894">
        <v>7.7877999999999998</v>
      </c>
    </row>
    <row r="47" spans="2:113" s="628" customFormat="1" x14ac:dyDescent="0.2">
      <c r="B47" s="37" t="s">
        <v>270</v>
      </c>
      <c r="C47" s="626"/>
      <c r="D47" s="626"/>
      <c r="E47" s="626"/>
      <c r="F47" s="626"/>
      <c r="G47" s="626"/>
      <c r="H47" s="626"/>
      <c r="I47" s="626"/>
      <c r="J47" s="626"/>
      <c r="K47" s="626"/>
      <c r="L47" s="626"/>
      <c r="M47" s="626"/>
      <c r="N47" s="626"/>
      <c r="O47" s="626"/>
      <c r="P47" s="627"/>
      <c r="R47" s="37" t="s">
        <v>270</v>
      </c>
      <c r="S47" s="626"/>
      <c r="T47" s="626"/>
      <c r="U47" s="626"/>
      <c r="V47" s="626"/>
      <c r="W47" s="626"/>
      <c r="X47" s="626"/>
      <c r="Y47" s="626"/>
      <c r="Z47" s="626"/>
      <c r="AA47" s="626"/>
      <c r="AB47" s="626"/>
      <c r="AC47" s="626"/>
      <c r="AD47" s="626"/>
      <c r="AE47" s="626"/>
      <c r="AF47" s="627"/>
      <c r="AG47" s="629"/>
      <c r="AH47" s="37" t="s">
        <v>270</v>
      </c>
      <c r="AI47" s="626"/>
      <c r="AJ47" s="626"/>
      <c r="AK47" s="626"/>
      <c r="AL47" s="626"/>
      <c r="AM47" s="626"/>
      <c r="AN47" s="626"/>
      <c r="AO47" s="626"/>
      <c r="AP47" s="626"/>
      <c r="AQ47" s="626"/>
      <c r="AR47" s="626"/>
      <c r="AS47" s="626"/>
      <c r="AT47" s="626"/>
      <c r="AU47" s="626"/>
      <c r="AV47" s="627"/>
      <c r="AX47" s="37" t="s">
        <v>270</v>
      </c>
      <c r="AY47" s="626"/>
      <c r="AZ47" s="626"/>
      <c r="BA47" s="626"/>
      <c r="BB47" s="626"/>
      <c r="BC47" s="626"/>
      <c r="BD47" s="626"/>
      <c r="BE47" s="626"/>
      <c r="BF47" s="626"/>
      <c r="BG47" s="626"/>
      <c r="BH47" s="626"/>
      <c r="BI47" s="626"/>
      <c r="BJ47" s="626"/>
      <c r="BK47" s="626"/>
      <c r="BL47" s="627"/>
      <c r="BN47" s="37" t="s">
        <v>270</v>
      </c>
      <c r="BO47" s="626"/>
      <c r="BP47" s="626"/>
      <c r="BQ47" s="626"/>
      <c r="BR47" s="626"/>
      <c r="BS47" s="626"/>
      <c r="BT47" s="626"/>
      <c r="BU47" s="626"/>
      <c r="BV47" s="626"/>
      <c r="BW47" s="626"/>
      <c r="BX47" s="626"/>
      <c r="BY47" s="626"/>
      <c r="BZ47" s="626"/>
      <c r="CA47" s="626"/>
      <c r="CB47" s="627"/>
      <c r="CE47" s="37" t="s">
        <v>270</v>
      </c>
      <c r="CF47" s="626"/>
      <c r="CG47" s="626"/>
      <c r="CH47" s="626"/>
      <c r="CI47" s="626"/>
      <c r="CJ47" s="626"/>
      <c r="CK47" s="626"/>
      <c r="CL47" s="626"/>
      <c r="CM47" s="626"/>
      <c r="CN47" s="626"/>
      <c r="CO47" s="626"/>
      <c r="CP47" s="626"/>
      <c r="CQ47" s="626"/>
      <c r="CR47" s="626"/>
      <c r="CS47" s="627"/>
      <c r="CU47" s="37" t="s">
        <v>270</v>
      </c>
      <c r="CV47" s="626"/>
      <c r="CW47" s="626"/>
      <c r="CX47" s="626"/>
      <c r="CY47" s="626"/>
      <c r="CZ47" s="626"/>
      <c r="DA47" s="626"/>
      <c r="DB47" s="626"/>
      <c r="DC47" s="626"/>
      <c r="DD47" s="626"/>
      <c r="DE47" s="626"/>
      <c r="DF47" s="626"/>
      <c r="DG47" s="626"/>
      <c r="DH47" s="626"/>
      <c r="DI47" s="627"/>
    </row>
    <row r="48" spans="2:113" s="287" customFormat="1" x14ac:dyDescent="0.2">
      <c r="B48" s="37" t="s">
        <v>503</v>
      </c>
      <c r="C48" s="626"/>
      <c r="D48" s="626"/>
      <c r="E48" s="626"/>
      <c r="F48" s="626"/>
      <c r="G48" s="626"/>
      <c r="H48" s="626"/>
      <c r="I48" s="626"/>
      <c r="J48" s="626"/>
      <c r="K48" s="626"/>
      <c r="L48" s="626"/>
      <c r="M48" s="626"/>
      <c r="N48" s="626"/>
      <c r="O48" s="626"/>
      <c r="P48" s="627"/>
      <c r="R48" s="37" t="s">
        <v>503</v>
      </c>
      <c r="S48" s="626"/>
      <c r="T48" s="626"/>
      <c r="U48" s="626"/>
      <c r="V48" s="626"/>
      <c r="W48" s="626"/>
      <c r="X48" s="626"/>
      <c r="Y48" s="626"/>
      <c r="Z48" s="626"/>
      <c r="AA48" s="626"/>
      <c r="AB48" s="626"/>
      <c r="AC48" s="626"/>
      <c r="AD48" s="626"/>
      <c r="AE48" s="626"/>
      <c r="AF48" s="627"/>
      <c r="AG48" s="629"/>
      <c r="AH48" s="37" t="s">
        <v>503</v>
      </c>
      <c r="AI48" s="626"/>
      <c r="AJ48" s="626"/>
      <c r="AK48" s="626"/>
      <c r="AL48" s="626"/>
      <c r="AM48" s="626"/>
      <c r="AN48" s="626"/>
      <c r="AO48" s="626"/>
      <c r="AP48" s="626"/>
      <c r="AQ48" s="626"/>
      <c r="AR48" s="626"/>
      <c r="AS48" s="626"/>
      <c r="AT48" s="626"/>
      <c r="AU48" s="626"/>
      <c r="AV48" s="627"/>
      <c r="AX48" s="37" t="s">
        <v>503</v>
      </c>
      <c r="AY48" s="626"/>
      <c r="AZ48" s="626"/>
      <c r="BA48" s="626"/>
      <c r="BB48" s="626"/>
      <c r="BC48" s="626"/>
      <c r="BD48" s="626"/>
      <c r="BE48" s="626"/>
      <c r="BF48" s="626"/>
      <c r="BG48" s="626"/>
      <c r="BH48" s="626"/>
      <c r="BI48" s="626"/>
      <c r="BJ48" s="626"/>
      <c r="BK48" s="626"/>
      <c r="BL48" s="627"/>
      <c r="BN48" s="37" t="s">
        <v>503</v>
      </c>
      <c r="BO48" s="626"/>
      <c r="BP48" s="626"/>
      <c r="BQ48" s="626"/>
      <c r="BR48" s="626"/>
      <c r="BS48" s="626"/>
      <c r="BT48" s="626"/>
      <c r="BU48" s="626"/>
      <c r="BV48" s="626"/>
      <c r="BW48" s="626"/>
      <c r="BX48" s="626"/>
      <c r="BY48" s="626"/>
      <c r="BZ48" s="626"/>
      <c r="CA48" s="626"/>
      <c r="CB48" s="627"/>
      <c r="CE48" s="37" t="s">
        <v>503</v>
      </c>
      <c r="CF48" s="626"/>
      <c r="CG48" s="626"/>
      <c r="CH48" s="626"/>
      <c r="CI48" s="626"/>
      <c r="CJ48" s="626"/>
      <c r="CK48" s="626"/>
      <c r="CL48" s="626"/>
      <c r="CM48" s="626"/>
      <c r="CN48" s="626"/>
      <c r="CO48" s="626"/>
      <c r="CP48" s="626"/>
      <c r="CQ48" s="626"/>
      <c r="CR48" s="626"/>
      <c r="CS48" s="627"/>
      <c r="CU48" s="37" t="s">
        <v>503</v>
      </c>
      <c r="CV48" s="626"/>
      <c r="CW48" s="626"/>
      <c r="CX48" s="626"/>
      <c r="CY48" s="626"/>
      <c r="CZ48" s="626"/>
      <c r="DA48" s="626"/>
      <c r="DB48" s="626"/>
      <c r="DC48" s="626"/>
      <c r="DD48" s="626"/>
      <c r="DE48" s="626"/>
      <c r="DF48" s="626"/>
      <c r="DG48" s="626"/>
      <c r="DH48" s="626"/>
      <c r="DI48" s="627"/>
    </row>
    <row r="49" spans="2:113" s="287" customFormat="1" ht="12" x14ac:dyDescent="0.2">
      <c r="B49" s="287" t="s">
        <v>473</v>
      </c>
      <c r="C49" s="630"/>
      <c r="D49" s="630"/>
      <c r="E49" s="630"/>
      <c r="F49" s="630"/>
      <c r="G49" s="630"/>
      <c r="H49" s="630"/>
      <c r="I49" s="630"/>
      <c r="J49" s="630"/>
      <c r="K49" s="630"/>
      <c r="L49" s="630"/>
      <c r="M49" s="630"/>
      <c r="N49" s="630"/>
      <c r="O49" s="630"/>
      <c r="P49" s="631"/>
      <c r="R49" s="287" t="s">
        <v>473</v>
      </c>
      <c r="S49" s="630"/>
      <c r="T49" s="630"/>
      <c r="U49" s="630"/>
      <c r="V49" s="630"/>
      <c r="W49" s="630"/>
      <c r="X49" s="630"/>
      <c r="Y49" s="630"/>
      <c r="Z49" s="630"/>
      <c r="AA49" s="630"/>
      <c r="AB49" s="630"/>
      <c r="AC49" s="630"/>
      <c r="AD49" s="630"/>
      <c r="AE49" s="630"/>
      <c r="AF49" s="631"/>
      <c r="AG49" s="629"/>
      <c r="AH49" s="287" t="s">
        <v>473</v>
      </c>
      <c r="AI49" s="630"/>
      <c r="AJ49" s="630"/>
      <c r="AK49" s="630"/>
      <c r="AL49" s="630"/>
      <c r="AM49" s="630"/>
      <c r="AN49" s="630"/>
      <c r="AO49" s="630"/>
      <c r="AP49" s="630"/>
      <c r="AQ49" s="630"/>
      <c r="AR49" s="630"/>
      <c r="AS49" s="630"/>
      <c r="AT49" s="630"/>
      <c r="AU49" s="630"/>
      <c r="AV49" s="631"/>
      <c r="AX49" s="287" t="s">
        <v>473</v>
      </c>
      <c r="AY49" s="630"/>
      <c r="AZ49" s="630"/>
      <c r="BA49" s="630"/>
      <c r="BB49" s="630"/>
      <c r="BC49" s="630"/>
      <c r="BD49" s="630"/>
      <c r="BE49" s="630"/>
      <c r="BF49" s="630"/>
      <c r="BG49" s="630"/>
      <c r="BH49" s="630"/>
      <c r="BI49" s="630"/>
      <c r="BJ49" s="630"/>
      <c r="BK49" s="630"/>
      <c r="BL49" s="631"/>
      <c r="BN49" s="287" t="s">
        <v>473</v>
      </c>
      <c r="BO49" s="630"/>
      <c r="BP49" s="630"/>
      <c r="BQ49" s="630"/>
      <c r="BR49" s="630"/>
      <c r="BS49" s="630"/>
      <c r="BT49" s="630"/>
      <c r="BU49" s="630"/>
      <c r="BV49" s="630"/>
      <c r="BW49" s="630"/>
      <c r="BX49" s="630"/>
      <c r="BY49" s="630"/>
      <c r="BZ49" s="630"/>
      <c r="CA49" s="630"/>
      <c r="CB49" s="631"/>
      <c r="CE49" s="287" t="s">
        <v>473</v>
      </c>
      <c r="CF49" s="630"/>
      <c r="CG49" s="630"/>
      <c r="CH49" s="630"/>
      <c r="CI49" s="630"/>
      <c r="CJ49" s="630"/>
      <c r="CK49" s="630"/>
      <c r="CL49" s="630"/>
      <c r="CM49" s="630"/>
      <c r="CN49" s="630"/>
      <c r="CO49" s="630"/>
      <c r="CP49" s="630"/>
      <c r="CQ49" s="630"/>
      <c r="CR49" s="630"/>
      <c r="CS49" s="631"/>
      <c r="CU49" s="287" t="s">
        <v>473</v>
      </c>
      <c r="CV49" s="630"/>
      <c r="CW49" s="630"/>
      <c r="CX49" s="630"/>
      <c r="CY49" s="630"/>
      <c r="CZ49" s="630"/>
      <c r="DA49" s="630"/>
      <c r="DB49" s="630"/>
      <c r="DC49" s="630"/>
      <c r="DD49" s="630"/>
      <c r="DE49" s="630"/>
      <c r="DF49" s="630"/>
      <c r="DG49" s="630"/>
      <c r="DH49" s="630"/>
      <c r="DI49" s="631"/>
    </row>
    <row r="50" spans="2:113" s="287" customFormat="1" ht="12" x14ac:dyDescent="0.2">
      <c r="B50" s="289" t="s">
        <v>888</v>
      </c>
      <c r="C50" s="630"/>
      <c r="D50" s="630"/>
      <c r="E50" s="630"/>
      <c r="F50" s="630"/>
      <c r="G50" s="630"/>
      <c r="H50" s="630"/>
      <c r="I50" s="630"/>
      <c r="J50" s="630"/>
      <c r="K50" s="630"/>
      <c r="L50" s="630"/>
      <c r="M50" s="630"/>
      <c r="N50" s="630"/>
      <c r="O50" s="630"/>
      <c r="P50" s="631"/>
      <c r="R50" s="289" t="s">
        <v>888</v>
      </c>
      <c r="S50" s="630"/>
      <c r="T50" s="630"/>
      <c r="U50" s="630"/>
      <c r="V50" s="630"/>
      <c r="W50" s="630"/>
      <c r="X50" s="630"/>
      <c r="Y50" s="630"/>
      <c r="Z50" s="630"/>
      <c r="AA50" s="630"/>
      <c r="AB50" s="630"/>
      <c r="AC50" s="630"/>
      <c r="AD50" s="630"/>
      <c r="AE50" s="630"/>
      <c r="AF50" s="630"/>
      <c r="AH50" s="289" t="s">
        <v>888</v>
      </c>
      <c r="AI50" s="630"/>
      <c r="AJ50" s="630"/>
      <c r="AK50" s="630"/>
      <c r="AL50" s="630"/>
      <c r="AM50" s="630"/>
      <c r="AN50" s="630"/>
      <c r="AO50" s="630"/>
      <c r="AP50" s="630"/>
      <c r="AQ50" s="630"/>
      <c r="AR50" s="630"/>
      <c r="AS50" s="630"/>
      <c r="AT50" s="630"/>
      <c r="AU50" s="630"/>
      <c r="AV50" s="631"/>
      <c r="AX50" s="289" t="s">
        <v>888</v>
      </c>
      <c r="AY50" s="630"/>
      <c r="AZ50" s="630"/>
      <c r="BA50" s="630"/>
      <c r="BB50" s="630"/>
      <c r="BC50" s="630"/>
      <c r="BD50" s="630"/>
      <c r="BE50" s="630"/>
      <c r="BF50" s="630"/>
      <c r="BG50" s="630"/>
      <c r="BH50" s="630"/>
      <c r="BI50" s="630"/>
      <c r="BJ50" s="630"/>
      <c r="BK50" s="630"/>
      <c r="BL50" s="631"/>
      <c r="BN50" s="289" t="s">
        <v>888</v>
      </c>
      <c r="BO50" s="630"/>
      <c r="BP50" s="630"/>
      <c r="BQ50" s="630"/>
      <c r="BR50" s="630"/>
      <c r="BS50" s="630"/>
      <c r="BT50" s="630"/>
      <c r="BU50" s="630"/>
      <c r="BV50" s="630"/>
      <c r="BW50" s="630"/>
      <c r="BX50" s="630"/>
      <c r="BY50" s="630"/>
      <c r="BZ50" s="630"/>
      <c r="CA50" s="630"/>
      <c r="CB50" s="631"/>
      <c r="CE50" s="289" t="s">
        <v>888</v>
      </c>
      <c r="CF50" s="630"/>
      <c r="CG50" s="630"/>
      <c r="CH50" s="630"/>
      <c r="CI50" s="630"/>
      <c r="CJ50" s="630"/>
      <c r="CK50" s="630"/>
      <c r="CL50" s="630"/>
      <c r="CM50" s="630"/>
      <c r="CN50" s="630"/>
      <c r="CO50" s="630"/>
      <c r="CP50" s="630"/>
      <c r="CQ50" s="630"/>
      <c r="CR50" s="630"/>
      <c r="CS50" s="631"/>
      <c r="CU50" s="289" t="s">
        <v>888</v>
      </c>
      <c r="CV50" s="630"/>
      <c r="CW50" s="630"/>
      <c r="CX50" s="630"/>
      <c r="CY50" s="630"/>
      <c r="CZ50" s="630"/>
      <c r="DA50" s="630"/>
      <c r="DB50" s="630"/>
      <c r="DC50" s="630"/>
      <c r="DD50" s="630"/>
      <c r="DE50" s="630"/>
      <c r="DF50" s="630"/>
      <c r="DG50" s="630"/>
      <c r="DH50" s="630"/>
      <c r="DI50" s="631"/>
    </row>
    <row r="51" spans="2:113" x14ac:dyDescent="0.2">
      <c r="C51" s="53"/>
      <c r="D51" s="53"/>
      <c r="E51" s="53"/>
      <c r="F51" s="53"/>
      <c r="G51" s="53"/>
      <c r="H51" s="53"/>
      <c r="I51" s="53"/>
      <c r="J51" s="53"/>
      <c r="K51" s="53"/>
      <c r="L51" s="53"/>
      <c r="M51" s="53"/>
      <c r="N51" s="53"/>
      <c r="O51" s="53"/>
      <c r="P51" s="90"/>
      <c r="AI51" s="53"/>
      <c r="AJ51" s="53"/>
      <c r="AK51" s="53"/>
      <c r="AL51" s="53"/>
      <c r="AM51" s="53"/>
      <c r="AN51" s="53"/>
      <c r="AO51" s="53"/>
      <c r="AP51" s="53"/>
      <c r="AQ51" s="53"/>
      <c r="AR51" s="53"/>
      <c r="AS51" s="53"/>
      <c r="AT51" s="53"/>
      <c r="AU51" s="53"/>
      <c r="AV51" s="90"/>
      <c r="AY51" s="53"/>
      <c r="AZ51" s="53"/>
      <c r="BA51" s="53"/>
      <c r="BB51" s="53"/>
      <c r="BC51" s="53"/>
      <c r="BD51" s="53"/>
      <c r="BE51" s="53"/>
      <c r="BF51" s="53"/>
      <c r="BG51" s="53"/>
      <c r="BH51" s="53"/>
      <c r="BI51" s="53"/>
      <c r="BJ51" s="53"/>
      <c r="BK51" s="53"/>
      <c r="BL51" s="90"/>
      <c r="BO51" s="53"/>
      <c r="BP51" s="53"/>
      <c r="BQ51" s="53"/>
      <c r="BR51" s="53"/>
      <c r="BS51" s="53"/>
      <c r="BT51" s="53"/>
      <c r="BU51" s="53"/>
      <c r="BV51" s="53"/>
      <c r="BW51" s="53"/>
      <c r="BX51" s="53"/>
      <c r="BY51" s="53"/>
      <c r="BZ51" s="53"/>
      <c r="CA51" s="53"/>
      <c r="CB51" s="90"/>
      <c r="CF51" s="53"/>
      <c r="CG51" s="53"/>
      <c r="CH51" s="53"/>
      <c r="CI51" s="53"/>
      <c r="CJ51" s="53"/>
      <c r="CK51" s="53"/>
      <c r="CL51" s="53"/>
      <c r="CM51" s="53"/>
      <c r="CN51" s="53"/>
      <c r="CO51" s="53"/>
      <c r="CP51" s="53"/>
      <c r="CQ51" s="53"/>
      <c r="CR51" s="53"/>
      <c r="CS51" s="90"/>
      <c r="CV51" s="53"/>
      <c r="CW51" s="53"/>
      <c r="CX51" s="53"/>
      <c r="CY51" s="53"/>
      <c r="CZ51" s="53"/>
      <c r="DA51" s="53"/>
      <c r="DB51" s="53"/>
      <c r="DC51" s="53"/>
      <c r="DD51" s="53"/>
      <c r="DE51" s="53"/>
      <c r="DF51" s="53"/>
      <c r="DG51" s="53"/>
      <c r="DH51" s="53"/>
      <c r="DI51" s="90"/>
    </row>
    <row r="52" spans="2:113" x14ac:dyDescent="0.2">
      <c r="P52"/>
    </row>
    <row r="53" spans="2:113" x14ac:dyDescent="0.2">
      <c r="P53"/>
    </row>
    <row r="54" spans="2:113" x14ac:dyDescent="0.2">
      <c r="P54"/>
    </row>
    <row r="55" spans="2:113" x14ac:dyDescent="0.2">
      <c r="P55"/>
    </row>
  </sheetData>
  <phoneticPr fontId="2" type="noConversion"/>
  <pageMargins left="0.39370078740157483" right="0.39370078740157483" top="0.78740157480314965" bottom="0.78740157480314965" header="0.39370078740157483" footer="0.39370078740157483"/>
  <pageSetup paperSize="9" scale="66" firstPageNumber="66" fitToWidth="7" orientation="landscape" useFirstPageNumber="1" r:id="rId1"/>
  <headerFooter alignWithMargins="0">
    <oddHeader>&amp;R&amp;12Les finances des communes en 2024</oddHeader>
    <oddFooter>&amp;L&amp;12Direction Générale des Collectivités Locales / DESL&amp;C&amp;12&amp;P&amp;R&amp;12Mise en ligne  : janvier 2026</oddFooter>
  </headerFooter>
  <colBreaks count="1" manualBreakCount="1">
    <brk id="32" max="49"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X58"/>
  <sheetViews>
    <sheetView view="pageBreakPreview" zoomScale="70" zoomScaleNormal="100" zoomScaleSheetLayoutView="70" zoomScalePageLayoutView="85" workbookViewId="0"/>
  </sheetViews>
  <sheetFormatPr baseColWidth="10" defaultRowHeight="12.75" x14ac:dyDescent="0.2"/>
  <cols>
    <col min="1" max="1" width="3.140625" customWidth="1"/>
    <col min="2" max="2" width="31" customWidth="1"/>
    <col min="14" max="15" width="13.42578125" customWidth="1"/>
    <col min="16" max="16" width="11.42578125" style="94"/>
    <col min="17" max="17" width="3.140625" customWidth="1"/>
    <col min="18" max="18" width="31.5703125" customWidth="1"/>
    <col min="30" max="31" width="13.42578125" customWidth="1"/>
    <col min="32" max="32" width="11.42578125" style="94"/>
    <col min="33" max="33" width="3.140625" customWidth="1"/>
    <col min="34" max="34" width="29.7109375" customWidth="1"/>
    <col min="46" max="47" width="13.42578125" customWidth="1"/>
    <col min="48" max="48" width="11.42578125" style="94"/>
    <col min="49" max="49" width="3.140625" customWidth="1"/>
    <col min="50" max="50" width="28.28515625" customWidth="1"/>
    <col min="62" max="63" width="13.42578125" customWidth="1"/>
    <col min="64" max="64" width="11.42578125" style="94"/>
    <col min="65" max="65" width="3.85546875" customWidth="1"/>
    <col min="66" max="66" width="28.28515625" customWidth="1"/>
    <col min="78" max="79" width="13.42578125" customWidth="1"/>
    <col min="80" max="80" width="11.42578125" style="94"/>
    <col min="81" max="81" width="3.140625" customWidth="1"/>
    <col min="82" max="82" width="27.140625" customWidth="1"/>
    <col min="94" max="95" width="13.42578125" customWidth="1"/>
    <col min="96" max="96" width="11.42578125" style="94"/>
    <col min="97" max="97" width="3.140625" customWidth="1"/>
    <col min="98" max="98" width="28.7109375" customWidth="1"/>
    <col min="110" max="111" width="13.42578125" customWidth="1"/>
    <col min="112" max="112" width="11.42578125" style="94"/>
    <col min="113" max="113" width="3.140625" customWidth="1"/>
    <col min="114" max="114" width="29" customWidth="1"/>
    <col min="126" max="126" width="13.42578125" customWidth="1"/>
    <col min="127" max="127" width="13.42578125" style="94" customWidth="1"/>
  </cols>
  <sheetData>
    <row r="1" spans="1:128" ht="20.25" x14ac:dyDescent="0.3">
      <c r="A1" s="121" t="s">
        <v>942</v>
      </c>
      <c r="B1" s="69"/>
      <c r="C1" s="103"/>
      <c r="D1" s="103"/>
      <c r="E1" s="103"/>
      <c r="F1" s="103"/>
      <c r="G1" s="103"/>
      <c r="H1" s="103"/>
      <c r="I1" s="103"/>
      <c r="J1" s="103"/>
      <c r="K1" s="103"/>
      <c r="L1" s="103"/>
      <c r="M1" s="103"/>
      <c r="N1" s="103"/>
      <c r="O1" s="103"/>
      <c r="P1" s="122"/>
      <c r="Q1" s="102"/>
      <c r="R1" s="69"/>
      <c r="S1" s="103"/>
      <c r="T1" s="103"/>
      <c r="U1" s="103"/>
      <c r="V1" s="103"/>
      <c r="W1" s="103"/>
      <c r="X1" s="103"/>
      <c r="Y1" s="103"/>
      <c r="Z1" s="103"/>
      <c r="AA1" s="103"/>
      <c r="AB1" s="103"/>
      <c r="AC1" s="103"/>
      <c r="AD1" s="103"/>
      <c r="AE1" s="103"/>
      <c r="AF1" s="122"/>
      <c r="AG1" s="102"/>
      <c r="AH1" s="69"/>
      <c r="AI1" s="103"/>
      <c r="AJ1" s="103"/>
      <c r="AK1" s="103"/>
      <c r="AL1" s="103"/>
      <c r="AM1" s="103"/>
      <c r="AN1" s="103"/>
      <c r="AO1" s="103"/>
      <c r="AP1" s="103"/>
      <c r="AQ1" s="103"/>
      <c r="AR1" s="103"/>
      <c r="AS1" s="103"/>
      <c r="AT1" s="103"/>
      <c r="AU1" s="103"/>
      <c r="AV1" s="122"/>
      <c r="AW1" s="102"/>
      <c r="AX1" s="69"/>
      <c r="AY1" s="103"/>
      <c r="AZ1" s="103"/>
      <c r="BA1" s="103"/>
      <c r="BB1" s="103"/>
      <c r="BC1" s="103"/>
      <c r="BD1" s="103"/>
      <c r="BE1" s="103"/>
      <c r="BF1" s="103"/>
      <c r="BG1" s="103"/>
      <c r="BH1" s="103"/>
      <c r="BI1" s="103"/>
      <c r="BJ1" s="103"/>
      <c r="BK1" s="103"/>
      <c r="BL1" s="124"/>
      <c r="BM1" s="102"/>
      <c r="BN1" s="69"/>
      <c r="BO1" s="103"/>
      <c r="BP1" s="103"/>
      <c r="BQ1" s="103"/>
      <c r="BR1" s="103"/>
      <c r="BS1" s="103"/>
      <c r="BT1" s="103"/>
      <c r="BU1" s="103"/>
      <c r="BV1" s="103"/>
      <c r="BW1" s="103"/>
      <c r="BX1" s="103"/>
      <c r="BY1" s="103"/>
      <c r="BZ1" s="103"/>
      <c r="CA1" s="103"/>
      <c r="CB1" s="122"/>
      <c r="CC1" s="102"/>
      <c r="CD1" s="69"/>
      <c r="CE1" s="103"/>
      <c r="CF1" s="103"/>
      <c r="CG1" s="103"/>
      <c r="CH1" s="103"/>
      <c r="CI1" s="103"/>
      <c r="CJ1" s="103"/>
      <c r="CK1" s="103"/>
      <c r="CL1" s="103"/>
      <c r="CM1" s="103"/>
      <c r="CN1" s="103"/>
      <c r="CO1" s="103"/>
      <c r="CP1" s="103"/>
      <c r="CQ1" s="103"/>
      <c r="CR1" s="122"/>
      <c r="CS1" s="102"/>
      <c r="CT1" s="69"/>
      <c r="CU1" s="103"/>
      <c r="CV1" s="103"/>
      <c r="CW1" s="103"/>
      <c r="CX1" s="103"/>
      <c r="CY1" s="103"/>
      <c r="CZ1" s="103"/>
      <c r="DA1" s="103"/>
      <c r="DB1" s="103"/>
      <c r="DC1" s="103"/>
      <c r="DD1" s="103"/>
      <c r="DE1" s="103"/>
      <c r="DF1" s="103"/>
      <c r="DG1" s="103"/>
      <c r="DH1" s="122"/>
      <c r="DI1" s="102"/>
      <c r="DJ1" s="69"/>
      <c r="DK1" s="105"/>
      <c r="DL1" s="105"/>
      <c r="DM1" s="105"/>
      <c r="DN1" s="105"/>
      <c r="DO1" s="105"/>
      <c r="DP1" s="105"/>
      <c r="DQ1" s="105"/>
      <c r="DR1" s="105"/>
      <c r="DS1" s="105"/>
      <c r="DT1" s="105"/>
      <c r="DU1" s="105"/>
      <c r="DV1" s="105"/>
      <c r="DW1" s="124"/>
      <c r="DX1" s="102"/>
    </row>
    <row r="2" spans="1:128" ht="16.5" x14ac:dyDescent="0.25">
      <c r="A2" s="13"/>
      <c r="B2" s="13"/>
      <c r="C2" s="72"/>
      <c r="D2" s="72"/>
      <c r="E2" s="72"/>
      <c r="F2" s="72"/>
      <c r="G2" s="72"/>
      <c r="H2" s="72"/>
      <c r="I2" s="72"/>
      <c r="J2" s="72"/>
      <c r="K2" s="72"/>
      <c r="L2" s="72"/>
      <c r="M2" s="72"/>
      <c r="N2" s="72"/>
      <c r="O2" s="72"/>
      <c r="P2" s="95"/>
      <c r="Q2" s="13"/>
      <c r="R2" s="13"/>
      <c r="S2" s="72"/>
      <c r="T2" s="72"/>
      <c r="U2" s="72"/>
      <c r="V2" s="72"/>
      <c r="W2" s="72"/>
      <c r="X2" s="72"/>
      <c r="Y2" s="72"/>
      <c r="Z2" s="72"/>
      <c r="AA2" s="72"/>
      <c r="AB2" s="72"/>
      <c r="AC2" s="72"/>
      <c r="AD2" s="72"/>
      <c r="AE2" s="72"/>
      <c r="AF2" s="95"/>
      <c r="AG2" s="13"/>
      <c r="AH2" s="13"/>
      <c r="AI2" s="72"/>
      <c r="AJ2" s="72"/>
      <c r="AK2" s="72"/>
      <c r="AL2" s="72"/>
      <c r="AM2" s="72"/>
      <c r="AN2" s="72"/>
      <c r="AO2" s="72"/>
      <c r="AP2" s="72"/>
      <c r="AQ2" s="72"/>
      <c r="AR2" s="72"/>
      <c r="AS2" s="72"/>
      <c r="AT2" s="72"/>
      <c r="AU2" s="72"/>
      <c r="AV2" s="95"/>
      <c r="AW2" s="13"/>
      <c r="AX2" s="13"/>
      <c r="AY2" s="72"/>
      <c r="AZ2" s="72"/>
      <c r="BA2" s="72"/>
      <c r="BB2" s="72"/>
      <c r="BC2" s="72"/>
      <c r="BD2" s="72"/>
      <c r="BE2" s="72"/>
      <c r="BF2" s="72"/>
      <c r="BG2" s="72"/>
      <c r="BH2" s="72"/>
      <c r="BI2" s="72"/>
      <c r="BJ2" s="72"/>
      <c r="BK2" s="72"/>
      <c r="BL2" s="90"/>
      <c r="BM2" s="13"/>
      <c r="BN2" s="13"/>
      <c r="BO2" s="72"/>
      <c r="BP2" s="72"/>
      <c r="BQ2" s="72"/>
      <c r="BR2" s="72"/>
      <c r="BS2" s="72"/>
      <c r="BT2" s="72"/>
      <c r="BU2" s="72"/>
      <c r="BV2" s="72"/>
      <c r="BW2" s="72"/>
      <c r="BX2" s="72"/>
      <c r="BY2" s="72"/>
      <c r="BZ2" s="72"/>
      <c r="CA2" s="72"/>
      <c r="CB2" s="95"/>
      <c r="CC2" s="13"/>
      <c r="CD2" s="13"/>
      <c r="CE2" s="72"/>
      <c r="CF2" s="72"/>
      <c r="CG2" s="72"/>
      <c r="CH2" s="72"/>
      <c r="CI2" s="72"/>
      <c r="CJ2" s="72"/>
      <c r="CK2" s="72"/>
      <c r="CL2" s="72"/>
      <c r="CM2" s="72"/>
      <c r="CN2" s="72"/>
      <c r="CO2" s="72"/>
      <c r="CP2" s="72"/>
      <c r="CQ2" s="72"/>
      <c r="CR2" s="95"/>
      <c r="CS2" s="106" t="s">
        <v>333</v>
      </c>
      <c r="CT2" s="106"/>
      <c r="CU2" s="107"/>
      <c r="CV2" s="107"/>
      <c r="CW2" s="107"/>
      <c r="CX2" s="107"/>
      <c r="CY2" s="107"/>
      <c r="CZ2" s="107"/>
      <c r="DA2" s="107"/>
      <c r="DB2" s="107"/>
      <c r="DC2" s="107"/>
      <c r="DD2" s="107"/>
      <c r="DE2" s="107"/>
      <c r="DF2" s="107"/>
      <c r="DG2" s="107"/>
      <c r="DH2" s="123"/>
      <c r="DI2" s="13"/>
      <c r="DJ2" s="13"/>
      <c r="DK2" s="52"/>
      <c r="DL2" s="52"/>
      <c r="DM2" s="52"/>
      <c r="DN2" s="52"/>
      <c r="DO2" s="52"/>
      <c r="DP2" s="52"/>
      <c r="DQ2" s="52"/>
      <c r="DR2" s="52"/>
      <c r="DS2" s="52"/>
      <c r="DT2" s="52"/>
      <c r="DU2" s="52"/>
      <c r="DV2" s="52"/>
      <c r="DW2" s="90"/>
    </row>
    <row r="3" spans="1:128" ht="16.5" x14ac:dyDescent="0.25">
      <c r="A3" s="54" t="s">
        <v>305</v>
      </c>
      <c r="B3" s="54"/>
      <c r="C3" s="73"/>
      <c r="D3" s="73"/>
      <c r="E3" s="73"/>
      <c r="F3" s="73"/>
      <c r="G3" s="73"/>
      <c r="H3" s="73"/>
      <c r="I3" s="73"/>
      <c r="J3" s="73"/>
      <c r="K3" s="73"/>
      <c r="L3" s="73"/>
      <c r="M3" s="73"/>
      <c r="N3" s="73"/>
      <c r="O3" s="73"/>
      <c r="P3" s="96"/>
      <c r="Q3" s="54" t="s">
        <v>306</v>
      </c>
      <c r="R3" s="54"/>
      <c r="S3" s="73"/>
      <c r="T3" s="73"/>
      <c r="U3" s="73"/>
      <c r="V3" s="73"/>
      <c r="W3" s="73"/>
      <c r="X3" s="73"/>
      <c r="Y3" s="73"/>
      <c r="Z3" s="73"/>
      <c r="AA3" s="73"/>
      <c r="AB3" s="73"/>
      <c r="AC3" s="73"/>
      <c r="AD3" s="73"/>
      <c r="AE3" s="73"/>
      <c r="AF3" s="96"/>
      <c r="AG3" s="54" t="s">
        <v>329</v>
      </c>
      <c r="AH3" s="54"/>
      <c r="AI3" s="73"/>
      <c r="AJ3" s="73"/>
      <c r="AK3" s="73"/>
      <c r="AL3" s="73"/>
      <c r="AM3" s="73"/>
      <c r="AN3" s="73"/>
      <c r="AO3" s="73"/>
      <c r="AP3" s="73"/>
      <c r="AQ3" s="73"/>
      <c r="AR3" s="73"/>
      <c r="AS3" s="73"/>
      <c r="AT3" s="73"/>
      <c r="AU3" s="73"/>
      <c r="AV3" s="96"/>
      <c r="AW3" s="54" t="s">
        <v>330</v>
      </c>
      <c r="AX3" s="54"/>
      <c r="AY3" s="73"/>
      <c r="AZ3" s="73"/>
      <c r="BA3" s="73"/>
      <c r="BB3" s="73"/>
      <c r="BC3" s="73"/>
      <c r="BD3" s="73"/>
      <c r="BE3" s="73"/>
      <c r="BF3" s="73"/>
      <c r="BG3" s="73"/>
      <c r="BH3" s="73"/>
      <c r="BI3" s="73"/>
      <c r="BJ3" s="73"/>
      <c r="BK3" s="73"/>
      <c r="BL3" s="101"/>
      <c r="BM3" s="54" t="s">
        <v>331</v>
      </c>
      <c r="BN3" s="54"/>
      <c r="BO3" s="73"/>
      <c r="BP3" s="73"/>
      <c r="BQ3" s="73"/>
      <c r="BR3" s="73"/>
      <c r="BS3" s="73"/>
      <c r="BT3" s="73"/>
      <c r="BU3" s="73"/>
      <c r="BV3" s="73"/>
      <c r="BW3" s="73"/>
      <c r="BX3" s="73"/>
      <c r="BY3" s="73"/>
      <c r="BZ3" s="73"/>
      <c r="CA3" s="73"/>
      <c r="CB3" s="96"/>
      <c r="CC3" s="54" t="s">
        <v>332</v>
      </c>
      <c r="CD3" s="54"/>
      <c r="CE3" s="73"/>
      <c r="CF3" s="73"/>
      <c r="CG3" s="73"/>
      <c r="CH3" s="73"/>
      <c r="CI3" s="73"/>
      <c r="CJ3" s="73"/>
      <c r="CK3" s="73"/>
      <c r="CL3" s="73"/>
      <c r="CM3" s="73"/>
      <c r="CN3" s="73"/>
      <c r="CO3" s="73"/>
      <c r="CP3" s="73"/>
      <c r="CQ3" s="73"/>
      <c r="CR3" s="96"/>
      <c r="CS3" s="54" t="s">
        <v>0</v>
      </c>
      <c r="CT3" s="54"/>
      <c r="CU3" s="73"/>
      <c r="CV3" s="73"/>
      <c r="CW3" s="73"/>
      <c r="CX3" s="73"/>
      <c r="CY3" s="73"/>
      <c r="CZ3" s="73"/>
      <c r="DA3" s="73"/>
      <c r="DB3" s="73"/>
      <c r="DC3" s="73"/>
      <c r="DD3" s="73"/>
      <c r="DE3" s="73"/>
      <c r="DF3" s="73"/>
      <c r="DG3" s="73"/>
      <c r="DH3" s="96"/>
      <c r="DI3" s="54" t="s">
        <v>334</v>
      </c>
      <c r="DJ3" s="54"/>
      <c r="DK3" s="73"/>
      <c r="DL3" s="73"/>
      <c r="DM3" s="73"/>
      <c r="DN3" s="73"/>
      <c r="DO3" s="73"/>
      <c r="DP3" s="73"/>
      <c r="DQ3" s="73"/>
      <c r="DR3" s="73"/>
      <c r="DS3" s="73"/>
      <c r="DT3" s="73"/>
      <c r="DU3" s="73"/>
      <c r="DV3" s="73"/>
      <c r="DW3" s="101"/>
      <c r="DX3" s="101"/>
    </row>
    <row r="4" spans="1:128" ht="16.5" x14ac:dyDescent="0.25">
      <c r="A4" s="106"/>
      <c r="B4" s="106"/>
      <c r="C4" s="107"/>
      <c r="D4" s="107"/>
      <c r="E4" s="107"/>
      <c r="F4" s="107"/>
      <c r="G4" s="107"/>
      <c r="H4" s="107"/>
      <c r="I4" s="107"/>
      <c r="J4" s="107"/>
      <c r="K4" s="107"/>
      <c r="L4" s="107"/>
      <c r="M4" s="107"/>
      <c r="N4" s="107"/>
      <c r="O4" s="107"/>
      <c r="P4" s="123"/>
      <c r="Q4" s="106"/>
      <c r="R4" s="106"/>
      <c r="S4" s="107"/>
      <c r="T4" s="107"/>
      <c r="U4" s="107"/>
      <c r="V4" s="107"/>
      <c r="W4" s="107"/>
      <c r="X4" s="107"/>
      <c r="Y4" s="107"/>
      <c r="Z4" s="107"/>
      <c r="AA4" s="107"/>
      <c r="AB4" s="107"/>
      <c r="AC4" s="107"/>
      <c r="AD4" s="107"/>
      <c r="AE4" s="107"/>
      <c r="AF4" s="123"/>
      <c r="AG4" s="106"/>
      <c r="AH4" s="106"/>
      <c r="AI4" s="107"/>
      <c r="AJ4" s="107"/>
      <c r="AK4" s="107"/>
      <c r="AL4" s="107"/>
      <c r="AM4" s="107"/>
      <c r="AN4" s="107"/>
      <c r="AO4" s="107"/>
      <c r="AP4" s="107"/>
      <c r="AQ4" s="107"/>
      <c r="AR4" s="107"/>
      <c r="AS4" s="107"/>
      <c r="AT4" s="107"/>
      <c r="AU4" s="107"/>
      <c r="AV4" s="123"/>
      <c r="AW4" s="106"/>
      <c r="AX4" s="106"/>
      <c r="AY4" s="107"/>
      <c r="AZ4" s="107"/>
      <c r="BA4" s="107"/>
      <c r="BB4" s="107"/>
      <c r="BC4" s="107"/>
      <c r="BD4" s="107"/>
      <c r="BE4" s="107"/>
      <c r="BF4" s="107"/>
      <c r="BG4" s="107"/>
      <c r="BH4" s="107"/>
      <c r="BI4" s="107"/>
      <c r="BJ4" s="107"/>
      <c r="BK4" s="107"/>
      <c r="BL4" s="125"/>
      <c r="BM4" s="106"/>
      <c r="BN4" s="106"/>
      <c r="BO4" s="107"/>
      <c r="BP4" s="107"/>
      <c r="BQ4" s="107"/>
      <c r="BR4" s="107"/>
      <c r="BS4" s="107"/>
      <c r="BT4" s="107"/>
      <c r="BU4" s="107"/>
      <c r="BV4" s="107"/>
      <c r="BW4" s="107"/>
      <c r="BX4" s="107"/>
      <c r="BY4" s="107"/>
      <c r="BZ4" s="107"/>
      <c r="CA4" s="107"/>
      <c r="CB4" s="123"/>
      <c r="CC4" s="106"/>
      <c r="CD4" s="106"/>
      <c r="CE4" s="107"/>
      <c r="CF4" s="107"/>
      <c r="CG4" s="107"/>
      <c r="CH4" s="107"/>
      <c r="CI4" s="107"/>
      <c r="CJ4" s="107"/>
      <c r="CK4" s="107"/>
      <c r="CL4" s="107"/>
      <c r="CM4" s="107"/>
      <c r="CN4" s="107"/>
      <c r="CO4" s="107"/>
      <c r="CP4" s="107"/>
      <c r="CQ4" s="107"/>
      <c r="CR4" s="123"/>
      <c r="CS4" s="13"/>
      <c r="CT4" s="13"/>
      <c r="CU4" s="72"/>
      <c r="CV4" s="72"/>
      <c r="CW4" s="72"/>
      <c r="CX4" s="72"/>
      <c r="CY4" s="72"/>
      <c r="CZ4" s="72"/>
      <c r="DA4" s="72"/>
      <c r="DB4" s="72"/>
      <c r="DC4" s="72"/>
      <c r="DD4" s="72"/>
      <c r="DE4" s="72"/>
      <c r="DF4" s="72"/>
      <c r="DG4" s="72"/>
      <c r="DH4" s="95"/>
      <c r="DI4" s="106"/>
      <c r="DJ4" s="106"/>
      <c r="DK4" s="107"/>
      <c r="DL4" s="107"/>
      <c r="DM4" s="107"/>
      <c r="DN4" s="107"/>
      <c r="DO4" s="107"/>
      <c r="DP4" s="107"/>
      <c r="DQ4" s="107"/>
      <c r="DR4" s="107"/>
      <c r="DS4" s="107"/>
      <c r="DT4" s="107"/>
      <c r="DU4" s="107"/>
      <c r="DV4" s="107"/>
      <c r="DW4" s="125"/>
    </row>
    <row r="5" spans="1:128" x14ac:dyDescent="0.2">
      <c r="A5" s="13"/>
      <c r="B5" s="68" t="s">
        <v>573</v>
      </c>
      <c r="C5" s="72"/>
      <c r="D5" s="72"/>
      <c r="E5" s="72"/>
      <c r="F5" s="72"/>
      <c r="G5" s="72"/>
      <c r="H5" s="72"/>
      <c r="I5" s="72"/>
      <c r="J5" s="72"/>
      <c r="K5" s="271"/>
      <c r="L5" s="72"/>
      <c r="M5" s="72"/>
      <c r="N5" s="72"/>
      <c r="O5" s="72"/>
      <c r="P5" s="95"/>
      <c r="Q5" s="45"/>
      <c r="R5" s="13"/>
      <c r="S5" s="72"/>
      <c r="T5" s="72"/>
      <c r="U5" s="72"/>
      <c r="V5" s="72"/>
      <c r="W5" s="72"/>
      <c r="X5" s="72"/>
      <c r="Y5" s="72"/>
      <c r="Z5" s="72"/>
      <c r="AA5" s="72"/>
      <c r="AB5" s="72"/>
      <c r="AC5" s="72"/>
      <c r="AD5" s="72"/>
      <c r="AE5" s="72"/>
      <c r="AF5" s="95"/>
      <c r="AG5" s="45"/>
      <c r="AH5" s="13"/>
      <c r="AI5" s="72"/>
      <c r="AJ5" s="72"/>
      <c r="AK5" s="72"/>
      <c r="AL5" s="72"/>
      <c r="AM5" s="72"/>
      <c r="AN5" s="72"/>
      <c r="AO5" s="72"/>
      <c r="AP5" s="72"/>
      <c r="AQ5" s="72"/>
      <c r="AR5" s="72"/>
      <c r="AS5" s="72"/>
      <c r="AT5" s="72"/>
      <c r="AU5" s="72"/>
      <c r="AV5" s="95"/>
      <c r="AW5" s="13"/>
      <c r="AX5" s="13"/>
      <c r="AY5" s="72"/>
      <c r="AZ5" s="72"/>
      <c r="BA5" s="72"/>
      <c r="BB5" s="72"/>
      <c r="BC5" s="72"/>
      <c r="BD5" s="72"/>
      <c r="BE5" s="72"/>
      <c r="BF5" s="72"/>
      <c r="BG5" s="72"/>
      <c r="BH5" s="72"/>
      <c r="BI5" s="72"/>
      <c r="BJ5" s="72"/>
      <c r="BK5" s="72"/>
      <c r="BL5" s="92"/>
      <c r="BM5" s="45"/>
      <c r="BN5" s="13"/>
      <c r="BO5" s="72"/>
      <c r="BP5" s="72"/>
      <c r="BQ5" s="72"/>
      <c r="BR5" s="72"/>
      <c r="BS5" s="72"/>
      <c r="BT5" s="72"/>
      <c r="BU5" s="72"/>
      <c r="BV5" s="72"/>
      <c r="BW5" s="72"/>
      <c r="BX5" s="72"/>
      <c r="BY5" s="72"/>
      <c r="BZ5" s="72"/>
      <c r="CA5" s="72"/>
      <c r="CB5" s="95"/>
      <c r="CC5" s="39"/>
      <c r="CD5" s="13"/>
      <c r="CE5" s="72"/>
      <c r="CF5" s="72"/>
      <c r="CG5" s="72"/>
      <c r="CH5" s="72"/>
      <c r="CI5" s="72"/>
      <c r="CJ5" s="72"/>
      <c r="CK5" s="72"/>
      <c r="CL5" s="72"/>
      <c r="CM5" s="72"/>
      <c r="CN5" s="72"/>
      <c r="CO5" s="72"/>
      <c r="CP5" s="72"/>
      <c r="CQ5" s="72"/>
      <c r="CR5" s="95"/>
      <c r="CS5" s="68" t="s">
        <v>570</v>
      </c>
      <c r="CT5" s="13"/>
      <c r="CU5" s="72"/>
      <c r="CV5" s="72"/>
      <c r="CW5" s="72"/>
      <c r="CX5" s="72"/>
      <c r="CY5" s="72"/>
      <c r="CZ5" s="72"/>
      <c r="DA5" s="72"/>
      <c r="DB5" s="72"/>
      <c r="DC5" s="72"/>
      <c r="DD5" s="72"/>
      <c r="DE5" s="72"/>
      <c r="DF5" s="72"/>
      <c r="DG5" s="72"/>
      <c r="DH5" s="95"/>
      <c r="DK5" s="58"/>
      <c r="DL5" s="58"/>
      <c r="DM5" s="58"/>
      <c r="DN5" s="58"/>
      <c r="DO5" s="58"/>
      <c r="DP5" s="58"/>
      <c r="DQ5" s="58"/>
      <c r="DR5" s="58"/>
      <c r="DS5" s="58"/>
      <c r="DT5" s="58"/>
      <c r="DU5" s="58"/>
      <c r="DV5" s="58"/>
      <c r="DW5" s="92"/>
    </row>
    <row r="6" spans="1:128" ht="12.75" customHeight="1" x14ac:dyDescent="0.2">
      <c r="A6" s="13"/>
      <c r="B6" s="68" t="s">
        <v>837</v>
      </c>
      <c r="C6" s="430"/>
      <c r="D6" s="72"/>
      <c r="E6" s="72"/>
      <c r="F6" s="72"/>
      <c r="G6" s="72"/>
      <c r="H6" s="72"/>
      <c r="I6" s="72"/>
      <c r="J6" s="72"/>
      <c r="K6" s="271"/>
      <c r="L6" s="72"/>
      <c r="M6" s="72"/>
      <c r="N6" s="72"/>
      <c r="O6" s="72"/>
      <c r="P6" s="95"/>
      <c r="Q6" s="68" t="s">
        <v>565</v>
      </c>
      <c r="R6" s="13"/>
      <c r="S6" s="72"/>
      <c r="T6" s="72"/>
      <c r="U6" s="72"/>
      <c r="V6" s="72"/>
      <c r="W6" s="72"/>
      <c r="X6" s="72"/>
      <c r="Y6" s="72"/>
      <c r="Z6" s="72"/>
      <c r="AA6" s="72"/>
      <c r="AB6" s="72"/>
      <c r="AC6" s="72"/>
      <c r="AD6" s="72"/>
      <c r="AE6" s="72"/>
      <c r="AF6" s="95"/>
      <c r="AG6" s="68" t="s">
        <v>565</v>
      </c>
      <c r="AH6" s="13"/>
      <c r="AI6" s="72"/>
      <c r="AJ6" s="72"/>
      <c r="AK6" s="72"/>
      <c r="AL6" s="72"/>
      <c r="AM6" s="72"/>
      <c r="AN6" s="72"/>
      <c r="AO6" s="72"/>
      <c r="AP6" s="72"/>
      <c r="AQ6" s="72"/>
      <c r="AR6" s="72"/>
      <c r="AS6" s="72"/>
      <c r="AT6" s="72"/>
      <c r="AU6" s="72"/>
      <c r="AV6" s="95"/>
      <c r="AW6" s="68" t="s">
        <v>806</v>
      </c>
      <c r="AX6" s="68"/>
      <c r="AY6" s="72"/>
      <c r="AZ6" s="72"/>
      <c r="BA6" s="72"/>
      <c r="BB6" s="72"/>
      <c r="BC6" s="72"/>
      <c r="BD6" s="72"/>
      <c r="BE6" s="72"/>
      <c r="BF6" s="72"/>
      <c r="BG6" s="72"/>
      <c r="BH6" s="72"/>
      <c r="BI6" s="72"/>
      <c r="BJ6" s="72"/>
      <c r="BK6" s="72"/>
      <c r="BL6" s="90"/>
      <c r="BM6" s="68" t="s">
        <v>567</v>
      </c>
      <c r="BN6" s="13"/>
      <c r="BO6" s="72"/>
      <c r="BP6" s="72"/>
      <c r="BQ6" s="72"/>
      <c r="BR6" s="72"/>
      <c r="BS6" s="72"/>
      <c r="BT6" s="72"/>
      <c r="BU6" s="72"/>
      <c r="BV6" s="72"/>
      <c r="BW6" s="72"/>
      <c r="BX6" s="72"/>
      <c r="BY6" s="72"/>
      <c r="BZ6" s="72"/>
      <c r="CA6" s="72"/>
      <c r="CB6" s="95"/>
      <c r="CC6" s="68" t="s">
        <v>569</v>
      </c>
      <c r="CD6" s="13"/>
      <c r="CE6" s="72"/>
      <c r="CF6" s="72"/>
      <c r="CG6" s="72"/>
      <c r="CH6" s="72"/>
      <c r="CI6" s="72"/>
      <c r="CJ6" s="72"/>
      <c r="CK6" s="72"/>
      <c r="CL6" s="72"/>
      <c r="CM6" s="72"/>
      <c r="CN6" s="72"/>
      <c r="CO6" s="72"/>
      <c r="CP6" s="72"/>
      <c r="CQ6" s="72"/>
      <c r="CR6" s="95"/>
      <c r="CS6" s="270" t="str">
        <f>+CC7</f>
        <v>Recettes réelles de fonctionnement : en M14 et M57, crédit net du compte 7 (excepté les comptes 775, 776, 777, 78 et 75882 (M57)) et des comptes 65541 (M14) et 65561 (M57) pour les communes de la MGP (moindres recettes)</v>
      </c>
      <c r="CT6" s="13"/>
      <c r="CU6" s="72"/>
      <c r="CV6" s="72"/>
      <c r="CW6" s="72"/>
      <c r="CX6" s="72"/>
      <c r="CY6" s="72"/>
      <c r="CZ6" s="72"/>
      <c r="DA6" s="72"/>
      <c r="DB6" s="72"/>
      <c r="DC6" s="72"/>
      <c r="DD6" s="72"/>
      <c r="DE6" s="72"/>
      <c r="DF6" s="72"/>
      <c r="DG6" s="72"/>
      <c r="DH6" s="95"/>
      <c r="DI6" s="68" t="s">
        <v>1</v>
      </c>
      <c r="DJ6" s="13"/>
      <c r="DK6" s="52"/>
      <c r="DL6" s="52"/>
      <c r="DM6" s="52"/>
      <c r="DN6" s="52"/>
      <c r="DO6" s="52"/>
      <c r="DP6" s="52"/>
      <c r="DQ6" s="52"/>
      <c r="DR6" s="52"/>
      <c r="DS6" s="52"/>
      <c r="DT6" s="52"/>
      <c r="DU6" s="52"/>
      <c r="DV6" s="52"/>
      <c r="DW6" s="90"/>
    </row>
    <row r="7" spans="1:128" x14ac:dyDescent="0.2">
      <c r="A7" s="9"/>
      <c r="B7" s="260"/>
      <c r="C7" s="72"/>
      <c r="D7" s="72"/>
      <c r="E7" s="72"/>
      <c r="F7" s="72"/>
      <c r="G7" s="72"/>
      <c r="H7" s="72"/>
      <c r="I7" s="72"/>
      <c r="J7" s="72"/>
      <c r="K7" s="72"/>
      <c r="L7" s="72"/>
      <c r="M7" s="72"/>
      <c r="N7" s="72"/>
      <c r="O7" s="72"/>
      <c r="P7" s="95"/>
      <c r="Q7" s="921" t="s">
        <v>634</v>
      </c>
      <c r="R7" s="13"/>
      <c r="S7" s="72"/>
      <c r="T7" s="72"/>
      <c r="U7" s="72"/>
      <c r="V7" s="72"/>
      <c r="W7" s="72"/>
      <c r="X7" s="72"/>
      <c r="Y7" s="72"/>
      <c r="Z7" s="72"/>
      <c r="AA7" s="72"/>
      <c r="AB7" s="72"/>
      <c r="AC7" s="72"/>
      <c r="AD7" s="72"/>
      <c r="AE7" s="72"/>
      <c r="AF7" s="95"/>
      <c r="AG7" s="68" t="s">
        <v>634</v>
      </c>
      <c r="AH7" s="13"/>
      <c r="AI7" s="72"/>
      <c r="AJ7" s="72"/>
      <c r="AK7" s="72"/>
      <c r="AL7" s="72"/>
      <c r="AM7" s="72"/>
      <c r="AN7" s="72"/>
      <c r="AO7" s="72"/>
      <c r="AP7" s="72"/>
      <c r="AQ7" s="72"/>
      <c r="AR7" s="72"/>
      <c r="AS7" s="72"/>
      <c r="AT7" s="72"/>
      <c r="AU7" s="72"/>
      <c r="AV7" s="95"/>
      <c r="AW7" s="68" t="s">
        <v>805</v>
      </c>
      <c r="AX7" s="68"/>
      <c r="AY7" s="72"/>
      <c r="AZ7" s="72"/>
      <c r="BA7" s="72"/>
      <c r="BB7" s="72"/>
      <c r="BC7" s="72"/>
      <c r="BD7" s="72"/>
      <c r="BE7" s="72"/>
      <c r="BF7" s="72"/>
      <c r="BG7" s="72"/>
      <c r="BH7" s="72"/>
      <c r="BI7" s="72"/>
      <c r="BJ7" s="72"/>
      <c r="BK7" s="72"/>
      <c r="BL7" s="90"/>
      <c r="BM7" s="68" t="s">
        <v>568</v>
      </c>
      <c r="BN7" s="13"/>
      <c r="BO7" s="72"/>
      <c r="BP7" s="72"/>
      <c r="BQ7" s="72"/>
      <c r="BR7" s="72"/>
      <c r="BS7" s="72"/>
      <c r="BT7" s="72"/>
      <c r="BU7" s="72"/>
      <c r="BV7" s="72"/>
      <c r="BW7" s="72"/>
      <c r="BX7" s="72"/>
      <c r="BY7" s="72"/>
      <c r="BZ7" s="72"/>
      <c r="CA7" s="72"/>
      <c r="CB7" s="95"/>
      <c r="CC7" s="270" t="str">
        <f>+BM8</f>
        <v>Recettes réelles de fonctionnement : en M14 et M57, crédit net du compte 7 (excepté les comptes 775, 776, 777, 78 et 75882 (M57)) et des comptes 65541 (M14) et 65561 (M57) pour les communes de la MGP (moindres recettes)</v>
      </c>
      <c r="CD7" s="13"/>
      <c r="CE7" s="72"/>
      <c r="CF7" s="72"/>
      <c r="CG7" s="72"/>
      <c r="CH7" s="72"/>
      <c r="CI7" s="72"/>
      <c r="CJ7" s="72"/>
      <c r="CK7" s="72"/>
      <c r="CL7" s="72"/>
      <c r="CM7" s="72"/>
      <c r="CN7" s="72"/>
      <c r="CO7" s="72"/>
      <c r="CP7" s="72"/>
      <c r="CQ7" s="72"/>
      <c r="CR7" s="95"/>
      <c r="CS7" s="13"/>
      <c r="CT7" s="8"/>
      <c r="CU7" s="84"/>
      <c r="CV7" s="84"/>
      <c r="CW7" s="84"/>
      <c r="CX7" s="84"/>
      <c r="CY7" s="84"/>
      <c r="CZ7" s="84"/>
      <c r="DA7" s="84"/>
      <c r="DB7" s="84"/>
      <c r="DC7" s="84"/>
      <c r="DD7" s="84"/>
      <c r="DE7" s="84"/>
      <c r="DF7" s="84"/>
      <c r="DG7" s="84"/>
      <c r="DH7" s="89"/>
      <c r="DI7" s="270" t="str">
        <f>+CS6</f>
        <v>Recettes réelles de fonctionnement : en M14 et M57, crédit net du compte 7 (excepté les comptes 775, 776, 777, 78 et 75882 (M57)) et des comptes 65541 (M14) et 65561 (M57) pour les communes de la MGP (moindres recettes)</v>
      </c>
      <c r="DJ7" s="13"/>
      <c r="DK7" s="53"/>
      <c r="DL7" s="53"/>
      <c r="DM7" s="53"/>
      <c r="DN7" s="53"/>
      <c r="DO7" s="53"/>
      <c r="DP7" s="53"/>
      <c r="DQ7" s="53"/>
      <c r="DR7" s="53"/>
      <c r="DS7" s="53"/>
      <c r="DT7" s="53"/>
      <c r="DU7" s="53"/>
      <c r="DV7" s="53"/>
      <c r="DW7" s="90"/>
    </row>
    <row r="8" spans="1:128" x14ac:dyDescent="0.2">
      <c r="A8" s="8"/>
      <c r="B8" s="8"/>
      <c r="C8" s="84"/>
      <c r="D8" s="84"/>
      <c r="E8" s="84"/>
      <c r="F8" s="84"/>
      <c r="G8" s="84"/>
      <c r="H8" s="84"/>
      <c r="I8" s="84"/>
      <c r="J8" s="84"/>
      <c r="K8" s="84"/>
      <c r="L8" s="84"/>
      <c r="M8" s="84"/>
      <c r="N8" s="84"/>
      <c r="O8" s="84"/>
      <c r="P8" s="89"/>
      <c r="Q8" s="13"/>
      <c r="R8" s="8"/>
      <c r="S8" s="84"/>
      <c r="T8" s="84"/>
      <c r="U8" s="84"/>
      <c r="V8" s="84"/>
      <c r="W8" s="84"/>
      <c r="X8" s="84"/>
      <c r="Y8" s="84"/>
      <c r="Z8" s="84"/>
      <c r="AA8" s="84"/>
      <c r="AB8" s="84"/>
      <c r="AC8" s="84"/>
      <c r="AD8" s="84"/>
      <c r="AE8" s="84"/>
      <c r="AF8" s="89"/>
      <c r="AG8" s="68" t="s">
        <v>633</v>
      </c>
      <c r="AH8" s="8"/>
      <c r="AI8" s="84"/>
      <c r="AJ8" s="84"/>
      <c r="AK8" s="84"/>
      <c r="AL8" s="84"/>
      <c r="AM8" s="84"/>
      <c r="AN8" s="84"/>
      <c r="AO8" s="84"/>
      <c r="AP8" s="84"/>
      <c r="AQ8" s="84"/>
      <c r="AR8" s="84"/>
      <c r="AS8" s="84"/>
      <c r="AT8" s="84"/>
      <c r="AU8" s="84"/>
      <c r="AV8" s="89"/>
      <c r="AW8" s="68" t="s">
        <v>838</v>
      </c>
      <c r="AX8" s="8"/>
      <c r="AY8" s="84"/>
      <c r="AZ8" s="84"/>
      <c r="BA8" s="84"/>
      <c r="BB8" s="84"/>
      <c r="BC8" s="84"/>
      <c r="BD8" s="84"/>
      <c r="BE8" s="84"/>
      <c r="BF8" s="84"/>
      <c r="BG8" s="84"/>
      <c r="BH8" s="84"/>
      <c r="BI8" s="84"/>
      <c r="BJ8" s="84"/>
      <c r="BK8" s="84"/>
      <c r="BL8" s="90"/>
      <c r="BM8" s="270" t="str">
        <f>+AW8</f>
        <v>Recettes réelles de fonctionnement : en M14 et M57, crédit net du compte 7 (excepté les comptes 775, 776, 777, 78 et 75882 (M57)) et des comptes 65541 (M14) et 65561 (M57) pour les communes de la MGP (moindres recettes)</v>
      </c>
      <c r="BN8" s="8"/>
      <c r="BO8" s="84"/>
      <c r="BP8" s="84"/>
      <c r="BQ8" s="84"/>
      <c r="BR8" s="84"/>
      <c r="BS8" s="84"/>
      <c r="BT8" s="84"/>
      <c r="BU8" s="84"/>
      <c r="BV8" s="84"/>
      <c r="BW8" s="84"/>
      <c r="BX8" s="84"/>
      <c r="BY8" s="84"/>
      <c r="BZ8" s="84"/>
      <c r="CA8" s="84"/>
      <c r="CB8" s="89"/>
      <c r="CC8" s="8"/>
      <c r="CD8" s="8"/>
      <c r="CE8" s="84"/>
      <c r="CF8" s="84"/>
      <c r="CG8" s="84"/>
      <c r="CH8" s="84"/>
      <c r="CI8" s="84"/>
      <c r="CJ8" s="84"/>
      <c r="CK8" s="84"/>
      <c r="CL8" s="84"/>
      <c r="CM8" s="84"/>
      <c r="CN8" s="84"/>
      <c r="CO8" s="84"/>
      <c r="CP8" s="84"/>
      <c r="CQ8" s="84"/>
      <c r="CR8" s="89"/>
      <c r="CS8" s="13"/>
      <c r="CT8" s="13"/>
      <c r="CU8" s="72"/>
      <c r="CV8" s="72"/>
      <c r="CW8" s="72"/>
      <c r="CX8" s="72"/>
      <c r="CY8" s="72"/>
      <c r="CZ8" s="72"/>
      <c r="DA8" s="72"/>
      <c r="DB8" s="72"/>
      <c r="DC8" s="72"/>
      <c r="DD8" s="72"/>
      <c r="DE8" s="72"/>
      <c r="DF8" s="72"/>
      <c r="DG8" s="72"/>
      <c r="DH8" s="95"/>
      <c r="DI8" s="13"/>
      <c r="DJ8" s="8"/>
      <c r="DK8" s="53"/>
      <c r="DL8" s="53"/>
      <c r="DM8" s="53"/>
      <c r="DN8" s="53"/>
      <c r="DO8" s="53"/>
      <c r="DP8" s="53"/>
      <c r="DQ8" s="53"/>
      <c r="DR8" s="53"/>
      <c r="DS8" s="53"/>
      <c r="DT8" s="53"/>
      <c r="DU8" s="53"/>
      <c r="DV8" s="53"/>
      <c r="DW8" s="90"/>
    </row>
    <row r="9" spans="1:128" x14ac:dyDescent="0.2">
      <c r="C9" s="72"/>
      <c r="D9" s="72"/>
      <c r="E9" s="72"/>
      <c r="F9" s="72"/>
      <c r="G9" s="72"/>
      <c r="H9" s="271"/>
      <c r="I9" s="72"/>
      <c r="J9" s="72"/>
      <c r="K9" s="72"/>
      <c r="L9" s="72"/>
      <c r="M9" s="72"/>
      <c r="N9" s="72"/>
      <c r="O9" s="72"/>
      <c r="P9" s="95"/>
      <c r="Q9" s="45"/>
      <c r="R9" s="13"/>
      <c r="S9" s="72"/>
      <c r="T9" s="72"/>
      <c r="U9" s="72"/>
      <c r="V9" s="72"/>
      <c r="W9" s="72"/>
      <c r="X9" s="72"/>
      <c r="Y9" s="72"/>
      <c r="Z9" s="72"/>
      <c r="AA9" s="72"/>
      <c r="AB9" s="72"/>
      <c r="AC9" s="72"/>
      <c r="AD9" s="72"/>
      <c r="AE9" s="72"/>
      <c r="AF9" s="95"/>
      <c r="AG9" s="45"/>
      <c r="AH9" s="13"/>
      <c r="AI9" s="72"/>
      <c r="AJ9" s="72"/>
      <c r="AK9" s="72"/>
      <c r="AL9" s="72"/>
      <c r="AM9" s="72"/>
      <c r="AN9" s="72"/>
      <c r="AO9" s="72"/>
      <c r="AP9" s="72"/>
      <c r="AQ9" s="72"/>
      <c r="AR9" s="72"/>
      <c r="AS9" s="72"/>
      <c r="AT9" s="72"/>
      <c r="AU9" s="72"/>
      <c r="AV9" s="95"/>
      <c r="AW9" s="59"/>
      <c r="AY9" s="53"/>
      <c r="AZ9" s="53"/>
      <c r="BA9" s="53"/>
      <c r="BB9" s="53"/>
      <c r="BC9" s="53"/>
      <c r="BD9" s="53"/>
      <c r="BE9" s="53"/>
      <c r="BF9" s="53"/>
      <c r="BG9" s="53"/>
      <c r="BH9" s="53"/>
      <c r="BI9" s="53"/>
      <c r="BJ9" s="53"/>
      <c r="BK9" s="53"/>
      <c r="BL9" s="90"/>
      <c r="BM9" s="13"/>
      <c r="BN9" s="13"/>
      <c r="BO9" s="72"/>
      <c r="BP9" s="72"/>
      <c r="BQ9" s="72"/>
      <c r="BR9" s="72"/>
      <c r="BS9" s="72"/>
      <c r="BT9" s="72"/>
      <c r="BU9" s="72"/>
      <c r="BV9" s="72"/>
      <c r="BW9" s="72"/>
      <c r="BX9" s="72"/>
      <c r="BY9" s="72"/>
      <c r="BZ9" s="72"/>
      <c r="CA9" s="72"/>
      <c r="CB9" s="95"/>
      <c r="CC9" s="13"/>
      <c r="CD9" s="13"/>
      <c r="CE9" s="72"/>
      <c r="CF9" s="72"/>
      <c r="CG9" s="72"/>
      <c r="CH9" s="72"/>
      <c r="CI9" s="72"/>
      <c r="CJ9" s="72"/>
      <c r="CK9" s="72"/>
      <c r="CL9" s="72"/>
      <c r="CM9" s="72"/>
      <c r="CN9" s="72"/>
      <c r="CO9" s="72"/>
      <c r="CP9" s="72"/>
      <c r="CQ9" s="72"/>
      <c r="CR9" s="95"/>
      <c r="CT9" s="13"/>
      <c r="CU9" s="72"/>
      <c r="CV9" s="72"/>
      <c r="CW9" s="72"/>
      <c r="CX9" s="72"/>
      <c r="CY9" s="72"/>
      <c r="CZ9" s="72"/>
      <c r="DA9" s="72"/>
      <c r="DB9" s="72"/>
      <c r="DC9" s="72"/>
      <c r="DD9" s="72"/>
      <c r="DE9" s="72"/>
      <c r="DF9" s="72"/>
      <c r="DG9" s="72"/>
      <c r="DH9" s="95"/>
      <c r="DI9" s="13"/>
      <c r="DJ9" s="13"/>
      <c r="DK9" s="53"/>
      <c r="DL9" s="53"/>
      <c r="DM9" s="53"/>
      <c r="DN9" s="53"/>
      <c r="DO9" s="53"/>
      <c r="DP9" s="53"/>
      <c r="DQ9" s="53"/>
      <c r="DR9" s="53"/>
      <c r="DS9" s="53"/>
      <c r="DT9" s="53"/>
      <c r="DU9" s="53"/>
      <c r="DV9" s="53"/>
      <c r="DW9" s="90"/>
    </row>
    <row r="10" spans="1:128" x14ac:dyDescent="0.2">
      <c r="B10" s="59"/>
      <c r="C10" s="72"/>
      <c r="D10" s="72"/>
      <c r="E10" s="72"/>
      <c r="F10" s="72"/>
      <c r="G10" s="72"/>
      <c r="H10" s="72"/>
      <c r="I10" s="72"/>
      <c r="J10" s="72"/>
      <c r="K10" s="72"/>
      <c r="L10" s="72"/>
      <c r="M10" s="72"/>
      <c r="N10" s="72"/>
      <c r="O10" s="72"/>
      <c r="P10" s="95"/>
      <c r="Q10" s="59"/>
      <c r="R10" s="13"/>
      <c r="S10" s="72"/>
      <c r="T10" s="72"/>
      <c r="U10" s="72"/>
      <c r="V10" s="72"/>
      <c r="W10" s="72"/>
      <c r="X10" s="72"/>
      <c r="Y10" s="72"/>
      <c r="Z10" s="72"/>
      <c r="AA10" s="72"/>
      <c r="AB10" s="72"/>
      <c r="AC10" s="72"/>
      <c r="AD10" s="72"/>
      <c r="AE10" s="72"/>
      <c r="AF10" s="95"/>
      <c r="AG10" s="59" t="s">
        <v>476</v>
      </c>
      <c r="AH10" s="13"/>
      <c r="AI10" s="72"/>
      <c r="AJ10" s="72"/>
      <c r="AK10" s="72"/>
      <c r="AL10" s="72"/>
      <c r="AM10" s="72"/>
      <c r="AN10" s="72"/>
      <c r="AO10" s="72"/>
      <c r="AP10" s="72"/>
      <c r="AQ10" s="72"/>
      <c r="AR10" s="72"/>
      <c r="AS10" s="72"/>
      <c r="AT10" s="72"/>
      <c r="AU10" s="72"/>
      <c r="AV10" s="95"/>
      <c r="AW10" s="59" t="s">
        <v>257</v>
      </c>
      <c r="AY10" s="53"/>
      <c r="AZ10" s="53"/>
      <c r="BA10" s="53"/>
      <c r="BB10" s="53"/>
      <c r="BC10" s="53"/>
      <c r="BD10" s="53"/>
      <c r="BE10" s="53"/>
      <c r="BF10" s="53"/>
      <c r="BG10" s="53"/>
      <c r="BH10" s="53"/>
      <c r="BI10" s="53"/>
      <c r="BJ10" s="53"/>
      <c r="BK10" s="53"/>
      <c r="BL10" s="90"/>
      <c r="BM10" s="59" t="s">
        <v>477</v>
      </c>
      <c r="BN10" s="13"/>
      <c r="BO10" s="72"/>
      <c r="BP10" s="72"/>
      <c r="BQ10" s="72"/>
      <c r="BR10" s="72"/>
      <c r="BS10" s="72"/>
      <c r="BT10" s="72"/>
      <c r="BU10" s="72"/>
      <c r="BV10" s="72"/>
      <c r="BW10" s="72"/>
      <c r="BX10" s="72"/>
      <c r="BY10" s="72"/>
      <c r="BZ10" s="72"/>
      <c r="CA10" s="72"/>
      <c r="CB10" s="95"/>
      <c r="CC10" s="59" t="s">
        <v>258</v>
      </c>
      <c r="CD10" s="13"/>
      <c r="CE10" s="72"/>
      <c r="CF10" s="72"/>
      <c r="CG10" s="72"/>
      <c r="CH10" s="72"/>
      <c r="CI10" s="72"/>
      <c r="CJ10" s="72"/>
      <c r="CK10" s="72"/>
      <c r="CL10" s="72"/>
      <c r="CM10" s="72"/>
      <c r="CN10" s="72"/>
      <c r="CO10" s="72"/>
      <c r="CP10" s="72"/>
      <c r="CQ10" s="72"/>
      <c r="CR10" s="95"/>
      <c r="CS10" s="59" t="s">
        <v>100</v>
      </c>
      <c r="CT10" s="13"/>
      <c r="CU10" s="72"/>
      <c r="CV10" s="72"/>
      <c r="CW10" s="72"/>
      <c r="CX10" s="72"/>
      <c r="CY10" s="72"/>
      <c r="CZ10" s="72"/>
      <c r="DA10" s="72"/>
      <c r="DB10" s="72"/>
      <c r="DC10" s="72"/>
      <c r="DD10" s="72"/>
      <c r="DE10" s="72"/>
      <c r="DF10" s="72"/>
      <c r="DG10" s="72"/>
      <c r="DH10" s="95"/>
      <c r="DI10" s="59"/>
      <c r="DJ10" s="13"/>
      <c r="DK10" s="53"/>
      <c r="DL10" s="53"/>
      <c r="DM10" s="53"/>
      <c r="DN10" s="53"/>
      <c r="DO10" s="53"/>
      <c r="DP10" s="53"/>
      <c r="DQ10" s="53"/>
      <c r="DR10" s="53"/>
      <c r="DS10" s="53"/>
      <c r="DT10" s="53"/>
      <c r="DU10" s="53"/>
      <c r="DV10" s="53"/>
      <c r="DW10" s="90"/>
    </row>
    <row r="11" spans="1:128" x14ac:dyDescent="0.2">
      <c r="A11" s="13"/>
      <c r="B11" s="13"/>
      <c r="C11" s="72"/>
      <c r="D11" s="72"/>
      <c r="E11" s="72"/>
      <c r="F11" s="72"/>
      <c r="G11" s="72"/>
      <c r="H11" s="72"/>
      <c r="I11" s="72"/>
      <c r="J11" s="72"/>
      <c r="K11" s="72"/>
      <c r="L11" s="72"/>
      <c r="M11" s="72"/>
      <c r="N11" s="72"/>
      <c r="O11" s="72"/>
      <c r="P11" s="95"/>
      <c r="Q11" s="13"/>
      <c r="R11" s="13"/>
      <c r="S11" s="72"/>
      <c r="T11" s="72"/>
      <c r="U11" s="72"/>
      <c r="V11" s="72"/>
      <c r="W11" s="72"/>
      <c r="X11" s="72"/>
      <c r="Y11" s="72"/>
      <c r="Z11" s="72"/>
      <c r="AA11" s="72"/>
      <c r="AB11" s="72"/>
      <c r="AC11" s="72"/>
      <c r="AD11" s="72"/>
      <c r="AE11" s="72"/>
      <c r="AF11" s="95"/>
      <c r="AG11" s="13"/>
      <c r="AH11" s="13"/>
      <c r="AI11" s="72"/>
      <c r="AJ11" s="72"/>
      <c r="AK11" s="72"/>
      <c r="AL11" s="72"/>
      <c r="AM11" s="72"/>
      <c r="AN11" s="72"/>
      <c r="AO11" s="72"/>
      <c r="AP11" s="72"/>
      <c r="AQ11" s="72"/>
      <c r="AR11" s="72"/>
      <c r="AS11" s="72"/>
      <c r="AT11" s="72"/>
      <c r="AU11" s="72"/>
      <c r="AV11" s="95"/>
      <c r="AY11" s="53"/>
      <c r="AZ11" s="53"/>
      <c r="BA11" s="53"/>
      <c r="BB11" s="53"/>
      <c r="BC11" s="53"/>
      <c r="BD11" s="53"/>
      <c r="BE11" s="53"/>
      <c r="BF11" s="53"/>
      <c r="BG11" s="53"/>
      <c r="BH11" s="53"/>
      <c r="BI11" s="53"/>
      <c r="BJ11" s="53"/>
      <c r="BK11" s="53"/>
      <c r="BL11" s="90"/>
      <c r="BM11" s="13"/>
      <c r="BN11" s="13"/>
      <c r="BO11" s="72"/>
      <c r="BP11" s="72"/>
      <c r="BQ11" s="72"/>
      <c r="BR11" s="72"/>
      <c r="BS11" s="72"/>
      <c r="BT11" s="72"/>
      <c r="BU11" s="72"/>
      <c r="BV11" s="72"/>
      <c r="BW11" s="72"/>
      <c r="BX11" s="72"/>
      <c r="BY11" s="72"/>
      <c r="BZ11" s="72"/>
      <c r="CA11" s="72"/>
      <c r="CB11" s="95"/>
      <c r="CC11" s="13"/>
      <c r="CD11" s="13"/>
      <c r="CE11" s="72"/>
      <c r="CF11" s="72"/>
      <c r="CG11" s="72"/>
      <c r="CH11" s="72"/>
      <c r="CI11" s="72"/>
      <c r="CJ11" s="72"/>
      <c r="CK11" s="72"/>
      <c r="CL11" s="72"/>
      <c r="CM11" s="72"/>
      <c r="CN11" s="72"/>
      <c r="CO11" s="72"/>
      <c r="CP11" s="72"/>
      <c r="CQ11" s="72"/>
      <c r="CR11" s="95"/>
      <c r="DI11" s="13"/>
      <c r="DJ11" s="13"/>
      <c r="DK11" s="53"/>
      <c r="DL11" s="53"/>
      <c r="DM11" s="53"/>
      <c r="DN11" s="53"/>
      <c r="DO11" s="53"/>
      <c r="DP11" s="53"/>
      <c r="DQ11" s="53"/>
      <c r="DR11" s="53"/>
      <c r="DS11" s="53"/>
      <c r="DT11" s="53"/>
      <c r="DU11" s="53"/>
      <c r="DV11" s="53"/>
      <c r="DW11" s="90"/>
    </row>
    <row r="12" spans="1:128" x14ac:dyDescent="0.2">
      <c r="B12" s="8" t="s">
        <v>260</v>
      </c>
      <c r="C12" s="72"/>
      <c r="D12" s="72"/>
      <c r="E12" s="72"/>
      <c r="F12" s="72"/>
      <c r="G12" s="72"/>
      <c r="H12" s="72"/>
      <c r="I12" s="72"/>
      <c r="J12" s="72"/>
      <c r="K12" s="72"/>
      <c r="L12" s="72"/>
      <c r="M12" s="72"/>
      <c r="N12" s="72"/>
      <c r="O12" s="72"/>
      <c r="P12" s="95"/>
      <c r="Q12" s="13"/>
      <c r="R12" s="13"/>
      <c r="S12" s="72"/>
      <c r="T12" s="72"/>
      <c r="U12" s="72"/>
      <c r="V12" s="72"/>
      <c r="W12" s="72"/>
      <c r="X12" s="72"/>
      <c r="Y12" s="72"/>
      <c r="Z12" s="72"/>
      <c r="AA12" s="72"/>
      <c r="AB12" s="72"/>
      <c r="AC12" s="72"/>
      <c r="AD12" s="72"/>
      <c r="AE12" s="72"/>
      <c r="AF12" s="95"/>
      <c r="AG12" s="13"/>
      <c r="AH12" s="13"/>
      <c r="AI12" s="72"/>
      <c r="AJ12" s="72"/>
      <c r="AK12" s="72"/>
      <c r="AL12" s="72"/>
      <c r="AM12" s="72"/>
      <c r="AN12" s="72"/>
      <c r="AO12" s="72"/>
      <c r="AP12" s="72"/>
      <c r="AQ12" s="72"/>
      <c r="AR12" s="72"/>
      <c r="AS12" s="72"/>
      <c r="AT12" s="72"/>
      <c r="AU12" s="72"/>
      <c r="AV12" s="95"/>
      <c r="AY12" s="53"/>
      <c r="AZ12" s="53"/>
      <c r="BA12" s="53"/>
      <c r="BB12" s="53"/>
      <c r="BC12" s="53"/>
      <c r="BD12" s="53"/>
      <c r="BE12" s="53"/>
      <c r="BF12" s="53"/>
      <c r="BG12" s="53"/>
      <c r="BH12" s="53"/>
      <c r="BI12" s="53"/>
      <c r="BJ12" s="53"/>
      <c r="BK12" s="53"/>
      <c r="BL12" s="90"/>
      <c r="BM12" s="13"/>
      <c r="BN12" s="13"/>
      <c r="BO12" s="72"/>
      <c r="BP12" s="72"/>
      <c r="BQ12" s="72"/>
      <c r="BR12" s="72"/>
      <c r="BS12" s="72"/>
      <c r="BT12" s="72"/>
      <c r="BU12" s="72"/>
      <c r="BV12" s="72"/>
      <c r="BW12" s="72"/>
      <c r="BX12" s="72"/>
      <c r="BY12" s="72"/>
      <c r="BZ12" s="72"/>
      <c r="CA12" s="72"/>
      <c r="CB12" s="95"/>
      <c r="CC12" s="13"/>
      <c r="CD12" s="13"/>
      <c r="CE12" s="72"/>
      <c r="CF12" s="72"/>
      <c r="CG12" s="72"/>
      <c r="CH12" s="72"/>
      <c r="CI12" s="72"/>
      <c r="CJ12" s="72"/>
      <c r="CK12" s="72"/>
      <c r="CL12" s="72"/>
      <c r="CM12" s="72"/>
      <c r="CN12" s="72"/>
      <c r="CO12" s="72"/>
      <c r="CP12" s="72"/>
      <c r="CQ12" s="72"/>
      <c r="CR12" s="95"/>
      <c r="CS12" s="13"/>
      <c r="CT12" s="13"/>
      <c r="CU12" s="72"/>
      <c r="CV12" s="72"/>
      <c r="CW12" s="72"/>
      <c r="CX12" s="72"/>
      <c r="CY12" s="72"/>
      <c r="CZ12" s="72"/>
      <c r="DA12" s="72"/>
      <c r="DB12" s="72"/>
      <c r="DC12" s="72"/>
      <c r="DD12" s="72"/>
      <c r="DE12" s="72"/>
      <c r="DF12" s="72"/>
      <c r="DG12" s="72"/>
      <c r="DH12" s="95"/>
      <c r="DI12" s="13"/>
      <c r="DJ12" s="13"/>
      <c r="DK12" s="53"/>
      <c r="DL12" s="53"/>
      <c r="DM12" s="53"/>
      <c r="DN12" s="53"/>
      <c r="DO12" s="53"/>
      <c r="DP12" s="53"/>
      <c r="DQ12" s="53"/>
      <c r="DR12" s="53"/>
      <c r="DS12" s="53"/>
      <c r="DT12" s="53"/>
      <c r="DU12" s="53"/>
      <c r="DV12" s="53"/>
      <c r="DW12" s="90"/>
    </row>
    <row r="13" spans="1:128" x14ac:dyDescent="0.2">
      <c r="A13" s="8"/>
      <c r="B13" s="13"/>
      <c r="C13" s="72"/>
      <c r="D13" s="72"/>
      <c r="E13" s="72"/>
      <c r="F13" s="72"/>
      <c r="G13" s="72"/>
      <c r="H13" s="72"/>
      <c r="I13" s="72"/>
      <c r="J13" s="72"/>
      <c r="K13" s="72"/>
      <c r="L13" s="72"/>
      <c r="M13" s="72"/>
      <c r="N13" s="72"/>
      <c r="O13" s="72"/>
      <c r="P13" s="95"/>
      <c r="Q13" s="13"/>
      <c r="R13" s="13"/>
      <c r="S13" s="72"/>
      <c r="T13" s="72"/>
      <c r="U13" s="72"/>
      <c r="V13" s="72"/>
      <c r="W13" s="72"/>
      <c r="X13" s="72"/>
      <c r="Y13" s="72"/>
      <c r="Z13" s="72"/>
      <c r="AA13" s="72"/>
      <c r="AB13" s="72"/>
      <c r="AC13" s="72"/>
      <c r="AD13" s="72"/>
      <c r="AE13" s="72"/>
      <c r="AF13" s="95"/>
      <c r="AG13" s="13"/>
      <c r="AH13" s="13"/>
      <c r="AI13" s="72"/>
      <c r="AJ13" s="72"/>
      <c r="AK13" s="72"/>
      <c r="AL13" s="72"/>
      <c r="AM13" s="72"/>
      <c r="AN13" s="72"/>
      <c r="AO13" s="72"/>
      <c r="AP13" s="72"/>
      <c r="AQ13" s="72"/>
      <c r="AR13" s="72"/>
      <c r="AS13" s="72"/>
      <c r="AT13" s="72"/>
      <c r="AU13" s="72"/>
      <c r="AV13" s="95"/>
      <c r="AY13" s="53"/>
      <c r="AZ13" s="53"/>
      <c r="BA13" s="53"/>
      <c r="BB13" s="53"/>
      <c r="BC13" s="53"/>
      <c r="BD13" s="53"/>
      <c r="BE13" s="53"/>
      <c r="BF13" s="53"/>
      <c r="BG13" s="53"/>
      <c r="BH13" s="53"/>
      <c r="BI13" s="53"/>
      <c r="BJ13" s="53"/>
      <c r="BK13" s="53"/>
      <c r="BL13" s="90"/>
      <c r="BM13" s="13"/>
      <c r="BN13" s="13"/>
      <c r="BO13" s="72"/>
      <c r="BP13" s="72"/>
      <c r="BQ13" s="72"/>
      <c r="BR13" s="72"/>
      <c r="BS13" s="72"/>
      <c r="BT13" s="72"/>
      <c r="BU13" s="72"/>
      <c r="BV13" s="72"/>
      <c r="BW13" s="72"/>
      <c r="BX13" s="72"/>
      <c r="BY13" s="72"/>
      <c r="BZ13" s="72"/>
      <c r="CA13" s="72"/>
      <c r="CB13" s="95"/>
      <c r="CC13" s="13"/>
      <c r="CD13" s="13"/>
      <c r="CE13" s="72"/>
      <c r="CF13" s="72"/>
      <c r="CG13" s="72"/>
      <c r="CH13" s="72"/>
      <c r="CI13" s="72"/>
      <c r="CJ13" s="72"/>
      <c r="CK13" s="72"/>
      <c r="CL13" s="72"/>
      <c r="CM13" s="72"/>
      <c r="CN13" s="72"/>
      <c r="CO13" s="72"/>
      <c r="CP13" s="72"/>
      <c r="CQ13" s="72"/>
      <c r="CR13" s="95"/>
      <c r="CS13" s="13"/>
      <c r="CT13" s="13"/>
      <c r="CU13" s="72"/>
      <c r="CV13" s="72"/>
      <c r="CW13" s="72"/>
      <c r="CX13" s="72"/>
      <c r="CY13" s="72"/>
      <c r="CZ13" s="72"/>
      <c r="DA13" s="72"/>
      <c r="DB13" s="72"/>
      <c r="DC13" s="72"/>
      <c r="DD13" s="72"/>
      <c r="DE13" s="72"/>
      <c r="DF13" s="72"/>
      <c r="DG13" s="72"/>
      <c r="DH13" s="95"/>
      <c r="DI13" s="13"/>
      <c r="DJ13" s="13"/>
      <c r="DK13" s="53"/>
      <c r="DL13" s="53"/>
      <c r="DM13" s="53"/>
      <c r="DN13" s="53"/>
      <c r="DO13" s="53"/>
      <c r="DP13" s="53"/>
      <c r="DQ13" s="53"/>
      <c r="DR13" s="53"/>
      <c r="DS13" s="53"/>
      <c r="DT13" s="53"/>
      <c r="DU13" s="53"/>
      <c r="DV13" s="53"/>
      <c r="DW13" s="90"/>
      <c r="DX13" s="13"/>
    </row>
    <row r="14" spans="1:128" x14ac:dyDescent="0.2">
      <c r="A14" s="13"/>
      <c r="B14" s="13"/>
      <c r="C14" s="72"/>
      <c r="D14" s="72"/>
      <c r="E14" s="72"/>
      <c r="F14" s="72"/>
      <c r="G14" s="72"/>
      <c r="H14" s="72"/>
      <c r="I14" s="72"/>
      <c r="J14" s="72"/>
      <c r="K14" s="72"/>
      <c r="L14" s="72"/>
      <c r="M14" s="72"/>
      <c r="N14" s="72"/>
      <c r="O14" s="72"/>
      <c r="P14" s="95"/>
      <c r="Q14" s="13"/>
      <c r="R14" s="13"/>
      <c r="S14" s="72"/>
      <c r="T14" s="72"/>
      <c r="U14" s="72"/>
      <c r="V14" s="72"/>
      <c r="W14" s="72"/>
      <c r="X14" s="72"/>
      <c r="Y14" s="72"/>
      <c r="Z14" s="72"/>
      <c r="AA14" s="72"/>
      <c r="AB14" s="72"/>
      <c r="AC14" s="72"/>
      <c r="AD14" s="72"/>
      <c r="AE14" s="72"/>
      <c r="AF14" s="95"/>
      <c r="AG14" s="13"/>
      <c r="AH14" s="13"/>
      <c r="AI14" s="72"/>
      <c r="AJ14" s="72"/>
      <c r="AK14" s="72"/>
      <c r="AL14" s="72"/>
      <c r="AM14" s="72"/>
      <c r="AN14" s="72"/>
      <c r="AO14" s="72"/>
      <c r="AP14" s="72"/>
      <c r="AQ14" s="72"/>
      <c r="AR14" s="72"/>
      <c r="AS14" s="72"/>
      <c r="AT14" s="72"/>
      <c r="AU14" s="72"/>
      <c r="AV14" s="95"/>
      <c r="AY14" s="53"/>
      <c r="AZ14" s="53"/>
      <c r="BA14" s="53"/>
      <c r="BB14" s="53"/>
      <c r="BC14" s="53"/>
      <c r="BD14" s="53"/>
      <c r="BE14" s="53"/>
      <c r="BF14" s="53"/>
      <c r="BG14" s="53"/>
      <c r="BH14" s="53"/>
      <c r="BI14" s="53"/>
      <c r="BJ14" s="53"/>
      <c r="BK14" s="53"/>
      <c r="BL14" s="90"/>
      <c r="BM14" s="13"/>
      <c r="BN14" s="13"/>
      <c r="BO14" s="72"/>
      <c r="BP14" s="72"/>
      <c r="BQ14" s="72"/>
      <c r="BR14" s="72"/>
      <c r="BS14" s="72"/>
      <c r="BT14" s="72"/>
      <c r="BU14" s="72"/>
      <c r="BV14" s="72"/>
      <c r="BW14" s="72"/>
      <c r="BX14" s="72"/>
      <c r="BY14" s="72"/>
      <c r="BZ14" s="72"/>
      <c r="CA14" s="72"/>
      <c r="CB14" s="95"/>
      <c r="CC14" s="13"/>
      <c r="CD14" s="13"/>
      <c r="CE14" s="72"/>
      <c r="CF14" s="72"/>
      <c r="CG14" s="72"/>
      <c r="CH14" s="72"/>
      <c r="CI14" s="72"/>
      <c r="CJ14" s="72"/>
      <c r="CK14" s="72"/>
      <c r="CL14" s="72"/>
      <c r="CM14" s="72"/>
      <c r="CN14" s="72"/>
      <c r="CO14" s="72"/>
      <c r="CP14" s="72"/>
      <c r="CQ14" s="72"/>
      <c r="CR14" s="95"/>
      <c r="CS14" s="13"/>
      <c r="CT14" s="13"/>
      <c r="CU14" s="72"/>
      <c r="CV14" s="72"/>
      <c r="CW14" s="72"/>
      <c r="CX14" s="72"/>
      <c r="CY14" s="72"/>
      <c r="CZ14" s="72"/>
      <c r="DA14" s="72"/>
      <c r="DB14" s="72"/>
      <c r="DC14" s="72"/>
      <c r="DD14" s="72"/>
      <c r="DE14" s="72"/>
      <c r="DF14" s="72"/>
      <c r="DG14" s="72"/>
      <c r="DH14" s="95"/>
      <c r="DI14" s="13"/>
      <c r="DJ14" s="13"/>
      <c r="DK14" s="53"/>
      <c r="DL14" s="53"/>
      <c r="DM14" s="53"/>
      <c r="DN14" s="53"/>
      <c r="DO14" s="53"/>
      <c r="DP14" s="53"/>
      <c r="DQ14" s="53"/>
      <c r="DR14" s="53"/>
      <c r="DS14" s="53"/>
      <c r="DT14" s="53"/>
      <c r="DU14" s="53"/>
      <c r="DV14" s="53"/>
      <c r="DW14" s="90"/>
    </row>
    <row r="15" spans="1:128" x14ac:dyDescent="0.2">
      <c r="A15" s="111"/>
      <c r="B15" s="112"/>
      <c r="C15" s="112"/>
      <c r="D15" s="112"/>
      <c r="E15" s="112"/>
      <c r="F15" s="112"/>
      <c r="G15" s="112"/>
      <c r="H15" s="112"/>
      <c r="I15" s="112"/>
      <c r="J15" s="112"/>
      <c r="K15" s="112"/>
      <c r="L15" s="112"/>
      <c r="M15" s="113"/>
      <c r="N15" s="113"/>
      <c r="O15" s="113"/>
      <c r="P15" s="114" t="s">
        <v>98</v>
      </c>
      <c r="Q15" s="111"/>
      <c r="R15" s="112"/>
      <c r="S15" s="115"/>
      <c r="T15" s="115"/>
      <c r="U15" s="115"/>
      <c r="V15" s="115"/>
      <c r="W15" s="115"/>
      <c r="X15" s="115"/>
      <c r="Y15" s="115"/>
      <c r="Z15" s="115"/>
      <c r="AA15" s="115"/>
      <c r="AB15" s="115"/>
      <c r="AC15" s="115"/>
      <c r="AD15" s="115"/>
      <c r="AE15" s="115"/>
      <c r="AF15" s="114" t="s">
        <v>98</v>
      </c>
      <c r="AG15" s="111"/>
      <c r="AH15" s="112"/>
      <c r="AI15" s="115"/>
      <c r="AJ15" s="115"/>
      <c r="AK15" s="115"/>
      <c r="AL15" s="115"/>
      <c r="AM15" s="115"/>
      <c r="AN15" s="115"/>
      <c r="AO15" s="115"/>
      <c r="AP15" s="115"/>
      <c r="AQ15" s="115"/>
      <c r="AR15" s="115"/>
      <c r="AS15" s="115"/>
      <c r="AT15" s="115"/>
      <c r="AU15" s="115"/>
      <c r="AV15" s="114" t="s">
        <v>99</v>
      </c>
      <c r="AW15" s="116"/>
      <c r="AX15" s="117"/>
      <c r="AY15" s="118"/>
      <c r="AZ15" s="118"/>
      <c r="BA15" s="118"/>
      <c r="BB15" s="118"/>
      <c r="BC15" s="118"/>
      <c r="BD15" s="118"/>
      <c r="BE15" s="118"/>
      <c r="BF15" s="118"/>
      <c r="BG15" s="118"/>
      <c r="BH15" s="118"/>
      <c r="BI15" s="119"/>
      <c r="BJ15" s="119"/>
      <c r="BK15" s="119"/>
      <c r="BL15" s="114" t="s">
        <v>99</v>
      </c>
      <c r="BM15" s="111"/>
      <c r="BN15" s="112"/>
      <c r="BO15" s="115"/>
      <c r="BP15" s="115"/>
      <c r="BQ15" s="115"/>
      <c r="BR15" s="115"/>
      <c r="BS15" s="115"/>
      <c r="BT15" s="115"/>
      <c r="BU15" s="115"/>
      <c r="BV15" s="115"/>
      <c r="BW15" s="115"/>
      <c r="BX15" s="115"/>
      <c r="BY15" s="115"/>
      <c r="BZ15" s="115"/>
      <c r="CA15" s="115"/>
      <c r="CB15" s="114" t="s">
        <v>99</v>
      </c>
      <c r="CC15" s="111"/>
      <c r="CD15" s="112"/>
      <c r="CE15" s="115"/>
      <c r="CF15" s="115"/>
      <c r="CG15" s="115"/>
      <c r="CH15" s="115"/>
      <c r="CI15" s="115"/>
      <c r="CJ15" s="115"/>
      <c r="CK15" s="115"/>
      <c r="CL15" s="115"/>
      <c r="CM15" s="115"/>
      <c r="CN15" s="115"/>
      <c r="CO15" s="115"/>
      <c r="CP15" s="115"/>
      <c r="CQ15" s="115"/>
      <c r="CR15" s="114" t="s">
        <v>99</v>
      </c>
      <c r="CS15" s="111"/>
      <c r="CT15" s="112"/>
      <c r="CU15" s="115"/>
      <c r="CV15" s="115"/>
      <c r="CW15" s="115"/>
      <c r="CX15" s="115"/>
      <c r="CY15" s="115"/>
      <c r="CZ15" s="115"/>
      <c r="DA15" s="115"/>
      <c r="DB15" s="115"/>
      <c r="DC15" s="115"/>
      <c r="DD15" s="115"/>
      <c r="DE15" s="115"/>
      <c r="DF15" s="115"/>
      <c r="DG15" s="115"/>
      <c r="DH15" s="114" t="s">
        <v>99</v>
      </c>
      <c r="DI15" s="111"/>
      <c r="DJ15" s="112"/>
      <c r="DK15" s="115"/>
      <c r="DL15" s="115"/>
      <c r="DM15" s="115"/>
      <c r="DN15" s="115"/>
      <c r="DO15" s="115"/>
      <c r="DP15" s="115"/>
      <c r="DQ15" s="115"/>
      <c r="DR15" s="115"/>
      <c r="DS15" s="115"/>
      <c r="DT15" s="115"/>
      <c r="DU15" s="115"/>
      <c r="DV15" s="115"/>
      <c r="DW15" s="114"/>
      <c r="DX15" s="114" t="s">
        <v>99</v>
      </c>
    </row>
    <row r="16" spans="1:128" x14ac:dyDescent="0.2">
      <c r="A16" s="7"/>
      <c r="B16" s="7"/>
      <c r="C16" s="7"/>
      <c r="D16" s="7"/>
      <c r="E16" s="53"/>
      <c r="F16" s="53"/>
      <c r="G16" s="53"/>
      <c r="H16" s="53"/>
      <c r="I16" s="53"/>
      <c r="J16" s="53"/>
      <c r="K16" s="53"/>
      <c r="L16" s="53"/>
      <c r="M16" s="53"/>
      <c r="N16" s="53"/>
      <c r="O16" s="53"/>
      <c r="P16" s="90"/>
      <c r="S16" s="53"/>
      <c r="T16" s="53"/>
      <c r="U16" s="53"/>
      <c r="V16" s="53"/>
      <c r="W16" s="53"/>
      <c r="X16" s="53"/>
      <c r="Y16" s="53"/>
      <c r="Z16" s="53"/>
      <c r="AA16" s="53"/>
      <c r="AB16" s="53"/>
      <c r="AC16" s="53"/>
      <c r="AD16" s="53"/>
      <c r="AE16" s="53"/>
      <c r="AF16" s="90"/>
      <c r="AI16" s="53"/>
      <c r="AJ16" s="53"/>
      <c r="AK16" s="53"/>
      <c r="AL16" s="53"/>
      <c r="AM16" s="53"/>
      <c r="AN16" s="53"/>
      <c r="AO16" s="53"/>
      <c r="AP16" s="53"/>
      <c r="AQ16" s="53"/>
      <c r="AR16" s="53"/>
      <c r="AS16" s="53"/>
      <c r="AT16" s="53"/>
      <c r="AU16" s="53"/>
      <c r="AV16" s="90"/>
      <c r="AY16" s="53"/>
      <c r="AZ16" s="53"/>
      <c r="BA16" s="53"/>
      <c r="BB16" s="53"/>
      <c r="BC16" s="53"/>
      <c r="BD16" s="53"/>
      <c r="BE16" s="53"/>
      <c r="BF16" s="53"/>
      <c r="BG16" s="53"/>
      <c r="BH16" s="53"/>
      <c r="BI16" s="53"/>
      <c r="BJ16" s="53"/>
      <c r="BK16" s="53"/>
      <c r="BL16" s="90"/>
      <c r="BO16" s="53"/>
      <c r="BP16" s="53"/>
      <c r="BQ16" s="53"/>
      <c r="BR16" s="53"/>
      <c r="BS16" s="53"/>
      <c r="BT16" s="53"/>
      <c r="BU16" s="53"/>
      <c r="BV16" s="53"/>
      <c r="BW16" s="53"/>
      <c r="BX16" s="53"/>
      <c r="BY16" s="53"/>
      <c r="BZ16" s="53"/>
      <c r="CA16" s="53"/>
      <c r="CB16" s="90"/>
      <c r="CE16" s="53"/>
      <c r="CF16" s="53"/>
      <c r="CG16" s="53"/>
      <c r="CH16" s="53"/>
      <c r="CI16" s="53"/>
      <c r="CJ16" s="53"/>
      <c r="CK16" s="53"/>
      <c r="CL16" s="53"/>
      <c r="CM16" s="53"/>
      <c r="CN16" s="53"/>
      <c r="CO16" s="53"/>
      <c r="CP16" s="53"/>
      <c r="CQ16" s="53"/>
      <c r="CR16" s="90"/>
      <c r="CU16" s="53"/>
      <c r="CV16" s="53"/>
      <c r="CW16" s="53"/>
      <c r="CX16" s="53"/>
      <c r="CY16" s="53"/>
      <c r="CZ16" s="53"/>
      <c r="DA16" s="53"/>
      <c r="DB16" s="53"/>
      <c r="DC16" s="53"/>
      <c r="DD16" s="53"/>
      <c r="DE16" s="53"/>
      <c r="DF16" s="53"/>
      <c r="DG16" s="53"/>
      <c r="DH16" s="90"/>
      <c r="DK16" s="53"/>
      <c r="DL16" s="53"/>
      <c r="DM16" s="53"/>
      <c r="DN16" s="53"/>
      <c r="DO16" s="53"/>
      <c r="DP16" s="53"/>
      <c r="DQ16" s="53"/>
      <c r="DR16" s="53"/>
      <c r="DS16" s="53"/>
      <c r="DT16" s="53"/>
      <c r="DU16" s="53"/>
      <c r="DV16" s="53"/>
      <c r="DW16" s="90"/>
    </row>
    <row r="17" spans="2:128" x14ac:dyDescent="0.2">
      <c r="B17" s="64" t="s">
        <v>238</v>
      </c>
      <c r="C17" s="262" t="s">
        <v>35</v>
      </c>
      <c r="D17" s="262" t="s">
        <v>121</v>
      </c>
      <c r="E17" s="262" t="s">
        <v>123</v>
      </c>
      <c r="F17" s="262" t="s">
        <v>36</v>
      </c>
      <c r="G17" s="262" t="s">
        <v>37</v>
      </c>
      <c r="H17" s="262" t="s">
        <v>38</v>
      </c>
      <c r="I17" s="262" t="s">
        <v>39</v>
      </c>
      <c r="J17" s="262" t="s">
        <v>125</v>
      </c>
      <c r="K17" s="262" t="s">
        <v>126</v>
      </c>
      <c r="L17" s="262" t="s">
        <v>127</v>
      </c>
      <c r="M17" s="263">
        <v>100000</v>
      </c>
      <c r="N17" s="264" t="s">
        <v>228</v>
      </c>
      <c r="O17" s="264" t="s">
        <v>228</v>
      </c>
      <c r="P17" s="264" t="s">
        <v>77</v>
      </c>
      <c r="R17" s="64" t="s">
        <v>238</v>
      </c>
      <c r="S17" s="262" t="s">
        <v>35</v>
      </c>
      <c r="T17" s="262" t="s">
        <v>121</v>
      </c>
      <c r="U17" s="262" t="s">
        <v>123</v>
      </c>
      <c r="V17" s="262" t="s">
        <v>36</v>
      </c>
      <c r="W17" s="262" t="s">
        <v>37</v>
      </c>
      <c r="X17" s="262" t="s">
        <v>38</v>
      </c>
      <c r="Y17" s="262" t="s">
        <v>39</v>
      </c>
      <c r="Z17" s="262" t="s">
        <v>125</v>
      </c>
      <c r="AA17" s="262" t="s">
        <v>126</v>
      </c>
      <c r="AB17" s="262" t="s">
        <v>127</v>
      </c>
      <c r="AC17" s="263">
        <v>100000</v>
      </c>
      <c r="AD17" s="264" t="s">
        <v>228</v>
      </c>
      <c r="AE17" s="264" t="s">
        <v>228</v>
      </c>
      <c r="AF17" s="264" t="s">
        <v>77</v>
      </c>
      <c r="AH17" s="64" t="s">
        <v>238</v>
      </c>
      <c r="AI17" s="262" t="s">
        <v>35</v>
      </c>
      <c r="AJ17" s="262" t="s">
        <v>121</v>
      </c>
      <c r="AK17" s="262" t="s">
        <v>123</v>
      </c>
      <c r="AL17" s="262" t="s">
        <v>36</v>
      </c>
      <c r="AM17" s="262" t="s">
        <v>37</v>
      </c>
      <c r="AN17" s="262" t="s">
        <v>38</v>
      </c>
      <c r="AO17" s="262" t="s">
        <v>39</v>
      </c>
      <c r="AP17" s="262" t="s">
        <v>125</v>
      </c>
      <c r="AQ17" s="262" t="s">
        <v>126</v>
      </c>
      <c r="AR17" s="262" t="s">
        <v>127</v>
      </c>
      <c r="AS17" s="263">
        <v>100000</v>
      </c>
      <c r="AT17" s="264" t="s">
        <v>228</v>
      </c>
      <c r="AU17" s="264" t="s">
        <v>228</v>
      </c>
      <c r="AV17" s="264" t="s">
        <v>77</v>
      </c>
      <c r="AX17" s="64" t="s">
        <v>238</v>
      </c>
      <c r="AY17" s="262" t="s">
        <v>35</v>
      </c>
      <c r="AZ17" s="262" t="s">
        <v>121</v>
      </c>
      <c r="BA17" s="262" t="s">
        <v>123</v>
      </c>
      <c r="BB17" s="262" t="s">
        <v>36</v>
      </c>
      <c r="BC17" s="262" t="s">
        <v>37</v>
      </c>
      <c r="BD17" s="262" t="s">
        <v>38</v>
      </c>
      <c r="BE17" s="262" t="s">
        <v>39</v>
      </c>
      <c r="BF17" s="262" t="s">
        <v>125</v>
      </c>
      <c r="BG17" s="262" t="s">
        <v>126</v>
      </c>
      <c r="BH17" s="262" t="s">
        <v>127</v>
      </c>
      <c r="BI17" s="263">
        <v>100000</v>
      </c>
      <c r="BJ17" s="264" t="s">
        <v>228</v>
      </c>
      <c r="BK17" s="264" t="s">
        <v>228</v>
      </c>
      <c r="BL17" s="264" t="s">
        <v>77</v>
      </c>
      <c r="BN17" s="64" t="s">
        <v>238</v>
      </c>
      <c r="BO17" s="262" t="s">
        <v>35</v>
      </c>
      <c r="BP17" s="262" t="s">
        <v>121</v>
      </c>
      <c r="BQ17" s="262" t="s">
        <v>123</v>
      </c>
      <c r="BR17" s="262" t="s">
        <v>36</v>
      </c>
      <c r="BS17" s="262" t="s">
        <v>37</v>
      </c>
      <c r="BT17" s="262" t="s">
        <v>38</v>
      </c>
      <c r="BU17" s="262" t="s">
        <v>39</v>
      </c>
      <c r="BV17" s="262" t="s">
        <v>125</v>
      </c>
      <c r="BW17" s="262" t="s">
        <v>126</v>
      </c>
      <c r="BX17" s="262" t="s">
        <v>127</v>
      </c>
      <c r="BY17" s="263">
        <v>100000</v>
      </c>
      <c r="BZ17" s="264" t="s">
        <v>228</v>
      </c>
      <c r="CA17" s="684" t="s">
        <v>228</v>
      </c>
      <c r="CB17" s="264" t="s">
        <v>77</v>
      </c>
      <c r="CD17" s="64" t="s">
        <v>238</v>
      </c>
      <c r="CE17" s="262" t="s">
        <v>35</v>
      </c>
      <c r="CF17" s="262" t="s">
        <v>121</v>
      </c>
      <c r="CG17" s="262" t="s">
        <v>123</v>
      </c>
      <c r="CH17" s="262" t="s">
        <v>36</v>
      </c>
      <c r="CI17" s="262" t="s">
        <v>37</v>
      </c>
      <c r="CJ17" s="262" t="s">
        <v>38</v>
      </c>
      <c r="CK17" s="262" t="s">
        <v>39</v>
      </c>
      <c r="CL17" s="262" t="s">
        <v>125</v>
      </c>
      <c r="CM17" s="262" t="s">
        <v>126</v>
      </c>
      <c r="CN17" s="262" t="s">
        <v>127</v>
      </c>
      <c r="CO17" s="263">
        <v>100000</v>
      </c>
      <c r="CP17" s="264" t="s">
        <v>228</v>
      </c>
      <c r="CQ17" s="684" t="s">
        <v>228</v>
      </c>
      <c r="CR17" s="264" t="s">
        <v>77</v>
      </c>
      <c r="CT17" s="64" t="s">
        <v>238</v>
      </c>
      <c r="CU17" s="262" t="s">
        <v>35</v>
      </c>
      <c r="CV17" s="262" t="s">
        <v>121</v>
      </c>
      <c r="CW17" s="262" t="s">
        <v>123</v>
      </c>
      <c r="CX17" s="262" t="s">
        <v>36</v>
      </c>
      <c r="CY17" s="262" t="s">
        <v>37</v>
      </c>
      <c r="CZ17" s="262" t="s">
        <v>38</v>
      </c>
      <c r="DA17" s="262" t="s">
        <v>39</v>
      </c>
      <c r="DB17" s="262" t="s">
        <v>125</v>
      </c>
      <c r="DC17" s="262" t="s">
        <v>126</v>
      </c>
      <c r="DD17" s="262" t="s">
        <v>127</v>
      </c>
      <c r="DE17" s="263">
        <v>100000</v>
      </c>
      <c r="DF17" s="264" t="s">
        <v>228</v>
      </c>
      <c r="DG17" s="264" t="s">
        <v>228</v>
      </c>
      <c r="DH17" s="264" t="s">
        <v>77</v>
      </c>
      <c r="DJ17" s="64" t="s">
        <v>238</v>
      </c>
      <c r="DK17" s="262" t="s">
        <v>35</v>
      </c>
      <c r="DL17" s="262" t="s">
        <v>121</v>
      </c>
      <c r="DM17" s="262" t="s">
        <v>123</v>
      </c>
      <c r="DN17" s="262" t="s">
        <v>36</v>
      </c>
      <c r="DO17" s="262" t="s">
        <v>37</v>
      </c>
      <c r="DP17" s="262" t="s">
        <v>38</v>
      </c>
      <c r="DQ17" s="262" t="s">
        <v>39</v>
      </c>
      <c r="DR17" s="262" t="s">
        <v>125</v>
      </c>
      <c r="DS17" s="262" t="s">
        <v>126</v>
      </c>
      <c r="DT17" s="262" t="s">
        <v>127</v>
      </c>
      <c r="DU17" s="263">
        <v>100000</v>
      </c>
      <c r="DV17" s="264" t="s">
        <v>228</v>
      </c>
      <c r="DW17" s="684" t="s">
        <v>228</v>
      </c>
      <c r="DX17" s="264" t="s">
        <v>77</v>
      </c>
    </row>
    <row r="18" spans="2:128" x14ac:dyDescent="0.2">
      <c r="B18" s="65"/>
      <c r="C18" s="261" t="s">
        <v>120</v>
      </c>
      <c r="D18" s="261" t="s">
        <v>40</v>
      </c>
      <c r="E18" s="261" t="s">
        <v>40</v>
      </c>
      <c r="F18" s="261" t="s">
        <v>40</v>
      </c>
      <c r="G18" s="261" t="s">
        <v>40</v>
      </c>
      <c r="H18" s="261" t="s">
        <v>40</v>
      </c>
      <c r="I18" s="261" t="s">
        <v>40</v>
      </c>
      <c r="J18" s="261" t="s">
        <v>40</v>
      </c>
      <c r="K18" s="261" t="s">
        <v>40</v>
      </c>
      <c r="L18" s="261" t="s">
        <v>40</v>
      </c>
      <c r="M18" s="261" t="s">
        <v>43</v>
      </c>
      <c r="N18" s="12" t="s">
        <v>230</v>
      </c>
      <c r="O18" s="12" t="s">
        <v>138</v>
      </c>
      <c r="P18" s="12" t="s">
        <v>137</v>
      </c>
      <c r="R18" s="65"/>
      <c r="S18" s="261" t="s">
        <v>120</v>
      </c>
      <c r="T18" s="261" t="s">
        <v>40</v>
      </c>
      <c r="U18" s="261" t="s">
        <v>40</v>
      </c>
      <c r="V18" s="261" t="s">
        <v>40</v>
      </c>
      <c r="W18" s="261" t="s">
        <v>40</v>
      </c>
      <c r="X18" s="261" t="s">
        <v>40</v>
      </c>
      <c r="Y18" s="261" t="s">
        <v>40</v>
      </c>
      <c r="Z18" s="261" t="s">
        <v>40</v>
      </c>
      <c r="AA18" s="261" t="s">
        <v>40</v>
      </c>
      <c r="AB18" s="261" t="s">
        <v>40</v>
      </c>
      <c r="AC18" s="261" t="s">
        <v>43</v>
      </c>
      <c r="AD18" s="12" t="s">
        <v>230</v>
      </c>
      <c r="AE18" s="12" t="s">
        <v>138</v>
      </c>
      <c r="AF18" s="12" t="s">
        <v>137</v>
      </c>
      <c r="AH18" s="65"/>
      <c r="AI18" s="261" t="s">
        <v>120</v>
      </c>
      <c r="AJ18" s="261" t="s">
        <v>40</v>
      </c>
      <c r="AK18" s="261" t="s">
        <v>40</v>
      </c>
      <c r="AL18" s="261" t="s">
        <v>40</v>
      </c>
      <c r="AM18" s="261" t="s">
        <v>40</v>
      </c>
      <c r="AN18" s="261" t="s">
        <v>40</v>
      </c>
      <c r="AO18" s="261" t="s">
        <v>40</v>
      </c>
      <c r="AP18" s="261" t="s">
        <v>40</v>
      </c>
      <c r="AQ18" s="261" t="s">
        <v>40</v>
      </c>
      <c r="AR18" s="261" t="s">
        <v>40</v>
      </c>
      <c r="AS18" s="261" t="s">
        <v>43</v>
      </c>
      <c r="AT18" s="12" t="s">
        <v>230</v>
      </c>
      <c r="AU18" s="12" t="s">
        <v>138</v>
      </c>
      <c r="AV18" s="12" t="s">
        <v>137</v>
      </c>
      <c r="AX18" s="65"/>
      <c r="AY18" s="261" t="s">
        <v>120</v>
      </c>
      <c r="AZ18" s="261" t="s">
        <v>40</v>
      </c>
      <c r="BA18" s="261" t="s">
        <v>40</v>
      </c>
      <c r="BB18" s="261" t="s">
        <v>40</v>
      </c>
      <c r="BC18" s="261" t="s">
        <v>40</v>
      </c>
      <c r="BD18" s="261" t="s">
        <v>40</v>
      </c>
      <c r="BE18" s="261" t="s">
        <v>40</v>
      </c>
      <c r="BF18" s="261" t="s">
        <v>40</v>
      </c>
      <c r="BG18" s="261" t="s">
        <v>40</v>
      </c>
      <c r="BH18" s="261" t="s">
        <v>40</v>
      </c>
      <c r="BI18" s="261" t="s">
        <v>43</v>
      </c>
      <c r="BJ18" s="12" t="s">
        <v>230</v>
      </c>
      <c r="BK18" s="12" t="s">
        <v>138</v>
      </c>
      <c r="BL18" s="12" t="s">
        <v>137</v>
      </c>
      <c r="BN18" s="65"/>
      <c r="BO18" s="261" t="s">
        <v>120</v>
      </c>
      <c r="BP18" s="261" t="s">
        <v>40</v>
      </c>
      <c r="BQ18" s="261" t="s">
        <v>40</v>
      </c>
      <c r="BR18" s="261" t="s">
        <v>40</v>
      </c>
      <c r="BS18" s="261" t="s">
        <v>40</v>
      </c>
      <c r="BT18" s="261" t="s">
        <v>40</v>
      </c>
      <c r="BU18" s="261" t="s">
        <v>40</v>
      </c>
      <c r="BV18" s="261" t="s">
        <v>40</v>
      </c>
      <c r="BW18" s="261" t="s">
        <v>40</v>
      </c>
      <c r="BX18" s="261" t="s">
        <v>40</v>
      </c>
      <c r="BY18" s="261" t="s">
        <v>43</v>
      </c>
      <c r="BZ18" s="12" t="s">
        <v>230</v>
      </c>
      <c r="CA18" s="685" t="s">
        <v>138</v>
      </c>
      <c r="CB18" s="12" t="s">
        <v>137</v>
      </c>
      <c r="CD18" s="65"/>
      <c r="CE18" s="261" t="s">
        <v>120</v>
      </c>
      <c r="CF18" s="261" t="s">
        <v>40</v>
      </c>
      <c r="CG18" s="261" t="s">
        <v>40</v>
      </c>
      <c r="CH18" s="261" t="s">
        <v>40</v>
      </c>
      <c r="CI18" s="261" t="s">
        <v>40</v>
      </c>
      <c r="CJ18" s="261" t="s">
        <v>40</v>
      </c>
      <c r="CK18" s="261" t="s">
        <v>40</v>
      </c>
      <c r="CL18" s="261" t="s">
        <v>40</v>
      </c>
      <c r="CM18" s="261" t="s">
        <v>40</v>
      </c>
      <c r="CN18" s="261" t="s">
        <v>40</v>
      </c>
      <c r="CO18" s="261" t="s">
        <v>43</v>
      </c>
      <c r="CP18" s="12" t="s">
        <v>230</v>
      </c>
      <c r="CQ18" s="685" t="s">
        <v>138</v>
      </c>
      <c r="CR18" s="12" t="s">
        <v>137</v>
      </c>
      <c r="CT18" s="65"/>
      <c r="CU18" s="261" t="s">
        <v>120</v>
      </c>
      <c r="CV18" s="261" t="s">
        <v>40</v>
      </c>
      <c r="CW18" s="261" t="s">
        <v>40</v>
      </c>
      <c r="CX18" s="261" t="s">
        <v>40</v>
      </c>
      <c r="CY18" s="261" t="s">
        <v>40</v>
      </c>
      <c r="CZ18" s="261" t="s">
        <v>40</v>
      </c>
      <c r="DA18" s="261" t="s">
        <v>40</v>
      </c>
      <c r="DB18" s="261" t="s">
        <v>40</v>
      </c>
      <c r="DC18" s="261" t="s">
        <v>40</v>
      </c>
      <c r="DD18" s="261" t="s">
        <v>40</v>
      </c>
      <c r="DE18" s="261" t="s">
        <v>43</v>
      </c>
      <c r="DF18" s="12" t="s">
        <v>230</v>
      </c>
      <c r="DG18" s="12" t="s">
        <v>138</v>
      </c>
      <c r="DH18" s="12" t="s">
        <v>137</v>
      </c>
      <c r="DJ18" s="65"/>
      <c r="DK18" s="261" t="s">
        <v>120</v>
      </c>
      <c r="DL18" s="261" t="s">
        <v>40</v>
      </c>
      <c r="DM18" s="261" t="s">
        <v>40</v>
      </c>
      <c r="DN18" s="261" t="s">
        <v>40</v>
      </c>
      <c r="DO18" s="261" t="s">
        <v>40</v>
      </c>
      <c r="DP18" s="261" t="s">
        <v>40</v>
      </c>
      <c r="DQ18" s="261" t="s">
        <v>40</v>
      </c>
      <c r="DR18" s="261" t="s">
        <v>40</v>
      </c>
      <c r="DS18" s="261" t="s">
        <v>40</v>
      </c>
      <c r="DT18" s="261" t="s">
        <v>40</v>
      </c>
      <c r="DU18" s="261" t="s">
        <v>43</v>
      </c>
      <c r="DV18" s="12" t="s">
        <v>230</v>
      </c>
      <c r="DW18" s="685" t="s">
        <v>138</v>
      </c>
      <c r="DX18" s="12" t="s">
        <v>137</v>
      </c>
    </row>
    <row r="19" spans="2:128" x14ac:dyDescent="0.2">
      <c r="B19" s="66"/>
      <c r="C19" s="265" t="s">
        <v>43</v>
      </c>
      <c r="D19" s="265" t="s">
        <v>122</v>
      </c>
      <c r="E19" s="265" t="s">
        <v>124</v>
      </c>
      <c r="F19" s="265" t="s">
        <v>44</v>
      </c>
      <c r="G19" s="265" t="s">
        <v>45</v>
      </c>
      <c r="H19" s="265" t="s">
        <v>46</v>
      </c>
      <c r="I19" s="265" t="s">
        <v>42</v>
      </c>
      <c r="J19" s="265" t="s">
        <v>128</v>
      </c>
      <c r="K19" s="265" t="s">
        <v>129</v>
      </c>
      <c r="L19" s="265" t="s">
        <v>130</v>
      </c>
      <c r="M19" s="265" t="s">
        <v>131</v>
      </c>
      <c r="N19" s="266" t="s">
        <v>138</v>
      </c>
      <c r="O19" s="266" t="s">
        <v>131</v>
      </c>
      <c r="P19" s="266" t="s">
        <v>41</v>
      </c>
      <c r="R19" s="66"/>
      <c r="S19" s="265" t="s">
        <v>43</v>
      </c>
      <c r="T19" s="265" t="s">
        <v>122</v>
      </c>
      <c r="U19" s="265" t="s">
        <v>124</v>
      </c>
      <c r="V19" s="265" t="s">
        <v>44</v>
      </c>
      <c r="W19" s="265" t="s">
        <v>45</v>
      </c>
      <c r="X19" s="265" t="s">
        <v>46</v>
      </c>
      <c r="Y19" s="265" t="s">
        <v>42</v>
      </c>
      <c r="Z19" s="265" t="s">
        <v>128</v>
      </c>
      <c r="AA19" s="265" t="s">
        <v>129</v>
      </c>
      <c r="AB19" s="265" t="s">
        <v>130</v>
      </c>
      <c r="AC19" s="265" t="s">
        <v>131</v>
      </c>
      <c r="AD19" s="266" t="s">
        <v>138</v>
      </c>
      <c r="AE19" s="266" t="s">
        <v>131</v>
      </c>
      <c r="AF19" s="266" t="s">
        <v>41</v>
      </c>
      <c r="AH19" s="66"/>
      <c r="AI19" s="265" t="s">
        <v>43</v>
      </c>
      <c r="AJ19" s="265" t="s">
        <v>122</v>
      </c>
      <c r="AK19" s="265" t="s">
        <v>124</v>
      </c>
      <c r="AL19" s="265" t="s">
        <v>44</v>
      </c>
      <c r="AM19" s="265" t="s">
        <v>45</v>
      </c>
      <c r="AN19" s="265" t="s">
        <v>46</v>
      </c>
      <c r="AO19" s="265" t="s">
        <v>42</v>
      </c>
      <c r="AP19" s="265" t="s">
        <v>128</v>
      </c>
      <c r="AQ19" s="265" t="s">
        <v>129</v>
      </c>
      <c r="AR19" s="265" t="s">
        <v>130</v>
      </c>
      <c r="AS19" s="265" t="s">
        <v>131</v>
      </c>
      <c r="AT19" s="266" t="s">
        <v>138</v>
      </c>
      <c r="AU19" s="266" t="s">
        <v>131</v>
      </c>
      <c r="AV19" s="266" t="s">
        <v>41</v>
      </c>
      <c r="AX19" s="66"/>
      <c r="AY19" s="265" t="s">
        <v>43</v>
      </c>
      <c r="AZ19" s="265" t="s">
        <v>122</v>
      </c>
      <c r="BA19" s="265" t="s">
        <v>124</v>
      </c>
      <c r="BB19" s="265" t="s">
        <v>44</v>
      </c>
      <c r="BC19" s="265" t="s">
        <v>45</v>
      </c>
      <c r="BD19" s="265" t="s">
        <v>46</v>
      </c>
      <c r="BE19" s="265" t="s">
        <v>42</v>
      </c>
      <c r="BF19" s="265" t="s">
        <v>128</v>
      </c>
      <c r="BG19" s="265" t="s">
        <v>129</v>
      </c>
      <c r="BH19" s="265" t="s">
        <v>130</v>
      </c>
      <c r="BI19" s="265" t="s">
        <v>131</v>
      </c>
      <c r="BJ19" s="266" t="s">
        <v>138</v>
      </c>
      <c r="BK19" s="266" t="s">
        <v>131</v>
      </c>
      <c r="BL19" s="266" t="s">
        <v>41</v>
      </c>
      <c r="BN19" s="66"/>
      <c r="BO19" s="265" t="s">
        <v>43</v>
      </c>
      <c r="BP19" s="265" t="s">
        <v>122</v>
      </c>
      <c r="BQ19" s="265" t="s">
        <v>124</v>
      </c>
      <c r="BR19" s="265" t="s">
        <v>44</v>
      </c>
      <c r="BS19" s="265" t="s">
        <v>45</v>
      </c>
      <c r="BT19" s="265" t="s">
        <v>46</v>
      </c>
      <c r="BU19" s="265" t="s">
        <v>42</v>
      </c>
      <c r="BV19" s="265" t="s">
        <v>128</v>
      </c>
      <c r="BW19" s="265" t="s">
        <v>129</v>
      </c>
      <c r="BX19" s="265" t="s">
        <v>130</v>
      </c>
      <c r="BY19" s="265" t="s">
        <v>131</v>
      </c>
      <c r="BZ19" s="266" t="s">
        <v>138</v>
      </c>
      <c r="CA19" s="686" t="s">
        <v>131</v>
      </c>
      <c r="CB19" s="266" t="s">
        <v>41</v>
      </c>
      <c r="CD19" s="66"/>
      <c r="CE19" s="265" t="s">
        <v>43</v>
      </c>
      <c r="CF19" s="265" t="s">
        <v>122</v>
      </c>
      <c r="CG19" s="265" t="s">
        <v>124</v>
      </c>
      <c r="CH19" s="265" t="s">
        <v>44</v>
      </c>
      <c r="CI19" s="265" t="s">
        <v>45</v>
      </c>
      <c r="CJ19" s="265" t="s">
        <v>46</v>
      </c>
      <c r="CK19" s="265" t="s">
        <v>42</v>
      </c>
      <c r="CL19" s="265" t="s">
        <v>128</v>
      </c>
      <c r="CM19" s="265" t="s">
        <v>129</v>
      </c>
      <c r="CN19" s="265" t="s">
        <v>130</v>
      </c>
      <c r="CO19" s="265" t="s">
        <v>131</v>
      </c>
      <c r="CP19" s="266" t="s">
        <v>138</v>
      </c>
      <c r="CQ19" s="686" t="s">
        <v>131</v>
      </c>
      <c r="CR19" s="266" t="s">
        <v>41</v>
      </c>
      <c r="CT19" s="66"/>
      <c r="CU19" s="265" t="s">
        <v>43</v>
      </c>
      <c r="CV19" s="265" t="s">
        <v>122</v>
      </c>
      <c r="CW19" s="265" t="s">
        <v>124</v>
      </c>
      <c r="CX19" s="265" t="s">
        <v>44</v>
      </c>
      <c r="CY19" s="265" t="s">
        <v>45</v>
      </c>
      <c r="CZ19" s="265" t="s">
        <v>46</v>
      </c>
      <c r="DA19" s="265" t="s">
        <v>42</v>
      </c>
      <c r="DB19" s="265" t="s">
        <v>128</v>
      </c>
      <c r="DC19" s="265" t="s">
        <v>129</v>
      </c>
      <c r="DD19" s="265" t="s">
        <v>130</v>
      </c>
      <c r="DE19" s="265" t="s">
        <v>131</v>
      </c>
      <c r="DF19" s="266" t="s">
        <v>138</v>
      </c>
      <c r="DG19" s="266" t="s">
        <v>131</v>
      </c>
      <c r="DH19" s="266" t="s">
        <v>41</v>
      </c>
      <c r="DJ19" s="66"/>
      <c r="DK19" s="265" t="s">
        <v>43</v>
      </c>
      <c r="DL19" s="265" t="s">
        <v>122</v>
      </c>
      <c r="DM19" s="265" t="s">
        <v>124</v>
      </c>
      <c r="DN19" s="265" t="s">
        <v>44</v>
      </c>
      <c r="DO19" s="265" t="s">
        <v>45</v>
      </c>
      <c r="DP19" s="265" t="s">
        <v>46</v>
      </c>
      <c r="DQ19" s="265" t="s">
        <v>42</v>
      </c>
      <c r="DR19" s="265" t="s">
        <v>128</v>
      </c>
      <c r="DS19" s="265" t="s">
        <v>129</v>
      </c>
      <c r="DT19" s="265" t="s">
        <v>130</v>
      </c>
      <c r="DU19" s="265" t="s">
        <v>131</v>
      </c>
      <c r="DV19" s="266" t="s">
        <v>138</v>
      </c>
      <c r="DW19" s="686" t="s">
        <v>131</v>
      </c>
      <c r="DX19" s="266" t="s">
        <v>41</v>
      </c>
    </row>
    <row r="20" spans="2:128" s="465" customFormat="1" ht="15.75" customHeight="1" x14ac:dyDescent="0.25">
      <c r="B20" s="606" t="s">
        <v>90</v>
      </c>
      <c r="C20" s="607">
        <v>1536.0128999999999</v>
      </c>
      <c r="D20" s="607">
        <v>1111.8311000000001</v>
      </c>
      <c r="E20" s="607">
        <v>933.40549999999996</v>
      </c>
      <c r="F20" s="607">
        <v>947.57299999999998</v>
      </c>
      <c r="G20" s="607">
        <v>1079.8969</v>
      </c>
      <c r="H20" s="607">
        <v>1219.4899</v>
      </c>
      <c r="I20" s="607">
        <v>1321.0065</v>
      </c>
      <c r="J20" s="607">
        <v>1454.0912000000001</v>
      </c>
      <c r="K20" s="607">
        <v>1605.2796000000001</v>
      </c>
      <c r="L20" s="607">
        <v>1741.8230000000001</v>
      </c>
      <c r="M20" s="607">
        <v>1963.3253999999999</v>
      </c>
      <c r="N20" s="608">
        <v>1104.5817</v>
      </c>
      <c r="O20" s="608">
        <v>1702.5463999999999</v>
      </c>
      <c r="P20" s="609">
        <v>1408.3381999999999</v>
      </c>
      <c r="R20" s="606" t="s">
        <v>90</v>
      </c>
      <c r="S20" s="607">
        <v>656.21640000000002</v>
      </c>
      <c r="T20" s="607">
        <v>513.75229999999999</v>
      </c>
      <c r="U20" s="607">
        <v>474.9778</v>
      </c>
      <c r="V20" s="607">
        <v>544.56200000000001</v>
      </c>
      <c r="W20" s="607">
        <v>677.18780000000004</v>
      </c>
      <c r="X20" s="607">
        <v>792.62900000000002</v>
      </c>
      <c r="Y20" s="607">
        <v>883.70740000000001</v>
      </c>
      <c r="Z20" s="607">
        <v>987.71720000000005</v>
      </c>
      <c r="AA20" s="607">
        <v>1104.7638999999999</v>
      </c>
      <c r="AB20" s="607">
        <v>1196.9013</v>
      </c>
      <c r="AC20" s="607">
        <v>1423.8472999999999</v>
      </c>
      <c r="AD20" s="608">
        <v>677.48670000000004</v>
      </c>
      <c r="AE20" s="608">
        <v>1190.0805</v>
      </c>
      <c r="AF20" s="609">
        <v>937.87620000000004</v>
      </c>
      <c r="AH20" s="606" t="s">
        <v>90</v>
      </c>
      <c r="AI20" s="645">
        <v>42.722099999999998</v>
      </c>
      <c r="AJ20" s="645">
        <v>46.207799999999999</v>
      </c>
      <c r="AK20" s="645">
        <v>50.886499999999998</v>
      </c>
      <c r="AL20" s="645">
        <v>57.469099999999997</v>
      </c>
      <c r="AM20" s="645">
        <v>62.708599999999997</v>
      </c>
      <c r="AN20" s="645">
        <v>64.996799999999993</v>
      </c>
      <c r="AO20" s="645">
        <v>66.896500000000003</v>
      </c>
      <c r="AP20" s="645">
        <v>67.9268</v>
      </c>
      <c r="AQ20" s="645">
        <v>68.820700000000002</v>
      </c>
      <c r="AR20" s="645">
        <v>68.715400000000002</v>
      </c>
      <c r="AS20" s="645">
        <v>72.522199999999998</v>
      </c>
      <c r="AT20" s="646">
        <v>61.334200000000003</v>
      </c>
      <c r="AU20" s="646">
        <v>69.900000000000006</v>
      </c>
      <c r="AV20" s="640">
        <v>66.594499999999996</v>
      </c>
      <c r="AX20" s="606" t="s">
        <v>90</v>
      </c>
      <c r="AY20" s="645">
        <v>29.482199999999999</v>
      </c>
      <c r="AZ20" s="645">
        <v>35.508600000000001</v>
      </c>
      <c r="BA20" s="645">
        <v>42.0914</v>
      </c>
      <c r="BB20" s="645">
        <v>50.8429</v>
      </c>
      <c r="BC20" s="645">
        <v>56.537700000000001</v>
      </c>
      <c r="BD20" s="645">
        <v>57.7836</v>
      </c>
      <c r="BE20" s="645">
        <v>59.052999999999997</v>
      </c>
      <c r="BF20" s="645">
        <v>59.847900000000003</v>
      </c>
      <c r="BG20" s="645">
        <v>62.520400000000002</v>
      </c>
      <c r="BH20" s="645">
        <v>61.134900000000002</v>
      </c>
      <c r="BI20" s="645">
        <v>51.549799999999998</v>
      </c>
      <c r="BJ20" s="646">
        <v>54.021299999999997</v>
      </c>
      <c r="BK20" s="646">
        <v>58.036799999999999</v>
      </c>
      <c r="BL20" s="640">
        <v>56.487200000000001</v>
      </c>
      <c r="BN20" s="606" t="s">
        <v>90</v>
      </c>
      <c r="BO20" s="645">
        <v>33.570999999999998</v>
      </c>
      <c r="BP20" s="645">
        <v>30.4024</v>
      </c>
      <c r="BQ20" s="645">
        <v>27.655999999999999</v>
      </c>
      <c r="BR20" s="645">
        <v>23.826699999999999</v>
      </c>
      <c r="BS20" s="645">
        <v>20.141100000000002</v>
      </c>
      <c r="BT20" s="645">
        <v>18.261900000000001</v>
      </c>
      <c r="BU20" s="645">
        <v>17.026599999999998</v>
      </c>
      <c r="BV20" s="645">
        <v>16.501300000000001</v>
      </c>
      <c r="BW20" s="645">
        <v>15.595700000000001</v>
      </c>
      <c r="BX20" s="645">
        <v>15.693899999999999</v>
      </c>
      <c r="BY20" s="645">
        <v>10.6691</v>
      </c>
      <c r="BZ20" s="646">
        <v>20.922000000000001</v>
      </c>
      <c r="CA20" s="646">
        <v>14.099299999999999</v>
      </c>
      <c r="CB20" s="640">
        <v>16.732099999999999</v>
      </c>
      <c r="CD20" s="606" t="s">
        <v>90</v>
      </c>
      <c r="CE20" s="645">
        <v>17.901299999999999</v>
      </c>
      <c r="CF20" s="645">
        <v>19.319400000000002</v>
      </c>
      <c r="CG20" s="645">
        <v>18.615200000000002</v>
      </c>
      <c r="CH20" s="645">
        <v>17.2029</v>
      </c>
      <c r="CI20" s="645">
        <v>14.9596</v>
      </c>
      <c r="CJ20" s="645">
        <v>13.4057</v>
      </c>
      <c r="CK20" s="645">
        <v>12.351599999999999</v>
      </c>
      <c r="CL20" s="645">
        <v>12.491300000000001</v>
      </c>
      <c r="CM20" s="645">
        <v>12.753</v>
      </c>
      <c r="CN20" s="645">
        <v>13.1196</v>
      </c>
      <c r="CO20" s="645">
        <v>8.9414999999999996</v>
      </c>
      <c r="CP20" s="646">
        <v>15.0045</v>
      </c>
      <c r="CQ20" s="646">
        <v>11.4702</v>
      </c>
      <c r="CR20" s="640">
        <v>12.834099999999999</v>
      </c>
      <c r="CT20" s="606" t="s">
        <v>90</v>
      </c>
      <c r="CU20" s="645">
        <v>9.8391000000000002</v>
      </c>
      <c r="CV20" s="645">
        <v>9.2224000000000004</v>
      </c>
      <c r="CW20" s="645">
        <v>8.3726000000000003</v>
      </c>
      <c r="CX20" s="645">
        <v>8.2291000000000007</v>
      </c>
      <c r="CY20" s="645">
        <v>7.7779999999999996</v>
      </c>
      <c r="CZ20" s="645">
        <v>8.1842000000000006</v>
      </c>
      <c r="DA20" s="645">
        <v>7.5754000000000001</v>
      </c>
      <c r="DB20" s="645">
        <v>7.4246999999999996</v>
      </c>
      <c r="DC20" s="645">
        <v>7.7972999999999999</v>
      </c>
      <c r="DD20" s="645">
        <v>7.6669</v>
      </c>
      <c r="DE20" s="645">
        <v>8.3130000000000006</v>
      </c>
      <c r="DF20" s="646">
        <v>7.9964000000000004</v>
      </c>
      <c r="DG20" s="646">
        <v>7.8813000000000004</v>
      </c>
      <c r="DH20" s="640">
        <v>7.9257</v>
      </c>
      <c r="DJ20" s="606" t="s">
        <v>90</v>
      </c>
      <c r="DK20" s="645">
        <v>27.858899999999998</v>
      </c>
      <c r="DL20" s="645">
        <v>25.283999999999999</v>
      </c>
      <c r="DM20" s="645">
        <v>22.453499999999998</v>
      </c>
      <c r="DN20" s="645">
        <v>20.0807</v>
      </c>
      <c r="DO20" s="645">
        <v>18.987500000000001</v>
      </c>
      <c r="DP20" s="645">
        <v>18.0608</v>
      </c>
      <c r="DQ20" s="645">
        <v>16.094200000000001</v>
      </c>
      <c r="DR20" s="645">
        <v>13.9091</v>
      </c>
      <c r="DS20" s="645">
        <v>12.9312</v>
      </c>
      <c r="DT20" s="645">
        <v>13.504099999999999</v>
      </c>
      <c r="DU20" s="645">
        <v>9.4995999999999992</v>
      </c>
      <c r="DV20" s="646">
        <v>18.790700000000001</v>
      </c>
      <c r="DW20" s="646">
        <v>12.0433</v>
      </c>
      <c r="DX20" s="640">
        <v>14.6471</v>
      </c>
    </row>
    <row r="21" spans="2:128" s="465" customFormat="1" ht="15.75" customHeight="1" x14ac:dyDescent="0.25">
      <c r="B21" s="610" t="s">
        <v>239</v>
      </c>
      <c r="C21" s="611">
        <v>1536.0128999999999</v>
      </c>
      <c r="D21" s="611">
        <v>1111.8311000000001</v>
      </c>
      <c r="E21" s="611">
        <v>931.99450000000002</v>
      </c>
      <c r="F21" s="611">
        <v>945.79200000000003</v>
      </c>
      <c r="G21" s="611">
        <v>1074.8345999999999</v>
      </c>
      <c r="H21" s="611">
        <v>1212.0474999999999</v>
      </c>
      <c r="I21" s="611">
        <v>1312.4794999999999</v>
      </c>
      <c r="J21" s="611">
        <v>1449.6420000000001</v>
      </c>
      <c r="K21" s="611">
        <v>1600.9048</v>
      </c>
      <c r="L21" s="611">
        <v>1755.6323</v>
      </c>
      <c r="M21" s="611">
        <v>1970.2508</v>
      </c>
      <c r="N21" s="612">
        <v>1098.2428</v>
      </c>
      <c r="O21" s="612">
        <v>1706.7106000000001</v>
      </c>
      <c r="P21" s="613">
        <v>1400.6631</v>
      </c>
      <c r="R21" s="610" t="s">
        <v>239</v>
      </c>
      <c r="S21" s="611">
        <v>656.21640000000002</v>
      </c>
      <c r="T21" s="611">
        <v>513.75229999999999</v>
      </c>
      <c r="U21" s="611">
        <v>474.3698</v>
      </c>
      <c r="V21" s="611">
        <v>543.02880000000005</v>
      </c>
      <c r="W21" s="611">
        <v>673.95399999999995</v>
      </c>
      <c r="X21" s="611">
        <v>786.15509999999995</v>
      </c>
      <c r="Y21" s="611">
        <v>876.85530000000006</v>
      </c>
      <c r="Z21" s="611">
        <v>983.93230000000005</v>
      </c>
      <c r="AA21" s="611">
        <v>1097.1266000000001</v>
      </c>
      <c r="AB21" s="611">
        <v>1201.8362</v>
      </c>
      <c r="AC21" s="611">
        <v>1428.8981000000001</v>
      </c>
      <c r="AD21" s="612">
        <v>672.20939999999996</v>
      </c>
      <c r="AE21" s="612">
        <v>1191.3089</v>
      </c>
      <c r="AF21" s="613">
        <v>930.21190000000001</v>
      </c>
      <c r="AH21" s="610" t="s">
        <v>239</v>
      </c>
      <c r="AI21" s="633">
        <v>42.722099999999998</v>
      </c>
      <c r="AJ21" s="633">
        <v>46.207799999999999</v>
      </c>
      <c r="AK21" s="633">
        <v>50.898299999999999</v>
      </c>
      <c r="AL21" s="633">
        <v>57.415199999999999</v>
      </c>
      <c r="AM21" s="633">
        <v>62.703000000000003</v>
      </c>
      <c r="AN21" s="633">
        <v>64.861699999999999</v>
      </c>
      <c r="AO21" s="633">
        <v>66.809100000000001</v>
      </c>
      <c r="AP21" s="633">
        <v>67.874200000000002</v>
      </c>
      <c r="AQ21" s="633">
        <v>68.531700000000001</v>
      </c>
      <c r="AR21" s="633">
        <v>68.456000000000003</v>
      </c>
      <c r="AS21" s="633">
        <v>72.523700000000005</v>
      </c>
      <c r="AT21" s="641">
        <v>61.207700000000003</v>
      </c>
      <c r="AU21" s="641">
        <v>69.801500000000004</v>
      </c>
      <c r="AV21" s="634">
        <v>66.412300000000002</v>
      </c>
      <c r="AX21" s="610" t="s">
        <v>239</v>
      </c>
      <c r="AY21" s="633">
        <v>29.482199999999999</v>
      </c>
      <c r="AZ21" s="633">
        <v>35.508600000000001</v>
      </c>
      <c r="BA21" s="633">
        <v>42.139000000000003</v>
      </c>
      <c r="BB21" s="633">
        <v>50.9709</v>
      </c>
      <c r="BC21" s="633">
        <v>56.819699999999997</v>
      </c>
      <c r="BD21" s="633">
        <v>58.226100000000002</v>
      </c>
      <c r="BE21" s="633">
        <v>60.429600000000001</v>
      </c>
      <c r="BF21" s="633">
        <v>61.991399999999999</v>
      </c>
      <c r="BG21" s="633">
        <v>63.941299999999998</v>
      </c>
      <c r="BH21" s="633">
        <v>63.514699999999998</v>
      </c>
      <c r="BI21" s="633">
        <v>51.7774</v>
      </c>
      <c r="BJ21" s="641">
        <v>54.5124</v>
      </c>
      <c r="BK21" s="641">
        <v>59.238500000000002</v>
      </c>
      <c r="BL21" s="634">
        <v>57.374600000000001</v>
      </c>
      <c r="BN21" s="610" t="s">
        <v>239</v>
      </c>
      <c r="BO21" s="633">
        <v>33.570999999999998</v>
      </c>
      <c r="BP21" s="633">
        <v>30.4024</v>
      </c>
      <c r="BQ21" s="633">
        <v>27.623200000000001</v>
      </c>
      <c r="BR21" s="633">
        <v>23.858699999999999</v>
      </c>
      <c r="BS21" s="633">
        <v>20.089500000000001</v>
      </c>
      <c r="BT21" s="633">
        <v>18.2972</v>
      </c>
      <c r="BU21" s="633">
        <v>16.848299999999998</v>
      </c>
      <c r="BV21" s="633">
        <v>16.188400000000001</v>
      </c>
      <c r="BW21" s="633">
        <v>15.4399</v>
      </c>
      <c r="BX21" s="633">
        <v>15.1675</v>
      </c>
      <c r="BY21" s="633">
        <v>10.5138</v>
      </c>
      <c r="BZ21" s="641">
        <v>20.918600000000001</v>
      </c>
      <c r="CA21" s="641">
        <v>13.7987</v>
      </c>
      <c r="CB21" s="634">
        <v>16.6066</v>
      </c>
      <c r="CD21" s="610" t="s">
        <v>239</v>
      </c>
      <c r="CE21" s="633">
        <v>17.901299999999999</v>
      </c>
      <c r="CF21" s="633">
        <v>19.319400000000002</v>
      </c>
      <c r="CG21" s="633">
        <v>18.641100000000002</v>
      </c>
      <c r="CH21" s="633">
        <v>17.221499999999999</v>
      </c>
      <c r="CI21" s="633">
        <v>14.9855</v>
      </c>
      <c r="CJ21" s="633">
        <v>13.404999999999999</v>
      </c>
      <c r="CK21" s="633">
        <v>12.1351</v>
      </c>
      <c r="CL21" s="633">
        <v>12.1501</v>
      </c>
      <c r="CM21" s="633">
        <v>12.701599999999999</v>
      </c>
      <c r="CN21" s="633">
        <v>12.626200000000001</v>
      </c>
      <c r="CO21" s="633">
        <v>8.7820999999999998</v>
      </c>
      <c r="CP21" s="641">
        <v>14.983000000000001</v>
      </c>
      <c r="CQ21" s="641">
        <v>11.210900000000001</v>
      </c>
      <c r="CR21" s="634">
        <v>12.698600000000001</v>
      </c>
      <c r="CT21" s="610" t="s">
        <v>239</v>
      </c>
      <c r="CU21" s="633">
        <v>9.8391000000000002</v>
      </c>
      <c r="CV21" s="633">
        <v>9.2224000000000004</v>
      </c>
      <c r="CW21" s="633">
        <v>8.3865999999999996</v>
      </c>
      <c r="CX21" s="633">
        <v>8.2494999999999994</v>
      </c>
      <c r="CY21" s="633">
        <v>7.8261000000000003</v>
      </c>
      <c r="CZ21" s="633">
        <v>8.2697000000000003</v>
      </c>
      <c r="DA21" s="633">
        <v>7.8045999999999998</v>
      </c>
      <c r="DB21" s="633">
        <v>7.7443999999999997</v>
      </c>
      <c r="DC21" s="633">
        <v>8.0975999999999999</v>
      </c>
      <c r="DD21" s="633">
        <v>8.2437000000000005</v>
      </c>
      <c r="DE21" s="633">
        <v>8.4438999999999993</v>
      </c>
      <c r="DF21" s="641">
        <v>8.0951000000000004</v>
      </c>
      <c r="DG21" s="641">
        <v>8.18</v>
      </c>
      <c r="DH21" s="634">
        <v>8.1464999999999996</v>
      </c>
      <c r="DJ21" s="610" t="s">
        <v>239</v>
      </c>
      <c r="DK21" s="633">
        <v>27.858899999999998</v>
      </c>
      <c r="DL21" s="633">
        <v>25.283999999999999</v>
      </c>
      <c r="DM21" s="633">
        <v>22.427299999999999</v>
      </c>
      <c r="DN21" s="633">
        <v>20.114000000000001</v>
      </c>
      <c r="DO21" s="633">
        <v>19.075700000000001</v>
      </c>
      <c r="DP21" s="633">
        <v>18.248999999999999</v>
      </c>
      <c r="DQ21" s="633">
        <v>16.426200000000001</v>
      </c>
      <c r="DR21" s="633">
        <v>14.206200000000001</v>
      </c>
      <c r="DS21" s="633">
        <v>13.125400000000001</v>
      </c>
      <c r="DT21" s="633">
        <v>13.7652</v>
      </c>
      <c r="DU21" s="633">
        <v>9.4373000000000005</v>
      </c>
      <c r="DV21" s="641">
        <v>18.9664</v>
      </c>
      <c r="DW21" s="641">
        <v>12.1365</v>
      </c>
      <c r="DX21" s="634">
        <v>14.8301</v>
      </c>
    </row>
    <row r="22" spans="2:128" s="465" customFormat="1" ht="15.75" customHeight="1" x14ac:dyDescent="0.25">
      <c r="B22" s="614" t="s">
        <v>501</v>
      </c>
      <c r="C22" s="615"/>
      <c r="D22" s="615"/>
      <c r="E22" s="615"/>
      <c r="F22" s="615"/>
      <c r="G22" s="615"/>
      <c r="H22" s="615"/>
      <c r="I22" s="615"/>
      <c r="J22" s="615"/>
      <c r="K22" s="615"/>
      <c r="L22" s="615"/>
      <c r="M22" s="615"/>
      <c r="N22" s="616"/>
      <c r="O22" s="616"/>
      <c r="P22" s="617"/>
      <c r="R22" s="614" t="s">
        <v>501</v>
      </c>
      <c r="S22" s="615"/>
      <c r="T22" s="615"/>
      <c r="U22" s="615"/>
      <c r="V22" s="615"/>
      <c r="W22" s="615"/>
      <c r="X22" s="615"/>
      <c r="Y22" s="615"/>
      <c r="Z22" s="615"/>
      <c r="AA22" s="615"/>
      <c r="AB22" s="615"/>
      <c r="AC22" s="615"/>
      <c r="AD22" s="616"/>
      <c r="AE22" s="616"/>
      <c r="AF22" s="617"/>
      <c r="AH22" s="614" t="s">
        <v>501</v>
      </c>
      <c r="AI22" s="635"/>
      <c r="AJ22" s="635"/>
      <c r="AK22" s="635"/>
      <c r="AL22" s="635"/>
      <c r="AM22" s="635"/>
      <c r="AN22" s="635"/>
      <c r="AO22" s="635"/>
      <c r="AP22" s="635"/>
      <c r="AQ22" s="635"/>
      <c r="AR22" s="635"/>
      <c r="AS22" s="635"/>
      <c r="AT22" s="642"/>
      <c r="AU22" s="642"/>
      <c r="AV22" s="636"/>
      <c r="AX22" s="614" t="s">
        <v>501</v>
      </c>
      <c r="AY22" s="635"/>
      <c r="AZ22" s="635"/>
      <c r="BA22" s="635"/>
      <c r="BB22" s="635"/>
      <c r="BC22" s="635"/>
      <c r="BD22" s="635"/>
      <c r="BE22" s="635"/>
      <c r="BF22" s="635"/>
      <c r="BG22" s="635"/>
      <c r="BH22" s="635"/>
      <c r="BI22" s="635"/>
      <c r="BJ22" s="642"/>
      <c r="BK22" s="642"/>
      <c r="BL22" s="636"/>
      <c r="BN22" s="614" t="s">
        <v>501</v>
      </c>
      <c r="BO22" s="635"/>
      <c r="BP22" s="635"/>
      <c r="BQ22" s="635"/>
      <c r="BR22" s="635"/>
      <c r="BS22" s="635"/>
      <c r="BT22" s="635"/>
      <c r="BU22" s="635"/>
      <c r="BV22" s="635"/>
      <c r="BW22" s="635"/>
      <c r="BX22" s="635"/>
      <c r="BY22" s="635"/>
      <c r="BZ22" s="642"/>
      <c r="CA22" s="642"/>
      <c r="CB22" s="636"/>
      <c r="CD22" s="614" t="s">
        <v>501</v>
      </c>
      <c r="CE22" s="635"/>
      <c r="CF22" s="635"/>
      <c r="CG22" s="635"/>
      <c r="CH22" s="635"/>
      <c r="CI22" s="635"/>
      <c r="CJ22" s="635"/>
      <c r="CK22" s="635"/>
      <c r="CL22" s="635"/>
      <c r="CM22" s="635"/>
      <c r="CN22" s="635"/>
      <c r="CO22" s="635"/>
      <c r="CP22" s="642"/>
      <c r="CQ22" s="642"/>
      <c r="CR22" s="636"/>
      <c r="CT22" s="614" t="s">
        <v>501</v>
      </c>
      <c r="CU22" s="635"/>
      <c r="CV22" s="635"/>
      <c r="CW22" s="635"/>
      <c r="CX22" s="635"/>
      <c r="CY22" s="635"/>
      <c r="CZ22" s="635"/>
      <c r="DA22" s="635"/>
      <c r="DB22" s="635"/>
      <c r="DC22" s="635"/>
      <c r="DD22" s="635"/>
      <c r="DE22" s="635"/>
      <c r="DF22" s="642"/>
      <c r="DG22" s="642"/>
      <c r="DH22" s="636"/>
      <c r="DJ22" s="614" t="s">
        <v>501</v>
      </c>
      <c r="DK22" s="635"/>
      <c r="DL22" s="635"/>
      <c r="DM22" s="635"/>
      <c r="DN22" s="635"/>
      <c r="DO22" s="635"/>
      <c r="DP22" s="635"/>
      <c r="DQ22" s="635"/>
      <c r="DR22" s="635"/>
      <c r="DS22" s="635"/>
      <c r="DT22" s="635"/>
      <c r="DU22" s="635"/>
      <c r="DV22" s="642"/>
      <c r="DW22" s="642"/>
      <c r="DX22" s="636"/>
    </row>
    <row r="23" spans="2:128" s="571" customFormat="1" ht="15.75" customHeight="1" x14ac:dyDescent="0.25">
      <c r="B23" s="618" t="s">
        <v>763</v>
      </c>
      <c r="C23" s="619">
        <v>2338.1586000000002</v>
      </c>
      <c r="D23" s="619">
        <v>1651.7180000000001</v>
      </c>
      <c r="E23" s="619">
        <v>1359.4944</v>
      </c>
      <c r="F23" s="619">
        <v>1090.9498000000001</v>
      </c>
      <c r="G23" s="619">
        <v>1220.2303999999999</v>
      </c>
      <c r="H23" s="619">
        <v>1289.5640000000001</v>
      </c>
      <c r="I23" s="619">
        <v>1334.2607</v>
      </c>
      <c r="J23" s="619">
        <v>1431.9692</v>
      </c>
      <c r="K23" s="619">
        <v>1428.056</v>
      </c>
      <c r="L23" s="619">
        <v>1790.6161</v>
      </c>
      <c r="M23" s="619">
        <v>1571.8969</v>
      </c>
      <c r="N23" s="620">
        <v>1231.7049999999999</v>
      </c>
      <c r="O23" s="620">
        <v>1508.8400999999999</v>
      </c>
      <c r="P23" s="621">
        <v>1347.8132000000001</v>
      </c>
      <c r="R23" s="618" t="s">
        <v>763</v>
      </c>
      <c r="S23" s="619">
        <v>925.17169999999999</v>
      </c>
      <c r="T23" s="619">
        <v>707.11059999999998</v>
      </c>
      <c r="U23" s="619">
        <v>681.1318</v>
      </c>
      <c r="V23" s="619">
        <v>657.13340000000005</v>
      </c>
      <c r="W23" s="619">
        <v>794.95140000000004</v>
      </c>
      <c r="X23" s="619">
        <v>841.90219999999999</v>
      </c>
      <c r="Y23" s="619">
        <v>903.82529999999997</v>
      </c>
      <c r="Z23" s="619">
        <v>958.84889999999996</v>
      </c>
      <c r="AA23" s="619">
        <v>986.72249999999997</v>
      </c>
      <c r="AB23" s="619">
        <v>1079.8469</v>
      </c>
      <c r="AC23" s="619">
        <v>1132.7094999999999</v>
      </c>
      <c r="AD23" s="620">
        <v>773.19309999999996</v>
      </c>
      <c r="AE23" s="620">
        <v>1041.2258999999999</v>
      </c>
      <c r="AF23" s="621">
        <v>885.48789999999997</v>
      </c>
      <c r="AH23" s="618" t="s">
        <v>763</v>
      </c>
      <c r="AI23" s="637">
        <v>39.568399999999997</v>
      </c>
      <c r="AJ23" s="637">
        <v>42.810600000000001</v>
      </c>
      <c r="AK23" s="637">
        <v>50.101799999999997</v>
      </c>
      <c r="AL23" s="637">
        <v>60.234999999999999</v>
      </c>
      <c r="AM23" s="637">
        <v>65.147599999999997</v>
      </c>
      <c r="AN23" s="637">
        <v>65.285799999999995</v>
      </c>
      <c r="AO23" s="637">
        <v>67.739800000000002</v>
      </c>
      <c r="AP23" s="637">
        <v>66.9602</v>
      </c>
      <c r="AQ23" s="637">
        <v>69.095500000000001</v>
      </c>
      <c r="AR23" s="637">
        <v>60.305900000000001</v>
      </c>
      <c r="AS23" s="637">
        <v>72.06</v>
      </c>
      <c r="AT23" s="643">
        <v>62.7742</v>
      </c>
      <c r="AU23" s="643">
        <v>69.008399999999995</v>
      </c>
      <c r="AV23" s="638">
        <v>65.698099999999997</v>
      </c>
      <c r="AX23" s="618" t="s">
        <v>763</v>
      </c>
      <c r="AY23" s="637">
        <v>30.8079</v>
      </c>
      <c r="AZ23" s="637">
        <v>34.297800000000002</v>
      </c>
      <c r="BA23" s="637">
        <v>41.897599999999997</v>
      </c>
      <c r="BB23" s="637">
        <v>52.713000000000001</v>
      </c>
      <c r="BC23" s="637">
        <v>57.934199999999997</v>
      </c>
      <c r="BD23" s="637">
        <v>57.110199999999999</v>
      </c>
      <c r="BE23" s="637">
        <v>59.750300000000003</v>
      </c>
      <c r="BF23" s="637">
        <v>60.863799999999998</v>
      </c>
      <c r="BG23" s="637">
        <v>63.571399999999997</v>
      </c>
      <c r="BH23" s="637">
        <v>56.855899999999998</v>
      </c>
      <c r="BI23" s="637">
        <v>66.466999999999999</v>
      </c>
      <c r="BJ23" s="643">
        <v>55.024000000000001</v>
      </c>
      <c r="BK23" s="643">
        <v>63.4953</v>
      </c>
      <c r="BL23" s="638">
        <v>58.997100000000003</v>
      </c>
      <c r="BN23" s="618" t="s">
        <v>763</v>
      </c>
      <c r="BO23" s="637">
        <v>35.921599999999998</v>
      </c>
      <c r="BP23" s="637">
        <v>31.817699999999999</v>
      </c>
      <c r="BQ23" s="637">
        <v>26.6526</v>
      </c>
      <c r="BR23" s="637">
        <v>19.065799999999999</v>
      </c>
      <c r="BS23" s="637">
        <v>14.548299999999999</v>
      </c>
      <c r="BT23" s="637">
        <v>14.6396</v>
      </c>
      <c r="BU23" s="637">
        <v>12.8697</v>
      </c>
      <c r="BV23" s="637">
        <v>13.115399999999999</v>
      </c>
      <c r="BW23" s="637">
        <v>14.1972</v>
      </c>
      <c r="BX23" s="637">
        <v>20.463000000000001</v>
      </c>
      <c r="BY23" s="637">
        <v>11.819900000000001</v>
      </c>
      <c r="BZ23" s="643">
        <v>16.764700000000001</v>
      </c>
      <c r="CA23" s="643">
        <v>13.535</v>
      </c>
      <c r="CB23" s="638">
        <v>15.2499</v>
      </c>
      <c r="CD23" s="618" t="s">
        <v>763</v>
      </c>
      <c r="CE23" s="637">
        <v>21.946200000000001</v>
      </c>
      <c r="CF23" s="637">
        <v>20.626200000000001</v>
      </c>
      <c r="CG23" s="637">
        <v>15.8095</v>
      </c>
      <c r="CH23" s="637">
        <v>13.5877</v>
      </c>
      <c r="CI23" s="637">
        <v>9.2971000000000004</v>
      </c>
      <c r="CJ23" s="637">
        <v>9.0126000000000008</v>
      </c>
      <c r="CK23" s="637">
        <v>7.6506999999999996</v>
      </c>
      <c r="CL23" s="637">
        <v>8.0406999999999993</v>
      </c>
      <c r="CM23" s="637">
        <v>11.460599999999999</v>
      </c>
      <c r="CN23" s="637">
        <v>16.900099999999998</v>
      </c>
      <c r="CO23" s="637">
        <v>9.8521999999999998</v>
      </c>
      <c r="CP23" s="643">
        <v>10.851800000000001</v>
      </c>
      <c r="CQ23" s="643">
        <v>10.4726</v>
      </c>
      <c r="CR23" s="638">
        <v>10.673999999999999</v>
      </c>
      <c r="CT23" s="618" t="s">
        <v>763</v>
      </c>
      <c r="CU23" s="637">
        <v>7.5686</v>
      </c>
      <c r="CV23" s="637">
        <v>8.8343000000000007</v>
      </c>
      <c r="CW23" s="637">
        <v>8.8750999999999998</v>
      </c>
      <c r="CX23" s="637">
        <v>8.7187999999999999</v>
      </c>
      <c r="CY23" s="637">
        <v>8.0756999999999994</v>
      </c>
      <c r="CZ23" s="637">
        <v>8.7423999999999999</v>
      </c>
      <c r="DA23" s="637">
        <v>7.9123000000000001</v>
      </c>
      <c r="DB23" s="637">
        <v>7.8993000000000002</v>
      </c>
      <c r="DC23" s="637">
        <v>7.7481999999999998</v>
      </c>
      <c r="DD23" s="637">
        <v>5.2492999999999999</v>
      </c>
      <c r="DE23" s="637">
        <v>9.3849999999999998</v>
      </c>
      <c r="DF23" s="643">
        <v>8.3759999999999994</v>
      </c>
      <c r="DG23" s="643">
        <v>8.2152999999999992</v>
      </c>
      <c r="DH23" s="638">
        <v>8.3005999999999993</v>
      </c>
      <c r="DJ23" s="618" t="s">
        <v>763</v>
      </c>
      <c r="DK23" s="637">
        <v>32.445099999999996</v>
      </c>
      <c r="DL23" s="637">
        <v>28.579899999999999</v>
      </c>
      <c r="DM23" s="637">
        <v>24.060099999999998</v>
      </c>
      <c r="DN23" s="637">
        <v>22.4206</v>
      </c>
      <c r="DO23" s="637">
        <v>21.257000000000001</v>
      </c>
      <c r="DP23" s="637">
        <v>20.698499999999999</v>
      </c>
      <c r="DQ23" s="637">
        <v>18.3597</v>
      </c>
      <c r="DR23" s="637">
        <v>15.5406</v>
      </c>
      <c r="DS23" s="637">
        <v>14.0223</v>
      </c>
      <c r="DT23" s="637">
        <v>12.883100000000001</v>
      </c>
      <c r="DU23" s="637">
        <v>14.7842</v>
      </c>
      <c r="DV23" s="643">
        <v>21.1188</v>
      </c>
      <c r="DW23" s="643">
        <v>14.587</v>
      </c>
      <c r="DX23" s="638">
        <v>18.055299999999999</v>
      </c>
    </row>
    <row r="24" spans="2:128" s="465" customFormat="1" ht="15.75" customHeight="1" x14ac:dyDescent="0.25">
      <c r="B24" s="622" t="s">
        <v>764</v>
      </c>
      <c r="C24" s="623">
        <v>1360.3380999999999</v>
      </c>
      <c r="D24" s="623">
        <v>1030.4305999999999</v>
      </c>
      <c r="E24" s="623">
        <v>851.52020000000005</v>
      </c>
      <c r="F24" s="623">
        <v>863.69330000000002</v>
      </c>
      <c r="G24" s="623">
        <v>978.41759999999999</v>
      </c>
      <c r="H24" s="623">
        <v>1294.4688000000001</v>
      </c>
      <c r="I24" s="623">
        <v>1278.6536000000001</v>
      </c>
      <c r="J24" s="623">
        <v>1346.7245</v>
      </c>
      <c r="K24" s="623">
        <v>1615.8978999999999</v>
      </c>
      <c r="L24" s="623" t="s">
        <v>102</v>
      </c>
      <c r="M24" s="623">
        <v>1372.8118999999999</v>
      </c>
      <c r="N24" s="624">
        <v>988.72389999999996</v>
      </c>
      <c r="O24" s="624">
        <v>1468.9150999999999</v>
      </c>
      <c r="P24" s="609">
        <v>1115.7744</v>
      </c>
      <c r="R24" s="622" t="s">
        <v>764</v>
      </c>
      <c r="S24" s="623">
        <v>539.94449999999995</v>
      </c>
      <c r="T24" s="623">
        <v>431.35399999999998</v>
      </c>
      <c r="U24" s="623">
        <v>398.55349999999999</v>
      </c>
      <c r="V24" s="623">
        <v>471.22089999999997</v>
      </c>
      <c r="W24" s="623">
        <v>612.37750000000005</v>
      </c>
      <c r="X24" s="623">
        <v>796.33330000000001</v>
      </c>
      <c r="Y24" s="623">
        <v>825.46199999999999</v>
      </c>
      <c r="Z24" s="623">
        <v>849.02930000000003</v>
      </c>
      <c r="AA24" s="623">
        <v>1059.9683</v>
      </c>
      <c r="AB24" s="623" t="s">
        <v>102</v>
      </c>
      <c r="AC24" s="623">
        <v>893.74069999999995</v>
      </c>
      <c r="AD24" s="624">
        <v>551.91380000000004</v>
      </c>
      <c r="AE24" s="624">
        <v>953.88869999999997</v>
      </c>
      <c r="AF24" s="609">
        <v>658.26959999999997</v>
      </c>
      <c r="AH24" s="622" t="s">
        <v>764</v>
      </c>
      <c r="AI24" s="639">
        <v>39.691899999999997</v>
      </c>
      <c r="AJ24" s="639">
        <v>41.861499999999999</v>
      </c>
      <c r="AK24" s="639">
        <v>46.804900000000004</v>
      </c>
      <c r="AL24" s="639">
        <v>54.558799999999998</v>
      </c>
      <c r="AM24" s="639">
        <v>62.5886</v>
      </c>
      <c r="AN24" s="639">
        <v>61.5182</v>
      </c>
      <c r="AO24" s="639">
        <v>64.557100000000005</v>
      </c>
      <c r="AP24" s="639">
        <v>63.043999999999997</v>
      </c>
      <c r="AQ24" s="639">
        <v>65.596199999999996</v>
      </c>
      <c r="AR24" s="639" t="s">
        <v>102</v>
      </c>
      <c r="AS24" s="639">
        <v>65.102900000000005</v>
      </c>
      <c r="AT24" s="644">
        <v>55.820799999999998</v>
      </c>
      <c r="AU24" s="644">
        <v>64.938299999999998</v>
      </c>
      <c r="AV24" s="640">
        <v>58.996699999999997</v>
      </c>
      <c r="AX24" s="622" t="s">
        <v>764</v>
      </c>
      <c r="AY24" s="639">
        <v>28.260999999999999</v>
      </c>
      <c r="AZ24" s="639">
        <v>32.978400000000001</v>
      </c>
      <c r="BA24" s="639">
        <v>40.273000000000003</v>
      </c>
      <c r="BB24" s="639">
        <v>49.472999999999999</v>
      </c>
      <c r="BC24" s="639">
        <v>56.876899999999999</v>
      </c>
      <c r="BD24" s="639">
        <v>57.188699999999997</v>
      </c>
      <c r="BE24" s="639">
        <v>59.728200000000001</v>
      </c>
      <c r="BF24" s="639">
        <v>58.375</v>
      </c>
      <c r="BG24" s="639">
        <v>61.875399999999999</v>
      </c>
      <c r="BH24" s="639" t="s">
        <v>102</v>
      </c>
      <c r="BI24" s="639">
        <v>59.591099999999997</v>
      </c>
      <c r="BJ24" s="644">
        <v>50.1633</v>
      </c>
      <c r="BK24" s="644">
        <v>60.409399999999998</v>
      </c>
      <c r="BL24" s="640">
        <v>53.732300000000002</v>
      </c>
      <c r="BN24" s="622" t="s">
        <v>764</v>
      </c>
      <c r="BO24" s="639">
        <v>27.619299999999999</v>
      </c>
      <c r="BP24" s="639">
        <v>25.351099999999999</v>
      </c>
      <c r="BQ24" s="639">
        <v>23.343900000000001</v>
      </c>
      <c r="BR24" s="639">
        <v>22.770199999999999</v>
      </c>
      <c r="BS24" s="639">
        <v>19.7775</v>
      </c>
      <c r="BT24" s="639">
        <v>20.3874</v>
      </c>
      <c r="BU24" s="639">
        <v>18.631799999999998</v>
      </c>
      <c r="BV24" s="639">
        <v>22.2011</v>
      </c>
      <c r="BW24" s="639">
        <v>19.2807</v>
      </c>
      <c r="BX24" s="639" t="s">
        <v>102</v>
      </c>
      <c r="BY24" s="639">
        <v>17.632899999999999</v>
      </c>
      <c r="BZ24" s="644">
        <v>21.7376</v>
      </c>
      <c r="CA24" s="644">
        <v>19.257899999999999</v>
      </c>
      <c r="CB24" s="640">
        <v>20.873899999999999</v>
      </c>
      <c r="CD24" s="622" t="s">
        <v>764</v>
      </c>
      <c r="CE24" s="639">
        <v>15.115500000000001</v>
      </c>
      <c r="CF24" s="639">
        <v>16.161300000000001</v>
      </c>
      <c r="CG24" s="639">
        <v>16.870799999999999</v>
      </c>
      <c r="CH24" s="639">
        <v>17.2194</v>
      </c>
      <c r="CI24" s="639">
        <v>13.167400000000001</v>
      </c>
      <c r="CJ24" s="639">
        <v>12.125500000000001</v>
      </c>
      <c r="CK24" s="639">
        <v>13.639099999999999</v>
      </c>
      <c r="CL24" s="639">
        <v>18.4726</v>
      </c>
      <c r="CM24" s="639">
        <v>15.443300000000001</v>
      </c>
      <c r="CN24" s="639" t="s">
        <v>102</v>
      </c>
      <c r="CO24" s="639">
        <v>15.0916</v>
      </c>
      <c r="CP24" s="644">
        <v>15.3643</v>
      </c>
      <c r="CQ24" s="644">
        <v>15.8956</v>
      </c>
      <c r="CR24" s="640">
        <v>15.549300000000001</v>
      </c>
      <c r="CT24" s="622" t="s">
        <v>764</v>
      </c>
      <c r="CU24" s="639">
        <v>18.8506</v>
      </c>
      <c r="CV24" s="639">
        <v>17.551600000000001</v>
      </c>
      <c r="CW24" s="639">
        <v>14.4938</v>
      </c>
      <c r="CX24" s="639">
        <v>10.0388</v>
      </c>
      <c r="CY24" s="639">
        <v>8.1790000000000003</v>
      </c>
      <c r="CZ24" s="639">
        <v>6.9165000000000001</v>
      </c>
      <c r="DA24" s="639">
        <v>6.7305000000000001</v>
      </c>
      <c r="DB24" s="639">
        <v>6.7706</v>
      </c>
      <c r="DC24" s="639">
        <v>7.431</v>
      </c>
      <c r="DD24" s="639" t="s">
        <v>102</v>
      </c>
      <c r="DE24" s="639">
        <v>8.5313999999999997</v>
      </c>
      <c r="DF24" s="644">
        <v>10.232799999999999</v>
      </c>
      <c r="DG24" s="644">
        <v>7.6913</v>
      </c>
      <c r="DH24" s="640">
        <v>9.3475999999999999</v>
      </c>
      <c r="DJ24" s="622" t="s">
        <v>764</v>
      </c>
      <c r="DK24" s="639">
        <v>27.097100000000001</v>
      </c>
      <c r="DL24" s="639">
        <v>26.896100000000001</v>
      </c>
      <c r="DM24" s="639">
        <v>24.114000000000001</v>
      </c>
      <c r="DN24" s="639">
        <v>21.005099999999999</v>
      </c>
      <c r="DO24" s="639">
        <v>20.651800000000001</v>
      </c>
      <c r="DP24" s="639">
        <v>15.812099999999999</v>
      </c>
      <c r="DQ24" s="639">
        <v>16.287500000000001</v>
      </c>
      <c r="DR24" s="639">
        <v>12.340199999999999</v>
      </c>
      <c r="DS24" s="639">
        <v>14.369</v>
      </c>
      <c r="DT24" s="639" t="s">
        <v>102</v>
      </c>
      <c r="DU24" s="639">
        <v>18.3932</v>
      </c>
      <c r="DV24" s="644">
        <v>20.5413</v>
      </c>
      <c r="DW24" s="644">
        <v>15.394399999999999</v>
      </c>
      <c r="DX24" s="640">
        <v>18.7485</v>
      </c>
    </row>
    <row r="25" spans="2:128" s="571" customFormat="1" ht="15.75" customHeight="1" x14ac:dyDescent="0.25">
      <c r="B25" s="618" t="s">
        <v>51</v>
      </c>
      <c r="C25" s="619">
        <v>1614.8367000000001</v>
      </c>
      <c r="D25" s="619">
        <v>1507.0833</v>
      </c>
      <c r="E25" s="619">
        <v>1035.0425</v>
      </c>
      <c r="F25" s="619">
        <v>929.88549999999998</v>
      </c>
      <c r="G25" s="619">
        <v>1043.3362999999999</v>
      </c>
      <c r="H25" s="619">
        <v>1144.0971999999999</v>
      </c>
      <c r="I25" s="619">
        <v>1219.2656999999999</v>
      </c>
      <c r="J25" s="619">
        <v>1270.7209</v>
      </c>
      <c r="K25" s="619">
        <v>1545.7068999999999</v>
      </c>
      <c r="L25" s="619">
        <v>1437.8308999999999</v>
      </c>
      <c r="M25" s="619">
        <v>1346.4556</v>
      </c>
      <c r="N25" s="620">
        <v>1078.9965999999999</v>
      </c>
      <c r="O25" s="620">
        <v>1367.3474000000001</v>
      </c>
      <c r="P25" s="621">
        <v>1176.6355000000001</v>
      </c>
      <c r="R25" s="618" t="s">
        <v>51</v>
      </c>
      <c r="S25" s="619">
        <v>938.73109999999997</v>
      </c>
      <c r="T25" s="619">
        <v>727.01919999999996</v>
      </c>
      <c r="U25" s="619">
        <v>579.99109999999996</v>
      </c>
      <c r="V25" s="619">
        <v>540.3098</v>
      </c>
      <c r="W25" s="619">
        <v>627.93870000000004</v>
      </c>
      <c r="X25" s="619">
        <v>706.34450000000004</v>
      </c>
      <c r="Y25" s="619">
        <v>792.13840000000005</v>
      </c>
      <c r="Z25" s="619">
        <v>896.42840000000001</v>
      </c>
      <c r="AA25" s="619">
        <v>1058.0599</v>
      </c>
      <c r="AB25" s="619">
        <v>989.59069999999997</v>
      </c>
      <c r="AC25" s="619">
        <v>853.62599999999998</v>
      </c>
      <c r="AD25" s="620">
        <v>661.93060000000003</v>
      </c>
      <c r="AE25" s="620">
        <v>924.9425</v>
      </c>
      <c r="AF25" s="621">
        <v>750.98950000000002</v>
      </c>
      <c r="AH25" s="618" t="s">
        <v>51</v>
      </c>
      <c r="AI25" s="637">
        <v>58.131599999999999</v>
      </c>
      <c r="AJ25" s="637">
        <v>48.240099999999998</v>
      </c>
      <c r="AK25" s="637">
        <v>56.035499999999999</v>
      </c>
      <c r="AL25" s="637">
        <v>58.104999999999997</v>
      </c>
      <c r="AM25" s="637">
        <v>60.185600000000001</v>
      </c>
      <c r="AN25" s="637">
        <v>61.738100000000003</v>
      </c>
      <c r="AO25" s="637">
        <v>64.968500000000006</v>
      </c>
      <c r="AP25" s="637">
        <v>70.544899999999998</v>
      </c>
      <c r="AQ25" s="637">
        <v>68.451499999999996</v>
      </c>
      <c r="AR25" s="637">
        <v>68.825199999999995</v>
      </c>
      <c r="AS25" s="637">
        <v>63.398000000000003</v>
      </c>
      <c r="AT25" s="643">
        <v>61.346899999999998</v>
      </c>
      <c r="AU25" s="643">
        <v>67.644999999999996</v>
      </c>
      <c r="AV25" s="638">
        <v>63.825200000000002</v>
      </c>
      <c r="AX25" s="618" t="s">
        <v>51</v>
      </c>
      <c r="AY25" s="637">
        <v>38.759599999999999</v>
      </c>
      <c r="AZ25" s="637">
        <v>34.706800000000001</v>
      </c>
      <c r="BA25" s="637">
        <v>43.736499999999999</v>
      </c>
      <c r="BB25" s="637">
        <v>51.788400000000003</v>
      </c>
      <c r="BC25" s="637">
        <v>54.905799999999999</v>
      </c>
      <c r="BD25" s="637">
        <v>56.691400000000002</v>
      </c>
      <c r="BE25" s="637">
        <v>59.0563</v>
      </c>
      <c r="BF25" s="637">
        <v>64.233500000000006</v>
      </c>
      <c r="BG25" s="637">
        <v>62.6541</v>
      </c>
      <c r="BH25" s="637">
        <v>61.649299999999997</v>
      </c>
      <c r="BI25" s="637">
        <v>58.736600000000003</v>
      </c>
      <c r="BJ25" s="643">
        <v>55.477200000000003</v>
      </c>
      <c r="BK25" s="643">
        <v>61.8048</v>
      </c>
      <c r="BL25" s="638">
        <v>57.967100000000002</v>
      </c>
      <c r="BN25" s="618" t="s">
        <v>51</v>
      </c>
      <c r="BO25" s="637">
        <v>27.385100000000001</v>
      </c>
      <c r="BP25" s="637">
        <v>26.064800000000002</v>
      </c>
      <c r="BQ25" s="637">
        <v>26.741399999999999</v>
      </c>
      <c r="BR25" s="637">
        <v>26.0246</v>
      </c>
      <c r="BS25" s="637">
        <v>24.104399999999998</v>
      </c>
      <c r="BT25" s="637">
        <v>21.9558</v>
      </c>
      <c r="BU25" s="637">
        <v>18.552900000000001</v>
      </c>
      <c r="BV25" s="637">
        <v>13.1218</v>
      </c>
      <c r="BW25" s="637">
        <v>15.7963</v>
      </c>
      <c r="BX25" s="637">
        <v>14.658899999999999</v>
      </c>
      <c r="BY25" s="637">
        <v>19.746200000000002</v>
      </c>
      <c r="BZ25" s="643">
        <v>22.488900000000001</v>
      </c>
      <c r="CA25" s="643">
        <v>15.942399999999999</v>
      </c>
      <c r="CB25" s="638">
        <v>19.9129</v>
      </c>
      <c r="CD25" s="618" t="s">
        <v>51</v>
      </c>
      <c r="CE25" s="637">
        <v>17.068100000000001</v>
      </c>
      <c r="CF25" s="637">
        <v>19.871600000000001</v>
      </c>
      <c r="CG25" s="637">
        <v>21.334299999999999</v>
      </c>
      <c r="CH25" s="637">
        <v>22.148700000000002</v>
      </c>
      <c r="CI25" s="637">
        <v>20.795100000000001</v>
      </c>
      <c r="CJ25" s="637">
        <v>18.420500000000001</v>
      </c>
      <c r="CK25" s="637">
        <v>14.995699999999999</v>
      </c>
      <c r="CL25" s="637">
        <v>10.3428</v>
      </c>
      <c r="CM25" s="637">
        <v>13.364100000000001</v>
      </c>
      <c r="CN25" s="637">
        <v>12.6074</v>
      </c>
      <c r="CO25" s="637">
        <v>18.1005</v>
      </c>
      <c r="CP25" s="643">
        <v>18.862500000000001</v>
      </c>
      <c r="CQ25" s="643">
        <v>13.6998</v>
      </c>
      <c r="CR25" s="638">
        <v>16.831</v>
      </c>
      <c r="CT25" s="618" t="s">
        <v>51</v>
      </c>
      <c r="CU25" s="637">
        <v>9.8381000000000007</v>
      </c>
      <c r="CV25" s="637">
        <v>6.1295000000000002</v>
      </c>
      <c r="CW25" s="637">
        <v>5.0872999999999999</v>
      </c>
      <c r="CX25" s="637">
        <v>7.7770000000000001</v>
      </c>
      <c r="CY25" s="637">
        <v>7.976</v>
      </c>
      <c r="CZ25" s="637">
        <v>8.7012999999999998</v>
      </c>
      <c r="DA25" s="637">
        <v>9.1270000000000007</v>
      </c>
      <c r="DB25" s="637">
        <v>9.7810000000000006</v>
      </c>
      <c r="DC25" s="637">
        <v>8.6829999999999998</v>
      </c>
      <c r="DD25" s="637">
        <v>9.0617000000000001</v>
      </c>
      <c r="DE25" s="637">
        <v>8.3198000000000008</v>
      </c>
      <c r="DF25" s="643">
        <v>8.3565000000000005</v>
      </c>
      <c r="DG25" s="643">
        <v>8.9990000000000006</v>
      </c>
      <c r="DH25" s="638">
        <v>8.6092999999999993</v>
      </c>
      <c r="DJ25" s="618" t="s">
        <v>51</v>
      </c>
      <c r="DK25" s="637">
        <v>29.937100000000001</v>
      </c>
      <c r="DL25" s="637">
        <v>27.822199999999999</v>
      </c>
      <c r="DM25" s="637">
        <v>24.896799999999999</v>
      </c>
      <c r="DN25" s="637">
        <v>22.095500000000001</v>
      </c>
      <c r="DO25" s="637">
        <v>22.601800000000001</v>
      </c>
      <c r="DP25" s="637">
        <v>20.663699999999999</v>
      </c>
      <c r="DQ25" s="637">
        <v>20.2879</v>
      </c>
      <c r="DR25" s="637">
        <v>14.208299999999999</v>
      </c>
      <c r="DS25" s="637">
        <v>14.2143</v>
      </c>
      <c r="DT25" s="637">
        <v>15.3004</v>
      </c>
      <c r="DU25" s="637">
        <v>10.019299999999999</v>
      </c>
      <c r="DV25" s="643">
        <v>21.441299999999998</v>
      </c>
      <c r="DW25" s="643">
        <v>13.0871</v>
      </c>
      <c r="DX25" s="638">
        <v>18.1539</v>
      </c>
    </row>
    <row r="26" spans="2:128" s="465" customFormat="1" ht="15.75" customHeight="1" x14ac:dyDescent="0.25">
      <c r="B26" s="622" t="s">
        <v>765</v>
      </c>
      <c r="C26" s="623">
        <v>1314.4093</v>
      </c>
      <c r="D26" s="623">
        <v>1019.5653</v>
      </c>
      <c r="E26" s="623">
        <v>867.69209999999998</v>
      </c>
      <c r="F26" s="623">
        <v>896.44949999999994</v>
      </c>
      <c r="G26" s="623">
        <v>1027.0256999999999</v>
      </c>
      <c r="H26" s="623">
        <v>1135.6999000000001</v>
      </c>
      <c r="I26" s="623">
        <v>1267.8530000000001</v>
      </c>
      <c r="J26" s="623">
        <v>1516.9377999999999</v>
      </c>
      <c r="K26" s="623">
        <v>1622.3758</v>
      </c>
      <c r="L26" s="623">
        <v>1521.9729</v>
      </c>
      <c r="M26" s="623">
        <v>1574.4072000000001</v>
      </c>
      <c r="N26" s="624">
        <v>1012.2103</v>
      </c>
      <c r="O26" s="624">
        <v>1566.9875</v>
      </c>
      <c r="P26" s="609">
        <v>1207.5983000000001</v>
      </c>
      <c r="R26" s="622" t="s">
        <v>765</v>
      </c>
      <c r="S26" s="623">
        <v>725.74829999999997</v>
      </c>
      <c r="T26" s="623">
        <v>580.70569999999998</v>
      </c>
      <c r="U26" s="623">
        <v>503.98579999999998</v>
      </c>
      <c r="V26" s="623">
        <v>503.97710000000001</v>
      </c>
      <c r="W26" s="623">
        <v>623.35040000000004</v>
      </c>
      <c r="X26" s="623">
        <v>689.01980000000003</v>
      </c>
      <c r="Y26" s="623">
        <v>844.13750000000005</v>
      </c>
      <c r="Z26" s="623">
        <v>989.03740000000005</v>
      </c>
      <c r="AA26" s="623">
        <v>1109.1863000000001</v>
      </c>
      <c r="AB26" s="623">
        <v>1072.0242000000001</v>
      </c>
      <c r="AC26" s="623">
        <v>1033.6088</v>
      </c>
      <c r="AD26" s="624">
        <v>607.92790000000002</v>
      </c>
      <c r="AE26" s="624">
        <v>1045.6989000000001</v>
      </c>
      <c r="AF26" s="609">
        <v>762.10720000000003</v>
      </c>
      <c r="AH26" s="622" t="s">
        <v>765</v>
      </c>
      <c r="AI26" s="639">
        <v>55.214799999999997</v>
      </c>
      <c r="AJ26" s="639">
        <v>56.956200000000003</v>
      </c>
      <c r="AK26" s="639">
        <v>58.083500000000001</v>
      </c>
      <c r="AL26" s="639">
        <v>56.219200000000001</v>
      </c>
      <c r="AM26" s="639">
        <v>60.694699999999997</v>
      </c>
      <c r="AN26" s="639">
        <v>60.669199999999996</v>
      </c>
      <c r="AO26" s="639">
        <v>66.580100000000002</v>
      </c>
      <c r="AP26" s="639">
        <v>65.199600000000004</v>
      </c>
      <c r="AQ26" s="639">
        <v>68.367999999999995</v>
      </c>
      <c r="AR26" s="639">
        <v>70.436499999999995</v>
      </c>
      <c r="AS26" s="639">
        <v>65.650700000000001</v>
      </c>
      <c r="AT26" s="644">
        <v>60.059399999999997</v>
      </c>
      <c r="AU26" s="644">
        <v>66.733099999999993</v>
      </c>
      <c r="AV26" s="640">
        <v>63.109299999999998</v>
      </c>
      <c r="AX26" s="622" t="s">
        <v>765</v>
      </c>
      <c r="AY26" s="639">
        <v>36.979900000000001</v>
      </c>
      <c r="AZ26" s="639">
        <v>42.5349</v>
      </c>
      <c r="BA26" s="639">
        <v>47.156599999999997</v>
      </c>
      <c r="BB26" s="639">
        <v>50.558100000000003</v>
      </c>
      <c r="BC26" s="639">
        <v>56.4876</v>
      </c>
      <c r="BD26" s="639">
        <v>56.795499999999997</v>
      </c>
      <c r="BE26" s="639">
        <v>61.879300000000001</v>
      </c>
      <c r="BF26" s="639">
        <v>61.086300000000001</v>
      </c>
      <c r="BG26" s="639">
        <v>64.590999999999994</v>
      </c>
      <c r="BH26" s="639">
        <v>66.012500000000003</v>
      </c>
      <c r="BI26" s="639">
        <v>61.152200000000001</v>
      </c>
      <c r="BJ26" s="644">
        <v>54.4086</v>
      </c>
      <c r="BK26" s="644">
        <v>62.601100000000002</v>
      </c>
      <c r="BL26" s="640">
        <v>58.1526</v>
      </c>
      <c r="BN26" s="622" t="s">
        <v>765</v>
      </c>
      <c r="BO26" s="639">
        <v>33.514600000000002</v>
      </c>
      <c r="BP26" s="639">
        <v>29.132100000000001</v>
      </c>
      <c r="BQ26" s="639">
        <v>26.3614</v>
      </c>
      <c r="BR26" s="639">
        <v>27.457999999999998</v>
      </c>
      <c r="BS26" s="639">
        <v>22.3781</v>
      </c>
      <c r="BT26" s="639">
        <v>22.8401</v>
      </c>
      <c r="BU26" s="639">
        <v>18.286999999999999</v>
      </c>
      <c r="BV26" s="639">
        <v>16.9087</v>
      </c>
      <c r="BW26" s="639">
        <v>16.319299999999998</v>
      </c>
      <c r="BX26" s="639">
        <v>19.989999999999998</v>
      </c>
      <c r="BY26" s="639">
        <v>17.059100000000001</v>
      </c>
      <c r="BZ26" s="644">
        <v>23.880700000000001</v>
      </c>
      <c r="CA26" s="644">
        <v>16.968699999999998</v>
      </c>
      <c r="CB26" s="640">
        <v>20.721900000000002</v>
      </c>
      <c r="CD26" s="622" t="s">
        <v>765</v>
      </c>
      <c r="CE26" s="639">
        <v>16.122699999999998</v>
      </c>
      <c r="CF26" s="639">
        <v>16.778700000000001</v>
      </c>
      <c r="CG26" s="639">
        <v>18.098700000000001</v>
      </c>
      <c r="CH26" s="639">
        <v>18.2927</v>
      </c>
      <c r="CI26" s="639">
        <v>16.771599999999999</v>
      </c>
      <c r="CJ26" s="639">
        <v>16.712299999999999</v>
      </c>
      <c r="CK26" s="639">
        <v>12.3156</v>
      </c>
      <c r="CL26" s="639">
        <v>12.584199999999999</v>
      </c>
      <c r="CM26" s="639">
        <v>13.202999999999999</v>
      </c>
      <c r="CN26" s="639">
        <v>15.784800000000001</v>
      </c>
      <c r="CO26" s="639">
        <v>15.330399999999999</v>
      </c>
      <c r="CP26" s="644">
        <v>16.4513</v>
      </c>
      <c r="CQ26" s="644">
        <v>13.780799999999999</v>
      </c>
      <c r="CR26" s="640">
        <v>15.2309</v>
      </c>
      <c r="CT26" s="622" t="s">
        <v>765</v>
      </c>
      <c r="CU26" s="639">
        <v>3.8788</v>
      </c>
      <c r="CV26" s="639">
        <v>3.5116000000000001</v>
      </c>
      <c r="CW26" s="639">
        <v>5.8025000000000002</v>
      </c>
      <c r="CX26" s="639">
        <v>8.1431000000000004</v>
      </c>
      <c r="CY26" s="639">
        <v>8.6951000000000001</v>
      </c>
      <c r="CZ26" s="639">
        <v>9.2804000000000002</v>
      </c>
      <c r="DA26" s="639">
        <v>7.5103999999999997</v>
      </c>
      <c r="DB26" s="639">
        <v>9.6207999999999991</v>
      </c>
      <c r="DC26" s="639">
        <v>7.2443999999999997</v>
      </c>
      <c r="DD26" s="639">
        <v>6.1791999999999998</v>
      </c>
      <c r="DE26" s="639">
        <v>9.1306999999999992</v>
      </c>
      <c r="DF26" s="644">
        <v>7.9343000000000004</v>
      </c>
      <c r="DG26" s="644">
        <v>8.4614999999999991</v>
      </c>
      <c r="DH26" s="640">
        <v>8.1752000000000002</v>
      </c>
      <c r="DJ26" s="622" t="s">
        <v>765</v>
      </c>
      <c r="DK26" s="639">
        <v>21.248000000000001</v>
      </c>
      <c r="DL26" s="639">
        <v>18.883900000000001</v>
      </c>
      <c r="DM26" s="639">
        <v>17.798300000000001</v>
      </c>
      <c r="DN26" s="639">
        <v>17.510899999999999</v>
      </c>
      <c r="DO26" s="639">
        <v>18.697900000000001</v>
      </c>
      <c r="DP26" s="639">
        <v>15.187099999999999</v>
      </c>
      <c r="DQ26" s="639">
        <v>17.0794</v>
      </c>
      <c r="DR26" s="639">
        <v>14.888500000000001</v>
      </c>
      <c r="DS26" s="639">
        <v>13.8413</v>
      </c>
      <c r="DT26" s="639">
        <v>17.366800000000001</v>
      </c>
      <c r="DU26" s="639">
        <v>16.3048</v>
      </c>
      <c r="DV26" s="644">
        <v>17.384399999999999</v>
      </c>
      <c r="DW26" s="644">
        <v>15.111599999999999</v>
      </c>
      <c r="DX26" s="640">
        <v>16.345700000000001</v>
      </c>
    </row>
    <row r="27" spans="2:128" s="571" customFormat="1" ht="15.75" customHeight="1" x14ac:dyDescent="0.25">
      <c r="B27" s="618" t="s">
        <v>54</v>
      </c>
      <c r="C27" s="619">
        <v>2703.3159000000001</v>
      </c>
      <c r="D27" s="619">
        <v>1911.1246000000001</v>
      </c>
      <c r="E27" s="619">
        <v>1549.0740000000001</v>
      </c>
      <c r="F27" s="619">
        <v>1456.194</v>
      </c>
      <c r="G27" s="619">
        <v>1373.8553999999999</v>
      </c>
      <c r="H27" s="619">
        <v>1171.0409999999999</v>
      </c>
      <c r="I27" s="619">
        <v>1447.8751</v>
      </c>
      <c r="J27" s="619">
        <v>2982.0246999999999</v>
      </c>
      <c r="K27" s="619">
        <v>1235.8076000000001</v>
      </c>
      <c r="L27" s="619">
        <v>1501.191</v>
      </c>
      <c r="M27" s="619" t="s">
        <v>102</v>
      </c>
      <c r="N27" s="620">
        <v>1473.7701999999999</v>
      </c>
      <c r="O27" s="620">
        <v>1528.8982000000001</v>
      </c>
      <c r="P27" s="621">
        <v>1494.9404999999999</v>
      </c>
      <c r="R27" s="618" t="s">
        <v>54</v>
      </c>
      <c r="S27" s="619">
        <v>1080.8101999999999</v>
      </c>
      <c r="T27" s="619">
        <v>830.06010000000003</v>
      </c>
      <c r="U27" s="619">
        <v>699.97829999999999</v>
      </c>
      <c r="V27" s="619">
        <v>789.42899999999997</v>
      </c>
      <c r="W27" s="619">
        <v>876.67409999999995</v>
      </c>
      <c r="X27" s="619">
        <v>591.06539999999995</v>
      </c>
      <c r="Y27" s="619">
        <v>943.74369999999999</v>
      </c>
      <c r="Z27" s="619">
        <v>2356.2512000000002</v>
      </c>
      <c r="AA27" s="619">
        <v>682.72090000000003</v>
      </c>
      <c r="AB27" s="619">
        <v>982.76779999999997</v>
      </c>
      <c r="AC27" s="619" t="s">
        <v>102</v>
      </c>
      <c r="AD27" s="620">
        <v>823.51880000000006</v>
      </c>
      <c r="AE27" s="620">
        <v>988.80870000000004</v>
      </c>
      <c r="AF27" s="621">
        <v>886.99350000000004</v>
      </c>
      <c r="AH27" s="618" t="s">
        <v>54</v>
      </c>
      <c r="AI27" s="637">
        <v>39.980899999999998</v>
      </c>
      <c r="AJ27" s="637">
        <v>43.433100000000003</v>
      </c>
      <c r="AK27" s="637">
        <v>45.186900000000001</v>
      </c>
      <c r="AL27" s="637">
        <v>54.211799999999997</v>
      </c>
      <c r="AM27" s="637">
        <v>63.811199999999999</v>
      </c>
      <c r="AN27" s="637">
        <v>50.473500000000001</v>
      </c>
      <c r="AO27" s="637">
        <v>65.181299999999993</v>
      </c>
      <c r="AP27" s="637">
        <v>79.015100000000004</v>
      </c>
      <c r="AQ27" s="637">
        <v>55.244900000000001</v>
      </c>
      <c r="AR27" s="637">
        <v>65.465900000000005</v>
      </c>
      <c r="AS27" s="637" t="s">
        <v>102</v>
      </c>
      <c r="AT27" s="643">
        <v>55.878399999999999</v>
      </c>
      <c r="AU27" s="643">
        <v>64.674599999999998</v>
      </c>
      <c r="AV27" s="638">
        <v>59.332999999999998</v>
      </c>
      <c r="AX27" s="618" t="s">
        <v>54</v>
      </c>
      <c r="AY27" s="637">
        <v>19.737200000000001</v>
      </c>
      <c r="AZ27" s="637">
        <v>32.447800000000001</v>
      </c>
      <c r="BA27" s="637">
        <v>38.728099999999998</v>
      </c>
      <c r="BB27" s="637">
        <v>49.176900000000003</v>
      </c>
      <c r="BC27" s="637">
        <v>58.1569</v>
      </c>
      <c r="BD27" s="637">
        <v>46.289499999999997</v>
      </c>
      <c r="BE27" s="637">
        <v>54.007899999999999</v>
      </c>
      <c r="BF27" s="637">
        <v>66.671800000000005</v>
      </c>
      <c r="BG27" s="637">
        <v>49.533299999999997</v>
      </c>
      <c r="BH27" s="637">
        <v>58.717100000000002</v>
      </c>
      <c r="BI27" s="637" t="s">
        <v>102</v>
      </c>
      <c r="BJ27" s="643">
        <v>48.183100000000003</v>
      </c>
      <c r="BK27" s="643">
        <v>57.3142</v>
      </c>
      <c r="BL27" s="638">
        <v>51.769300000000001</v>
      </c>
      <c r="BN27" s="618" t="s">
        <v>54</v>
      </c>
      <c r="BO27" s="637">
        <v>40.7759</v>
      </c>
      <c r="BP27" s="637">
        <v>33.7363</v>
      </c>
      <c r="BQ27" s="637">
        <v>33.215600000000002</v>
      </c>
      <c r="BR27" s="637">
        <v>30.3246</v>
      </c>
      <c r="BS27" s="637">
        <v>19.419699999999999</v>
      </c>
      <c r="BT27" s="637">
        <v>27.086500000000001</v>
      </c>
      <c r="BU27" s="637">
        <v>20.796500000000002</v>
      </c>
      <c r="BV27" s="637">
        <v>6.3301999999999996</v>
      </c>
      <c r="BW27" s="637">
        <v>31.359100000000002</v>
      </c>
      <c r="BX27" s="637">
        <v>14.6372</v>
      </c>
      <c r="BY27" s="637" t="s">
        <v>102</v>
      </c>
      <c r="BZ27" s="643">
        <v>26.790700000000001</v>
      </c>
      <c r="CA27" s="643">
        <v>18.2044</v>
      </c>
      <c r="CB27" s="638">
        <v>23.418500000000002</v>
      </c>
      <c r="CD27" s="618" t="s">
        <v>54</v>
      </c>
      <c r="CE27" s="637">
        <v>21.793399999999998</v>
      </c>
      <c r="CF27" s="637">
        <v>24.300699999999999</v>
      </c>
      <c r="CG27" s="637">
        <v>23.767399999999999</v>
      </c>
      <c r="CH27" s="637">
        <v>23.719000000000001</v>
      </c>
      <c r="CI27" s="637">
        <v>17.561199999999999</v>
      </c>
      <c r="CJ27" s="637">
        <v>24.220199999999998</v>
      </c>
      <c r="CK27" s="637">
        <v>13.991899999999999</v>
      </c>
      <c r="CL27" s="637">
        <v>3.2107000000000001</v>
      </c>
      <c r="CM27" s="637">
        <v>29.631900000000002</v>
      </c>
      <c r="CN27" s="637">
        <v>13.076599999999999</v>
      </c>
      <c r="CO27" s="637" t="s">
        <v>102</v>
      </c>
      <c r="CP27" s="643">
        <v>20.4009</v>
      </c>
      <c r="CQ27" s="643">
        <v>16.339099999999998</v>
      </c>
      <c r="CR27" s="638">
        <v>18.805700000000002</v>
      </c>
      <c r="CT27" s="618" t="s">
        <v>54</v>
      </c>
      <c r="CU27" s="637">
        <v>5.9249000000000001</v>
      </c>
      <c r="CV27" s="637">
        <v>10.174200000000001</v>
      </c>
      <c r="CW27" s="637">
        <v>6.4882999999999997</v>
      </c>
      <c r="CX27" s="637">
        <v>5.1475999999999997</v>
      </c>
      <c r="CY27" s="637">
        <v>7.2625000000000002</v>
      </c>
      <c r="CZ27" s="637">
        <v>10.5586</v>
      </c>
      <c r="DA27" s="637">
        <v>7.7549000000000001</v>
      </c>
      <c r="DB27" s="637">
        <v>9.3004999999999995</v>
      </c>
      <c r="DC27" s="637">
        <v>4.9839000000000002</v>
      </c>
      <c r="DD27" s="637">
        <v>8.4941999999999993</v>
      </c>
      <c r="DE27" s="637" t="s">
        <v>102</v>
      </c>
      <c r="DF27" s="643">
        <v>7.1124999999999998</v>
      </c>
      <c r="DG27" s="643">
        <v>7.5915999999999997</v>
      </c>
      <c r="DH27" s="638">
        <v>7.3007</v>
      </c>
      <c r="DJ27" s="618" t="s">
        <v>54</v>
      </c>
      <c r="DK27" s="637">
        <v>26.307400000000001</v>
      </c>
      <c r="DL27" s="637">
        <v>22.814599999999999</v>
      </c>
      <c r="DM27" s="637">
        <v>21.615100000000002</v>
      </c>
      <c r="DN27" s="637">
        <v>16.946200000000001</v>
      </c>
      <c r="DO27" s="637">
        <v>14.5176</v>
      </c>
      <c r="DP27" s="637">
        <v>14.037000000000001</v>
      </c>
      <c r="DQ27" s="637">
        <v>17.409400000000002</v>
      </c>
      <c r="DR27" s="637">
        <v>23.939800000000002</v>
      </c>
      <c r="DS27" s="637">
        <v>9.2098999999999993</v>
      </c>
      <c r="DT27" s="637">
        <v>6.1559999999999997</v>
      </c>
      <c r="DU27" s="637" t="s">
        <v>102</v>
      </c>
      <c r="DV27" s="643">
        <v>17.577200000000001</v>
      </c>
      <c r="DW27" s="643">
        <v>9.9722000000000008</v>
      </c>
      <c r="DX27" s="638">
        <v>14.590400000000001</v>
      </c>
    </row>
    <row r="28" spans="2:128" s="465" customFormat="1" ht="15.75" customHeight="1" x14ac:dyDescent="0.25">
      <c r="B28" s="622" t="s">
        <v>132</v>
      </c>
      <c r="C28" s="623">
        <v>1296.5719999999999</v>
      </c>
      <c r="D28" s="623">
        <v>1003.6264</v>
      </c>
      <c r="E28" s="623">
        <v>827.39099999999996</v>
      </c>
      <c r="F28" s="623">
        <v>850.37379999999996</v>
      </c>
      <c r="G28" s="623">
        <v>961.82820000000004</v>
      </c>
      <c r="H28" s="623">
        <v>1069.9483</v>
      </c>
      <c r="I28" s="623">
        <v>1168.0193999999999</v>
      </c>
      <c r="J28" s="623">
        <v>1180.9010000000001</v>
      </c>
      <c r="K28" s="623">
        <v>1377.8897999999999</v>
      </c>
      <c r="L28" s="623">
        <v>1625.7854</v>
      </c>
      <c r="M28" s="623">
        <v>1561.7597000000001</v>
      </c>
      <c r="N28" s="624">
        <v>962.68079999999998</v>
      </c>
      <c r="O28" s="624">
        <v>1401.3</v>
      </c>
      <c r="P28" s="609">
        <v>1124.8988999999999</v>
      </c>
      <c r="R28" s="622" t="s">
        <v>132</v>
      </c>
      <c r="S28" s="623">
        <v>524.6395</v>
      </c>
      <c r="T28" s="623">
        <v>453.84249999999997</v>
      </c>
      <c r="U28" s="623">
        <v>409.20620000000002</v>
      </c>
      <c r="V28" s="623">
        <v>488.31760000000003</v>
      </c>
      <c r="W28" s="623">
        <v>582.12419999999997</v>
      </c>
      <c r="X28" s="623">
        <v>689.44619999999998</v>
      </c>
      <c r="Y28" s="623">
        <v>736.64269999999999</v>
      </c>
      <c r="Z28" s="623">
        <v>734.39400000000001</v>
      </c>
      <c r="AA28" s="623">
        <v>862.00480000000005</v>
      </c>
      <c r="AB28" s="623">
        <v>905.08960000000002</v>
      </c>
      <c r="AC28" s="623">
        <v>980.07749999999999</v>
      </c>
      <c r="AD28" s="624">
        <v>561.3732</v>
      </c>
      <c r="AE28" s="624">
        <v>869.32809999999995</v>
      </c>
      <c r="AF28" s="609">
        <v>675.26670000000001</v>
      </c>
      <c r="AH28" s="622" t="s">
        <v>132</v>
      </c>
      <c r="AI28" s="639">
        <v>40.4636</v>
      </c>
      <c r="AJ28" s="639">
        <v>45.220300000000002</v>
      </c>
      <c r="AK28" s="639">
        <v>49.4574</v>
      </c>
      <c r="AL28" s="639">
        <v>57.423900000000003</v>
      </c>
      <c r="AM28" s="639">
        <v>60.5227</v>
      </c>
      <c r="AN28" s="639">
        <v>64.437299999999993</v>
      </c>
      <c r="AO28" s="639">
        <v>63.067700000000002</v>
      </c>
      <c r="AP28" s="639">
        <v>62.189300000000003</v>
      </c>
      <c r="AQ28" s="639">
        <v>62.559800000000003</v>
      </c>
      <c r="AR28" s="639">
        <v>55.670900000000003</v>
      </c>
      <c r="AS28" s="639">
        <v>62.7547</v>
      </c>
      <c r="AT28" s="644">
        <v>58.313499999999998</v>
      </c>
      <c r="AU28" s="644">
        <v>62.037300000000002</v>
      </c>
      <c r="AV28" s="640">
        <v>60.0291</v>
      </c>
      <c r="AX28" s="622" t="s">
        <v>132</v>
      </c>
      <c r="AY28" s="639">
        <v>25.8828</v>
      </c>
      <c r="AZ28" s="639">
        <v>33.0747</v>
      </c>
      <c r="BA28" s="639">
        <v>39.887999999999998</v>
      </c>
      <c r="BB28" s="639">
        <v>50.822499999999998</v>
      </c>
      <c r="BC28" s="639">
        <v>55.039000000000001</v>
      </c>
      <c r="BD28" s="639">
        <v>57.870199999999997</v>
      </c>
      <c r="BE28" s="639">
        <v>55.873600000000003</v>
      </c>
      <c r="BF28" s="639">
        <v>56.6892</v>
      </c>
      <c r="BG28" s="639">
        <v>58.516399999999997</v>
      </c>
      <c r="BH28" s="639">
        <v>50.3157</v>
      </c>
      <c r="BI28" s="639">
        <v>58.680399999999999</v>
      </c>
      <c r="BJ28" s="644">
        <v>51.037300000000002</v>
      </c>
      <c r="BK28" s="644">
        <v>57.487900000000003</v>
      </c>
      <c r="BL28" s="640">
        <v>54.0092</v>
      </c>
      <c r="BN28" s="622" t="s">
        <v>132</v>
      </c>
      <c r="BO28" s="639">
        <v>32.6785</v>
      </c>
      <c r="BP28" s="639">
        <v>27.126999999999999</v>
      </c>
      <c r="BQ28" s="639">
        <v>24.7911</v>
      </c>
      <c r="BR28" s="639">
        <v>22.7347</v>
      </c>
      <c r="BS28" s="639">
        <v>23.7653</v>
      </c>
      <c r="BT28" s="639">
        <v>19.6463</v>
      </c>
      <c r="BU28" s="639">
        <v>23.124300000000002</v>
      </c>
      <c r="BV28" s="639">
        <v>24.177700000000002</v>
      </c>
      <c r="BW28" s="639">
        <v>23.386299999999999</v>
      </c>
      <c r="BX28" s="639">
        <v>21.789200000000001</v>
      </c>
      <c r="BY28" s="639">
        <v>18.928999999999998</v>
      </c>
      <c r="BZ28" s="644">
        <v>23.2576</v>
      </c>
      <c r="CA28" s="644">
        <v>21.5579</v>
      </c>
      <c r="CB28" s="640">
        <v>22.474599999999999</v>
      </c>
      <c r="CD28" s="622" t="s">
        <v>132</v>
      </c>
      <c r="CE28" s="639">
        <v>12.6356</v>
      </c>
      <c r="CF28" s="639">
        <v>14.5825</v>
      </c>
      <c r="CG28" s="639">
        <v>15.1449</v>
      </c>
      <c r="CH28" s="639">
        <v>14.1251</v>
      </c>
      <c r="CI28" s="639">
        <v>14.4033</v>
      </c>
      <c r="CJ28" s="639">
        <v>12.4665</v>
      </c>
      <c r="CK28" s="639">
        <v>15.5693</v>
      </c>
      <c r="CL28" s="639">
        <v>19.441199999999998</v>
      </c>
      <c r="CM28" s="639">
        <v>19.841999999999999</v>
      </c>
      <c r="CN28" s="639">
        <v>18.211500000000001</v>
      </c>
      <c r="CO28" s="639">
        <v>16.449000000000002</v>
      </c>
      <c r="CP28" s="644">
        <v>14.4139</v>
      </c>
      <c r="CQ28" s="644">
        <v>18.146899999999999</v>
      </c>
      <c r="CR28" s="640">
        <v>16.133700000000001</v>
      </c>
      <c r="CT28" s="622" t="s">
        <v>132</v>
      </c>
      <c r="CU28" s="639">
        <v>14.3574</v>
      </c>
      <c r="CV28" s="639">
        <v>13.0725</v>
      </c>
      <c r="CW28" s="639">
        <v>11.885400000000001</v>
      </c>
      <c r="CX28" s="639">
        <v>8.7467000000000006</v>
      </c>
      <c r="CY28" s="639">
        <v>6.0194000000000001</v>
      </c>
      <c r="CZ28" s="639">
        <v>7.4203000000000001</v>
      </c>
      <c r="DA28" s="639">
        <v>5.8411</v>
      </c>
      <c r="DB28" s="639">
        <v>6.1147999999999998</v>
      </c>
      <c r="DC28" s="639">
        <v>7.7842000000000002</v>
      </c>
      <c r="DD28" s="639">
        <v>14.2676</v>
      </c>
      <c r="DE28" s="639">
        <v>8.0751000000000008</v>
      </c>
      <c r="DF28" s="644">
        <v>8.1113999999999997</v>
      </c>
      <c r="DG28" s="644">
        <v>7.9321000000000002</v>
      </c>
      <c r="DH28" s="640">
        <v>8.0288000000000004</v>
      </c>
      <c r="DJ28" s="622" t="s">
        <v>132</v>
      </c>
      <c r="DK28" s="639">
        <v>30.3049</v>
      </c>
      <c r="DL28" s="639">
        <v>29.6357</v>
      </c>
      <c r="DM28" s="639">
        <v>25.5197</v>
      </c>
      <c r="DN28" s="639">
        <v>22.577300000000001</v>
      </c>
      <c r="DO28" s="639">
        <v>19.6692</v>
      </c>
      <c r="DP28" s="639">
        <v>19.081</v>
      </c>
      <c r="DQ28" s="639">
        <v>16.497299999999999</v>
      </c>
      <c r="DR28" s="639">
        <v>14.1968</v>
      </c>
      <c r="DS28" s="639">
        <v>13.1462</v>
      </c>
      <c r="DT28" s="639">
        <v>20.360099999999999</v>
      </c>
      <c r="DU28" s="639">
        <v>13.0078</v>
      </c>
      <c r="DV28" s="644">
        <v>21.067900000000002</v>
      </c>
      <c r="DW28" s="644">
        <v>13.901999999999999</v>
      </c>
      <c r="DX28" s="640">
        <v>17.766500000000001</v>
      </c>
    </row>
    <row r="29" spans="2:128" s="571" customFormat="1" ht="15.75" customHeight="1" x14ac:dyDescent="0.25">
      <c r="B29" s="618" t="s">
        <v>766</v>
      </c>
      <c r="C29" s="619">
        <v>1075.5825</v>
      </c>
      <c r="D29" s="619">
        <v>834.65329999999994</v>
      </c>
      <c r="E29" s="619">
        <v>729.30830000000003</v>
      </c>
      <c r="F29" s="619">
        <v>810.70159999999998</v>
      </c>
      <c r="G29" s="619">
        <v>1010.1646</v>
      </c>
      <c r="H29" s="619">
        <v>1160.2550000000001</v>
      </c>
      <c r="I29" s="619">
        <v>1269.6359</v>
      </c>
      <c r="J29" s="619">
        <v>1438.5405000000001</v>
      </c>
      <c r="K29" s="619">
        <v>1560.8514</v>
      </c>
      <c r="L29" s="619">
        <v>1622.0685000000001</v>
      </c>
      <c r="M29" s="619">
        <v>1598.89</v>
      </c>
      <c r="N29" s="620">
        <v>990.39210000000003</v>
      </c>
      <c r="O29" s="620">
        <v>1541.1319000000001</v>
      </c>
      <c r="P29" s="621">
        <v>1225.5649000000001</v>
      </c>
      <c r="R29" s="618" t="s">
        <v>766</v>
      </c>
      <c r="S29" s="619">
        <v>619.6277</v>
      </c>
      <c r="T29" s="619">
        <v>472.69889999999998</v>
      </c>
      <c r="U29" s="619">
        <v>424.58420000000001</v>
      </c>
      <c r="V29" s="619">
        <v>479.71179999999998</v>
      </c>
      <c r="W29" s="619">
        <v>644.84349999999995</v>
      </c>
      <c r="X29" s="619">
        <v>753.33219999999994</v>
      </c>
      <c r="Y29" s="619">
        <v>776.43949999999995</v>
      </c>
      <c r="Z29" s="619">
        <v>871.79399999999998</v>
      </c>
      <c r="AA29" s="619">
        <v>953.59019999999998</v>
      </c>
      <c r="AB29" s="619">
        <v>982.92309999999998</v>
      </c>
      <c r="AC29" s="619">
        <v>993.0181</v>
      </c>
      <c r="AD29" s="620">
        <v>606.71569999999997</v>
      </c>
      <c r="AE29" s="620">
        <v>940.05319999999995</v>
      </c>
      <c r="AF29" s="621">
        <v>749.05499999999995</v>
      </c>
      <c r="AH29" s="618" t="s">
        <v>766</v>
      </c>
      <c r="AI29" s="637">
        <v>57.608600000000003</v>
      </c>
      <c r="AJ29" s="637">
        <v>56.6342</v>
      </c>
      <c r="AK29" s="637">
        <v>58.217399999999998</v>
      </c>
      <c r="AL29" s="637">
        <v>59.172400000000003</v>
      </c>
      <c r="AM29" s="637">
        <v>63.835500000000003</v>
      </c>
      <c r="AN29" s="637">
        <v>64.928200000000004</v>
      </c>
      <c r="AO29" s="637">
        <v>61.154499999999999</v>
      </c>
      <c r="AP29" s="637">
        <v>60.602699999999999</v>
      </c>
      <c r="AQ29" s="637">
        <v>61.094200000000001</v>
      </c>
      <c r="AR29" s="637">
        <v>60.596899999999998</v>
      </c>
      <c r="AS29" s="637">
        <v>62.106699999999996</v>
      </c>
      <c r="AT29" s="643">
        <v>61.260100000000001</v>
      </c>
      <c r="AU29" s="643">
        <v>60.997599999999998</v>
      </c>
      <c r="AV29" s="638">
        <v>61.119199999999999</v>
      </c>
      <c r="AX29" s="618" t="s">
        <v>766</v>
      </c>
      <c r="AY29" s="637">
        <v>43.083399999999997</v>
      </c>
      <c r="AZ29" s="637">
        <v>44.474699999999999</v>
      </c>
      <c r="BA29" s="637">
        <v>48.985799999999998</v>
      </c>
      <c r="BB29" s="637">
        <v>52.922400000000003</v>
      </c>
      <c r="BC29" s="637">
        <v>58.545999999999999</v>
      </c>
      <c r="BD29" s="637">
        <v>60.026699999999998</v>
      </c>
      <c r="BE29" s="637">
        <v>57.0901</v>
      </c>
      <c r="BF29" s="637">
        <v>56.255000000000003</v>
      </c>
      <c r="BG29" s="637">
        <v>57.817</v>
      </c>
      <c r="BH29" s="637">
        <v>57.262599999999999</v>
      </c>
      <c r="BI29" s="637">
        <v>56.487699999999997</v>
      </c>
      <c r="BJ29" s="643">
        <v>55.6312</v>
      </c>
      <c r="BK29" s="643">
        <v>57.049799999999998</v>
      </c>
      <c r="BL29" s="638">
        <v>56.392899999999997</v>
      </c>
      <c r="BN29" s="618" t="s">
        <v>766</v>
      </c>
      <c r="BO29" s="637">
        <v>30.7896</v>
      </c>
      <c r="BP29" s="637">
        <v>30.3004</v>
      </c>
      <c r="BQ29" s="637">
        <v>27.876999999999999</v>
      </c>
      <c r="BR29" s="637">
        <v>26.3703</v>
      </c>
      <c r="BS29" s="637">
        <v>22.28</v>
      </c>
      <c r="BT29" s="637">
        <v>21.191700000000001</v>
      </c>
      <c r="BU29" s="637">
        <v>26.709099999999999</v>
      </c>
      <c r="BV29" s="637">
        <v>27.016100000000002</v>
      </c>
      <c r="BW29" s="637">
        <v>25.930700000000002</v>
      </c>
      <c r="BX29" s="637">
        <v>29.040900000000001</v>
      </c>
      <c r="BY29" s="637">
        <v>22.600200000000001</v>
      </c>
      <c r="BZ29" s="643">
        <v>25.270900000000001</v>
      </c>
      <c r="CA29" s="643">
        <v>26.412199999999999</v>
      </c>
      <c r="CB29" s="638">
        <v>25.883700000000001</v>
      </c>
      <c r="CD29" s="618" t="s">
        <v>766</v>
      </c>
      <c r="CE29" s="637">
        <v>14.325200000000001</v>
      </c>
      <c r="CF29" s="637">
        <v>17.976700000000001</v>
      </c>
      <c r="CG29" s="637">
        <v>19.235800000000001</v>
      </c>
      <c r="CH29" s="637">
        <v>17.9451</v>
      </c>
      <c r="CI29" s="637">
        <v>15.627599999999999</v>
      </c>
      <c r="CJ29" s="637">
        <v>15.3066</v>
      </c>
      <c r="CK29" s="637">
        <v>20.154699999999998</v>
      </c>
      <c r="CL29" s="637">
        <v>22.080300000000001</v>
      </c>
      <c r="CM29" s="637">
        <v>22.6938</v>
      </c>
      <c r="CN29" s="637">
        <v>24.837299999999999</v>
      </c>
      <c r="CO29" s="637">
        <v>19.1464</v>
      </c>
      <c r="CP29" s="643">
        <v>17.939599999999999</v>
      </c>
      <c r="CQ29" s="643">
        <v>22.4466</v>
      </c>
      <c r="CR29" s="638">
        <v>20.3597</v>
      </c>
      <c r="CT29" s="618" t="s">
        <v>766</v>
      </c>
      <c r="CU29" s="637">
        <v>2.6839</v>
      </c>
      <c r="CV29" s="637">
        <v>3.7793999999999999</v>
      </c>
      <c r="CW29" s="637">
        <v>3.9657</v>
      </c>
      <c r="CX29" s="637">
        <v>5.8952999999999998</v>
      </c>
      <c r="CY29" s="637">
        <v>6.1772999999999998</v>
      </c>
      <c r="CZ29" s="637">
        <v>6.5587999999999997</v>
      </c>
      <c r="DA29" s="637">
        <v>4.7266000000000004</v>
      </c>
      <c r="DB29" s="637">
        <v>5.1628999999999996</v>
      </c>
      <c r="DC29" s="637">
        <v>5.8795000000000002</v>
      </c>
      <c r="DD29" s="637">
        <v>5.0258000000000003</v>
      </c>
      <c r="DE29" s="637">
        <v>9.2417999999999996</v>
      </c>
      <c r="DF29" s="643">
        <v>5.4589999999999996</v>
      </c>
      <c r="DG29" s="643">
        <v>5.9931999999999999</v>
      </c>
      <c r="DH29" s="638">
        <v>5.7458999999999998</v>
      </c>
      <c r="DJ29" s="618" t="s">
        <v>766</v>
      </c>
      <c r="DK29" s="637">
        <v>26.543900000000001</v>
      </c>
      <c r="DL29" s="637">
        <v>22.192499999999999</v>
      </c>
      <c r="DM29" s="637">
        <v>20.227499999999999</v>
      </c>
      <c r="DN29" s="637">
        <v>17.489899999999999</v>
      </c>
      <c r="DO29" s="637">
        <v>16.058599999999998</v>
      </c>
      <c r="DP29" s="637">
        <v>13.911</v>
      </c>
      <c r="DQ29" s="637">
        <v>13.5589</v>
      </c>
      <c r="DR29" s="637">
        <v>13.761200000000001</v>
      </c>
      <c r="DS29" s="637">
        <v>13.8009</v>
      </c>
      <c r="DT29" s="637">
        <v>11.985200000000001</v>
      </c>
      <c r="DU29" s="637">
        <v>13.666</v>
      </c>
      <c r="DV29" s="643">
        <v>15.895099999999999</v>
      </c>
      <c r="DW29" s="643">
        <v>13.3795</v>
      </c>
      <c r="DX29" s="638">
        <v>14.5443</v>
      </c>
    </row>
    <row r="30" spans="2:128" s="465" customFormat="1" ht="15.75" customHeight="1" x14ac:dyDescent="0.25">
      <c r="B30" s="622" t="s">
        <v>133</v>
      </c>
      <c r="C30" s="623">
        <v>1037.7850000000001</v>
      </c>
      <c r="D30" s="623">
        <v>773.49199999999996</v>
      </c>
      <c r="E30" s="623">
        <v>713.8655</v>
      </c>
      <c r="F30" s="623">
        <v>823.9778</v>
      </c>
      <c r="G30" s="623">
        <v>1021.2799</v>
      </c>
      <c r="H30" s="623">
        <v>1410.8946000000001</v>
      </c>
      <c r="I30" s="623">
        <v>1452.5590999999999</v>
      </c>
      <c r="J30" s="623">
        <v>1596.4973</v>
      </c>
      <c r="K30" s="623">
        <v>1565.7634</v>
      </c>
      <c r="L30" s="623">
        <v>2004.7574999999999</v>
      </c>
      <c r="M30" s="623">
        <v>1480.0193999999999</v>
      </c>
      <c r="N30" s="624">
        <v>1014.6916</v>
      </c>
      <c r="O30" s="624">
        <v>1576.3981000000001</v>
      </c>
      <c r="P30" s="609">
        <v>1203.8602000000001</v>
      </c>
      <c r="R30" s="622" t="s">
        <v>133</v>
      </c>
      <c r="S30" s="623">
        <v>496.08440000000002</v>
      </c>
      <c r="T30" s="623">
        <v>373.23910000000001</v>
      </c>
      <c r="U30" s="623">
        <v>318.57870000000003</v>
      </c>
      <c r="V30" s="623">
        <v>416.2978</v>
      </c>
      <c r="W30" s="623">
        <v>591.25890000000004</v>
      </c>
      <c r="X30" s="623">
        <v>862.14449999999999</v>
      </c>
      <c r="Y30" s="623">
        <v>914.11260000000004</v>
      </c>
      <c r="Z30" s="623">
        <v>925.77599999999995</v>
      </c>
      <c r="AA30" s="623">
        <v>928.08810000000005</v>
      </c>
      <c r="AB30" s="623">
        <v>1075.8005000000001</v>
      </c>
      <c r="AC30" s="623">
        <v>863.50509999999997</v>
      </c>
      <c r="AD30" s="624">
        <v>566.19929999999999</v>
      </c>
      <c r="AE30" s="624">
        <v>915.48030000000006</v>
      </c>
      <c r="AF30" s="609">
        <v>683.82830000000001</v>
      </c>
      <c r="AH30" s="622" t="s">
        <v>133</v>
      </c>
      <c r="AI30" s="639">
        <v>47.802199999999999</v>
      </c>
      <c r="AJ30" s="639">
        <v>48.253799999999998</v>
      </c>
      <c r="AK30" s="639">
        <v>44.627299999999998</v>
      </c>
      <c r="AL30" s="639">
        <v>50.5229</v>
      </c>
      <c r="AM30" s="639">
        <v>57.893900000000002</v>
      </c>
      <c r="AN30" s="639">
        <v>61.106200000000001</v>
      </c>
      <c r="AO30" s="639">
        <v>62.931199999999997</v>
      </c>
      <c r="AP30" s="639">
        <v>57.987900000000003</v>
      </c>
      <c r="AQ30" s="639">
        <v>59.273800000000001</v>
      </c>
      <c r="AR30" s="639">
        <v>53.662399999999998</v>
      </c>
      <c r="AS30" s="639">
        <v>58.344200000000001</v>
      </c>
      <c r="AT30" s="644">
        <v>55.8001</v>
      </c>
      <c r="AU30" s="644">
        <v>58.074199999999998</v>
      </c>
      <c r="AV30" s="640">
        <v>56.802999999999997</v>
      </c>
      <c r="AX30" s="622" t="s">
        <v>133</v>
      </c>
      <c r="AY30" s="639">
        <v>35.7256</v>
      </c>
      <c r="AZ30" s="639">
        <v>37.496299999999998</v>
      </c>
      <c r="BA30" s="639">
        <v>35.661000000000001</v>
      </c>
      <c r="BB30" s="639">
        <v>44.380600000000001</v>
      </c>
      <c r="BC30" s="639">
        <v>50.587699999999998</v>
      </c>
      <c r="BD30" s="639">
        <v>50.976500000000001</v>
      </c>
      <c r="BE30" s="639">
        <v>58.403700000000001</v>
      </c>
      <c r="BF30" s="639">
        <v>53.854900000000001</v>
      </c>
      <c r="BG30" s="639">
        <v>55.12</v>
      </c>
      <c r="BH30" s="639">
        <v>50.552500000000002</v>
      </c>
      <c r="BI30" s="639">
        <v>53.307899999999997</v>
      </c>
      <c r="BJ30" s="644">
        <v>48.813899999999997</v>
      </c>
      <c r="BK30" s="644">
        <v>53.734499999999997</v>
      </c>
      <c r="BL30" s="640">
        <v>50.983800000000002</v>
      </c>
      <c r="BN30" s="622" t="s">
        <v>133</v>
      </c>
      <c r="BO30" s="639">
        <v>32.68</v>
      </c>
      <c r="BP30" s="639">
        <v>36.526600000000002</v>
      </c>
      <c r="BQ30" s="639">
        <v>38.2988</v>
      </c>
      <c r="BR30" s="639">
        <v>30.624700000000001</v>
      </c>
      <c r="BS30" s="639">
        <v>24.904800000000002</v>
      </c>
      <c r="BT30" s="639">
        <v>20.561900000000001</v>
      </c>
      <c r="BU30" s="639">
        <v>22.444299999999998</v>
      </c>
      <c r="BV30" s="639">
        <v>26.610600000000002</v>
      </c>
      <c r="BW30" s="639">
        <v>26.092099999999999</v>
      </c>
      <c r="BX30" s="639">
        <v>31.346</v>
      </c>
      <c r="BY30" s="639">
        <v>23.9102</v>
      </c>
      <c r="BZ30" s="644">
        <v>26.940100000000001</v>
      </c>
      <c r="CA30" s="644">
        <v>26.015699999999999</v>
      </c>
      <c r="CB30" s="640">
        <v>26.532399999999999</v>
      </c>
      <c r="CD30" s="622" t="s">
        <v>133</v>
      </c>
      <c r="CE30" s="639">
        <v>17.636600000000001</v>
      </c>
      <c r="CF30" s="639">
        <v>21.630299999999998</v>
      </c>
      <c r="CG30" s="639">
        <v>22.244499999999999</v>
      </c>
      <c r="CH30" s="639">
        <v>20.0884</v>
      </c>
      <c r="CI30" s="639">
        <v>19.641400000000001</v>
      </c>
      <c r="CJ30" s="639">
        <v>14.9603</v>
      </c>
      <c r="CK30" s="639">
        <v>12.9621</v>
      </c>
      <c r="CL30" s="639">
        <v>17.158000000000001</v>
      </c>
      <c r="CM30" s="639">
        <v>22.098500000000001</v>
      </c>
      <c r="CN30" s="639">
        <v>26.813099999999999</v>
      </c>
      <c r="CO30" s="639">
        <v>19.856200000000001</v>
      </c>
      <c r="CP30" s="644">
        <v>17.692599999999999</v>
      </c>
      <c r="CQ30" s="644">
        <v>20.255299999999998</v>
      </c>
      <c r="CR30" s="640">
        <v>18.822700000000001</v>
      </c>
      <c r="CT30" s="622" t="s">
        <v>133</v>
      </c>
      <c r="CU30" s="639">
        <v>7.0853999999999999</v>
      </c>
      <c r="CV30" s="639">
        <v>2.6158000000000001</v>
      </c>
      <c r="CW30" s="639">
        <v>3.7088000000000001</v>
      </c>
      <c r="CX30" s="639">
        <v>7.3624000000000001</v>
      </c>
      <c r="CY30" s="639">
        <v>7.3836000000000004</v>
      </c>
      <c r="CZ30" s="639">
        <v>8.0388999999999999</v>
      </c>
      <c r="DA30" s="639">
        <v>6.7723000000000004</v>
      </c>
      <c r="DB30" s="639">
        <v>7.6433</v>
      </c>
      <c r="DC30" s="639">
        <v>7.06</v>
      </c>
      <c r="DD30" s="639">
        <v>9.2250999999999994</v>
      </c>
      <c r="DE30" s="639">
        <v>11.036099999999999</v>
      </c>
      <c r="DF30" s="644">
        <v>6.8997999999999999</v>
      </c>
      <c r="DG30" s="644">
        <v>8.7187999999999999</v>
      </c>
      <c r="DH30" s="640">
        <v>7.702</v>
      </c>
      <c r="DJ30" s="622" t="s">
        <v>133</v>
      </c>
      <c r="DK30" s="639">
        <v>22.770399999999999</v>
      </c>
      <c r="DL30" s="639">
        <v>23.770199999999999</v>
      </c>
      <c r="DM30" s="639">
        <v>23.6632</v>
      </c>
      <c r="DN30" s="639">
        <v>21.875299999999999</v>
      </c>
      <c r="DO30" s="639">
        <v>16.482199999999999</v>
      </c>
      <c r="DP30" s="639">
        <v>18.055099999999999</v>
      </c>
      <c r="DQ30" s="639">
        <v>14.364000000000001</v>
      </c>
      <c r="DR30" s="639">
        <v>13.976000000000001</v>
      </c>
      <c r="DS30" s="639">
        <v>13.530200000000001</v>
      </c>
      <c r="DT30" s="639">
        <v>11.1295</v>
      </c>
      <c r="DU30" s="639">
        <v>17.532299999999999</v>
      </c>
      <c r="DV30" s="644">
        <v>18.8033</v>
      </c>
      <c r="DW30" s="644">
        <v>14.7486</v>
      </c>
      <c r="DX30" s="640">
        <v>17.0152</v>
      </c>
    </row>
    <row r="31" spans="2:128" s="571" customFormat="1" ht="15.75" customHeight="1" x14ac:dyDescent="0.25">
      <c r="B31" s="618" t="s">
        <v>767</v>
      </c>
      <c r="C31" s="619">
        <v>1538.7316000000001</v>
      </c>
      <c r="D31" s="619">
        <v>1124.0808999999999</v>
      </c>
      <c r="E31" s="619">
        <v>922.69219999999996</v>
      </c>
      <c r="F31" s="619">
        <v>924.72820000000002</v>
      </c>
      <c r="G31" s="619">
        <v>1031.2311999999999</v>
      </c>
      <c r="H31" s="619">
        <v>1160.26</v>
      </c>
      <c r="I31" s="619">
        <v>1277.7129</v>
      </c>
      <c r="J31" s="619">
        <v>1458.9703</v>
      </c>
      <c r="K31" s="619">
        <v>1488.4076</v>
      </c>
      <c r="L31" s="619">
        <v>1445.4126000000001</v>
      </c>
      <c r="M31" s="619">
        <v>1545.5744</v>
      </c>
      <c r="N31" s="620">
        <v>1047.9738</v>
      </c>
      <c r="O31" s="620">
        <v>1482.1457</v>
      </c>
      <c r="P31" s="621">
        <v>1202.2511</v>
      </c>
      <c r="R31" s="618" t="s">
        <v>767</v>
      </c>
      <c r="S31" s="619">
        <v>695.3723</v>
      </c>
      <c r="T31" s="619">
        <v>559.76850000000002</v>
      </c>
      <c r="U31" s="619">
        <v>485.17570000000001</v>
      </c>
      <c r="V31" s="619">
        <v>522.49639999999999</v>
      </c>
      <c r="W31" s="619">
        <v>635.47180000000003</v>
      </c>
      <c r="X31" s="619">
        <v>756.19150000000002</v>
      </c>
      <c r="Y31" s="619">
        <v>886.81809999999996</v>
      </c>
      <c r="Z31" s="619">
        <v>1068.8054999999999</v>
      </c>
      <c r="AA31" s="619">
        <v>1053.5242000000001</v>
      </c>
      <c r="AB31" s="619">
        <v>992.42780000000005</v>
      </c>
      <c r="AC31" s="619">
        <v>1102.8200999999999</v>
      </c>
      <c r="AD31" s="620">
        <v>639.7079</v>
      </c>
      <c r="AE31" s="620">
        <v>1051.6738</v>
      </c>
      <c r="AF31" s="621">
        <v>786.09460000000001</v>
      </c>
      <c r="AH31" s="618" t="s">
        <v>767</v>
      </c>
      <c r="AI31" s="637">
        <v>45.191299999999998</v>
      </c>
      <c r="AJ31" s="637">
        <v>49.797899999999998</v>
      </c>
      <c r="AK31" s="637">
        <v>52.582599999999999</v>
      </c>
      <c r="AL31" s="637">
        <v>56.502699999999997</v>
      </c>
      <c r="AM31" s="637">
        <v>61.622599999999998</v>
      </c>
      <c r="AN31" s="637">
        <v>65.174300000000002</v>
      </c>
      <c r="AO31" s="637">
        <v>69.406700000000001</v>
      </c>
      <c r="AP31" s="637">
        <v>73.257499999999993</v>
      </c>
      <c r="AQ31" s="637">
        <v>70.781999999999996</v>
      </c>
      <c r="AR31" s="637">
        <v>68.660499999999999</v>
      </c>
      <c r="AS31" s="637">
        <v>71.353399999999993</v>
      </c>
      <c r="AT31" s="643">
        <v>61.042400000000001</v>
      </c>
      <c r="AU31" s="643">
        <v>70.956199999999995</v>
      </c>
      <c r="AV31" s="638">
        <v>65.385199999999998</v>
      </c>
      <c r="AX31" s="618" t="s">
        <v>767</v>
      </c>
      <c r="AY31" s="637">
        <v>28.991399999999999</v>
      </c>
      <c r="AZ31" s="637">
        <v>36.913200000000003</v>
      </c>
      <c r="BA31" s="637">
        <v>43.207700000000003</v>
      </c>
      <c r="BB31" s="637">
        <v>50.427999999999997</v>
      </c>
      <c r="BC31" s="637">
        <v>56.969799999999999</v>
      </c>
      <c r="BD31" s="637">
        <v>58.813699999999997</v>
      </c>
      <c r="BE31" s="637">
        <v>62.865099999999998</v>
      </c>
      <c r="BF31" s="637">
        <v>65.854299999999995</v>
      </c>
      <c r="BG31" s="637">
        <v>64.992400000000004</v>
      </c>
      <c r="BH31" s="637">
        <v>62.582599999999999</v>
      </c>
      <c r="BI31" s="637">
        <v>63.2104</v>
      </c>
      <c r="BJ31" s="643">
        <v>54.514800000000001</v>
      </c>
      <c r="BK31" s="643">
        <v>64.303700000000006</v>
      </c>
      <c r="BL31" s="638">
        <v>58.802999999999997</v>
      </c>
      <c r="BN31" s="618" t="s">
        <v>767</v>
      </c>
      <c r="BO31" s="637">
        <v>34.323799999999999</v>
      </c>
      <c r="BP31" s="637">
        <v>32.545099999999998</v>
      </c>
      <c r="BQ31" s="637">
        <v>28.335799999999999</v>
      </c>
      <c r="BR31" s="637">
        <v>25.954000000000001</v>
      </c>
      <c r="BS31" s="637">
        <v>21.943300000000001</v>
      </c>
      <c r="BT31" s="637">
        <v>19.101600000000001</v>
      </c>
      <c r="BU31" s="637">
        <v>14.888999999999999</v>
      </c>
      <c r="BV31" s="637">
        <v>12.079000000000001</v>
      </c>
      <c r="BW31" s="637">
        <v>14.289300000000001</v>
      </c>
      <c r="BX31" s="637">
        <v>16.267900000000001</v>
      </c>
      <c r="BY31" s="637">
        <v>12.237</v>
      </c>
      <c r="BZ31" s="643">
        <v>22.111899999999999</v>
      </c>
      <c r="CA31" s="643">
        <v>13.8634</v>
      </c>
      <c r="CB31" s="638">
        <v>18.4985</v>
      </c>
      <c r="CD31" s="618" t="s">
        <v>767</v>
      </c>
      <c r="CE31" s="637">
        <v>20.062000000000001</v>
      </c>
      <c r="CF31" s="637">
        <v>22.052</v>
      </c>
      <c r="CG31" s="637">
        <v>21.367100000000001</v>
      </c>
      <c r="CH31" s="637">
        <v>20.2011</v>
      </c>
      <c r="CI31" s="637">
        <v>17.3752</v>
      </c>
      <c r="CJ31" s="637">
        <v>15.271599999999999</v>
      </c>
      <c r="CK31" s="637">
        <v>11.577500000000001</v>
      </c>
      <c r="CL31" s="637">
        <v>8.5497999999999994</v>
      </c>
      <c r="CM31" s="637">
        <v>12.044</v>
      </c>
      <c r="CN31" s="637">
        <v>13.839399999999999</v>
      </c>
      <c r="CO31" s="637">
        <v>10.4473</v>
      </c>
      <c r="CP31" s="643">
        <v>17.117000000000001</v>
      </c>
      <c r="CQ31" s="643">
        <v>11.379</v>
      </c>
      <c r="CR31" s="638">
        <v>14.603400000000001</v>
      </c>
      <c r="CT31" s="618" t="s">
        <v>767</v>
      </c>
      <c r="CU31" s="637">
        <v>6.6329000000000002</v>
      </c>
      <c r="CV31" s="637">
        <v>5.0259</v>
      </c>
      <c r="CW31" s="637">
        <v>6.7051999999999996</v>
      </c>
      <c r="CX31" s="637">
        <v>7.5419999999999998</v>
      </c>
      <c r="CY31" s="637">
        <v>7.6184000000000003</v>
      </c>
      <c r="CZ31" s="637">
        <v>8.1720000000000006</v>
      </c>
      <c r="DA31" s="637">
        <v>7.8945999999999996</v>
      </c>
      <c r="DB31" s="637">
        <v>7.4866000000000001</v>
      </c>
      <c r="DC31" s="637">
        <v>8.4999000000000002</v>
      </c>
      <c r="DD31" s="637">
        <v>9.1836000000000002</v>
      </c>
      <c r="DE31" s="637">
        <v>11.177300000000001</v>
      </c>
      <c r="DF31" s="643">
        <v>7.5632000000000001</v>
      </c>
      <c r="DG31" s="643">
        <v>8.9334000000000007</v>
      </c>
      <c r="DH31" s="638">
        <v>8.1633999999999993</v>
      </c>
      <c r="DJ31" s="618" t="s">
        <v>767</v>
      </c>
      <c r="DK31" s="637">
        <v>24.231100000000001</v>
      </c>
      <c r="DL31" s="637">
        <v>22.224</v>
      </c>
      <c r="DM31" s="637">
        <v>20.7087</v>
      </c>
      <c r="DN31" s="637">
        <v>17.757200000000001</v>
      </c>
      <c r="DO31" s="637">
        <v>17.177399999999999</v>
      </c>
      <c r="DP31" s="637">
        <v>18.8718</v>
      </c>
      <c r="DQ31" s="637">
        <v>15.4367</v>
      </c>
      <c r="DR31" s="637">
        <v>14.8904</v>
      </c>
      <c r="DS31" s="637">
        <v>13.9595</v>
      </c>
      <c r="DT31" s="637">
        <v>15.4643</v>
      </c>
      <c r="DU31" s="637">
        <v>13.910500000000001</v>
      </c>
      <c r="DV31" s="643">
        <v>17.619599999999998</v>
      </c>
      <c r="DW31" s="643">
        <v>14.4955</v>
      </c>
      <c r="DX31" s="638">
        <v>16.251000000000001</v>
      </c>
    </row>
    <row r="32" spans="2:128" s="465" customFormat="1" ht="15.75" customHeight="1" x14ac:dyDescent="0.25">
      <c r="B32" s="622" t="s">
        <v>134</v>
      </c>
      <c r="C32" s="623">
        <v>1749.7333000000001</v>
      </c>
      <c r="D32" s="623">
        <v>1235.4829999999999</v>
      </c>
      <c r="E32" s="623">
        <v>1018.204</v>
      </c>
      <c r="F32" s="623">
        <v>1037.8551</v>
      </c>
      <c r="G32" s="623">
        <v>1014.5343</v>
      </c>
      <c r="H32" s="623">
        <v>1149.0891999999999</v>
      </c>
      <c r="I32" s="623">
        <v>1355.1476</v>
      </c>
      <c r="J32" s="623">
        <v>1388.6484</v>
      </c>
      <c r="K32" s="623">
        <v>1627.8702000000001</v>
      </c>
      <c r="L32" s="623">
        <v>1480.462</v>
      </c>
      <c r="M32" s="623">
        <v>1416.5061000000001</v>
      </c>
      <c r="N32" s="624">
        <v>1140.0961</v>
      </c>
      <c r="O32" s="624">
        <v>1465.4367999999999</v>
      </c>
      <c r="P32" s="609">
        <v>1274.2082</v>
      </c>
      <c r="R32" s="622" t="s">
        <v>134</v>
      </c>
      <c r="S32" s="623">
        <v>757.31600000000003</v>
      </c>
      <c r="T32" s="623">
        <v>530.89319999999998</v>
      </c>
      <c r="U32" s="623">
        <v>483.92320000000001</v>
      </c>
      <c r="V32" s="623">
        <v>569.29349999999999</v>
      </c>
      <c r="W32" s="623">
        <v>635.12829999999997</v>
      </c>
      <c r="X32" s="623">
        <v>746.22519999999997</v>
      </c>
      <c r="Y32" s="623">
        <v>909.77170000000001</v>
      </c>
      <c r="Z32" s="623">
        <v>980.90139999999997</v>
      </c>
      <c r="AA32" s="623">
        <v>1153.8773000000001</v>
      </c>
      <c r="AB32" s="623">
        <v>982.58280000000002</v>
      </c>
      <c r="AC32" s="623">
        <v>955.95939999999996</v>
      </c>
      <c r="AD32" s="624">
        <v>679.38350000000003</v>
      </c>
      <c r="AE32" s="624">
        <v>1010.6065</v>
      </c>
      <c r="AF32" s="609">
        <v>815.92039999999997</v>
      </c>
      <c r="AH32" s="622" t="s">
        <v>134</v>
      </c>
      <c r="AI32" s="639">
        <v>43.281799999999997</v>
      </c>
      <c r="AJ32" s="639">
        <v>42.970500000000001</v>
      </c>
      <c r="AK32" s="639">
        <v>47.527099999999997</v>
      </c>
      <c r="AL32" s="639">
        <v>54.852899999999998</v>
      </c>
      <c r="AM32" s="639">
        <v>62.602899999999998</v>
      </c>
      <c r="AN32" s="639">
        <v>64.940600000000003</v>
      </c>
      <c r="AO32" s="639">
        <v>67.134500000000003</v>
      </c>
      <c r="AP32" s="639">
        <v>70.637100000000004</v>
      </c>
      <c r="AQ32" s="639">
        <v>70.882599999999996</v>
      </c>
      <c r="AR32" s="639">
        <v>66.37</v>
      </c>
      <c r="AS32" s="639">
        <v>67.487099999999998</v>
      </c>
      <c r="AT32" s="644">
        <v>59.59</v>
      </c>
      <c r="AU32" s="644">
        <v>68.962800000000001</v>
      </c>
      <c r="AV32" s="640">
        <v>64.033500000000004</v>
      </c>
      <c r="AX32" s="622" t="s">
        <v>134</v>
      </c>
      <c r="AY32" s="639">
        <v>31.766999999999999</v>
      </c>
      <c r="AZ32" s="639">
        <v>34.174100000000003</v>
      </c>
      <c r="BA32" s="639">
        <v>40.462800000000001</v>
      </c>
      <c r="BB32" s="639">
        <v>49.426400000000001</v>
      </c>
      <c r="BC32" s="639">
        <v>57.247199999999999</v>
      </c>
      <c r="BD32" s="639">
        <v>58.605200000000004</v>
      </c>
      <c r="BE32" s="639">
        <v>59.622500000000002</v>
      </c>
      <c r="BF32" s="639">
        <v>64.203999999999994</v>
      </c>
      <c r="BG32" s="639">
        <v>65.727500000000006</v>
      </c>
      <c r="BH32" s="639">
        <v>60.910600000000002</v>
      </c>
      <c r="BI32" s="639">
        <v>62.327100000000002</v>
      </c>
      <c r="BJ32" s="644">
        <v>53.048999999999999</v>
      </c>
      <c r="BK32" s="644">
        <v>63.4863</v>
      </c>
      <c r="BL32" s="640">
        <v>57.997100000000003</v>
      </c>
      <c r="BN32" s="622" t="s">
        <v>134</v>
      </c>
      <c r="BO32" s="639">
        <v>35.596800000000002</v>
      </c>
      <c r="BP32" s="639">
        <v>34.066899999999997</v>
      </c>
      <c r="BQ32" s="639">
        <v>31.379799999999999</v>
      </c>
      <c r="BR32" s="639">
        <v>26.1615</v>
      </c>
      <c r="BS32" s="639">
        <v>21.0501</v>
      </c>
      <c r="BT32" s="639">
        <v>20.366199999999999</v>
      </c>
      <c r="BU32" s="639">
        <v>15.5883</v>
      </c>
      <c r="BV32" s="639">
        <v>14.4049</v>
      </c>
      <c r="BW32" s="639">
        <v>15.315200000000001</v>
      </c>
      <c r="BX32" s="639">
        <v>18.9008</v>
      </c>
      <c r="BY32" s="639">
        <v>18.051500000000001</v>
      </c>
      <c r="BZ32" s="644">
        <v>22.485700000000001</v>
      </c>
      <c r="CA32" s="644">
        <v>16.6069</v>
      </c>
      <c r="CB32" s="640">
        <v>19.698699999999999</v>
      </c>
      <c r="CD32" s="622" t="s">
        <v>134</v>
      </c>
      <c r="CE32" s="639">
        <v>21.896699999999999</v>
      </c>
      <c r="CF32" s="639">
        <v>24.693200000000001</v>
      </c>
      <c r="CG32" s="639">
        <v>23.533999999999999</v>
      </c>
      <c r="CH32" s="639">
        <v>20.4237</v>
      </c>
      <c r="CI32" s="639">
        <v>18.356999999999999</v>
      </c>
      <c r="CJ32" s="639">
        <v>17.242699999999999</v>
      </c>
      <c r="CK32" s="639">
        <v>12.4605</v>
      </c>
      <c r="CL32" s="639">
        <v>11.563499999999999</v>
      </c>
      <c r="CM32" s="639">
        <v>12.2719</v>
      </c>
      <c r="CN32" s="639">
        <v>15.835900000000001</v>
      </c>
      <c r="CO32" s="639">
        <v>15.285</v>
      </c>
      <c r="CP32" s="644">
        <v>17.831399999999999</v>
      </c>
      <c r="CQ32" s="644">
        <v>13.7218</v>
      </c>
      <c r="CR32" s="640">
        <v>15.883100000000001</v>
      </c>
      <c r="CT32" s="622" t="s">
        <v>134</v>
      </c>
      <c r="CU32" s="639">
        <v>5.7778999999999998</v>
      </c>
      <c r="CV32" s="639">
        <v>7.4673999999999996</v>
      </c>
      <c r="CW32" s="639">
        <v>7.7077</v>
      </c>
      <c r="CX32" s="639">
        <v>7.9974999999999996</v>
      </c>
      <c r="CY32" s="639">
        <v>7.8556999999999997</v>
      </c>
      <c r="CZ32" s="639">
        <v>7.7256999999999998</v>
      </c>
      <c r="DA32" s="639">
        <v>9.2810000000000006</v>
      </c>
      <c r="DB32" s="639">
        <v>6.7499000000000002</v>
      </c>
      <c r="DC32" s="639">
        <v>8.1905000000000001</v>
      </c>
      <c r="DD32" s="639">
        <v>8.4093</v>
      </c>
      <c r="DE32" s="639">
        <v>7.2586000000000004</v>
      </c>
      <c r="DF32" s="644">
        <v>8.2317999999999998</v>
      </c>
      <c r="DG32" s="644">
        <v>7.5008999999999997</v>
      </c>
      <c r="DH32" s="640">
        <v>7.8853</v>
      </c>
      <c r="DJ32" s="622" t="s">
        <v>134</v>
      </c>
      <c r="DK32" s="639">
        <v>27.556699999999999</v>
      </c>
      <c r="DL32" s="639">
        <v>24.356100000000001</v>
      </c>
      <c r="DM32" s="639">
        <v>22.5229</v>
      </c>
      <c r="DN32" s="639">
        <v>19.232800000000001</v>
      </c>
      <c r="DO32" s="639">
        <v>17.4893</v>
      </c>
      <c r="DP32" s="639">
        <v>18.040400000000002</v>
      </c>
      <c r="DQ32" s="639">
        <v>15.883100000000001</v>
      </c>
      <c r="DR32" s="639">
        <v>13.5405</v>
      </c>
      <c r="DS32" s="639">
        <v>14.8567</v>
      </c>
      <c r="DT32" s="639">
        <v>14.9078</v>
      </c>
      <c r="DU32" s="639">
        <v>13.172599999999999</v>
      </c>
      <c r="DV32" s="644">
        <v>18.482199999999999</v>
      </c>
      <c r="DW32" s="644">
        <v>13.866400000000001</v>
      </c>
      <c r="DX32" s="640">
        <v>16.293900000000001</v>
      </c>
    </row>
    <row r="33" spans="2:128" s="571" customFormat="1" ht="15.75" customHeight="1" x14ac:dyDescent="0.25">
      <c r="B33" s="618" t="s">
        <v>63</v>
      </c>
      <c r="C33" s="619">
        <v>1042.2088000000001</v>
      </c>
      <c r="D33" s="619">
        <v>971.17179999999996</v>
      </c>
      <c r="E33" s="619">
        <v>834.91869999999994</v>
      </c>
      <c r="F33" s="619">
        <v>862.86389999999994</v>
      </c>
      <c r="G33" s="619">
        <v>1028.8212000000001</v>
      </c>
      <c r="H33" s="619">
        <v>1124.1949</v>
      </c>
      <c r="I33" s="619">
        <v>1207.0579</v>
      </c>
      <c r="J33" s="619">
        <v>1378.066</v>
      </c>
      <c r="K33" s="619">
        <v>1262.6507999999999</v>
      </c>
      <c r="L33" s="619">
        <v>1396.3756000000001</v>
      </c>
      <c r="M33" s="619">
        <v>1469.3947000000001</v>
      </c>
      <c r="N33" s="620">
        <v>1048.0387000000001</v>
      </c>
      <c r="O33" s="620">
        <v>1387.2204999999999</v>
      </c>
      <c r="P33" s="621">
        <v>1201.7719999999999</v>
      </c>
      <c r="R33" s="618" t="s">
        <v>63</v>
      </c>
      <c r="S33" s="619">
        <v>651.26110000000006</v>
      </c>
      <c r="T33" s="619">
        <v>534.22339999999997</v>
      </c>
      <c r="U33" s="619">
        <v>480.84359999999998</v>
      </c>
      <c r="V33" s="619">
        <v>492.33850000000001</v>
      </c>
      <c r="W33" s="619">
        <v>606.08870000000002</v>
      </c>
      <c r="X33" s="619">
        <v>698.77440000000001</v>
      </c>
      <c r="Y33" s="619">
        <v>747.23400000000004</v>
      </c>
      <c r="Z33" s="619">
        <v>908.91520000000003</v>
      </c>
      <c r="AA33" s="619">
        <v>887.82809999999995</v>
      </c>
      <c r="AB33" s="619">
        <v>990.73239999999998</v>
      </c>
      <c r="AC33" s="619">
        <v>978.02089999999998</v>
      </c>
      <c r="AD33" s="620">
        <v>629.43920000000003</v>
      </c>
      <c r="AE33" s="620">
        <v>941.97389999999996</v>
      </c>
      <c r="AF33" s="621">
        <v>771.09479999999996</v>
      </c>
      <c r="AH33" s="618" t="s">
        <v>63</v>
      </c>
      <c r="AI33" s="637">
        <v>62.488500000000002</v>
      </c>
      <c r="AJ33" s="637">
        <v>55.008099999999999</v>
      </c>
      <c r="AK33" s="637">
        <v>57.591700000000003</v>
      </c>
      <c r="AL33" s="637">
        <v>57.058599999999998</v>
      </c>
      <c r="AM33" s="637">
        <v>58.911000000000001</v>
      </c>
      <c r="AN33" s="637">
        <v>62.157800000000002</v>
      </c>
      <c r="AO33" s="637">
        <v>61.9054</v>
      </c>
      <c r="AP33" s="637">
        <v>65.9559</v>
      </c>
      <c r="AQ33" s="637">
        <v>70.314599999999999</v>
      </c>
      <c r="AR33" s="637">
        <v>70.950299999999999</v>
      </c>
      <c r="AS33" s="637">
        <v>66.559399999999997</v>
      </c>
      <c r="AT33" s="643">
        <v>60.058799999999998</v>
      </c>
      <c r="AU33" s="643">
        <v>67.903700000000001</v>
      </c>
      <c r="AV33" s="638">
        <v>64.163200000000003</v>
      </c>
      <c r="AX33" s="618" t="s">
        <v>63</v>
      </c>
      <c r="AY33" s="637">
        <v>32.707000000000001</v>
      </c>
      <c r="AZ33" s="637">
        <v>41.658900000000003</v>
      </c>
      <c r="BA33" s="637">
        <v>47.2851</v>
      </c>
      <c r="BB33" s="637">
        <v>51.462000000000003</v>
      </c>
      <c r="BC33" s="637">
        <v>54.564300000000003</v>
      </c>
      <c r="BD33" s="637">
        <v>57.281999999999996</v>
      </c>
      <c r="BE33" s="637">
        <v>56.813800000000001</v>
      </c>
      <c r="BF33" s="637">
        <v>58.996499999999997</v>
      </c>
      <c r="BG33" s="637">
        <v>64.076700000000002</v>
      </c>
      <c r="BH33" s="637">
        <v>65.8536</v>
      </c>
      <c r="BI33" s="637">
        <v>61.957999999999998</v>
      </c>
      <c r="BJ33" s="643">
        <v>54.883200000000002</v>
      </c>
      <c r="BK33" s="643">
        <v>62.287300000000002</v>
      </c>
      <c r="BL33" s="638">
        <v>58.756900000000002</v>
      </c>
      <c r="BN33" s="618" t="s">
        <v>63</v>
      </c>
      <c r="BO33" s="637">
        <v>29.195799999999998</v>
      </c>
      <c r="BP33" s="637">
        <v>27.1799</v>
      </c>
      <c r="BQ33" s="637">
        <v>26.069800000000001</v>
      </c>
      <c r="BR33" s="637">
        <v>26.321100000000001</v>
      </c>
      <c r="BS33" s="637">
        <v>23.926300000000001</v>
      </c>
      <c r="BT33" s="637">
        <v>22.571200000000001</v>
      </c>
      <c r="BU33" s="637">
        <v>21.807600000000001</v>
      </c>
      <c r="BV33" s="637">
        <v>18.582899999999999</v>
      </c>
      <c r="BW33" s="637">
        <v>15.4101</v>
      </c>
      <c r="BX33" s="637">
        <v>14.5021</v>
      </c>
      <c r="BY33" s="637">
        <v>18.6813</v>
      </c>
      <c r="BZ33" s="643">
        <v>23.5398</v>
      </c>
      <c r="CA33" s="643">
        <v>17.295100000000001</v>
      </c>
      <c r="CB33" s="638">
        <v>20.2727</v>
      </c>
      <c r="CD33" s="618" t="s">
        <v>63</v>
      </c>
      <c r="CE33" s="637">
        <v>15.5389</v>
      </c>
      <c r="CF33" s="637">
        <v>17.124300000000002</v>
      </c>
      <c r="CG33" s="637">
        <v>19.3154</v>
      </c>
      <c r="CH33" s="637">
        <v>21.465800000000002</v>
      </c>
      <c r="CI33" s="637">
        <v>19.954799999999999</v>
      </c>
      <c r="CJ33" s="637">
        <v>16.537500000000001</v>
      </c>
      <c r="CK33" s="637">
        <v>17.362300000000001</v>
      </c>
      <c r="CL33" s="637">
        <v>15.2851</v>
      </c>
      <c r="CM33" s="637">
        <v>12.1248</v>
      </c>
      <c r="CN33" s="637">
        <v>11.007999999999999</v>
      </c>
      <c r="CO33" s="637">
        <v>16.386900000000001</v>
      </c>
      <c r="CP33" s="643">
        <v>18.769600000000001</v>
      </c>
      <c r="CQ33" s="643">
        <v>14.3462</v>
      </c>
      <c r="CR33" s="638">
        <v>16.455300000000001</v>
      </c>
      <c r="CT33" s="618" t="s">
        <v>63</v>
      </c>
      <c r="CU33" s="637">
        <v>1.3660000000000001</v>
      </c>
      <c r="CV33" s="637">
        <v>5.3076999999999996</v>
      </c>
      <c r="CW33" s="637">
        <v>6.6866000000000003</v>
      </c>
      <c r="CX33" s="637">
        <v>8.5838000000000001</v>
      </c>
      <c r="CY33" s="637">
        <v>9.3041</v>
      </c>
      <c r="CZ33" s="637">
        <v>8.2771000000000008</v>
      </c>
      <c r="DA33" s="637">
        <v>8.6651000000000007</v>
      </c>
      <c r="DB33" s="637">
        <v>8.3849</v>
      </c>
      <c r="DC33" s="637">
        <v>7.8209999999999997</v>
      </c>
      <c r="DD33" s="637">
        <v>7.5193000000000003</v>
      </c>
      <c r="DE33" s="637">
        <v>7.4816000000000003</v>
      </c>
      <c r="DF33" s="643">
        <v>8.6631999999999998</v>
      </c>
      <c r="DG33" s="643">
        <v>7.7858999999999998</v>
      </c>
      <c r="DH33" s="638">
        <v>8.2042000000000002</v>
      </c>
      <c r="DJ33" s="618" t="s">
        <v>63</v>
      </c>
      <c r="DK33" s="637">
        <v>10.6356</v>
      </c>
      <c r="DL33" s="637">
        <v>24.480899999999998</v>
      </c>
      <c r="DM33" s="637">
        <v>19.0398</v>
      </c>
      <c r="DN33" s="637">
        <v>22.104500000000002</v>
      </c>
      <c r="DO33" s="637">
        <v>22.257100000000001</v>
      </c>
      <c r="DP33" s="637">
        <v>21.598099999999999</v>
      </c>
      <c r="DQ33" s="637">
        <v>19.7379</v>
      </c>
      <c r="DR33" s="637">
        <v>19.359400000000001</v>
      </c>
      <c r="DS33" s="637">
        <v>16.401499999999999</v>
      </c>
      <c r="DT33" s="637">
        <v>14.177300000000001</v>
      </c>
      <c r="DU33" s="637">
        <v>9.3472000000000008</v>
      </c>
      <c r="DV33" s="643">
        <v>21.1328</v>
      </c>
      <c r="DW33" s="643">
        <v>14.124000000000001</v>
      </c>
      <c r="DX33" s="638">
        <v>17.465900000000001</v>
      </c>
    </row>
    <row r="34" spans="2:128" s="465" customFormat="1" ht="15.75" customHeight="1" x14ac:dyDescent="0.25">
      <c r="B34" s="622" t="s">
        <v>93</v>
      </c>
      <c r="C34" s="623">
        <v>2167.6986000000002</v>
      </c>
      <c r="D34" s="623">
        <v>2066.8353999999999</v>
      </c>
      <c r="E34" s="623">
        <v>1932.1180999999999</v>
      </c>
      <c r="F34" s="623">
        <v>1664.6835000000001</v>
      </c>
      <c r="G34" s="623">
        <v>1357.6596</v>
      </c>
      <c r="H34" s="623">
        <v>1441.3267000000001</v>
      </c>
      <c r="I34" s="623">
        <v>1451.6107</v>
      </c>
      <c r="J34" s="623">
        <v>1666.6863000000001</v>
      </c>
      <c r="K34" s="623">
        <v>1758.6536000000001</v>
      </c>
      <c r="L34" s="623">
        <v>2022.4866</v>
      </c>
      <c r="M34" s="623">
        <v>1605.9969000000001</v>
      </c>
      <c r="N34" s="624">
        <v>1500.8269</v>
      </c>
      <c r="O34" s="624">
        <v>1714.6586</v>
      </c>
      <c r="P34" s="609">
        <v>1655.4123999999999</v>
      </c>
      <c r="R34" s="622" t="s">
        <v>93</v>
      </c>
      <c r="S34" s="623">
        <v>878.11620000000005</v>
      </c>
      <c r="T34" s="623">
        <v>827.63059999999996</v>
      </c>
      <c r="U34" s="623">
        <v>889.87860000000001</v>
      </c>
      <c r="V34" s="623">
        <v>1008.9939000000001</v>
      </c>
      <c r="W34" s="623">
        <v>907.97460000000001</v>
      </c>
      <c r="X34" s="623">
        <v>1060.4626000000001</v>
      </c>
      <c r="Y34" s="623">
        <v>1080.596</v>
      </c>
      <c r="Z34" s="623">
        <v>1271.8983000000001</v>
      </c>
      <c r="AA34" s="623">
        <v>1375.8443</v>
      </c>
      <c r="AB34" s="623">
        <v>1452.8747000000001</v>
      </c>
      <c r="AC34" s="623">
        <v>1157.2933</v>
      </c>
      <c r="AD34" s="624">
        <v>1023.9815</v>
      </c>
      <c r="AE34" s="624">
        <v>1276.201</v>
      </c>
      <c r="AF34" s="609">
        <v>1206.3187</v>
      </c>
      <c r="AH34" s="622" t="s">
        <v>93</v>
      </c>
      <c r="AI34" s="639">
        <v>40.509099999999997</v>
      </c>
      <c r="AJ34" s="639">
        <v>40.043399999999998</v>
      </c>
      <c r="AK34" s="639">
        <v>46.057200000000002</v>
      </c>
      <c r="AL34" s="639">
        <v>60.611800000000002</v>
      </c>
      <c r="AM34" s="639">
        <v>66.877899999999997</v>
      </c>
      <c r="AN34" s="639">
        <v>73.575400000000002</v>
      </c>
      <c r="AO34" s="639">
        <v>74.441199999999995</v>
      </c>
      <c r="AP34" s="639">
        <v>76.313000000000002</v>
      </c>
      <c r="AQ34" s="639">
        <v>78.232799999999997</v>
      </c>
      <c r="AR34" s="639">
        <v>71.836100000000002</v>
      </c>
      <c r="AS34" s="639">
        <v>72.060699999999997</v>
      </c>
      <c r="AT34" s="644">
        <v>68.227800000000002</v>
      </c>
      <c r="AU34" s="644">
        <v>74.428899999999999</v>
      </c>
      <c r="AV34" s="640">
        <v>72.871200000000002</v>
      </c>
      <c r="AX34" s="622" t="s">
        <v>93</v>
      </c>
      <c r="AY34" s="639">
        <v>25.456700000000001</v>
      </c>
      <c r="AZ34" s="639">
        <v>30.718599999999999</v>
      </c>
      <c r="BA34" s="639">
        <v>37.4161</v>
      </c>
      <c r="BB34" s="639">
        <v>51.415900000000001</v>
      </c>
      <c r="BC34" s="639">
        <v>58.2592</v>
      </c>
      <c r="BD34" s="639">
        <v>61.8279</v>
      </c>
      <c r="BE34" s="639">
        <v>65.166700000000006</v>
      </c>
      <c r="BF34" s="639">
        <v>68.175899999999999</v>
      </c>
      <c r="BG34" s="639">
        <v>71.054400000000001</v>
      </c>
      <c r="BH34" s="639">
        <v>61.391800000000003</v>
      </c>
      <c r="BI34" s="639">
        <v>66.355199999999996</v>
      </c>
      <c r="BJ34" s="644">
        <v>58.664200000000001</v>
      </c>
      <c r="BK34" s="644">
        <v>67.112499999999997</v>
      </c>
      <c r="BL34" s="640">
        <v>64.990300000000005</v>
      </c>
      <c r="BN34" s="622" t="s">
        <v>93</v>
      </c>
      <c r="BO34" s="639">
        <v>37.137900000000002</v>
      </c>
      <c r="BP34" s="639">
        <v>29.989599999999999</v>
      </c>
      <c r="BQ34" s="639">
        <v>20.983799999999999</v>
      </c>
      <c r="BR34" s="639">
        <v>14.134399999999999</v>
      </c>
      <c r="BS34" s="639">
        <v>11.302199999999999</v>
      </c>
      <c r="BT34" s="639">
        <v>8.1952999999999996</v>
      </c>
      <c r="BU34" s="639">
        <v>8.7377000000000002</v>
      </c>
      <c r="BV34" s="639">
        <v>9.3495000000000008</v>
      </c>
      <c r="BW34" s="639">
        <v>7.9964000000000004</v>
      </c>
      <c r="BX34" s="639">
        <v>10.606400000000001</v>
      </c>
      <c r="BY34" s="639">
        <v>15.8202</v>
      </c>
      <c r="BZ34" s="644">
        <v>11.217499999999999</v>
      </c>
      <c r="CA34" s="644">
        <v>11.718</v>
      </c>
      <c r="CB34" s="640">
        <v>11.5923</v>
      </c>
      <c r="CD34" s="622" t="s">
        <v>93</v>
      </c>
      <c r="CE34" s="639">
        <v>22.109400000000001</v>
      </c>
      <c r="CF34" s="639">
        <v>17.660799999999998</v>
      </c>
      <c r="CG34" s="639">
        <v>15.24</v>
      </c>
      <c r="CH34" s="639">
        <v>10.950200000000001</v>
      </c>
      <c r="CI34" s="639">
        <v>8.3780999999999999</v>
      </c>
      <c r="CJ34" s="639">
        <v>6.2571000000000003</v>
      </c>
      <c r="CK34" s="639">
        <v>6.4535999999999998</v>
      </c>
      <c r="CL34" s="639">
        <v>5.6113</v>
      </c>
      <c r="CM34" s="639">
        <v>5.6418999999999997</v>
      </c>
      <c r="CN34" s="639">
        <v>9.2856000000000005</v>
      </c>
      <c r="CO34" s="639">
        <v>14.5633</v>
      </c>
      <c r="CP34" s="644">
        <v>8.3170000000000002</v>
      </c>
      <c r="CQ34" s="644">
        <v>9.7080000000000002</v>
      </c>
      <c r="CR34" s="640">
        <v>9.3585999999999991</v>
      </c>
      <c r="CT34" s="622" t="s">
        <v>93</v>
      </c>
      <c r="CU34" s="639">
        <v>6.1467000000000001</v>
      </c>
      <c r="CV34" s="639">
        <v>11.8912</v>
      </c>
      <c r="CW34" s="639">
        <v>14.869</v>
      </c>
      <c r="CX34" s="639">
        <v>12.282500000000001</v>
      </c>
      <c r="CY34" s="639">
        <v>9.3609000000000009</v>
      </c>
      <c r="CZ34" s="639">
        <v>9.9955999999999996</v>
      </c>
      <c r="DA34" s="639">
        <v>8.9907000000000004</v>
      </c>
      <c r="DB34" s="639">
        <v>7.3830999999999998</v>
      </c>
      <c r="DC34" s="639">
        <v>6.8776999999999999</v>
      </c>
      <c r="DD34" s="639">
        <v>8.8164999999999996</v>
      </c>
      <c r="DE34" s="639">
        <v>6.0533999999999999</v>
      </c>
      <c r="DF34" s="644">
        <v>10.1988</v>
      </c>
      <c r="DG34" s="644">
        <v>6.9675000000000002</v>
      </c>
      <c r="DH34" s="640">
        <v>7.7792000000000003</v>
      </c>
      <c r="DJ34" s="622" t="s">
        <v>93</v>
      </c>
      <c r="DK34" s="639">
        <v>24.8</v>
      </c>
      <c r="DL34" s="639">
        <v>22.263000000000002</v>
      </c>
      <c r="DM34" s="639">
        <v>21.0289</v>
      </c>
      <c r="DN34" s="639">
        <v>17.889800000000001</v>
      </c>
      <c r="DO34" s="639">
        <v>16.9072</v>
      </c>
      <c r="DP34" s="639">
        <v>16.6126</v>
      </c>
      <c r="DQ34" s="639">
        <v>14.815300000000001</v>
      </c>
      <c r="DR34" s="639">
        <v>13.5779</v>
      </c>
      <c r="DS34" s="639">
        <v>11.722799999999999</v>
      </c>
      <c r="DT34" s="639">
        <v>14.999499999999999</v>
      </c>
      <c r="DU34" s="639">
        <v>11.7989</v>
      </c>
      <c r="DV34" s="644">
        <v>16.527699999999999</v>
      </c>
      <c r="DW34" s="644">
        <v>12.629300000000001</v>
      </c>
      <c r="DX34" s="640">
        <v>13.608599999999999</v>
      </c>
    </row>
    <row r="35" spans="2:128" s="571" customFormat="1" ht="15.75" customHeight="1" x14ac:dyDescent="0.25">
      <c r="B35" s="618" t="s">
        <v>135</v>
      </c>
      <c r="C35" s="619">
        <v>2141.36</v>
      </c>
      <c r="D35" s="619">
        <v>1103.0128</v>
      </c>
      <c r="E35" s="619">
        <v>965.48800000000006</v>
      </c>
      <c r="F35" s="619">
        <v>979.0761</v>
      </c>
      <c r="G35" s="619">
        <v>1259.7529</v>
      </c>
      <c r="H35" s="619">
        <v>1327.0281</v>
      </c>
      <c r="I35" s="619">
        <v>1448.5334</v>
      </c>
      <c r="J35" s="619">
        <v>1545.0179000000001</v>
      </c>
      <c r="K35" s="619">
        <v>1702.7572</v>
      </c>
      <c r="L35" s="619">
        <v>1885.4891</v>
      </c>
      <c r="M35" s="619">
        <v>3255.2844</v>
      </c>
      <c r="N35" s="620">
        <v>1271.3812</v>
      </c>
      <c r="O35" s="620">
        <v>2113.0668999999998</v>
      </c>
      <c r="P35" s="621">
        <v>1986.0668000000001</v>
      </c>
      <c r="R35" s="618" t="s">
        <v>135</v>
      </c>
      <c r="S35" s="619">
        <v>894.9624</v>
      </c>
      <c r="T35" s="619">
        <v>665.75139999999999</v>
      </c>
      <c r="U35" s="619">
        <v>617.7491</v>
      </c>
      <c r="V35" s="619">
        <v>649.34519999999998</v>
      </c>
      <c r="W35" s="619">
        <v>890.89049999999997</v>
      </c>
      <c r="X35" s="619">
        <v>956.23779999999999</v>
      </c>
      <c r="Y35" s="619">
        <v>1044.2550000000001</v>
      </c>
      <c r="Z35" s="619">
        <v>1089.4411</v>
      </c>
      <c r="AA35" s="619">
        <v>1162.2097000000001</v>
      </c>
      <c r="AB35" s="619">
        <v>1334.3508999999999</v>
      </c>
      <c r="AC35" s="619">
        <v>2565.6221999999998</v>
      </c>
      <c r="AD35" s="620">
        <v>896.58209999999997</v>
      </c>
      <c r="AE35" s="620">
        <v>1543.1741</v>
      </c>
      <c r="AF35" s="621">
        <v>1445.6112000000001</v>
      </c>
      <c r="AH35" s="618" t="s">
        <v>135</v>
      </c>
      <c r="AI35" s="637">
        <v>41.7941</v>
      </c>
      <c r="AJ35" s="637">
        <v>60.357500000000002</v>
      </c>
      <c r="AK35" s="637">
        <v>63.9831</v>
      </c>
      <c r="AL35" s="637">
        <v>66.322199999999995</v>
      </c>
      <c r="AM35" s="637">
        <v>70.719499999999996</v>
      </c>
      <c r="AN35" s="637">
        <v>72.058599999999998</v>
      </c>
      <c r="AO35" s="637">
        <v>72.090500000000006</v>
      </c>
      <c r="AP35" s="637">
        <v>70.513199999999998</v>
      </c>
      <c r="AQ35" s="637">
        <v>68.254599999999996</v>
      </c>
      <c r="AR35" s="637">
        <v>70.769499999999994</v>
      </c>
      <c r="AS35" s="637">
        <v>78.814099999999996</v>
      </c>
      <c r="AT35" s="643">
        <v>70.520300000000006</v>
      </c>
      <c r="AU35" s="643">
        <v>73.030100000000004</v>
      </c>
      <c r="AV35" s="638">
        <v>72.787599999999998</v>
      </c>
      <c r="AX35" s="618" t="s">
        <v>135</v>
      </c>
      <c r="AY35" s="637">
        <v>7.6913</v>
      </c>
      <c r="AZ35" s="637">
        <v>41.771500000000003</v>
      </c>
      <c r="BA35" s="637">
        <v>51.109200000000001</v>
      </c>
      <c r="BB35" s="637">
        <v>57.9925</v>
      </c>
      <c r="BC35" s="637">
        <v>63.184699999999999</v>
      </c>
      <c r="BD35" s="637">
        <v>66.972899999999996</v>
      </c>
      <c r="BE35" s="637">
        <v>67.138400000000004</v>
      </c>
      <c r="BF35" s="637">
        <v>65.385499999999993</v>
      </c>
      <c r="BG35" s="637">
        <v>64.511099999999999</v>
      </c>
      <c r="BH35" s="637">
        <v>66.911600000000007</v>
      </c>
      <c r="BI35" s="637">
        <v>37.347999999999999</v>
      </c>
      <c r="BJ35" s="643">
        <v>64.229500000000002</v>
      </c>
      <c r="BK35" s="643">
        <v>54.796700000000001</v>
      </c>
      <c r="BL35" s="638">
        <v>55.707799999999999</v>
      </c>
      <c r="BN35" s="618" t="s">
        <v>135</v>
      </c>
      <c r="BO35" s="637">
        <v>40.389099999999999</v>
      </c>
      <c r="BP35" s="637">
        <v>24.832999999999998</v>
      </c>
      <c r="BQ35" s="637">
        <v>22.7163</v>
      </c>
      <c r="BR35" s="637">
        <v>16.6479</v>
      </c>
      <c r="BS35" s="637">
        <v>12.604799999999999</v>
      </c>
      <c r="BT35" s="637">
        <v>9.6921999999999997</v>
      </c>
      <c r="BU35" s="637">
        <v>10.0106</v>
      </c>
      <c r="BV35" s="637">
        <v>11.3073</v>
      </c>
      <c r="BW35" s="637">
        <v>13.613300000000001</v>
      </c>
      <c r="BX35" s="637">
        <v>12.0283</v>
      </c>
      <c r="BY35" s="637">
        <v>2.0104000000000002</v>
      </c>
      <c r="BZ35" s="643">
        <v>12.021800000000001</v>
      </c>
      <c r="CA35" s="643">
        <v>8.6454000000000004</v>
      </c>
      <c r="CB35" s="638">
        <v>8.9715000000000007</v>
      </c>
      <c r="CD35" s="618" t="s">
        <v>135</v>
      </c>
      <c r="CE35" s="637">
        <v>3.1579999999999999</v>
      </c>
      <c r="CF35" s="637">
        <v>7.1272000000000002</v>
      </c>
      <c r="CG35" s="637">
        <v>7.6111000000000004</v>
      </c>
      <c r="CH35" s="637">
        <v>7.7374999999999998</v>
      </c>
      <c r="CI35" s="637">
        <v>6.5617000000000001</v>
      </c>
      <c r="CJ35" s="637">
        <v>5.9177</v>
      </c>
      <c r="CK35" s="637">
        <v>6.7735000000000003</v>
      </c>
      <c r="CL35" s="637">
        <v>8.8635000000000002</v>
      </c>
      <c r="CM35" s="637">
        <v>11.131399999999999</v>
      </c>
      <c r="CN35" s="637">
        <v>9.7986000000000004</v>
      </c>
      <c r="CO35" s="637">
        <v>0.87480000000000002</v>
      </c>
      <c r="CP35" s="643">
        <v>6.8132999999999999</v>
      </c>
      <c r="CQ35" s="643">
        <v>6.7351999999999999</v>
      </c>
      <c r="CR35" s="638">
        <v>6.7427999999999999</v>
      </c>
      <c r="CT35" s="618" t="s">
        <v>135</v>
      </c>
      <c r="CU35" s="637">
        <v>3.3732000000000002</v>
      </c>
      <c r="CV35" s="637">
        <v>4.1191000000000004</v>
      </c>
      <c r="CW35" s="637">
        <v>5.1981999999999999</v>
      </c>
      <c r="CX35" s="637">
        <v>8.5526999999999997</v>
      </c>
      <c r="CY35" s="637">
        <v>8.7805</v>
      </c>
      <c r="CZ35" s="637">
        <v>9.3314000000000004</v>
      </c>
      <c r="DA35" s="637">
        <v>8.7789999999999999</v>
      </c>
      <c r="DB35" s="637">
        <v>9.4784000000000006</v>
      </c>
      <c r="DC35" s="637">
        <v>9.0776000000000003</v>
      </c>
      <c r="DD35" s="637">
        <v>8.5487000000000002</v>
      </c>
      <c r="DE35" s="637">
        <v>8.8382000000000005</v>
      </c>
      <c r="DF35" s="643">
        <v>8.6931999999999992</v>
      </c>
      <c r="DG35" s="643">
        <v>8.9029000000000007</v>
      </c>
      <c r="DH35" s="638">
        <v>8.8826999999999998</v>
      </c>
      <c r="DJ35" s="618" t="s">
        <v>135</v>
      </c>
      <c r="DK35" s="637">
        <v>20.120999999999999</v>
      </c>
      <c r="DL35" s="637">
        <v>16.284099999999999</v>
      </c>
      <c r="DM35" s="637">
        <v>17.162600000000001</v>
      </c>
      <c r="DN35" s="637">
        <v>16.8674</v>
      </c>
      <c r="DO35" s="637">
        <v>17.783899999999999</v>
      </c>
      <c r="DP35" s="637">
        <v>16.2501</v>
      </c>
      <c r="DQ35" s="637">
        <v>14.7926</v>
      </c>
      <c r="DR35" s="637">
        <v>12.3078</v>
      </c>
      <c r="DS35" s="637">
        <v>12.320399999999999</v>
      </c>
      <c r="DT35" s="637">
        <v>13.335599999999999</v>
      </c>
      <c r="DU35" s="637">
        <v>4.2843999999999998</v>
      </c>
      <c r="DV35" s="643">
        <v>15.9254</v>
      </c>
      <c r="DW35" s="643">
        <v>9.4911999999999992</v>
      </c>
      <c r="DX35" s="638">
        <v>10.1127</v>
      </c>
    </row>
    <row r="36" spans="2:128" s="474" customFormat="1" ht="15.75" customHeight="1" x14ac:dyDescent="0.25">
      <c r="B36" s="972" t="s">
        <v>804</v>
      </c>
      <c r="C36" s="985" t="s">
        <v>102</v>
      </c>
      <c r="D36" s="973" t="s">
        <v>102</v>
      </c>
      <c r="E36" s="973">
        <v>6229.0057999999999</v>
      </c>
      <c r="F36" s="973">
        <v>2055.1487000000002</v>
      </c>
      <c r="G36" s="973">
        <v>2270.1876999999999</v>
      </c>
      <c r="H36" s="973">
        <v>1935.6242</v>
      </c>
      <c r="I36" s="973">
        <v>1594.6277</v>
      </c>
      <c r="J36" s="973">
        <v>1527.6113</v>
      </c>
      <c r="K36" s="973">
        <v>1687.5706</v>
      </c>
      <c r="L36" s="973">
        <v>1613.3762999999999</v>
      </c>
      <c r="M36" s="973">
        <v>1697.4770000000001</v>
      </c>
      <c r="N36" s="974">
        <v>1721.7083</v>
      </c>
      <c r="O36" s="974">
        <v>1627.6088999999999</v>
      </c>
      <c r="P36" s="975">
        <v>1642.4372000000001</v>
      </c>
      <c r="R36" s="972" t="s">
        <v>804</v>
      </c>
      <c r="S36" s="985" t="s">
        <v>102</v>
      </c>
      <c r="T36" s="973" t="s">
        <v>102</v>
      </c>
      <c r="U36" s="973">
        <v>2756.9829</v>
      </c>
      <c r="V36" s="973">
        <v>1497.9857999999999</v>
      </c>
      <c r="W36" s="973">
        <v>1437.5499</v>
      </c>
      <c r="X36" s="973">
        <v>1415.5764999999999</v>
      </c>
      <c r="Y36" s="973">
        <v>1103.5832</v>
      </c>
      <c r="Z36" s="973">
        <v>1050.2599</v>
      </c>
      <c r="AA36" s="973">
        <v>1248.4250999999999</v>
      </c>
      <c r="AB36" s="973">
        <v>1151</v>
      </c>
      <c r="AC36" s="973">
        <v>1229.9604999999999</v>
      </c>
      <c r="AD36" s="974">
        <v>1191.2689</v>
      </c>
      <c r="AE36" s="974">
        <v>1167.9749999999999</v>
      </c>
      <c r="AF36" s="975">
        <v>1171.6457</v>
      </c>
      <c r="AH36" s="972" t="s">
        <v>804</v>
      </c>
      <c r="AI36" s="986" t="s">
        <v>102</v>
      </c>
      <c r="AJ36" s="987" t="s">
        <v>102</v>
      </c>
      <c r="AK36" s="987">
        <v>44.260399999999997</v>
      </c>
      <c r="AL36" s="987">
        <v>72.889399999999995</v>
      </c>
      <c r="AM36" s="987">
        <v>63.323</v>
      </c>
      <c r="AN36" s="987">
        <v>73.132800000000003</v>
      </c>
      <c r="AO36" s="987">
        <v>69.206299999999999</v>
      </c>
      <c r="AP36" s="987">
        <v>68.751800000000003</v>
      </c>
      <c r="AQ36" s="987">
        <v>73.977699999999999</v>
      </c>
      <c r="AR36" s="987">
        <v>71.341099999999997</v>
      </c>
      <c r="AS36" s="987">
        <v>72.458200000000005</v>
      </c>
      <c r="AT36" s="988">
        <v>69.191100000000006</v>
      </c>
      <c r="AU36" s="988">
        <v>71.760199999999998</v>
      </c>
      <c r="AV36" s="989">
        <v>71.335800000000006</v>
      </c>
      <c r="AX36" s="972" t="s">
        <v>804</v>
      </c>
      <c r="AY36" s="986" t="s">
        <v>102</v>
      </c>
      <c r="AZ36" s="987" t="s">
        <v>102</v>
      </c>
      <c r="BA36" s="987">
        <v>15.378500000000001</v>
      </c>
      <c r="BB36" s="987">
        <v>14.221299999999999</v>
      </c>
      <c r="BC36" s="987">
        <v>25.1435</v>
      </c>
      <c r="BD36" s="987">
        <v>31.119599999999998</v>
      </c>
      <c r="BE36" s="987">
        <v>22.694299999999998</v>
      </c>
      <c r="BF36" s="987">
        <v>26.234999999999999</v>
      </c>
      <c r="BG36" s="987">
        <v>37.166200000000003</v>
      </c>
      <c r="BH36" s="987">
        <v>37.0473</v>
      </c>
      <c r="BI36" s="987">
        <v>41.409199999999998</v>
      </c>
      <c r="BJ36" s="988">
        <v>23.519400000000001</v>
      </c>
      <c r="BK36" s="988">
        <v>35.3613</v>
      </c>
      <c r="BL36" s="989">
        <v>33.405200000000001</v>
      </c>
      <c r="BN36" s="972" t="s">
        <v>804</v>
      </c>
      <c r="BO36" s="986" t="s">
        <v>102</v>
      </c>
      <c r="BP36" s="987" t="s">
        <v>102</v>
      </c>
      <c r="BQ36" s="987">
        <v>46.069200000000002</v>
      </c>
      <c r="BR36" s="987">
        <v>14.6729</v>
      </c>
      <c r="BS36" s="987">
        <v>25.886800000000001</v>
      </c>
      <c r="BT36" s="987">
        <v>16.1325</v>
      </c>
      <c r="BU36" s="987">
        <v>21.7361</v>
      </c>
      <c r="BV36" s="987">
        <v>21.408300000000001</v>
      </c>
      <c r="BW36" s="987">
        <v>18.375299999999999</v>
      </c>
      <c r="BX36" s="987">
        <v>21.021699999999999</v>
      </c>
      <c r="BY36" s="987">
        <v>17.587</v>
      </c>
      <c r="BZ36" s="988">
        <v>21.134799999999998</v>
      </c>
      <c r="CA36" s="988">
        <v>19.7714</v>
      </c>
      <c r="CB36" s="989">
        <v>19.996600000000001</v>
      </c>
      <c r="CD36" s="972" t="s">
        <v>804</v>
      </c>
      <c r="CE36" s="986" t="s">
        <v>102</v>
      </c>
      <c r="CF36" s="987" t="s">
        <v>102</v>
      </c>
      <c r="CG36" s="987">
        <v>4.0648</v>
      </c>
      <c r="CH36" s="987">
        <v>11.8912</v>
      </c>
      <c r="CI36" s="987">
        <v>12.073700000000001</v>
      </c>
      <c r="CJ36" s="987">
        <v>13.45</v>
      </c>
      <c r="CK36" s="987">
        <v>18.0685</v>
      </c>
      <c r="CL36" s="987">
        <v>17.842400000000001</v>
      </c>
      <c r="CM36" s="987">
        <v>13.6709</v>
      </c>
      <c r="CN36" s="987">
        <v>18.113700000000001</v>
      </c>
      <c r="CO36" s="987">
        <v>16.0413</v>
      </c>
      <c r="CP36" s="988">
        <v>16.3385</v>
      </c>
      <c r="CQ36" s="988">
        <v>16.362500000000001</v>
      </c>
      <c r="CR36" s="989">
        <v>16.358499999999999</v>
      </c>
      <c r="CT36" s="972" t="s">
        <v>804</v>
      </c>
      <c r="CU36" s="986" t="s">
        <v>102</v>
      </c>
      <c r="CV36" s="987" t="s">
        <v>102</v>
      </c>
      <c r="CW36" s="987">
        <v>0.50880000000000003</v>
      </c>
      <c r="CX36" s="987">
        <v>2.3974000000000002</v>
      </c>
      <c r="CY36" s="987">
        <v>2.4192999999999998</v>
      </c>
      <c r="CZ36" s="987">
        <v>3.0293999999999999</v>
      </c>
      <c r="DA36" s="987">
        <v>1.5228999999999999</v>
      </c>
      <c r="DB36" s="987">
        <v>2.411</v>
      </c>
      <c r="DC36" s="987">
        <v>2.44</v>
      </c>
      <c r="DD36" s="987">
        <v>1.8295999999999999</v>
      </c>
      <c r="DE36" s="987">
        <v>2.4799000000000002</v>
      </c>
      <c r="DF36" s="988">
        <v>1.8653</v>
      </c>
      <c r="DG36" s="988">
        <v>2.2440000000000002</v>
      </c>
      <c r="DH36" s="989">
        <v>2.1814</v>
      </c>
      <c r="DJ36" s="972" t="s">
        <v>804</v>
      </c>
      <c r="DK36" s="986" t="s">
        <v>102</v>
      </c>
      <c r="DL36" s="987" t="s">
        <v>102</v>
      </c>
      <c r="DM36" s="987">
        <v>37.176200000000001</v>
      </c>
      <c r="DN36" s="987">
        <v>10.551600000000001</v>
      </c>
      <c r="DO36" s="987">
        <v>9.1577999999999999</v>
      </c>
      <c r="DP36" s="987">
        <v>6.7222</v>
      </c>
      <c r="DQ36" s="987">
        <v>7.3244999999999996</v>
      </c>
      <c r="DR36" s="987">
        <v>9.2500999999999998</v>
      </c>
      <c r="DS36" s="987">
        <v>9.4656000000000002</v>
      </c>
      <c r="DT36" s="987">
        <v>10.8619</v>
      </c>
      <c r="DU36" s="987">
        <v>12.274800000000001</v>
      </c>
      <c r="DV36" s="988">
        <v>7.8761999999999999</v>
      </c>
      <c r="DW36" s="988">
        <v>10.283799999999999</v>
      </c>
      <c r="DX36" s="989">
        <v>9.8861000000000008</v>
      </c>
    </row>
    <row r="37" spans="2:128" s="465" customFormat="1" ht="15.75" customHeight="1" x14ac:dyDescent="0.25">
      <c r="B37" s="850" t="s">
        <v>808</v>
      </c>
      <c r="C37" s="619" t="s">
        <v>102</v>
      </c>
      <c r="D37" s="619" t="s">
        <v>102</v>
      </c>
      <c r="E37" s="619" t="s">
        <v>102</v>
      </c>
      <c r="F37" s="619">
        <v>2649.6082999999999</v>
      </c>
      <c r="G37" s="619">
        <v>1890.6514999999999</v>
      </c>
      <c r="H37" s="619">
        <v>2228.7885999999999</v>
      </c>
      <c r="I37" s="619">
        <v>1685.5506</v>
      </c>
      <c r="J37" s="619">
        <v>1937.1654000000001</v>
      </c>
      <c r="K37" s="619">
        <v>1864.2877000000001</v>
      </c>
      <c r="L37" s="619">
        <v>1771.9753000000001</v>
      </c>
      <c r="M37" s="619" t="s">
        <v>102</v>
      </c>
      <c r="N37" s="620">
        <v>1827.4554000000001</v>
      </c>
      <c r="O37" s="620">
        <v>1874.9131</v>
      </c>
      <c r="P37" s="621">
        <v>1863.1397999999999</v>
      </c>
      <c r="R37" s="850" t="s">
        <v>808</v>
      </c>
      <c r="S37" s="619" t="s">
        <v>102</v>
      </c>
      <c r="T37" s="619" t="s">
        <v>102</v>
      </c>
      <c r="U37" s="619" t="s">
        <v>102</v>
      </c>
      <c r="V37" s="619">
        <v>2148.3582999999999</v>
      </c>
      <c r="W37" s="619">
        <v>1313.7461000000001</v>
      </c>
      <c r="X37" s="619">
        <v>1648.5771</v>
      </c>
      <c r="Y37" s="619">
        <v>1268.1486</v>
      </c>
      <c r="Z37" s="619">
        <v>1392.0315000000001</v>
      </c>
      <c r="AA37" s="619">
        <v>1445.1151</v>
      </c>
      <c r="AB37" s="619">
        <v>1367.8368</v>
      </c>
      <c r="AC37" s="619" t="s">
        <v>102</v>
      </c>
      <c r="AD37" s="620">
        <v>1373.7904000000001</v>
      </c>
      <c r="AE37" s="620">
        <v>1411.4122</v>
      </c>
      <c r="AF37" s="621">
        <v>1402.079</v>
      </c>
      <c r="AH37" s="850" t="s">
        <v>808</v>
      </c>
      <c r="AI37" s="637" t="s">
        <v>102</v>
      </c>
      <c r="AJ37" s="637" t="s">
        <v>102</v>
      </c>
      <c r="AK37" s="637" t="s">
        <v>102</v>
      </c>
      <c r="AL37" s="637">
        <v>81.082099999999997</v>
      </c>
      <c r="AM37" s="637">
        <v>69.486400000000003</v>
      </c>
      <c r="AN37" s="637">
        <v>73.967399999999998</v>
      </c>
      <c r="AO37" s="637">
        <v>75.236500000000007</v>
      </c>
      <c r="AP37" s="637">
        <v>71.859200000000001</v>
      </c>
      <c r="AQ37" s="637">
        <v>77.515699999999995</v>
      </c>
      <c r="AR37" s="637">
        <v>77.192800000000005</v>
      </c>
      <c r="AS37" s="637" t="s">
        <v>102</v>
      </c>
      <c r="AT37" s="643">
        <v>75.174999999999997</v>
      </c>
      <c r="AU37" s="643">
        <v>75.278800000000004</v>
      </c>
      <c r="AV37" s="638">
        <v>75.253600000000006</v>
      </c>
      <c r="AX37" s="850" t="s">
        <v>808</v>
      </c>
      <c r="AY37" s="637" t="s">
        <v>102</v>
      </c>
      <c r="AZ37" s="637" t="s">
        <v>102</v>
      </c>
      <c r="BA37" s="637" t="s">
        <v>102</v>
      </c>
      <c r="BB37" s="637">
        <v>17.242000000000001</v>
      </c>
      <c r="BC37" s="637">
        <v>20.491</v>
      </c>
      <c r="BD37" s="637">
        <v>38.028399999999998</v>
      </c>
      <c r="BE37" s="637">
        <v>31.3353</v>
      </c>
      <c r="BF37" s="637">
        <v>33.844000000000001</v>
      </c>
      <c r="BG37" s="637">
        <v>37.965200000000003</v>
      </c>
      <c r="BH37" s="637">
        <v>38.611899999999999</v>
      </c>
      <c r="BI37" s="637" t="s">
        <v>102</v>
      </c>
      <c r="BJ37" s="643">
        <v>30.543399999999998</v>
      </c>
      <c r="BK37" s="643">
        <v>36.485199999999999</v>
      </c>
      <c r="BL37" s="638">
        <v>35.039400000000001</v>
      </c>
      <c r="BN37" s="850" t="s">
        <v>808</v>
      </c>
      <c r="BO37" s="637" t="s">
        <v>102</v>
      </c>
      <c r="BP37" s="637" t="s">
        <v>102</v>
      </c>
      <c r="BQ37" s="637" t="s">
        <v>102</v>
      </c>
      <c r="BR37" s="637">
        <v>9.4977999999999998</v>
      </c>
      <c r="BS37" s="637">
        <v>20.494399999999999</v>
      </c>
      <c r="BT37" s="637">
        <v>15.8149</v>
      </c>
      <c r="BU37" s="637">
        <v>16.270800000000001</v>
      </c>
      <c r="BV37" s="637">
        <v>17.397400000000001</v>
      </c>
      <c r="BW37" s="637">
        <v>16.421299999999999</v>
      </c>
      <c r="BX37" s="637">
        <v>19.585899999999999</v>
      </c>
      <c r="BY37" s="637" t="s">
        <v>102</v>
      </c>
      <c r="BZ37" s="643">
        <v>15.8771</v>
      </c>
      <c r="CA37" s="643">
        <v>17.3352</v>
      </c>
      <c r="CB37" s="638">
        <v>16.980399999999999</v>
      </c>
      <c r="CD37" s="850" t="s">
        <v>808</v>
      </c>
      <c r="CE37" s="637" t="s">
        <v>102</v>
      </c>
      <c r="CF37" s="637" t="s">
        <v>102</v>
      </c>
      <c r="CG37" s="637" t="s">
        <v>102</v>
      </c>
      <c r="CH37" s="637">
        <v>8.2903000000000002</v>
      </c>
      <c r="CI37" s="637">
        <v>17.799900000000001</v>
      </c>
      <c r="CJ37" s="637">
        <v>12.363200000000001</v>
      </c>
      <c r="CK37" s="637">
        <v>14.6365</v>
      </c>
      <c r="CL37" s="637">
        <v>15.3157</v>
      </c>
      <c r="CM37" s="637">
        <v>11.6426</v>
      </c>
      <c r="CN37" s="637">
        <v>15.0665</v>
      </c>
      <c r="CO37" s="637" t="s">
        <v>102</v>
      </c>
      <c r="CP37" s="643">
        <v>13.9177</v>
      </c>
      <c r="CQ37" s="643">
        <v>13.6409</v>
      </c>
      <c r="CR37" s="638">
        <v>13.7082</v>
      </c>
      <c r="CT37" s="850" t="s">
        <v>808</v>
      </c>
      <c r="CU37" s="637" t="s">
        <v>102</v>
      </c>
      <c r="CV37" s="637" t="s">
        <v>102</v>
      </c>
      <c r="CW37" s="637" t="s">
        <v>102</v>
      </c>
      <c r="CX37" s="637">
        <v>4.0011000000000001</v>
      </c>
      <c r="CY37" s="637">
        <v>0.89659999999999995</v>
      </c>
      <c r="CZ37" s="637">
        <v>4.0891000000000002</v>
      </c>
      <c r="DA37" s="637">
        <v>2.0661999999999998</v>
      </c>
      <c r="DB37" s="637">
        <v>2.5390999999999999</v>
      </c>
      <c r="DC37" s="637">
        <v>2.431</v>
      </c>
      <c r="DD37" s="637">
        <v>0.6079</v>
      </c>
      <c r="DE37" s="637" t="s">
        <v>102</v>
      </c>
      <c r="DF37" s="643">
        <v>2.4891999999999999</v>
      </c>
      <c r="DG37" s="643">
        <v>2.1631999999999998</v>
      </c>
      <c r="DH37" s="638">
        <v>2.2425000000000002</v>
      </c>
      <c r="DJ37" s="850" t="s">
        <v>808</v>
      </c>
      <c r="DK37" s="637" t="s">
        <v>102</v>
      </c>
      <c r="DL37" s="637" t="s">
        <v>102</v>
      </c>
      <c r="DM37" s="637" t="s">
        <v>102</v>
      </c>
      <c r="DN37" s="637">
        <v>15.1563</v>
      </c>
      <c r="DO37" s="637">
        <v>16.245100000000001</v>
      </c>
      <c r="DP37" s="637">
        <v>9.8642000000000003</v>
      </c>
      <c r="DQ37" s="637">
        <v>8.7581000000000007</v>
      </c>
      <c r="DR37" s="637">
        <v>9.6158000000000001</v>
      </c>
      <c r="DS37" s="637">
        <v>10.2584</v>
      </c>
      <c r="DT37" s="637">
        <v>3.3935</v>
      </c>
      <c r="DU37" s="637" t="s">
        <v>102</v>
      </c>
      <c r="DV37" s="643">
        <v>9.9515999999999991</v>
      </c>
      <c r="DW37" s="643">
        <v>8.8449000000000009</v>
      </c>
      <c r="DX37" s="638">
        <v>9.1142000000000003</v>
      </c>
    </row>
    <row r="38" spans="2:128" s="465" customFormat="1" ht="15.75" customHeight="1" x14ac:dyDescent="0.25">
      <c r="B38" s="851" t="s">
        <v>809</v>
      </c>
      <c r="C38" s="623" t="s">
        <v>102</v>
      </c>
      <c r="D38" s="623" t="s">
        <v>102</v>
      </c>
      <c r="E38" s="623" t="s">
        <v>102</v>
      </c>
      <c r="F38" s="623">
        <v>1933.3371</v>
      </c>
      <c r="G38" s="623">
        <v>2549.5263</v>
      </c>
      <c r="H38" s="623">
        <v>1901.0268000000001</v>
      </c>
      <c r="I38" s="623">
        <v>1699.7548999999999</v>
      </c>
      <c r="J38" s="623">
        <v>1603.3503000000001</v>
      </c>
      <c r="K38" s="623">
        <v>1907.8252</v>
      </c>
      <c r="L38" s="623">
        <v>2273.3746999999998</v>
      </c>
      <c r="M38" s="623" t="s">
        <v>102</v>
      </c>
      <c r="N38" s="624">
        <v>1839.2158999999999</v>
      </c>
      <c r="O38" s="624">
        <v>1861.9552000000001</v>
      </c>
      <c r="P38" s="609">
        <v>1855.9404</v>
      </c>
      <c r="R38" s="851" t="s">
        <v>809</v>
      </c>
      <c r="S38" s="623" t="s">
        <v>102</v>
      </c>
      <c r="T38" s="623" t="s">
        <v>102</v>
      </c>
      <c r="U38" s="623" t="s">
        <v>102</v>
      </c>
      <c r="V38" s="623">
        <v>1456.8288</v>
      </c>
      <c r="W38" s="623">
        <v>1668.4393</v>
      </c>
      <c r="X38" s="623">
        <v>1411.3822</v>
      </c>
      <c r="Y38" s="623">
        <v>1299.1088999999999</v>
      </c>
      <c r="Z38" s="623">
        <v>1230.3680999999999</v>
      </c>
      <c r="AA38" s="623">
        <v>1538.2652</v>
      </c>
      <c r="AB38" s="623">
        <v>1707.6366</v>
      </c>
      <c r="AC38" s="623" t="s">
        <v>102</v>
      </c>
      <c r="AD38" s="624">
        <v>1370.3605</v>
      </c>
      <c r="AE38" s="624">
        <v>1435.4431999999999</v>
      </c>
      <c r="AF38" s="609">
        <v>1418.2282</v>
      </c>
      <c r="AH38" s="851" t="s">
        <v>809</v>
      </c>
      <c r="AI38" s="639" t="s">
        <v>102</v>
      </c>
      <c r="AJ38" s="639" t="s">
        <v>102</v>
      </c>
      <c r="AK38" s="639" t="s">
        <v>102</v>
      </c>
      <c r="AL38" s="639">
        <v>75.353099999999998</v>
      </c>
      <c r="AM38" s="639">
        <v>65.441100000000006</v>
      </c>
      <c r="AN38" s="639">
        <v>74.243200000000002</v>
      </c>
      <c r="AO38" s="639">
        <v>76.429199999999994</v>
      </c>
      <c r="AP38" s="639">
        <v>76.737300000000005</v>
      </c>
      <c r="AQ38" s="639">
        <v>80.629300000000001</v>
      </c>
      <c r="AR38" s="639">
        <v>75.114599999999996</v>
      </c>
      <c r="AS38" s="639" t="s">
        <v>102</v>
      </c>
      <c r="AT38" s="644">
        <v>74.507900000000006</v>
      </c>
      <c r="AU38" s="644">
        <v>77.093299999999999</v>
      </c>
      <c r="AV38" s="640">
        <v>76.415599999999998</v>
      </c>
      <c r="AX38" s="851" t="s">
        <v>809</v>
      </c>
      <c r="AY38" s="639" t="s">
        <v>102</v>
      </c>
      <c r="AZ38" s="639" t="s">
        <v>102</v>
      </c>
      <c r="BA38" s="639" t="s">
        <v>102</v>
      </c>
      <c r="BB38" s="639">
        <v>13.4238</v>
      </c>
      <c r="BC38" s="639">
        <v>27.929400000000001</v>
      </c>
      <c r="BD38" s="639">
        <v>29.6066</v>
      </c>
      <c r="BE38" s="639">
        <v>27.540099999999999</v>
      </c>
      <c r="BF38" s="639">
        <v>28.25</v>
      </c>
      <c r="BG38" s="639">
        <v>43.498199999999997</v>
      </c>
      <c r="BH38" s="639">
        <v>44.746299999999998</v>
      </c>
      <c r="BI38" s="639" t="s">
        <v>102</v>
      </c>
      <c r="BJ38" s="644">
        <v>27.041499999999999</v>
      </c>
      <c r="BK38" s="644">
        <v>37.5075</v>
      </c>
      <c r="BL38" s="640">
        <v>34.764099999999999</v>
      </c>
      <c r="BN38" s="851" t="s">
        <v>809</v>
      </c>
      <c r="BO38" s="639" t="s">
        <v>102</v>
      </c>
      <c r="BP38" s="639" t="s">
        <v>102</v>
      </c>
      <c r="BQ38" s="639" t="s">
        <v>102</v>
      </c>
      <c r="BR38" s="639">
        <v>13.638</v>
      </c>
      <c r="BS38" s="639">
        <v>25.773499999999999</v>
      </c>
      <c r="BT38" s="639">
        <v>14.3718</v>
      </c>
      <c r="BU38" s="639">
        <v>14.865600000000001</v>
      </c>
      <c r="BV38" s="639">
        <v>15.9061</v>
      </c>
      <c r="BW38" s="639">
        <v>13.867800000000001</v>
      </c>
      <c r="BX38" s="639">
        <v>17.988499999999998</v>
      </c>
      <c r="BY38" s="639" t="s">
        <v>102</v>
      </c>
      <c r="BZ38" s="644">
        <v>15.875299999999999</v>
      </c>
      <c r="CA38" s="644">
        <v>16.143699999999999</v>
      </c>
      <c r="CB38" s="640">
        <v>16.073399999999999</v>
      </c>
      <c r="CD38" s="851" t="s">
        <v>809</v>
      </c>
      <c r="CE38" s="639" t="s">
        <v>102</v>
      </c>
      <c r="CF38" s="639" t="s">
        <v>102</v>
      </c>
      <c r="CG38" s="639" t="s">
        <v>102</v>
      </c>
      <c r="CH38" s="639">
        <v>11.2919</v>
      </c>
      <c r="CI38" s="639">
        <v>7.3457999999999997</v>
      </c>
      <c r="CJ38" s="639">
        <v>12.1236</v>
      </c>
      <c r="CK38" s="639">
        <v>13.113099999999999</v>
      </c>
      <c r="CL38" s="639">
        <v>14.068099999999999</v>
      </c>
      <c r="CM38" s="639">
        <v>10.3718</v>
      </c>
      <c r="CN38" s="639">
        <v>14.149699999999999</v>
      </c>
      <c r="CO38" s="639" t="s">
        <v>102</v>
      </c>
      <c r="CP38" s="644">
        <v>12.049300000000001</v>
      </c>
      <c r="CQ38" s="644">
        <v>13.2279</v>
      </c>
      <c r="CR38" s="640">
        <v>12.918900000000001</v>
      </c>
      <c r="CT38" s="851" t="s">
        <v>809</v>
      </c>
      <c r="CU38" s="639" t="s">
        <v>102</v>
      </c>
      <c r="CV38" s="639" t="s">
        <v>102</v>
      </c>
      <c r="CW38" s="639" t="s">
        <v>102</v>
      </c>
      <c r="CX38" s="639">
        <v>0.98770000000000002</v>
      </c>
      <c r="CY38" s="639">
        <v>1.0011000000000001</v>
      </c>
      <c r="CZ38" s="639">
        <v>2.7410999999999999</v>
      </c>
      <c r="DA38" s="639">
        <v>0.90759999999999996</v>
      </c>
      <c r="DB38" s="639">
        <v>1.2307999999999999</v>
      </c>
      <c r="DC38" s="639">
        <v>1.0665</v>
      </c>
      <c r="DD38" s="639">
        <v>0.88680000000000003</v>
      </c>
      <c r="DE38" s="639" t="s">
        <v>102</v>
      </c>
      <c r="DF38" s="644">
        <v>1.4191</v>
      </c>
      <c r="DG38" s="644">
        <v>1.0739000000000001</v>
      </c>
      <c r="DH38" s="640">
        <v>1.1642999999999999</v>
      </c>
      <c r="DJ38" s="851" t="s">
        <v>809</v>
      </c>
      <c r="DK38" s="639" t="s">
        <v>102</v>
      </c>
      <c r="DL38" s="639" t="s">
        <v>102</v>
      </c>
      <c r="DM38" s="639" t="s">
        <v>102</v>
      </c>
      <c r="DN38" s="639">
        <v>3.3666999999999998</v>
      </c>
      <c r="DO38" s="639">
        <v>7.0160999999999998</v>
      </c>
      <c r="DP38" s="639">
        <v>6.4835000000000003</v>
      </c>
      <c r="DQ38" s="639">
        <v>9.6441999999999997</v>
      </c>
      <c r="DR38" s="639">
        <v>9.9478000000000009</v>
      </c>
      <c r="DS38" s="639">
        <v>4.8451000000000004</v>
      </c>
      <c r="DT38" s="639">
        <v>16.276900000000001</v>
      </c>
      <c r="DU38" s="639" t="s">
        <v>102</v>
      </c>
      <c r="DV38" s="644">
        <v>8.0038</v>
      </c>
      <c r="DW38" s="644">
        <v>10.926500000000001</v>
      </c>
      <c r="DX38" s="640">
        <v>10.160399999999999</v>
      </c>
    </row>
    <row r="39" spans="2:128" s="465" customFormat="1" ht="15.75" customHeight="1" x14ac:dyDescent="0.25">
      <c r="B39" s="850" t="s">
        <v>810</v>
      </c>
      <c r="C39" s="619" t="s">
        <v>102</v>
      </c>
      <c r="D39" s="619" t="s">
        <v>102</v>
      </c>
      <c r="E39" s="619">
        <v>6229.0057999999999</v>
      </c>
      <c r="F39" s="619">
        <v>1545.5239999999999</v>
      </c>
      <c r="G39" s="619">
        <v>2269.1415000000002</v>
      </c>
      <c r="H39" s="619">
        <v>1298.5088000000001</v>
      </c>
      <c r="I39" s="619">
        <v>1274.2805000000001</v>
      </c>
      <c r="J39" s="619">
        <v>1314.8615</v>
      </c>
      <c r="K39" s="619">
        <v>1507.4475</v>
      </c>
      <c r="L39" s="619">
        <v>1484.4845</v>
      </c>
      <c r="M39" s="619" t="s">
        <v>102</v>
      </c>
      <c r="N39" s="620">
        <v>1582.3705</v>
      </c>
      <c r="O39" s="620">
        <v>1470.5842</v>
      </c>
      <c r="P39" s="621">
        <v>1492.2869000000001</v>
      </c>
      <c r="R39" s="850" t="s">
        <v>810</v>
      </c>
      <c r="S39" s="619" t="s">
        <v>102</v>
      </c>
      <c r="T39" s="619" t="s">
        <v>102</v>
      </c>
      <c r="U39" s="619">
        <v>2756.9829</v>
      </c>
      <c r="V39" s="619">
        <v>807.4615</v>
      </c>
      <c r="W39" s="619">
        <v>1343.6144999999999</v>
      </c>
      <c r="X39" s="619">
        <v>780.64160000000004</v>
      </c>
      <c r="Y39" s="619">
        <v>662.45219999999995</v>
      </c>
      <c r="Z39" s="619">
        <v>788.98220000000003</v>
      </c>
      <c r="AA39" s="619">
        <v>1050.8477</v>
      </c>
      <c r="AB39" s="619">
        <v>1013.9694</v>
      </c>
      <c r="AC39" s="619" t="s">
        <v>102</v>
      </c>
      <c r="AD39" s="620">
        <v>859.0625</v>
      </c>
      <c r="AE39" s="620">
        <v>997.94500000000005</v>
      </c>
      <c r="AF39" s="621">
        <v>970.98180000000002</v>
      </c>
      <c r="AH39" s="850" t="s">
        <v>810</v>
      </c>
      <c r="AI39" s="637" t="s">
        <v>102</v>
      </c>
      <c r="AJ39" s="637" t="s">
        <v>102</v>
      </c>
      <c r="AK39" s="637">
        <v>44.260399999999997</v>
      </c>
      <c r="AL39" s="637">
        <v>52.245199999999997</v>
      </c>
      <c r="AM39" s="637">
        <v>59.212499999999999</v>
      </c>
      <c r="AN39" s="637">
        <v>60.118299999999998</v>
      </c>
      <c r="AO39" s="637">
        <v>51.986400000000003</v>
      </c>
      <c r="AP39" s="637">
        <v>60.005000000000003</v>
      </c>
      <c r="AQ39" s="637">
        <v>69.710400000000007</v>
      </c>
      <c r="AR39" s="637">
        <v>68.304500000000004</v>
      </c>
      <c r="AS39" s="637" t="s">
        <v>102</v>
      </c>
      <c r="AT39" s="643">
        <v>54.2896</v>
      </c>
      <c r="AU39" s="643">
        <v>67.860399999999998</v>
      </c>
      <c r="AV39" s="638">
        <v>65.066699999999997</v>
      </c>
      <c r="AX39" s="850" t="s">
        <v>810</v>
      </c>
      <c r="AY39" s="637" t="s">
        <v>102</v>
      </c>
      <c r="AZ39" s="637" t="s">
        <v>102</v>
      </c>
      <c r="BA39" s="637">
        <v>15.378500000000001</v>
      </c>
      <c r="BB39" s="637">
        <v>9.69</v>
      </c>
      <c r="BC39" s="637">
        <v>24.947199999999999</v>
      </c>
      <c r="BD39" s="637">
        <v>9.8483999999999998</v>
      </c>
      <c r="BE39" s="637">
        <v>7.8105000000000002</v>
      </c>
      <c r="BF39" s="637">
        <v>13.823</v>
      </c>
      <c r="BG39" s="637">
        <v>28.712900000000001</v>
      </c>
      <c r="BH39" s="637">
        <v>27.3948</v>
      </c>
      <c r="BI39" s="637" t="s">
        <v>102</v>
      </c>
      <c r="BJ39" s="643">
        <v>13.7218</v>
      </c>
      <c r="BK39" s="643">
        <v>26.290800000000001</v>
      </c>
      <c r="BL39" s="638">
        <v>23.703299999999999</v>
      </c>
      <c r="BN39" s="850" t="s">
        <v>810</v>
      </c>
      <c r="BO39" s="637" t="s">
        <v>102</v>
      </c>
      <c r="BP39" s="637" t="s">
        <v>102</v>
      </c>
      <c r="BQ39" s="637">
        <v>46.069200000000002</v>
      </c>
      <c r="BR39" s="637">
        <v>26.771899999999999</v>
      </c>
      <c r="BS39" s="637">
        <v>28.1739</v>
      </c>
      <c r="BT39" s="637">
        <v>31.893000000000001</v>
      </c>
      <c r="BU39" s="637">
        <v>42.178899999999999</v>
      </c>
      <c r="BV39" s="637">
        <v>25.494800000000001</v>
      </c>
      <c r="BW39" s="637">
        <v>20.330200000000001</v>
      </c>
      <c r="BX39" s="637">
        <v>25.7515</v>
      </c>
      <c r="BY39" s="637" t="s">
        <v>102</v>
      </c>
      <c r="BZ39" s="643">
        <v>36.154299999999999</v>
      </c>
      <c r="CA39" s="643">
        <v>23.6325</v>
      </c>
      <c r="CB39" s="638">
        <v>26.2103</v>
      </c>
      <c r="CD39" s="850" t="s">
        <v>810</v>
      </c>
      <c r="CE39" s="637" t="s">
        <v>102</v>
      </c>
      <c r="CF39" s="637" t="s">
        <v>102</v>
      </c>
      <c r="CG39" s="637">
        <v>4.0648</v>
      </c>
      <c r="CH39" s="637">
        <v>20.091699999999999</v>
      </c>
      <c r="CI39" s="637">
        <v>13.2926</v>
      </c>
      <c r="CJ39" s="637">
        <v>29.4313</v>
      </c>
      <c r="CK39" s="637">
        <v>39.725000000000001</v>
      </c>
      <c r="CL39" s="637">
        <v>22.525099999999998</v>
      </c>
      <c r="CM39" s="637">
        <v>15.8927</v>
      </c>
      <c r="CN39" s="637">
        <v>23.911999999999999</v>
      </c>
      <c r="CO39" s="637" t="s">
        <v>102</v>
      </c>
      <c r="CP39" s="643">
        <v>27.300699999999999</v>
      </c>
      <c r="CQ39" s="643">
        <v>20.658000000000001</v>
      </c>
      <c r="CR39" s="638">
        <v>22.025500000000001</v>
      </c>
      <c r="CT39" s="850" t="s">
        <v>810</v>
      </c>
      <c r="CU39" s="637" t="s">
        <v>102</v>
      </c>
      <c r="CV39" s="637" t="s">
        <v>102</v>
      </c>
      <c r="CW39" s="637">
        <v>0.50880000000000003</v>
      </c>
      <c r="CX39" s="637">
        <v>1.7725</v>
      </c>
      <c r="CY39" s="637">
        <v>4.1082000000000001</v>
      </c>
      <c r="CZ39" s="637">
        <v>0.22109999999999999</v>
      </c>
      <c r="DA39" s="637">
        <v>8.4099999999999994E-2</v>
      </c>
      <c r="DB39" s="637">
        <v>8.0335999999999999</v>
      </c>
      <c r="DC39" s="637">
        <v>2.6577000000000002</v>
      </c>
      <c r="DD39" s="637">
        <v>0.63929999999999998</v>
      </c>
      <c r="DE39" s="637" t="s">
        <v>102</v>
      </c>
      <c r="DF39" s="643">
        <v>1.4791000000000001</v>
      </c>
      <c r="DG39" s="643">
        <v>2.2949999999999999</v>
      </c>
      <c r="DH39" s="638">
        <v>2.1271</v>
      </c>
      <c r="DJ39" s="850" t="s">
        <v>810</v>
      </c>
      <c r="DK39" s="637" t="s">
        <v>102</v>
      </c>
      <c r="DL39" s="637" t="s">
        <v>102</v>
      </c>
      <c r="DM39" s="637">
        <v>37.176200000000001</v>
      </c>
      <c r="DN39" s="637">
        <v>14.4231</v>
      </c>
      <c r="DO39" s="637">
        <v>7.8752000000000004</v>
      </c>
      <c r="DP39" s="637">
        <v>-6.5819000000000001</v>
      </c>
      <c r="DQ39" s="637">
        <v>4.7941000000000003</v>
      </c>
      <c r="DR39" s="637">
        <v>5.4939</v>
      </c>
      <c r="DS39" s="637">
        <v>9.6503999999999994</v>
      </c>
      <c r="DT39" s="637">
        <v>4.9783999999999997</v>
      </c>
      <c r="DU39" s="637" t="s">
        <v>102</v>
      </c>
      <c r="DV39" s="643">
        <v>7.6631</v>
      </c>
      <c r="DW39" s="643">
        <v>6.8395000000000001</v>
      </c>
      <c r="DX39" s="638">
        <v>7.0090000000000003</v>
      </c>
    </row>
    <row r="40" spans="2:128" s="465" customFormat="1" ht="15.75" customHeight="1" x14ac:dyDescent="0.25">
      <c r="B40" s="851" t="s">
        <v>811</v>
      </c>
      <c r="C40" s="623" t="s">
        <v>102</v>
      </c>
      <c r="D40" s="623" t="s">
        <v>102</v>
      </c>
      <c r="E40" s="623" t="s">
        <v>102</v>
      </c>
      <c r="F40" s="623" t="s">
        <v>102</v>
      </c>
      <c r="G40" s="623" t="s">
        <v>102</v>
      </c>
      <c r="H40" s="623" t="s">
        <v>102</v>
      </c>
      <c r="I40" s="623">
        <v>2083.7833000000001</v>
      </c>
      <c r="J40" s="623">
        <v>1630.8592000000001</v>
      </c>
      <c r="K40" s="623">
        <v>1702.5962999999999</v>
      </c>
      <c r="L40" s="623">
        <v>1644.1877999999999</v>
      </c>
      <c r="M40" s="623">
        <v>1697.4770000000001</v>
      </c>
      <c r="N40" s="624">
        <v>2083.7833000000001</v>
      </c>
      <c r="O40" s="624">
        <v>1676.9439</v>
      </c>
      <c r="P40" s="609">
        <v>1697.9136000000001</v>
      </c>
      <c r="R40" s="851" t="s">
        <v>811</v>
      </c>
      <c r="S40" s="623" t="s">
        <v>102</v>
      </c>
      <c r="T40" s="623" t="s">
        <v>102</v>
      </c>
      <c r="U40" s="623" t="s">
        <v>102</v>
      </c>
      <c r="V40" s="623" t="s">
        <v>102</v>
      </c>
      <c r="W40" s="623" t="s">
        <v>102</v>
      </c>
      <c r="X40" s="623" t="s">
        <v>102</v>
      </c>
      <c r="Y40" s="623">
        <v>1524.0808999999999</v>
      </c>
      <c r="Z40" s="623">
        <v>1161.1552999999999</v>
      </c>
      <c r="AA40" s="623">
        <v>1247.8418999999999</v>
      </c>
      <c r="AB40" s="623">
        <v>1205.3619000000001</v>
      </c>
      <c r="AC40" s="623">
        <v>1229.9604999999999</v>
      </c>
      <c r="AD40" s="624">
        <v>1524.0808999999999</v>
      </c>
      <c r="AE40" s="624">
        <v>1222.5820000000001</v>
      </c>
      <c r="AF40" s="609">
        <v>1238.1222</v>
      </c>
      <c r="AH40" s="851" t="s">
        <v>811</v>
      </c>
      <c r="AI40" s="639" t="s">
        <v>102</v>
      </c>
      <c r="AJ40" s="639" t="s">
        <v>102</v>
      </c>
      <c r="AK40" s="639" t="s">
        <v>102</v>
      </c>
      <c r="AL40" s="639" t="s">
        <v>102</v>
      </c>
      <c r="AM40" s="639" t="s">
        <v>102</v>
      </c>
      <c r="AN40" s="639" t="s">
        <v>102</v>
      </c>
      <c r="AO40" s="639">
        <v>73.140100000000004</v>
      </c>
      <c r="AP40" s="639">
        <v>71.198999999999998</v>
      </c>
      <c r="AQ40" s="639">
        <v>73.290499999999994</v>
      </c>
      <c r="AR40" s="639">
        <v>73.310500000000005</v>
      </c>
      <c r="AS40" s="639">
        <v>72.458200000000005</v>
      </c>
      <c r="AT40" s="644">
        <v>73.140100000000004</v>
      </c>
      <c r="AU40" s="644">
        <v>72.9054</v>
      </c>
      <c r="AV40" s="640">
        <v>72.920199999999994</v>
      </c>
      <c r="AX40" s="851" t="s">
        <v>811</v>
      </c>
      <c r="AY40" s="639" t="s">
        <v>102</v>
      </c>
      <c r="AZ40" s="639" t="s">
        <v>102</v>
      </c>
      <c r="BA40" s="639" t="s">
        <v>102</v>
      </c>
      <c r="BB40" s="639" t="s">
        <v>102</v>
      </c>
      <c r="BC40" s="639" t="s">
        <v>102</v>
      </c>
      <c r="BD40" s="639" t="s">
        <v>102</v>
      </c>
      <c r="BE40" s="639">
        <v>20.175999999999998</v>
      </c>
      <c r="BF40" s="639">
        <v>24.504100000000001</v>
      </c>
      <c r="BG40" s="639">
        <v>39.144500000000001</v>
      </c>
      <c r="BH40" s="639">
        <v>40.645899999999997</v>
      </c>
      <c r="BI40" s="639">
        <v>41.409199999999998</v>
      </c>
      <c r="BJ40" s="644">
        <v>20.175999999999998</v>
      </c>
      <c r="BK40" s="644">
        <v>39.472499999999997</v>
      </c>
      <c r="BL40" s="640">
        <v>38.251899999999999</v>
      </c>
      <c r="BN40" s="851" t="s">
        <v>811</v>
      </c>
      <c r="BO40" s="639" t="s">
        <v>102</v>
      </c>
      <c r="BP40" s="639" t="s">
        <v>102</v>
      </c>
      <c r="BQ40" s="639" t="s">
        <v>102</v>
      </c>
      <c r="BR40" s="639" t="s">
        <v>102</v>
      </c>
      <c r="BS40" s="639" t="s">
        <v>102</v>
      </c>
      <c r="BT40" s="639" t="s">
        <v>102</v>
      </c>
      <c r="BU40" s="639">
        <v>13.207000000000001</v>
      </c>
      <c r="BV40" s="639">
        <v>15.3826</v>
      </c>
      <c r="BW40" s="639">
        <v>17.803899999999999</v>
      </c>
      <c r="BX40" s="639">
        <v>16.823399999999999</v>
      </c>
      <c r="BY40" s="639">
        <v>17.587</v>
      </c>
      <c r="BZ40" s="644">
        <v>13.207000000000001</v>
      </c>
      <c r="CA40" s="644">
        <v>17.265999999999998</v>
      </c>
      <c r="CB40" s="640">
        <v>17.0092</v>
      </c>
      <c r="CD40" s="851" t="s">
        <v>811</v>
      </c>
      <c r="CE40" s="639" t="s">
        <v>102</v>
      </c>
      <c r="CF40" s="639" t="s">
        <v>102</v>
      </c>
      <c r="CG40" s="639" t="s">
        <v>102</v>
      </c>
      <c r="CH40" s="639" t="s">
        <v>102</v>
      </c>
      <c r="CI40" s="639" t="s">
        <v>102</v>
      </c>
      <c r="CJ40" s="639" t="s">
        <v>102</v>
      </c>
      <c r="CK40" s="639">
        <v>10.760999999999999</v>
      </c>
      <c r="CL40" s="639">
        <v>13.042400000000001</v>
      </c>
      <c r="CM40" s="639">
        <v>13.526199999999999</v>
      </c>
      <c r="CN40" s="639">
        <v>14.8811</v>
      </c>
      <c r="CO40" s="639">
        <v>16.0413</v>
      </c>
      <c r="CP40" s="644">
        <v>10.760999999999999</v>
      </c>
      <c r="CQ40" s="644">
        <v>14.743</v>
      </c>
      <c r="CR40" s="640">
        <v>14.491099999999999</v>
      </c>
      <c r="CT40" s="851" t="s">
        <v>811</v>
      </c>
      <c r="CU40" s="639" t="s">
        <v>102</v>
      </c>
      <c r="CV40" s="639" t="s">
        <v>102</v>
      </c>
      <c r="CW40" s="639" t="s">
        <v>102</v>
      </c>
      <c r="CX40" s="639" t="s">
        <v>102</v>
      </c>
      <c r="CY40" s="639" t="s">
        <v>102</v>
      </c>
      <c r="CZ40" s="639" t="s">
        <v>102</v>
      </c>
      <c r="DA40" s="639">
        <v>2.6202999999999999</v>
      </c>
      <c r="DB40" s="639">
        <v>4.6002999999999998</v>
      </c>
      <c r="DC40" s="639">
        <v>2.9516</v>
      </c>
      <c r="DD40" s="639">
        <v>3.0836000000000001</v>
      </c>
      <c r="DE40" s="639">
        <v>2.4799000000000002</v>
      </c>
      <c r="DF40" s="644">
        <v>2.6202999999999999</v>
      </c>
      <c r="DG40" s="644">
        <v>2.9445999999999999</v>
      </c>
      <c r="DH40" s="640">
        <v>2.9241000000000001</v>
      </c>
      <c r="DJ40" s="851" t="s">
        <v>811</v>
      </c>
      <c r="DK40" s="639" t="s">
        <v>102</v>
      </c>
      <c r="DL40" s="639" t="s">
        <v>102</v>
      </c>
      <c r="DM40" s="639" t="s">
        <v>102</v>
      </c>
      <c r="DN40" s="639" t="s">
        <v>102</v>
      </c>
      <c r="DO40" s="639" t="s">
        <v>102</v>
      </c>
      <c r="DP40" s="639" t="s">
        <v>102</v>
      </c>
      <c r="DQ40" s="639">
        <v>4.5071000000000003</v>
      </c>
      <c r="DR40" s="639">
        <v>8.9056999999999995</v>
      </c>
      <c r="DS40" s="639">
        <v>9.4146999999999998</v>
      </c>
      <c r="DT40" s="639">
        <v>14.0922</v>
      </c>
      <c r="DU40" s="639">
        <v>12.274800000000001</v>
      </c>
      <c r="DV40" s="644">
        <v>4.5071000000000003</v>
      </c>
      <c r="DW40" s="644">
        <v>11.8317</v>
      </c>
      <c r="DX40" s="640">
        <v>11.3683</v>
      </c>
    </row>
    <row r="41" spans="2:128" s="465" customFormat="1" ht="15.75" customHeight="1" x14ac:dyDescent="0.25">
      <c r="B41" s="850" t="s">
        <v>812</v>
      </c>
      <c r="C41" s="619" t="s">
        <v>102</v>
      </c>
      <c r="D41" s="619" t="s">
        <v>102</v>
      </c>
      <c r="E41" s="619" t="s">
        <v>102</v>
      </c>
      <c r="F41" s="619" t="s">
        <v>102</v>
      </c>
      <c r="G41" s="619" t="s">
        <v>102</v>
      </c>
      <c r="H41" s="619" t="s">
        <v>102</v>
      </c>
      <c r="I41" s="619">
        <v>1118.3752999999999</v>
      </c>
      <c r="J41" s="619">
        <v>1028.3361</v>
      </c>
      <c r="K41" s="619">
        <v>938.36099999999999</v>
      </c>
      <c r="L41" s="619">
        <v>898.80899999999997</v>
      </c>
      <c r="M41" s="619" t="s">
        <v>102</v>
      </c>
      <c r="N41" s="620">
        <v>1118.3752999999999</v>
      </c>
      <c r="O41" s="620">
        <v>970.08889999999997</v>
      </c>
      <c r="P41" s="621">
        <v>998.30669999999998</v>
      </c>
      <c r="R41" s="850" t="s">
        <v>812</v>
      </c>
      <c r="S41" s="619" t="s">
        <v>102</v>
      </c>
      <c r="T41" s="619" t="s">
        <v>102</v>
      </c>
      <c r="U41" s="619" t="s">
        <v>102</v>
      </c>
      <c r="V41" s="619" t="s">
        <v>102</v>
      </c>
      <c r="W41" s="619" t="s">
        <v>102</v>
      </c>
      <c r="X41" s="619" t="s">
        <v>102</v>
      </c>
      <c r="Y41" s="619">
        <v>563.58249999999998</v>
      </c>
      <c r="Z41" s="619">
        <v>502.57339999999999</v>
      </c>
      <c r="AA41" s="619">
        <v>449.9674</v>
      </c>
      <c r="AB41" s="619">
        <v>423.97399999999999</v>
      </c>
      <c r="AC41" s="619" t="s">
        <v>102</v>
      </c>
      <c r="AD41" s="620">
        <v>563.58249999999998</v>
      </c>
      <c r="AE41" s="620">
        <v>467.53449999999998</v>
      </c>
      <c r="AF41" s="621">
        <v>485.81169999999997</v>
      </c>
      <c r="AH41" s="850" t="s">
        <v>812</v>
      </c>
      <c r="AI41" s="637" t="s">
        <v>102</v>
      </c>
      <c r="AJ41" s="637" t="s">
        <v>102</v>
      </c>
      <c r="AK41" s="637" t="s">
        <v>102</v>
      </c>
      <c r="AL41" s="637" t="s">
        <v>102</v>
      </c>
      <c r="AM41" s="637" t="s">
        <v>102</v>
      </c>
      <c r="AN41" s="637" t="s">
        <v>102</v>
      </c>
      <c r="AO41" s="637">
        <v>50.393000000000001</v>
      </c>
      <c r="AP41" s="637">
        <v>48.872500000000002</v>
      </c>
      <c r="AQ41" s="637">
        <v>47.952500000000001</v>
      </c>
      <c r="AR41" s="637">
        <v>47.1706</v>
      </c>
      <c r="AS41" s="637" t="s">
        <v>102</v>
      </c>
      <c r="AT41" s="643">
        <v>50.393000000000001</v>
      </c>
      <c r="AU41" s="643">
        <v>48.195</v>
      </c>
      <c r="AV41" s="638">
        <v>48.663600000000002</v>
      </c>
      <c r="AX41" s="850" t="s">
        <v>812</v>
      </c>
      <c r="AY41" s="637" t="s">
        <v>102</v>
      </c>
      <c r="AZ41" s="637" t="s">
        <v>102</v>
      </c>
      <c r="BA41" s="637" t="s">
        <v>102</v>
      </c>
      <c r="BB41" s="637" t="s">
        <v>102</v>
      </c>
      <c r="BC41" s="637" t="s">
        <v>102</v>
      </c>
      <c r="BD41" s="637" t="s">
        <v>102</v>
      </c>
      <c r="BE41" s="637">
        <v>11.3743</v>
      </c>
      <c r="BF41" s="637">
        <v>13.677</v>
      </c>
      <c r="BG41" s="637">
        <v>16.5258</v>
      </c>
      <c r="BH41" s="637">
        <v>14.361499999999999</v>
      </c>
      <c r="BI41" s="637" t="s">
        <v>102</v>
      </c>
      <c r="BJ41" s="643">
        <v>11.3743</v>
      </c>
      <c r="BK41" s="643">
        <v>14.3184</v>
      </c>
      <c r="BL41" s="638">
        <v>13.690799999999999</v>
      </c>
      <c r="BN41" s="850" t="s">
        <v>812</v>
      </c>
      <c r="BO41" s="637" t="s">
        <v>102</v>
      </c>
      <c r="BP41" s="637" t="s">
        <v>102</v>
      </c>
      <c r="BQ41" s="637" t="s">
        <v>102</v>
      </c>
      <c r="BR41" s="637" t="s">
        <v>102</v>
      </c>
      <c r="BS41" s="637" t="s">
        <v>102</v>
      </c>
      <c r="BT41" s="637" t="s">
        <v>102</v>
      </c>
      <c r="BU41" s="637">
        <v>44.001199999999997</v>
      </c>
      <c r="BV41" s="637">
        <v>42.755200000000002</v>
      </c>
      <c r="BW41" s="637">
        <v>50.333799999999997</v>
      </c>
      <c r="BX41" s="637">
        <v>48.240900000000003</v>
      </c>
      <c r="BY41" s="637" t="s">
        <v>102</v>
      </c>
      <c r="BZ41" s="643">
        <v>44.001199999999997</v>
      </c>
      <c r="CA41" s="643">
        <v>45.625500000000002</v>
      </c>
      <c r="CB41" s="638">
        <v>45.279200000000003</v>
      </c>
      <c r="CD41" s="850" t="s">
        <v>812</v>
      </c>
      <c r="CE41" s="637" t="s">
        <v>102</v>
      </c>
      <c r="CF41" s="637" t="s">
        <v>102</v>
      </c>
      <c r="CG41" s="637" t="s">
        <v>102</v>
      </c>
      <c r="CH41" s="637" t="s">
        <v>102</v>
      </c>
      <c r="CI41" s="637" t="s">
        <v>102</v>
      </c>
      <c r="CJ41" s="637" t="s">
        <v>102</v>
      </c>
      <c r="CK41" s="637">
        <v>29.6358</v>
      </c>
      <c r="CL41" s="637">
        <v>31.874300000000002</v>
      </c>
      <c r="CM41" s="637">
        <v>34.7697</v>
      </c>
      <c r="CN41" s="637">
        <v>40.519500000000001</v>
      </c>
      <c r="CO41" s="637" t="s">
        <v>102</v>
      </c>
      <c r="CP41" s="643">
        <v>29.6358</v>
      </c>
      <c r="CQ41" s="643">
        <v>35.051099999999998</v>
      </c>
      <c r="CR41" s="638">
        <v>33.896700000000003</v>
      </c>
      <c r="CT41" s="850" t="s">
        <v>812</v>
      </c>
      <c r="CU41" s="637" t="s">
        <v>102</v>
      </c>
      <c r="CV41" s="637" t="s">
        <v>102</v>
      </c>
      <c r="CW41" s="637" t="s">
        <v>102</v>
      </c>
      <c r="CX41" s="637" t="s">
        <v>102</v>
      </c>
      <c r="CY41" s="637" t="s">
        <v>102</v>
      </c>
      <c r="CZ41" s="637" t="s">
        <v>102</v>
      </c>
      <c r="DA41" s="637">
        <v>0.64910000000000001</v>
      </c>
      <c r="DB41" s="637">
        <v>0.65880000000000005</v>
      </c>
      <c r="DC41" s="637">
        <v>5.8999999999999999E-3</v>
      </c>
      <c r="DD41" s="637">
        <v>0.3145</v>
      </c>
      <c r="DE41" s="637" t="s">
        <v>102</v>
      </c>
      <c r="DF41" s="643">
        <v>0.64910000000000001</v>
      </c>
      <c r="DG41" s="643">
        <v>0.45229999999999998</v>
      </c>
      <c r="DH41" s="638">
        <v>0.49419999999999997</v>
      </c>
      <c r="DJ41" s="850" t="s">
        <v>812</v>
      </c>
      <c r="DK41" s="637" t="s">
        <v>102</v>
      </c>
      <c r="DL41" s="637" t="s">
        <v>102</v>
      </c>
      <c r="DM41" s="637" t="s">
        <v>102</v>
      </c>
      <c r="DN41" s="637" t="s">
        <v>102</v>
      </c>
      <c r="DO41" s="637" t="s">
        <v>102</v>
      </c>
      <c r="DP41" s="637" t="s">
        <v>102</v>
      </c>
      <c r="DQ41" s="637">
        <v>6.96</v>
      </c>
      <c r="DR41" s="637">
        <v>8.8656000000000006</v>
      </c>
      <c r="DS41" s="637">
        <v>20.707599999999999</v>
      </c>
      <c r="DT41" s="637">
        <v>-0.17119999999999999</v>
      </c>
      <c r="DU41" s="637" t="s">
        <v>102</v>
      </c>
      <c r="DV41" s="643">
        <v>6.96</v>
      </c>
      <c r="DW41" s="643">
        <v>7.7576999999999998</v>
      </c>
      <c r="DX41" s="638">
        <v>7.5876999999999999</v>
      </c>
    </row>
    <row r="42" spans="2:128" s="571" customFormat="1" ht="15.75" customHeight="1" x14ac:dyDescent="0.25">
      <c r="B42" s="976" t="s">
        <v>940</v>
      </c>
      <c r="C42" s="977"/>
      <c r="D42" s="977"/>
      <c r="E42" s="977"/>
      <c r="F42" s="977"/>
      <c r="G42" s="977"/>
      <c r="H42" s="977"/>
      <c r="I42" s="977"/>
      <c r="J42" s="977"/>
      <c r="K42" s="977"/>
      <c r="L42" s="977"/>
      <c r="M42" s="977"/>
      <c r="N42" s="978"/>
      <c r="O42" s="978"/>
      <c r="P42" s="979"/>
      <c r="R42" s="976" t="s">
        <v>940</v>
      </c>
      <c r="S42" s="977"/>
      <c r="T42" s="977"/>
      <c r="U42" s="977"/>
      <c r="V42" s="977"/>
      <c r="W42" s="977"/>
      <c r="X42" s="977"/>
      <c r="Y42" s="977"/>
      <c r="Z42" s="977"/>
      <c r="AA42" s="977"/>
      <c r="AB42" s="977"/>
      <c r="AC42" s="977"/>
      <c r="AD42" s="978"/>
      <c r="AE42" s="978"/>
      <c r="AF42" s="979"/>
      <c r="AH42" s="976" t="s">
        <v>940</v>
      </c>
      <c r="AI42" s="981"/>
      <c r="AJ42" s="981"/>
      <c r="AK42" s="981"/>
      <c r="AL42" s="981"/>
      <c r="AM42" s="981"/>
      <c r="AN42" s="981"/>
      <c r="AO42" s="981"/>
      <c r="AP42" s="981"/>
      <c r="AQ42" s="981"/>
      <c r="AR42" s="981"/>
      <c r="AS42" s="981"/>
      <c r="AT42" s="982"/>
      <c r="AU42" s="982"/>
      <c r="AV42" s="983"/>
      <c r="AX42" s="976" t="s">
        <v>940</v>
      </c>
      <c r="AY42" s="981"/>
      <c r="AZ42" s="981"/>
      <c r="BA42" s="981"/>
      <c r="BB42" s="981"/>
      <c r="BC42" s="981"/>
      <c r="BD42" s="981"/>
      <c r="BE42" s="981"/>
      <c r="BF42" s="981"/>
      <c r="BG42" s="981"/>
      <c r="BH42" s="981"/>
      <c r="BI42" s="981"/>
      <c r="BJ42" s="982"/>
      <c r="BK42" s="982"/>
      <c r="BL42" s="983"/>
      <c r="BN42" s="976" t="s">
        <v>940</v>
      </c>
      <c r="BO42" s="981"/>
      <c r="BP42" s="981"/>
      <c r="BQ42" s="981"/>
      <c r="BR42" s="981"/>
      <c r="BS42" s="981"/>
      <c r="BT42" s="981"/>
      <c r="BU42" s="981"/>
      <c r="BV42" s="981"/>
      <c r="BW42" s="981"/>
      <c r="BX42" s="981"/>
      <c r="BY42" s="981"/>
      <c r="BZ42" s="982"/>
      <c r="CA42" s="982"/>
      <c r="CB42" s="983"/>
      <c r="CD42" s="976" t="s">
        <v>940</v>
      </c>
      <c r="CE42" s="981"/>
      <c r="CF42" s="981"/>
      <c r="CG42" s="981"/>
      <c r="CH42" s="981"/>
      <c r="CI42" s="981"/>
      <c r="CJ42" s="981"/>
      <c r="CK42" s="981"/>
      <c r="CL42" s="981"/>
      <c r="CM42" s="981"/>
      <c r="CN42" s="981"/>
      <c r="CO42" s="981"/>
      <c r="CP42" s="982"/>
      <c r="CQ42" s="982"/>
      <c r="CR42" s="983"/>
      <c r="CT42" s="976" t="s">
        <v>940</v>
      </c>
      <c r="CU42" s="981"/>
      <c r="CV42" s="981"/>
      <c r="CW42" s="981"/>
      <c r="CX42" s="981"/>
      <c r="CY42" s="981"/>
      <c r="CZ42" s="981"/>
      <c r="DA42" s="981"/>
      <c r="DB42" s="981"/>
      <c r="DC42" s="981"/>
      <c r="DD42" s="981"/>
      <c r="DE42" s="981"/>
      <c r="DF42" s="982"/>
      <c r="DG42" s="982"/>
      <c r="DH42" s="983"/>
      <c r="DJ42" s="976" t="s">
        <v>940</v>
      </c>
      <c r="DK42" s="981"/>
      <c r="DL42" s="981"/>
      <c r="DM42" s="981"/>
      <c r="DN42" s="981"/>
      <c r="DO42" s="981"/>
      <c r="DP42" s="981"/>
      <c r="DQ42" s="981"/>
      <c r="DR42" s="981"/>
      <c r="DS42" s="981"/>
      <c r="DT42" s="981"/>
      <c r="DU42" s="981"/>
      <c r="DV42" s="982"/>
      <c r="DW42" s="982"/>
      <c r="DX42" s="983"/>
    </row>
    <row r="43" spans="2:128" s="465" customFormat="1" ht="15.75" customHeight="1" x14ac:dyDescent="0.25">
      <c r="B43" s="852" t="s">
        <v>502</v>
      </c>
      <c r="C43" s="853">
        <v>919.34939999999995</v>
      </c>
      <c r="D43" s="853">
        <v>1267.2285999999999</v>
      </c>
      <c r="E43" s="853">
        <v>789.76409999999998</v>
      </c>
      <c r="F43" s="853">
        <v>888.01729999999998</v>
      </c>
      <c r="G43" s="853">
        <v>1009.0271</v>
      </c>
      <c r="H43" s="853">
        <v>1149.1216999999999</v>
      </c>
      <c r="I43" s="853">
        <v>1290.9706000000001</v>
      </c>
      <c r="J43" s="853">
        <v>1433.4399000000001</v>
      </c>
      <c r="K43" s="853">
        <v>1638.5849000000001</v>
      </c>
      <c r="L43" s="853">
        <v>1802.6889000000001</v>
      </c>
      <c r="M43" s="853">
        <v>1988.6324</v>
      </c>
      <c r="N43" s="854">
        <v>1162.9128000000001</v>
      </c>
      <c r="O43" s="854">
        <v>1812.8905</v>
      </c>
      <c r="P43" s="855">
        <v>1714.1733999999999</v>
      </c>
      <c r="R43" s="852" t="s">
        <v>502</v>
      </c>
      <c r="S43" s="853">
        <v>575.54679999999996</v>
      </c>
      <c r="T43" s="853">
        <v>691.72879999999998</v>
      </c>
      <c r="U43" s="853">
        <v>473.6816</v>
      </c>
      <c r="V43" s="853">
        <v>572.95759999999996</v>
      </c>
      <c r="W43" s="853">
        <v>697.55679999999995</v>
      </c>
      <c r="X43" s="853">
        <v>804.60839999999996</v>
      </c>
      <c r="Y43" s="853">
        <v>914.36040000000003</v>
      </c>
      <c r="Z43" s="853">
        <v>1008.3392</v>
      </c>
      <c r="AA43" s="853">
        <v>1160.8559</v>
      </c>
      <c r="AB43" s="853">
        <v>1276.6252999999999</v>
      </c>
      <c r="AC43" s="853">
        <v>1450.8941</v>
      </c>
      <c r="AD43" s="854">
        <v>810.05460000000005</v>
      </c>
      <c r="AE43" s="854">
        <v>1304.0669</v>
      </c>
      <c r="AF43" s="855">
        <v>1229.0373999999999</v>
      </c>
      <c r="AH43" s="852" t="s">
        <v>502</v>
      </c>
      <c r="AI43" s="887">
        <v>62.603700000000003</v>
      </c>
      <c r="AJ43" s="887">
        <v>54.585999999999999</v>
      </c>
      <c r="AK43" s="887">
        <v>59.977600000000002</v>
      </c>
      <c r="AL43" s="887">
        <v>64.521000000000001</v>
      </c>
      <c r="AM43" s="887">
        <v>69.131600000000006</v>
      </c>
      <c r="AN43" s="887">
        <v>70.019400000000005</v>
      </c>
      <c r="AO43" s="887">
        <v>70.827399999999997</v>
      </c>
      <c r="AP43" s="887">
        <v>70.343999999999994</v>
      </c>
      <c r="AQ43" s="887">
        <v>70.844999999999999</v>
      </c>
      <c r="AR43" s="887">
        <v>70.817800000000005</v>
      </c>
      <c r="AS43" s="887">
        <v>72.959400000000002</v>
      </c>
      <c r="AT43" s="888">
        <v>69.657399999999996</v>
      </c>
      <c r="AU43" s="888">
        <v>71.933000000000007</v>
      </c>
      <c r="AV43" s="889">
        <v>71.698499999999996</v>
      </c>
      <c r="AX43" s="852" t="s">
        <v>502</v>
      </c>
      <c r="AY43" s="887">
        <v>35.431699999999999</v>
      </c>
      <c r="AZ43" s="887">
        <v>40.014800000000001</v>
      </c>
      <c r="BA43" s="887">
        <v>52.046799999999998</v>
      </c>
      <c r="BB43" s="887">
        <v>58.099800000000002</v>
      </c>
      <c r="BC43" s="887">
        <v>63.758899999999997</v>
      </c>
      <c r="BD43" s="887">
        <v>63.2639</v>
      </c>
      <c r="BE43" s="887">
        <v>64.361999999999995</v>
      </c>
      <c r="BF43" s="887">
        <v>65.479299999999995</v>
      </c>
      <c r="BG43" s="887">
        <v>66.587900000000005</v>
      </c>
      <c r="BH43" s="887">
        <v>66.554699999999997</v>
      </c>
      <c r="BI43" s="887">
        <v>51.498100000000001</v>
      </c>
      <c r="BJ43" s="888">
        <v>63.259</v>
      </c>
      <c r="BK43" s="888">
        <v>58.379600000000003</v>
      </c>
      <c r="BL43" s="889">
        <v>58.882399999999997</v>
      </c>
      <c r="BN43" s="852" t="s">
        <v>502</v>
      </c>
      <c r="BO43" s="887">
        <v>20.9758</v>
      </c>
      <c r="BP43" s="887">
        <v>25.9053</v>
      </c>
      <c r="BQ43" s="887">
        <v>22.7639</v>
      </c>
      <c r="BR43" s="887">
        <v>15.836399999999999</v>
      </c>
      <c r="BS43" s="887">
        <v>12.2166</v>
      </c>
      <c r="BT43" s="887">
        <v>11.9216</v>
      </c>
      <c r="BU43" s="887">
        <v>11.9215</v>
      </c>
      <c r="BV43" s="887">
        <v>13.484400000000001</v>
      </c>
      <c r="BW43" s="887">
        <v>12.8567</v>
      </c>
      <c r="BX43" s="887">
        <v>13.6538</v>
      </c>
      <c r="BY43" s="887">
        <v>10.075900000000001</v>
      </c>
      <c r="BZ43" s="888">
        <v>12.5243</v>
      </c>
      <c r="CA43" s="888">
        <v>11.540699999999999</v>
      </c>
      <c r="CB43" s="889">
        <v>11.641999999999999</v>
      </c>
      <c r="CD43" s="852" t="s">
        <v>502</v>
      </c>
      <c r="CE43" s="887">
        <v>8.4560999999999993</v>
      </c>
      <c r="CF43" s="887">
        <v>9.2643000000000004</v>
      </c>
      <c r="CG43" s="887">
        <v>10.6365</v>
      </c>
      <c r="CH43" s="887">
        <v>9.9596</v>
      </c>
      <c r="CI43" s="887">
        <v>8.0055999999999994</v>
      </c>
      <c r="CJ43" s="887">
        <v>7.2503000000000002</v>
      </c>
      <c r="CK43" s="887">
        <v>7.3407</v>
      </c>
      <c r="CL43" s="887">
        <v>9.3000000000000007</v>
      </c>
      <c r="CM43" s="887">
        <v>10.1174</v>
      </c>
      <c r="CN43" s="887">
        <v>11.1043</v>
      </c>
      <c r="CO43" s="887">
        <v>8.3825000000000003</v>
      </c>
      <c r="CP43" s="888">
        <v>7.7359</v>
      </c>
      <c r="CQ43" s="888">
        <v>9.2666000000000004</v>
      </c>
      <c r="CR43" s="889">
        <v>9.1089000000000002</v>
      </c>
      <c r="CT43" s="852" t="s">
        <v>502</v>
      </c>
      <c r="CU43" s="887">
        <v>6.4718</v>
      </c>
      <c r="CV43" s="887">
        <v>5.7279</v>
      </c>
      <c r="CW43" s="887">
        <v>7.5122</v>
      </c>
      <c r="CX43" s="887">
        <v>9.7295999999999996</v>
      </c>
      <c r="CY43" s="887">
        <v>8.9981000000000009</v>
      </c>
      <c r="CZ43" s="887">
        <v>9.1626999999999992</v>
      </c>
      <c r="DA43" s="887">
        <v>8.7376000000000005</v>
      </c>
      <c r="DB43" s="887">
        <v>7.8164999999999996</v>
      </c>
      <c r="DC43" s="887">
        <v>8.0943000000000005</v>
      </c>
      <c r="DD43" s="887">
        <v>7.7523999999999997</v>
      </c>
      <c r="DE43" s="887">
        <v>8.4665999999999997</v>
      </c>
      <c r="DF43" s="888">
        <v>8.9238</v>
      </c>
      <c r="DG43" s="888">
        <v>8.2172999999999998</v>
      </c>
      <c r="DH43" s="889">
        <v>8.2901000000000007</v>
      </c>
      <c r="DJ43" s="852" t="s">
        <v>502</v>
      </c>
      <c r="DK43" s="887">
        <v>30.555299999999999</v>
      </c>
      <c r="DL43" s="887">
        <v>27.9207</v>
      </c>
      <c r="DM43" s="887">
        <v>25.339500000000001</v>
      </c>
      <c r="DN43" s="887">
        <v>17.7622</v>
      </c>
      <c r="DO43" s="887">
        <v>17.5319</v>
      </c>
      <c r="DP43" s="887">
        <v>15.811299999999999</v>
      </c>
      <c r="DQ43" s="887">
        <v>14.263500000000001</v>
      </c>
      <c r="DR43" s="887">
        <v>12.5633</v>
      </c>
      <c r="DS43" s="887">
        <v>11.9231</v>
      </c>
      <c r="DT43" s="887">
        <v>13.2713</v>
      </c>
      <c r="DU43" s="887">
        <v>9.1219000000000001</v>
      </c>
      <c r="DV43" s="888">
        <v>15.4358</v>
      </c>
      <c r="DW43" s="888">
        <v>10.6823</v>
      </c>
      <c r="DX43" s="889">
        <v>11.1721</v>
      </c>
    </row>
    <row r="44" spans="2:128" s="571" customFormat="1" ht="15.75" customHeight="1" x14ac:dyDescent="0.25">
      <c r="B44" s="856" t="s">
        <v>472</v>
      </c>
      <c r="C44" s="857">
        <v>1566.7537</v>
      </c>
      <c r="D44" s="857">
        <v>1041.3507</v>
      </c>
      <c r="E44" s="857">
        <v>850.71019999999999</v>
      </c>
      <c r="F44" s="857">
        <v>878.7971</v>
      </c>
      <c r="G44" s="857">
        <v>1029.3670999999999</v>
      </c>
      <c r="H44" s="857">
        <v>1167.6452999999999</v>
      </c>
      <c r="I44" s="857">
        <v>1321.6690000000001</v>
      </c>
      <c r="J44" s="857">
        <v>1478.2240999999999</v>
      </c>
      <c r="K44" s="857">
        <v>1581.6036999999999</v>
      </c>
      <c r="L44" s="857">
        <v>1688.8994</v>
      </c>
      <c r="M44" s="857">
        <v>1657.7239999999999</v>
      </c>
      <c r="N44" s="858">
        <v>1084.7440999999999</v>
      </c>
      <c r="O44" s="858">
        <v>1583.3706999999999</v>
      </c>
      <c r="P44" s="859">
        <v>1360.9126000000001</v>
      </c>
      <c r="R44" s="856" t="s">
        <v>472</v>
      </c>
      <c r="S44" s="857">
        <v>727.39949999999999</v>
      </c>
      <c r="T44" s="857">
        <v>528.91020000000003</v>
      </c>
      <c r="U44" s="857">
        <v>483.41789999999997</v>
      </c>
      <c r="V44" s="857">
        <v>538.68169999999998</v>
      </c>
      <c r="W44" s="857">
        <v>670.34569999999997</v>
      </c>
      <c r="X44" s="857">
        <v>789.43240000000003</v>
      </c>
      <c r="Y44" s="857">
        <v>898.15380000000005</v>
      </c>
      <c r="Z44" s="857">
        <v>999.30259999999998</v>
      </c>
      <c r="AA44" s="857">
        <v>1061.1161999999999</v>
      </c>
      <c r="AB44" s="857">
        <v>1123.9780000000001</v>
      </c>
      <c r="AC44" s="857">
        <v>1097.2362000000001</v>
      </c>
      <c r="AD44" s="858">
        <v>706.83450000000005</v>
      </c>
      <c r="AE44" s="858">
        <v>1061.3191999999999</v>
      </c>
      <c r="AF44" s="859">
        <v>903.16880000000003</v>
      </c>
      <c r="AH44" s="856" t="s">
        <v>472</v>
      </c>
      <c r="AI44" s="884">
        <v>46.427199999999999</v>
      </c>
      <c r="AJ44" s="884">
        <v>50.790799999999997</v>
      </c>
      <c r="AK44" s="884">
        <v>56.825200000000002</v>
      </c>
      <c r="AL44" s="884">
        <v>61.297600000000003</v>
      </c>
      <c r="AM44" s="884">
        <v>65.122100000000003</v>
      </c>
      <c r="AN44" s="884">
        <v>67.608900000000006</v>
      </c>
      <c r="AO44" s="884">
        <v>67.956000000000003</v>
      </c>
      <c r="AP44" s="884">
        <v>67.601600000000005</v>
      </c>
      <c r="AQ44" s="884">
        <v>67.091200000000001</v>
      </c>
      <c r="AR44" s="884">
        <v>66.550899999999999</v>
      </c>
      <c r="AS44" s="884">
        <v>66.189300000000003</v>
      </c>
      <c r="AT44" s="885">
        <v>65.1614</v>
      </c>
      <c r="AU44" s="885">
        <v>67.0291</v>
      </c>
      <c r="AV44" s="886">
        <v>66.364900000000006</v>
      </c>
      <c r="AX44" s="856" t="s">
        <v>472</v>
      </c>
      <c r="AY44" s="884">
        <v>33.4129</v>
      </c>
      <c r="AZ44" s="884">
        <v>40.331499999999998</v>
      </c>
      <c r="BA44" s="884">
        <v>48.400700000000001</v>
      </c>
      <c r="BB44" s="884">
        <v>54.8919</v>
      </c>
      <c r="BC44" s="884">
        <v>58.970700000000001</v>
      </c>
      <c r="BD44" s="884">
        <v>60.708199999999998</v>
      </c>
      <c r="BE44" s="884">
        <v>58.506799999999998</v>
      </c>
      <c r="BF44" s="884">
        <v>57.354300000000002</v>
      </c>
      <c r="BG44" s="884">
        <v>59.189</v>
      </c>
      <c r="BH44" s="884">
        <v>55.951500000000003</v>
      </c>
      <c r="BI44" s="884">
        <v>52.299399999999999</v>
      </c>
      <c r="BJ44" s="885">
        <v>57.484400000000001</v>
      </c>
      <c r="BK44" s="885">
        <v>57.518500000000003</v>
      </c>
      <c r="BL44" s="886">
        <v>57.506399999999999</v>
      </c>
      <c r="BN44" s="856" t="s">
        <v>472</v>
      </c>
      <c r="BO44" s="884">
        <v>31.019300000000001</v>
      </c>
      <c r="BP44" s="884">
        <v>27.6784</v>
      </c>
      <c r="BQ44" s="884">
        <v>23.753799999999998</v>
      </c>
      <c r="BR44" s="884">
        <v>21.3505</v>
      </c>
      <c r="BS44" s="884">
        <v>18.6145</v>
      </c>
      <c r="BT44" s="884">
        <v>16.523299999999999</v>
      </c>
      <c r="BU44" s="884">
        <v>16.394300000000001</v>
      </c>
      <c r="BV44" s="884">
        <v>17.180199999999999</v>
      </c>
      <c r="BW44" s="884">
        <v>17.848700000000001</v>
      </c>
      <c r="BX44" s="884">
        <v>17.677099999999999</v>
      </c>
      <c r="BY44" s="884">
        <v>19.262</v>
      </c>
      <c r="BZ44" s="885">
        <v>18.425599999999999</v>
      </c>
      <c r="CA44" s="885">
        <v>17.729800000000001</v>
      </c>
      <c r="CB44" s="886">
        <v>17.9772</v>
      </c>
      <c r="CD44" s="856" t="s">
        <v>472</v>
      </c>
      <c r="CE44" s="884">
        <v>15.5939</v>
      </c>
      <c r="CF44" s="884">
        <v>16.95</v>
      </c>
      <c r="CG44" s="884">
        <v>16.478899999999999</v>
      </c>
      <c r="CH44" s="884">
        <v>14.555</v>
      </c>
      <c r="CI44" s="884">
        <v>13.656000000000001</v>
      </c>
      <c r="CJ44" s="884">
        <v>12.350300000000001</v>
      </c>
      <c r="CK44" s="884">
        <v>12.624599999999999</v>
      </c>
      <c r="CL44" s="884">
        <v>13.7882</v>
      </c>
      <c r="CM44" s="884">
        <v>14.942600000000001</v>
      </c>
      <c r="CN44" s="884">
        <v>15.052199999999999</v>
      </c>
      <c r="CO44" s="884">
        <v>17.0381</v>
      </c>
      <c r="CP44" s="885">
        <v>13.431100000000001</v>
      </c>
      <c r="CQ44" s="885">
        <v>14.815</v>
      </c>
      <c r="CR44" s="886">
        <v>14.322900000000001</v>
      </c>
      <c r="CT44" s="856" t="s">
        <v>472</v>
      </c>
      <c r="CU44" s="884">
        <v>9.8158999999999992</v>
      </c>
      <c r="CV44" s="884">
        <v>8.0342000000000002</v>
      </c>
      <c r="CW44" s="884">
        <v>6.8956</v>
      </c>
      <c r="CX44" s="884">
        <v>7.7808999999999999</v>
      </c>
      <c r="CY44" s="884">
        <v>7.4717000000000002</v>
      </c>
      <c r="CZ44" s="884">
        <v>7.5679999999999996</v>
      </c>
      <c r="DA44" s="884">
        <v>6.9828000000000001</v>
      </c>
      <c r="DB44" s="884">
        <v>7.2422000000000004</v>
      </c>
      <c r="DC44" s="884">
        <v>7.5488</v>
      </c>
      <c r="DD44" s="884">
        <v>7.6680000000000001</v>
      </c>
      <c r="DE44" s="884">
        <v>6.0879000000000003</v>
      </c>
      <c r="DF44" s="885">
        <v>7.3662000000000001</v>
      </c>
      <c r="DG44" s="885">
        <v>7.4115000000000002</v>
      </c>
      <c r="DH44" s="886">
        <v>7.3954000000000004</v>
      </c>
      <c r="DJ44" s="856" t="s">
        <v>472</v>
      </c>
      <c r="DK44" s="884">
        <v>24.168700000000001</v>
      </c>
      <c r="DL44" s="884">
        <v>23.714099999999998</v>
      </c>
      <c r="DM44" s="884">
        <v>22.151700000000002</v>
      </c>
      <c r="DN44" s="884">
        <v>20.2196</v>
      </c>
      <c r="DO44" s="884">
        <v>18.986799999999999</v>
      </c>
      <c r="DP44" s="884">
        <v>17.532900000000001</v>
      </c>
      <c r="DQ44" s="884">
        <v>15.913600000000001</v>
      </c>
      <c r="DR44" s="884">
        <v>14.357200000000001</v>
      </c>
      <c r="DS44" s="884">
        <v>13.8606</v>
      </c>
      <c r="DT44" s="884">
        <v>13.838200000000001</v>
      </c>
      <c r="DU44" s="884">
        <v>14.97</v>
      </c>
      <c r="DV44" s="885">
        <v>18.097100000000001</v>
      </c>
      <c r="DW44" s="885">
        <v>14.0465</v>
      </c>
      <c r="DX44" s="886">
        <v>15.4869</v>
      </c>
    </row>
    <row r="45" spans="2:128" s="465" customFormat="1" ht="15.75" customHeight="1" x14ac:dyDescent="0.25">
      <c r="B45" s="865" t="s">
        <v>97</v>
      </c>
      <c r="C45" s="853">
        <v>1530.2950000000001</v>
      </c>
      <c r="D45" s="853">
        <v>1114.3619000000001</v>
      </c>
      <c r="E45" s="853">
        <v>929.19259999999997</v>
      </c>
      <c r="F45" s="853">
        <v>940.78949999999998</v>
      </c>
      <c r="G45" s="853">
        <v>1075.8677</v>
      </c>
      <c r="H45" s="853">
        <v>1219.9728</v>
      </c>
      <c r="I45" s="853">
        <v>1304.2346</v>
      </c>
      <c r="J45" s="853">
        <v>1428.3846000000001</v>
      </c>
      <c r="K45" s="853">
        <v>1521.1298999999999</v>
      </c>
      <c r="L45" s="866">
        <v>1284.9567</v>
      </c>
      <c r="M45" s="866" t="s">
        <v>102</v>
      </c>
      <c r="N45" s="854">
        <v>1069.1704</v>
      </c>
      <c r="O45" s="854">
        <v>1434.4335000000001</v>
      </c>
      <c r="P45" s="855">
        <v>1107.2533000000001</v>
      </c>
      <c r="R45" s="865" t="s">
        <v>97</v>
      </c>
      <c r="S45" s="853">
        <v>652.66800000000001</v>
      </c>
      <c r="T45" s="853">
        <v>508.541</v>
      </c>
      <c r="U45" s="853">
        <v>469.2081</v>
      </c>
      <c r="V45" s="853">
        <v>527.35569999999996</v>
      </c>
      <c r="W45" s="853">
        <v>651.46669999999995</v>
      </c>
      <c r="X45" s="853">
        <v>764.60829999999999</v>
      </c>
      <c r="Y45" s="853">
        <v>831.74800000000005</v>
      </c>
      <c r="Z45" s="853">
        <v>945.92039999999997</v>
      </c>
      <c r="AA45" s="853">
        <v>1070.3669</v>
      </c>
      <c r="AB45" s="866">
        <v>815.99710000000005</v>
      </c>
      <c r="AC45" s="866" t="s">
        <v>102</v>
      </c>
      <c r="AD45" s="854">
        <v>623.24630000000002</v>
      </c>
      <c r="AE45" s="854">
        <v>955.60019999999997</v>
      </c>
      <c r="AF45" s="855">
        <v>657.8981</v>
      </c>
      <c r="AH45" s="865" t="s">
        <v>97</v>
      </c>
      <c r="AI45" s="887">
        <v>42.649799999999999</v>
      </c>
      <c r="AJ45" s="887">
        <v>45.635199999999998</v>
      </c>
      <c r="AK45" s="887">
        <v>50.496299999999998</v>
      </c>
      <c r="AL45" s="887">
        <v>56.054600000000001</v>
      </c>
      <c r="AM45" s="887">
        <v>60.552700000000002</v>
      </c>
      <c r="AN45" s="887">
        <v>62.674199999999999</v>
      </c>
      <c r="AO45" s="887">
        <v>63.7729</v>
      </c>
      <c r="AP45" s="887">
        <v>66.223100000000002</v>
      </c>
      <c r="AQ45" s="887">
        <v>70.366600000000005</v>
      </c>
      <c r="AR45" s="890">
        <v>63.503900000000002</v>
      </c>
      <c r="AS45" s="890" t="s">
        <v>102</v>
      </c>
      <c r="AT45" s="888">
        <v>58.292499999999997</v>
      </c>
      <c r="AU45" s="888">
        <v>66.618600000000001</v>
      </c>
      <c r="AV45" s="889">
        <v>59.417099999999998</v>
      </c>
      <c r="AX45" s="865" t="s">
        <v>97</v>
      </c>
      <c r="AY45" s="887">
        <v>29.619800000000001</v>
      </c>
      <c r="AZ45" s="887">
        <v>35.090800000000002</v>
      </c>
      <c r="BA45" s="887">
        <v>41.704500000000003</v>
      </c>
      <c r="BB45" s="887">
        <v>49.652999999999999</v>
      </c>
      <c r="BC45" s="887">
        <v>54.6877</v>
      </c>
      <c r="BD45" s="887">
        <v>56.0486</v>
      </c>
      <c r="BE45" s="887">
        <v>57.150700000000001</v>
      </c>
      <c r="BF45" s="887">
        <v>58.806100000000001</v>
      </c>
      <c r="BG45" s="887">
        <v>61.377299999999998</v>
      </c>
      <c r="BH45" s="890">
        <v>16.220500000000001</v>
      </c>
      <c r="BI45" s="890" t="s">
        <v>102</v>
      </c>
      <c r="BJ45" s="888">
        <v>51.449800000000003</v>
      </c>
      <c r="BK45" s="888">
        <v>58.135599999999997</v>
      </c>
      <c r="BL45" s="889">
        <v>52.352800000000002</v>
      </c>
      <c r="BN45" s="865" t="s">
        <v>97</v>
      </c>
      <c r="BO45" s="887">
        <v>33.913400000000003</v>
      </c>
      <c r="BP45" s="887">
        <v>30.628499999999999</v>
      </c>
      <c r="BQ45" s="887">
        <v>27.0686</v>
      </c>
      <c r="BR45" s="887">
        <v>24.704499999999999</v>
      </c>
      <c r="BS45" s="887">
        <v>22.303999999999998</v>
      </c>
      <c r="BT45" s="887">
        <v>20.5504</v>
      </c>
      <c r="BU45" s="887">
        <v>20.122199999999999</v>
      </c>
      <c r="BV45" s="887">
        <v>18.307200000000002</v>
      </c>
      <c r="BW45" s="887">
        <v>16.077999999999999</v>
      </c>
      <c r="BX45" s="890">
        <v>30.0532</v>
      </c>
      <c r="BY45" s="890" t="s">
        <v>102</v>
      </c>
      <c r="BZ45" s="888">
        <v>23.305900000000001</v>
      </c>
      <c r="CA45" s="888">
        <v>18.3247</v>
      </c>
      <c r="CB45" s="889">
        <v>22.633099999999999</v>
      </c>
      <c r="CD45" s="865" t="s">
        <v>97</v>
      </c>
      <c r="CE45" s="887">
        <v>18.145399999999999</v>
      </c>
      <c r="CF45" s="887">
        <v>19.969899999999999</v>
      </c>
      <c r="CG45" s="887">
        <v>19.424099999999999</v>
      </c>
      <c r="CH45" s="887">
        <v>18.9863</v>
      </c>
      <c r="CI45" s="887">
        <v>17.111499999999999</v>
      </c>
      <c r="CJ45" s="887">
        <v>15.855</v>
      </c>
      <c r="CK45" s="887">
        <v>15.3089</v>
      </c>
      <c r="CL45" s="887">
        <v>13.858700000000001</v>
      </c>
      <c r="CM45" s="887">
        <v>12.580299999999999</v>
      </c>
      <c r="CN45" s="890">
        <v>29.402799999999999</v>
      </c>
      <c r="CO45" s="890" t="s">
        <v>102</v>
      </c>
      <c r="CP45" s="888">
        <v>17.527000000000001</v>
      </c>
      <c r="CQ45" s="888">
        <v>14.066000000000001</v>
      </c>
      <c r="CR45" s="889">
        <v>17.0595</v>
      </c>
      <c r="CT45" s="865" t="s">
        <v>97</v>
      </c>
      <c r="CU45" s="887">
        <v>9.5683000000000007</v>
      </c>
      <c r="CV45" s="887">
        <v>9.5502000000000002</v>
      </c>
      <c r="CW45" s="887">
        <v>9.1138999999999992</v>
      </c>
      <c r="CX45" s="887">
        <v>8.4774999999999991</v>
      </c>
      <c r="CY45" s="887">
        <v>7.9687999999999999</v>
      </c>
      <c r="CZ45" s="887">
        <v>8.2739999999999991</v>
      </c>
      <c r="DA45" s="887">
        <v>7.6700999999999997</v>
      </c>
      <c r="DB45" s="887">
        <v>7.1772999999999998</v>
      </c>
      <c r="DC45" s="887">
        <v>7.8726000000000003</v>
      </c>
      <c r="DD45" s="890">
        <v>0.38890000000000002</v>
      </c>
      <c r="DE45" s="890" t="s">
        <v>102</v>
      </c>
      <c r="DF45" s="888">
        <v>8.2990999999999993</v>
      </c>
      <c r="DG45" s="888">
        <v>7.1017999999999999</v>
      </c>
      <c r="DH45" s="889">
        <v>8.1373999999999995</v>
      </c>
      <c r="DJ45" s="865" t="s">
        <v>97</v>
      </c>
      <c r="DK45" s="887">
        <v>27.845400000000001</v>
      </c>
      <c r="DL45" s="887">
        <v>24.8596</v>
      </c>
      <c r="DM45" s="887">
        <v>21.6142</v>
      </c>
      <c r="DN45" s="887">
        <v>19.675000000000001</v>
      </c>
      <c r="DO45" s="887">
        <v>19.242899999999999</v>
      </c>
      <c r="DP45" s="887">
        <v>18.649000000000001</v>
      </c>
      <c r="DQ45" s="887">
        <v>16.980799999999999</v>
      </c>
      <c r="DR45" s="887">
        <v>14.702999999999999</v>
      </c>
      <c r="DS45" s="887">
        <v>10.146599999999999</v>
      </c>
      <c r="DT45" s="890">
        <v>6.5911999999999997</v>
      </c>
      <c r="DU45" s="890" t="s">
        <v>102</v>
      </c>
      <c r="DV45" s="888">
        <v>19.3475</v>
      </c>
      <c r="DW45" s="888">
        <v>14.019399999999999</v>
      </c>
      <c r="DX45" s="889">
        <v>18.627800000000001</v>
      </c>
    </row>
    <row r="46" spans="2:128" s="571" customFormat="1" ht="15.75" customHeight="1" x14ac:dyDescent="0.25">
      <c r="B46" s="860" t="s">
        <v>96</v>
      </c>
      <c r="C46" s="861">
        <v>1553.4957999999999</v>
      </c>
      <c r="D46" s="861">
        <v>1132.2927</v>
      </c>
      <c r="E46" s="861">
        <v>1067.2652</v>
      </c>
      <c r="F46" s="861">
        <v>1282.6380999999999</v>
      </c>
      <c r="G46" s="861">
        <v>1621.2872</v>
      </c>
      <c r="H46" s="861">
        <v>1789.8942999999999</v>
      </c>
      <c r="I46" s="861">
        <v>1686.3849</v>
      </c>
      <c r="J46" s="861">
        <v>1496.8797</v>
      </c>
      <c r="K46" s="861" t="s">
        <v>102</v>
      </c>
      <c r="L46" s="862" t="s">
        <v>102</v>
      </c>
      <c r="M46" s="862" t="s">
        <v>102</v>
      </c>
      <c r="N46" s="863">
        <v>1372.4640999999999</v>
      </c>
      <c r="O46" s="863">
        <v>1496.8797</v>
      </c>
      <c r="P46" s="864">
        <v>1378.2043000000001</v>
      </c>
      <c r="R46" s="860" t="s">
        <v>96</v>
      </c>
      <c r="S46" s="861">
        <v>647.45619999999997</v>
      </c>
      <c r="T46" s="861">
        <v>515.48209999999995</v>
      </c>
      <c r="U46" s="861">
        <v>490.01229999999998</v>
      </c>
      <c r="V46" s="861">
        <v>678.72339999999997</v>
      </c>
      <c r="W46" s="861">
        <v>959.93089999999995</v>
      </c>
      <c r="X46" s="861">
        <v>1050.3933999999999</v>
      </c>
      <c r="Y46" s="861">
        <v>1069.8738000000001</v>
      </c>
      <c r="Z46" s="861">
        <v>882.52959999999996</v>
      </c>
      <c r="AA46" s="861" t="s">
        <v>102</v>
      </c>
      <c r="AB46" s="862" t="s">
        <v>102</v>
      </c>
      <c r="AC46" s="862" t="s">
        <v>102</v>
      </c>
      <c r="AD46" s="863">
        <v>745.04669999999999</v>
      </c>
      <c r="AE46" s="863">
        <v>882.52959999999996</v>
      </c>
      <c r="AF46" s="864">
        <v>751.38980000000004</v>
      </c>
      <c r="AH46" s="860" t="s">
        <v>96</v>
      </c>
      <c r="AI46" s="891">
        <v>41.677399999999999</v>
      </c>
      <c r="AJ46" s="891">
        <v>45.525500000000001</v>
      </c>
      <c r="AK46" s="891">
        <v>45.9129</v>
      </c>
      <c r="AL46" s="891">
        <v>52.916200000000003</v>
      </c>
      <c r="AM46" s="891">
        <v>59.207900000000002</v>
      </c>
      <c r="AN46" s="891">
        <v>58.684699999999999</v>
      </c>
      <c r="AO46" s="891">
        <v>63.441899999999997</v>
      </c>
      <c r="AP46" s="891">
        <v>58.957999999999998</v>
      </c>
      <c r="AQ46" s="891" t="s">
        <v>102</v>
      </c>
      <c r="AR46" s="892" t="s">
        <v>102</v>
      </c>
      <c r="AS46" s="892" t="s">
        <v>102</v>
      </c>
      <c r="AT46" s="893">
        <v>54.285299999999999</v>
      </c>
      <c r="AU46" s="893">
        <v>58.957999999999998</v>
      </c>
      <c r="AV46" s="894">
        <v>54.519500000000001</v>
      </c>
      <c r="AX46" s="860" t="s">
        <v>96</v>
      </c>
      <c r="AY46" s="891">
        <v>27.9315</v>
      </c>
      <c r="AZ46" s="891">
        <v>34.396299999999997</v>
      </c>
      <c r="BA46" s="891">
        <v>36.674500000000002</v>
      </c>
      <c r="BB46" s="891">
        <v>44.4193</v>
      </c>
      <c r="BC46" s="891">
        <v>49.941800000000001</v>
      </c>
      <c r="BD46" s="891">
        <v>45.384500000000003</v>
      </c>
      <c r="BE46" s="891">
        <v>52.444000000000003</v>
      </c>
      <c r="BF46" s="891">
        <v>49.104999999999997</v>
      </c>
      <c r="BG46" s="891" t="s">
        <v>102</v>
      </c>
      <c r="BH46" s="892" t="s">
        <v>102</v>
      </c>
      <c r="BI46" s="892" t="s">
        <v>102</v>
      </c>
      <c r="BJ46" s="893">
        <v>44.359400000000001</v>
      </c>
      <c r="BK46" s="893">
        <v>49.104999999999997</v>
      </c>
      <c r="BL46" s="894">
        <v>44.597200000000001</v>
      </c>
      <c r="BN46" s="860" t="s">
        <v>96</v>
      </c>
      <c r="BO46" s="891">
        <v>33.474499999999999</v>
      </c>
      <c r="BP46" s="891">
        <v>31.163</v>
      </c>
      <c r="BQ46" s="891">
        <v>34.328299999999999</v>
      </c>
      <c r="BR46" s="891">
        <v>28.3491</v>
      </c>
      <c r="BS46" s="891">
        <v>21.098800000000001</v>
      </c>
      <c r="BT46" s="891">
        <v>22.669599999999999</v>
      </c>
      <c r="BU46" s="891">
        <v>22.805900000000001</v>
      </c>
      <c r="BV46" s="891">
        <v>23.969000000000001</v>
      </c>
      <c r="BW46" s="891" t="s">
        <v>102</v>
      </c>
      <c r="BX46" s="892" t="s">
        <v>102</v>
      </c>
      <c r="BY46" s="892" t="s">
        <v>102</v>
      </c>
      <c r="BZ46" s="893">
        <v>26.986599999999999</v>
      </c>
      <c r="CA46" s="893">
        <v>23.969000000000001</v>
      </c>
      <c r="CB46" s="894">
        <v>26.8354</v>
      </c>
      <c r="CD46" s="860" t="s">
        <v>96</v>
      </c>
      <c r="CE46" s="891">
        <v>17.975200000000001</v>
      </c>
      <c r="CF46" s="891">
        <v>18.786100000000001</v>
      </c>
      <c r="CG46" s="891">
        <v>18.052900000000001</v>
      </c>
      <c r="CH46" s="891">
        <v>16.830500000000001</v>
      </c>
      <c r="CI46" s="891">
        <v>13.872400000000001</v>
      </c>
      <c r="CJ46" s="891">
        <v>13.097099999999999</v>
      </c>
      <c r="CK46" s="891">
        <v>10.094799999999999</v>
      </c>
      <c r="CL46" s="891">
        <v>10.405099999999999</v>
      </c>
      <c r="CM46" s="891" t="s">
        <v>102</v>
      </c>
      <c r="CN46" s="892" t="s">
        <v>102</v>
      </c>
      <c r="CO46" s="892" t="s">
        <v>102</v>
      </c>
      <c r="CP46" s="893">
        <v>15.307399999999999</v>
      </c>
      <c r="CQ46" s="893">
        <v>10.405099999999999</v>
      </c>
      <c r="CR46" s="894">
        <v>15.0618</v>
      </c>
      <c r="CT46" s="860" t="s">
        <v>96</v>
      </c>
      <c r="CU46" s="891">
        <v>10.623900000000001</v>
      </c>
      <c r="CV46" s="891">
        <v>8.8704999999999998</v>
      </c>
      <c r="CW46" s="891">
        <v>6.8552</v>
      </c>
      <c r="CX46" s="891">
        <v>7.3756000000000004</v>
      </c>
      <c r="CY46" s="891">
        <v>6.5399000000000003</v>
      </c>
      <c r="CZ46" s="891">
        <v>9.0214999999999996</v>
      </c>
      <c r="DA46" s="891">
        <v>6.1776</v>
      </c>
      <c r="DB46" s="891">
        <v>9.6297999999999995</v>
      </c>
      <c r="DC46" s="891" t="s">
        <v>102</v>
      </c>
      <c r="DD46" s="892" t="s">
        <v>102</v>
      </c>
      <c r="DE46" s="892" t="s">
        <v>102</v>
      </c>
      <c r="DF46" s="893">
        <v>7.3589000000000002</v>
      </c>
      <c r="DG46" s="893">
        <v>9.6297999999999995</v>
      </c>
      <c r="DH46" s="894">
        <v>7.4726999999999997</v>
      </c>
      <c r="DJ46" s="860" t="s">
        <v>96</v>
      </c>
      <c r="DK46" s="891">
        <v>28.915600000000001</v>
      </c>
      <c r="DL46" s="891">
        <v>27.299199999999999</v>
      </c>
      <c r="DM46" s="891">
        <v>25.947199999999999</v>
      </c>
      <c r="DN46" s="891">
        <v>22.8934</v>
      </c>
      <c r="DO46" s="891">
        <v>18.834099999999999</v>
      </c>
      <c r="DP46" s="891">
        <v>20.6252</v>
      </c>
      <c r="DQ46" s="891">
        <v>19.164100000000001</v>
      </c>
      <c r="DR46" s="891">
        <v>12.8337</v>
      </c>
      <c r="DS46" s="891" t="s">
        <v>102</v>
      </c>
      <c r="DT46" s="892" t="s">
        <v>102</v>
      </c>
      <c r="DU46" s="892" t="s">
        <v>102</v>
      </c>
      <c r="DV46" s="893">
        <v>22.347200000000001</v>
      </c>
      <c r="DW46" s="893">
        <v>12.8337</v>
      </c>
      <c r="DX46" s="894">
        <v>21.8705</v>
      </c>
    </row>
    <row r="47" spans="2:128" s="628" customFormat="1" x14ac:dyDescent="0.2">
      <c r="B47" s="37" t="s">
        <v>270</v>
      </c>
      <c r="C47" s="626"/>
      <c r="D47" s="626"/>
      <c r="E47" s="626"/>
      <c r="F47" s="626"/>
      <c r="G47" s="626"/>
      <c r="H47" s="626"/>
      <c r="I47" s="626"/>
      <c r="J47" s="626"/>
      <c r="K47" s="626"/>
      <c r="L47" s="626"/>
      <c r="M47" s="626"/>
      <c r="N47" s="626"/>
      <c r="O47" s="626"/>
      <c r="P47" s="627"/>
      <c r="R47" s="37" t="s">
        <v>270</v>
      </c>
      <c r="S47" s="626"/>
      <c r="T47" s="626"/>
      <c r="U47" s="626"/>
      <c r="V47" s="626"/>
      <c r="W47" s="626"/>
      <c r="X47" s="626"/>
      <c r="Y47" s="626"/>
      <c r="Z47" s="626"/>
      <c r="AA47" s="626"/>
      <c r="AB47" s="626"/>
      <c r="AC47" s="626"/>
      <c r="AD47" s="626"/>
      <c r="AE47" s="626"/>
      <c r="AF47" s="627"/>
      <c r="AH47" s="37" t="s">
        <v>270</v>
      </c>
      <c r="AI47" s="626"/>
      <c r="AJ47" s="626"/>
      <c r="AK47" s="626"/>
      <c r="AL47" s="626"/>
      <c r="AM47" s="626"/>
      <c r="AN47" s="626"/>
      <c r="AO47" s="626"/>
      <c r="AP47" s="626"/>
      <c r="AQ47" s="626"/>
      <c r="AR47" s="626"/>
      <c r="AS47" s="626"/>
      <c r="AT47" s="626"/>
      <c r="AU47" s="626"/>
      <c r="AV47" s="627"/>
      <c r="AX47" s="37" t="s">
        <v>270</v>
      </c>
      <c r="AY47" s="626"/>
      <c r="AZ47" s="626"/>
      <c r="BA47" s="626"/>
      <c r="BB47" s="626"/>
      <c r="BC47" s="626"/>
      <c r="BD47" s="626"/>
      <c r="BE47" s="626"/>
      <c r="BF47" s="626"/>
      <c r="BG47" s="626"/>
      <c r="BH47" s="626"/>
      <c r="BI47" s="626"/>
      <c r="BJ47" s="626"/>
      <c r="BK47" s="626"/>
      <c r="BL47" s="627"/>
      <c r="BN47" s="37" t="s">
        <v>270</v>
      </c>
      <c r="BO47" s="626"/>
      <c r="BP47" s="626"/>
      <c r="BQ47" s="626"/>
      <c r="BR47" s="626"/>
      <c r="BS47" s="626"/>
      <c r="BT47" s="626"/>
      <c r="BU47" s="626"/>
      <c r="BV47" s="626"/>
      <c r="BW47" s="626"/>
      <c r="BX47" s="626"/>
      <c r="BY47" s="626"/>
      <c r="BZ47" s="626"/>
      <c r="CA47" s="626"/>
      <c r="CB47" s="627"/>
      <c r="CD47" s="37" t="s">
        <v>270</v>
      </c>
      <c r="CE47" s="626"/>
      <c r="CF47" s="626"/>
      <c r="CG47" s="626"/>
      <c r="CH47" s="626"/>
      <c r="CI47" s="626"/>
      <c r="CJ47" s="626"/>
      <c r="CK47" s="626"/>
      <c r="CL47" s="626"/>
      <c r="CM47" s="626"/>
      <c r="CN47" s="626"/>
      <c r="CO47" s="626"/>
      <c r="CP47" s="626"/>
      <c r="CQ47" s="626"/>
      <c r="CR47" s="627"/>
      <c r="CT47" s="37" t="s">
        <v>270</v>
      </c>
      <c r="CU47" s="626"/>
      <c r="CV47" s="626"/>
      <c r="CW47" s="626"/>
      <c r="CX47" s="626"/>
      <c r="CY47" s="626"/>
      <c r="CZ47" s="626"/>
      <c r="DA47" s="626"/>
      <c r="DB47" s="626"/>
      <c r="DC47" s="626"/>
      <c r="DD47" s="626"/>
      <c r="DE47" s="626"/>
      <c r="DF47" s="626"/>
      <c r="DG47" s="626"/>
      <c r="DH47" s="627"/>
      <c r="DJ47" s="37" t="s">
        <v>270</v>
      </c>
      <c r="DK47" s="626"/>
      <c r="DL47" s="626"/>
      <c r="DM47" s="626"/>
      <c r="DN47" s="626"/>
      <c r="DO47" s="626"/>
      <c r="DP47" s="626"/>
      <c r="DQ47" s="626"/>
      <c r="DR47" s="626"/>
      <c r="DS47" s="626"/>
      <c r="DT47" s="626"/>
      <c r="DU47" s="626"/>
      <c r="DV47" s="626"/>
      <c r="DW47" s="626"/>
      <c r="DX47" s="627"/>
    </row>
    <row r="48" spans="2:128" s="287" customFormat="1" x14ac:dyDescent="0.2">
      <c r="B48" s="37" t="s">
        <v>503</v>
      </c>
      <c r="C48" s="626"/>
      <c r="D48" s="626"/>
      <c r="E48" s="626"/>
      <c r="F48" s="626"/>
      <c r="G48" s="626"/>
      <c r="H48" s="626"/>
      <c r="I48" s="626"/>
      <c r="J48" s="626"/>
      <c r="K48" s="626"/>
      <c r="L48" s="626"/>
      <c r="M48" s="626"/>
      <c r="N48" s="626"/>
      <c r="O48" s="626"/>
      <c r="P48" s="627"/>
      <c r="R48" s="37" t="s">
        <v>503</v>
      </c>
      <c r="S48" s="626"/>
      <c r="T48" s="626"/>
      <c r="U48" s="626"/>
      <c r="V48" s="626"/>
      <c r="W48" s="626"/>
      <c r="X48" s="626"/>
      <c r="Y48" s="626"/>
      <c r="Z48" s="626"/>
      <c r="AA48" s="626"/>
      <c r="AB48" s="626"/>
      <c r="AC48" s="626"/>
      <c r="AD48" s="626"/>
      <c r="AE48" s="626"/>
      <c r="AF48" s="627"/>
      <c r="AH48" s="37" t="s">
        <v>503</v>
      </c>
      <c r="AI48" s="626"/>
      <c r="AJ48" s="626"/>
      <c r="AK48" s="626"/>
      <c r="AL48" s="626"/>
      <c r="AM48" s="626"/>
      <c r="AN48" s="626"/>
      <c r="AO48" s="626"/>
      <c r="AP48" s="626"/>
      <c r="AQ48" s="626"/>
      <c r="AR48" s="626"/>
      <c r="AS48" s="626"/>
      <c r="AT48" s="626"/>
      <c r="AU48" s="626"/>
      <c r="AV48" s="627"/>
      <c r="AX48" s="37" t="s">
        <v>503</v>
      </c>
      <c r="AY48" s="626"/>
      <c r="AZ48" s="626"/>
      <c r="BA48" s="626"/>
      <c r="BB48" s="626"/>
      <c r="BC48" s="626"/>
      <c r="BD48" s="626"/>
      <c r="BE48" s="626"/>
      <c r="BF48" s="626"/>
      <c r="BG48" s="626"/>
      <c r="BH48" s="626"/>
      <c r="BI48" s="626"/>
      <c r="BJ48" s="626"/>
      <c r="BK48" s="626"/>
      <c r="BL48" s="627"/>
      <c r="BN48" s="37" t="s">
        <v>503</v>
      </c>
      <c r="BO48" s="626"/>
      <c r="BP48" s="626"/>
      <c r="BQ48" s="626"/>
      <c r="BR48" s="626"/>
      <c r="BS48" s="626"/>
      <c r="BT48" s="626"/>
      <c r="BU48" s="626"/>
      <c r="BV48" s="626"/>
      <c r="BW48" s="626"/>
      <c r="BX48" s="626"/>
      <c r="BY48" s="626"/>
      <c r="BZ48" s="626"/>
      <c r="CA48" s="626"/>
      <c r="CB48" s="627"/>
      <c r="CD48" s="37" t="s">
        <v>503</v>
      </c>
      <c r="CE48" s="626"/>
      <c r="CF48" s="626"/>
      <c r="CG48" s="626"/>
      <c r="CH48" s="626"/>
      <c r="CI48" s="626"/>
      <c r="CJ48" s="626"/>
      <c r="CK48" s="626"/>
      <c r="CL48" s="626"/>
      <c r="CM48" s="626"/>
      <c r="CN48" s="626"/>
      <c r="CO48" s="626"/>
      <c r="CP48" s="626"/>
      <c r="CQ48" s="626"/>
      <c r="CR48" s="627"/>
      <c r="CT48" s="37" t="s">
        <v>503</v>
      </c>
      <c r="CU48" s="626"/>
      <c r="CV48" s="626"/>
      <c r="CW48" s="626"/>
      <c r="CX48" s="626"/>
      <c r="CY48" s="626"/>
      <c r="CZ48" s="626"/>
      <c r="DA48" s="626"/>
      <c r="DB48" s="626"/>
      <c r="DC48" s="626"/>
      <c r="DD48" s="626"/>
      <c r="DE48" s="626"/>
      <c r="DF48" s="626"/>
      <c r="DG48" s="626"/>
      <c r="DH48" s="627"/>
      <c r="DJ48" s="37" t="s">
        <v>503</v>
      </c>
      <c r="DK48" s="626"/>
      <c r="DL48" s="626"/>
      <c r="DM48" s="626"/>
      <c r="DN48" s="626"/>
      <c r="DO48" s="626"/>
      <c r="DP48" s="626"/>
      <c r="DQ48" s="626"/>
      <c r="DR48" s="626"/>
      <c r="DS48" s="626"/>
      <c r="DT48" s="626"/>
      <c r="DU48" s="626"/>
      <c r="DV48" s="626"/>
      <c r="DW48" s="626"/>
      <c r="DX48" s="627"/>
    </row>
    <row r="49" spans="2:128" s="287" customFormat="1" ht="12" x14ac:dyDescent="0.2">
      <c r="B49" s="287" t="s">
        <v>473</v>
      </c>
      <c r="C49" s="630"/>
      <c r="D49" s="630"/>
      <c r="E49" s="630"/>
      <c r="F49" s="630"/>
      <c r="G49" s="630"/>
      <c r="H49" s="630"/>
      <c r="I49" s="630"/>
      <c r="J49" s="630"/>
      <c r="K49" s="630"/>
      <c r="L49" s="630"/>
      <c r="M49" s="630"/>
      <c r="N49" s="630"/>
      <c r="O49" s="630"/>
      <c r="P49" s="631"/>
      <c r="R49" s="287" t="s">
        <v>473</v>
      </c>
      <c r="S49" s="630"/>
      <c r="T49" s="630"/>
      <c r="U49" s="630"/>
      <c r="V49" s="630"/>
      <c r="W49" s="630"/>
      <c r="X49" s="630"/>
      <c r="Y49" s="630"/>
      <c r="Z49" s="630"/>
      <c r="AA49" s="630"/>
      <c r="AB49" s="630"/>
      <c r="AC49" s="630"/>
      <c r="AD49" s="630"/>
      <c r="AE49" s="630"/>
      <c r="AF49" s="631"/>
      <c r="AH49" s="287" t="s">
        <v>473</v>
      </c>
      <c r="AI49" s="630"/>
      <c r="AJ49" s="630"/>
      <c r="AK49" s="630"/>
      <c r="AL49" s="630"/>
      <c r="AM49" s="630"/>
      <c r="AN49" s="630"/>
      <c r="AO49" s="630"/>
      <c r="AP49" s="630"/>
      <c r="AQ49" s="630"/>
      <c r="AR49" s="630"/>
      <c r="AS49" s="630"/>
      <c r="AT49" s="630"/>
      <c r="AU49" s="630"/>
      <c r="AV49" s="631"/>
      <c r="AX49" s="287" t="s">
        <v>473</v>
      </c>
      <c r="AY49" s="630"/>
      <c r="AZ49" s="630"/>
      <c r="BA49" s="630"/>
      <c r="BB49" s="630"/>
      <c r="BC49" s="630"/>
      <c r="BD49" s="630"/>
      <c r="BE49" s="630"/>
      <c r="BF49" s="630"/>
      <c r="BG49" s="630"/>
      <c r="BH49" s="630"/>
      <c r="BI49" s="630"/>
      <c r="BJ49" s="630"/>
      <c r="BK49" s="630"/>
      <c r="BL49" s="631"/>
      <c r="BN49" s="287" t="s">
        <v>473</v>
      </c>
      <c r="BO49" s="630"/>
      <c r="BP49" s="630"/>
      <c r="BQ49" s="630"/>
      <c r="BR49" s="630"/>
      <c r="BS49" s="630"/>
      <c r="BT49" s="630"/>
      <c r="BU49" s="630"/>
      <c r="BV49" s="630"/>
      <c r="BW49" s="630"/>
      <c r="BX49" s="630"/>
      <c r="BY49" s="630"/>
      <c r="BZ49" s="630"/>
      <c r="CA49" s="630"/>
      <c r="CB49" s="631"/>
      <c r="CD49" s="287" t="s">
        <v>473</v>
      </c>
      <c r="CE49" s="630"/>
      <c r="CF49" s="630"/>
      <c r="CG49" s="630"/>
      <c r="CH49" s="630"/>
      <c r="CI49" s="630"/>
      <c r="CJ49" s="630"/>
      <c r="CK49" s="630"/>
      <c r="CL49" s="630"/>
      <c r="CM49" s="630"/>
      <c r="CN49" s="630"/>
      <c r="CO49" s="630"/>
      <c r="CP49" s="630"/>
      <c r="CQ49" s="630"/>
      <c r="CR49" s="631"/>
      <c r="CT49" s="287" t="s">
        <v>473</v>
      </c>
      <c r="CU49" s="630"/>
      <c r="CV49" s="630"/>
      <c r="CW49" s="630"/>
      <c r="CX49" s="630"/>
      <c r="CY49" s="630"/>
      <c r="CZ49" s="630"/>
      <c r="DA49" s="630"/>
      <c r="DB49" s="630"/>
      <c r="DC49" s="630"/>
      <c r="DD49" s="630"/>
      <c r="DE49" s="630"/>
      <c r="DF49" s="630"/>
      <c r="DG49" s="630"/>
      <c r="DH49" s="631"/>
      <c r="DJ49" s="287" t="s">
        <v>473</v>
      </c>
      <c r="DK49" s="630"/>
      <c r="DL49" s="630"/>
      <c r="DM49" s="630"/>
      <c r="DN49" s="630"/>
      <c r="DO49" s="630"/>
      <c r="DP49" s="630"/>
      <c r="DQ49" s="630"/>
      <c r="DR49" s="630"/>
      <c r="DS49" s="630"/>
      <c r="DT49" s="630"/>
      <c r="DU49" s="630"/>
      <c r="DV49" s="630"/>
      <c r="DW49" s="630"/>
      <c r="DX49" s="631"/>
    </row>
    <row r="50" spans="2:128" s="287" customFormat="1" ht="12" x14ac:dyDescent="0.2">
      <c r="B50" s="289" t="s">
        <v>888</v>
      </c>
      <c r="C50" s="630"/>
      <c r="D50" s="630"/>
      <c r="E50" s="630"/>
      <c r="F50" s="630"/>
      <c r="G50" s="630"/>
      <c r="H50" s="630"/>
      <c r="I50" s="630"/>
      <c r="J50" s="630"/>
      <c r="K50" s="630"/>
      <c r="L50" s="630"/>
      <c r="M50" s="630"/>
      <c r="N50" s="630"/>
      <c r="O50" s="630"/>
      <c r="P50" s="631"/>
      <c r="R50" s="289" t="s">
        <v>888</v>
      </c>
      <c r="S50" s="630"/>
      <c r="T50" s="630"/>
      <c r="U50" s="630"/>
      <c r="V50" s="630"/>
      <c r="W50" s="630"/>
      <c r="X50" s="630"/>
      <c r="Y50" s="630"/>
      <c r="Z50" s="630"/>
      <c r="AA50" s="630"/>
      <c r="AB50" s="630"/>
      <c r="AC50" s="630"/>
      <c r="AD50" s="630"/>
      <c r="AE50" s="630"/>
      <c r="AF50" s="631"/>
      <c r="AH50" s="289" t="s">
        <v>888</v>
      </c>
      <c r="AI50" s="630"/>
      <c r="AJ50" s="630"/>
      <c r="AK50" s="630"/>
      <c r="AL50" s="630"/>
      <c r="AM50" s="630"/>
      <c r="AN50" s="630"/>
      <c r="AO50" s="630"/>
      <c r="AP50" s="630"/>
      <c r="AQ50" s="630"/>
      <c r="AR50" s="630"/>
      <c r="AS50" s="630"/>
      <c r="AT50" s="630"/>
      <c r="AU50" s="630"/>
      <c r="AV50" s="631"/>
      <c r="AX50" s="289" t="s">
        <v>888</v>
      </c>
      <c r="AY50" s="630"/>
      <c r="AZ50" s="630"/>
      <c r="BA50" s="630"/>
      <c r="BB50" s="630"/>
      <c r="BC50" s="630"/>
      <c r="BD50" s="630"/>
      <c r="BE50" s="630"/>
      <c r="BF50" s="630"/>
      <c r="BG50" s="630"/>
      <c r="BH50" s="630"/>
      <c r="BI50" s="630"/>
      <c r="BJ50" s="630"/>
      <c r="BK50" s="630"/>
      <c r="BL50" s="631"/>
      <c r="BN50" s="289" t="s">
        <v>888</v>
      </c>
      <c r="BO50" s="630"/>
      <c r="BP50" s="630"/>
      <c r="BQ50" s="630"/>
      <c r="BR50" s="630"/>
      <c r="BS50" s="630"/>
      <c r="BT50" s="630"/>
      <c r="BU50" s="630"/>
      <c r="BV50" s="630"/>
      <c r="BW50" s="630"/>
      <c r="BX50" s="630"/>
      <c r="BY50" s="630"/>
      <c r="BZ50" s="630"/>
      <c r="CA50" s="630"/>
      <c r="CB50" s="631"/>
      <c r="CD50" s="289" t="s">
        <v>888</v>
      </c>
      <c r="CE50" s="630"/>
      <c r="CF50" s="630"/>
      <c r="CG50" s="630"/>
      <c r="CH50" s="630"/>
      <c r="CI50" s="630"/>
      <c r="CJ50" s="630"/>
      <c r="CK50" s="630"/>
      <c r="CL50" s="630"/>
      <c r="CM50" s="630"/>
      <c r="CN50" s="630"/>
      <c r="CO50" s="630"/>
      <c r="CP50" s="630"/>
      <c r="CQ50" s="630"/>
      <c r="CR50" s="631"/>
      <c r="CT50" s="289" t="s">
        <v>888</v>
      </c>
      <c r="CU50" s="630"/>
      <c r="CV50" s="630"/>
      <c r="CW50" s="630"/>
      <c r="CX50" s="630"/>
      <c r="CY50" s="630"/>
      <c r="CZ50" s="630"/>
      <c r="DA50" s="630"/>
      <c r="DB50" s="630"/>
      <c r="DC50" s="630"/>
      <c r="DD50" s="630"/>
      <c r="DE50" s="630"/>
      <c r="DF50" s="630"/>
      <c r="DG50" s="630"/>
      <c r="DH50" s="631"/>
      <c r="DJ50" s="289" t="s">
        <v>888</v>
      </c>
      <c r="DW50" s="647"/>
    </row>
    <row r="51" spans="2:128" x14ac:dyDescent="0.2">
      <c r="C51" s="53"/>
      <c r="D51" s="53"/>
      <c r="E51" s="53"/>
      <c r="F51" s="53"/>
      <c r="G51" s="53"/>
      <c r="H51" s="53"/>
      <c r="I51" s="53"/>
      <c r="J51" s="53"/>
      <c r="K51" s="53"/>
      <c r="L51" s="53"/>
      <c r="M51" s="53"/>
      <c r="N51" s="53"/>
      <c r="O51" s="53"/>
      <c r="P51" s="90"/>
      <c r="S51" s="53"/>
      <c r="T51" s="53"/>
      <c r="U51" s="53"/>
      <c r="V51" s="53"/>
      <c r="W51" s="53"/>
      <c r="X51" s="53"/>
      <c r="Y51" s="53"/>
      <c r="Z51" s="53"/>
      <c r="AA51" s="53"/>
      <c r="AB51" s="53"/>
      <c r="AC51" s="53"/>
      <c r="AD51" s="53"/>
      <c r="AE51" s="53"/>
      <c r="AF51" s="90"/>
      <c r="AI51" s="53"/>
      <c r="AJ51" s="53"/>
      <c r="AK51" s="53"/>
      <c r="AL51" s="53"/>
      <c r="AM51" s="53"/>
      <c r="AN51" s="53"/>
      <c r="AO51" s="53"/>
      <c r="AP51" s="53"/>
      <c r="AQ51" s="53"/>
      <c r="AR51" s="53"/>
      <c r="AS51" s="53"/>
      <c r="AT51" s="53"/>
      <c r="AU51" s="53"/>
      <c r="AV51" s="90"/>
      <c r="AY51" s="53"/>
      <c r="AZ51" s="53"/>
      <c r="BA51" s="53"/>
      <c r="BB51" s="53"/>
      <c r="BC51" s="53"/>
      <c r="BD51" s="53"/>
      <c r="BE51" s="53"/>
      <c r="BF51" s="53"/>
      <c r="BG51" s="53"/>
      <c r="BH51" s="53"/>
      <c r="BI51" s="53"/>
      <c r="BJ51" s="53"/>
      <c r="BK51" s="53"/>
      <c r="BL51" s="90"/>
      <c r="BO51" s="53"/>
      <c r="BP51" s="53"/>
      <c r="BQ51" s="53"/>
      <c r="BR51" s="53"/>
      <c r="BS51" s="53"/>
      <c r="BT51" s="53"/>
      <c r="BU51" s="53"/>
      <c r="BV51" s="53"/>
      <c r="BW51" s="53"/>
      <c r="BX51" s="53"/>
      <c r="BY51" s="53"/>
      <c r="BZ51" s="53"/>
      <c r="CA51" s="53"/>
      <c r="CB51" s="90"/>
      <c r="CE51" s="53"/>
      <c r="CF51" s="53"/>
      <c r="CG51" s="53"/>
      <c r="CH51" s="53"/>
      <c r="CI51" s="53"/>
      <c r="CJ51" s="53"/>
      <c r="CK51" s="53"/>
      <c r="CL51" s="53"/>
      <c r="CM51" s="53"/>
      <c r="CN51" s="53"/>
      <c r="CO51" s="53"/>
      <c r="CP51" s="53"/>
      <c r="CQ51" s="53"/>
      <c r="CR51" s="90"/>
      <c r="CU51" s="53"/>
      <c r="CV51" s="53"/>
      <c r="CW51" s="53"/>
      <c r="CX51" s="53"/>
      <c r="CY51" s="53"/>
      <c r="CZ51" s="53"/>
      <c r="DA51" s="53"/>
      <c r="DB51" s="53"/>
      <c r="DC51" s="53"/>
      <c r="DD51" s="53"/>
      <c r="DE51" s="53"/>
      <c r="DF51" s="53"/>
      <c r="DG51" s="53"/>
      <c r="DH51" s="90"/>
    </row>
    <row r="52" spans="2:128" x14ac:dyDescent="0.2">
      <c r="C52" s="53"/>
      <c r="D52" s="53"/>
      <c r="E52" s="53"/>
      <c r="F52" s="53"/>
      <c r="G52" s="53"/>
      <c r="H52" s="53"/>
      <c r="I52" s="53"/>
      <c r="J52" s="53"/>
      <c r="K52" s="53"/>
      <c r="L52" s="53"/>
      <c r="M52" s="53"/>
      <c r="N52" s="53"/>
      <c r="O52" s="53"/>
      <c r="P52" s="90"/>
      <c r="S52" s="53"/>
      <c r="T52" s="53"/>
      <c r="U52" s="53"/>
      <c r="V52" s="53"/>
      <c r="W52" s="53"/>
      <c r="X52" s="53"/>
      <c r="Y52" s="53"/>
      <c r="Z52" s="53"/>
      <c r="AA52" s="53"/>
      <c r="AB52" s="53"/>
      <c r="AC52" s="53"/>
      <c r="AD52" s="53"/>
      <c r="AE52" s="53"/>
      <c r="AF52" s="90"/>
      <c r="AI52" s="53"/>
      <c r="AJ52" s="53"/>
      <c r="AK52" s="53"/>
      <c r="AL52" s="53"/>
      <c r="AM52" s="53"/>
      <c r="AN52" s="53"/>
      <c r="AO52" s="53"/>
      <c r="AP52" s="53"/>
      <c r="AQ52" s="53"/>
      <c r="AR52" s="53"/>
      <c r="AS52" s="53"/>
      <c r="AT52" s="53"/>
      <c r="AU52" s="53"/>
      <c r="AV52" s="90"/>
      <c r="AY52" s="53"/>
      <c r="AZ52" s="53"/>
      <c r="BA52" s="53"/>
      <c r="BB52" s="53"/>
      <c r="BC52" s="53"/>
      <c r="BD52" s="53"/>
      <c r="BE52" s="53"/>
      <c r="BF52" s="53"/>
      <c r="BG52" s="53"/>
      <c r="BH52" s="53"/>
      <c r="BI52" s="53"/>
      <c r="BJ52" s="53"/>
      <c r="BK52" s="53"/>
      <c r="BL52" s="90"/>
      <c r="BO52" s="53"/>
      <c r="BP52" s="53"/>
      <c r="BQ52" s="53"/>
      <c r="BR52" s="53"/>
      <c r="BS52" s="53"/>
      <c r="BT52" s="53"/>
      <c r="BU52" s="53"/>
      <c r="BV52" s="53"/>
      <c r="BW52" s="53"/>
      <c r="BX52" s="53"/>
      <c r="BY52" s="53"/>
      <c r="BZ52" s="53"/>
      <c r="CA52" s="53"/>
      <c r="CB52" s="90"/>
      <c r="CE52" s="53"/>
      <c r="CF52" s="53"/>
      <c r="CG52" s="53"/>
      <c r="CH52" s="53"/>
      <c r="CI52" s="53"/>
      <c r="CJ52" s="53"/>
      <c r="CK52" s="53"/>
      <c r="CL52" s="53"/>
      <c r="CM52" s="53"/>
      <c r="CN52" s="53"/>
      <c r="CO52" s="53"/>
      <c r="CP52" s="53"/>
      <c r="CQ52" s="53"/>
      <c r="CR52" s="90"/>
      <c r="CU52" s="53"/>
      <c r="CV52" s="53"/>
      <c r="CW52" s="53"/>
      <c r="CX52" s="53"/>
      <c r="CY52" s="53"/>
      <c r="CZ52" s="53"/>
      <c r="DA52" s="53"/>
      <c r="DB52" s="53"/>
      <c r="DC52" s="53"/>
      <c r="DD52" s="53"/>
      <c r="DE52" s="53"/>
      <c r="DF52" s="53"/>
      <c r="DG52" s="53"/>
      <c r="DH52" s="90"/>
    </row>
    <row r="53" spans="2:128" x14ac:dyDescent="0.2">
      <c r="C53" s="53"/>
      <c r="D53" s="53"/>
      <c r="E53" s="53"/>
      <c r="F53" s="53"/>
      <c r="G53" s="53"/>
      <c r="H53" s="53"/>
      <c r="I53" s="53"/>
      <c r="J53" s="53"/>
      <c r="K53" s="53"/>
      <c r="L53" s="53"/>
      <c r="M53" s="53"/>
      <c r="N53" s="53"/>
      <c r="O53" s="53"/>
      <c r="P53" s="90"/>
      <c r="S53" s="53"/>
      <c r="T53" s="53"/>
      <c r="U53" s="53"/>
      <c r="V53" s="53"/>
      <c r="W53" s="53"/>
      <c r="X53" s="53"/>
      <c r="Y53" s="53"/>
      <c r="Z53" s="53"/>
      <c r="AA53" s="53"/>
      <c r="AB53" s="53"/>
      <c r="AC53" s="53"/>
      <c r="AD53" s="53"/>
      <c r="AE53" s="53"/>
      <c r="AF53" s="90"/>
      <c r="AI53" s="53"/>
      <c r="AJ53" s="53"/>
      <c r="AK53" s="53"/>
      <c r="AL53" s="53"/>
      <c r="AM53" s="53"/>
      <c r="AN53" s="53"/>
      <c r="AO53" s="53"/>
      <c r="AP53" s="53"/>
      <c r="AQ53" s="53"/>
      <c r="AR53" s="53"/>
      <c r="AS53" s="53"/>
      <c r="AT53" s="53"/>
      <c r="AU53" s="53"/>
      <c r="AV53" s="90"/>
      <c r="AY53" s="53"/>
      <c r="AZ53" s="53"/>
      <c r="BA53" s="53"/>
      <c r="BB53" s="53"/>
      <c r="BC53" s="53"/>
      <c r="BD53" s="53"/>
      <c r="BE53" s="53"/>
      <c r="BF53" s="53"/>
      <c r="BG53" s="53"/>
      <c r="BH53" s="53"/>
      <c r="BI53" s="53"/>
      <c r="BJ53" s="53"/>
      <c r="BK53" s="53"/>
      <c r="BL53" s="90"/>
      <c r="BO53" s="53"/>
      <c r="BP53" s="53"/>
      <c r="BQ53" s="53"/>
      <c r="BR53" s="53"/>
      <c r="BS53" s="53"/>
      <c r="BT53" s="53"/>
      <c r="BU53" s="53"/>
      <c r="BV53" s="53"/>
      <c r="BW53" s="53"/>
      <c r="BX53" s="53"/>
      <c r="BY53" s="53"/>
      <c r="BZ53" s="53"/>
      <c r="CA53" s="53"/>
      <c r="CB53" s="90"/>
      <c r="CE53" s="53"/>
      <c r="CF53" s="53"/>
      <c r="CG53" s="53"/>
      <c r="CH53" s="53"/>
      <c r="CI53" s="53"/>
      <c r="CJ53" s="53"/>
      <c r="CK53" s="53"/>
      <c r="CL53" s="53"/>
      <c r="CM53" s="53"/>
      <c r="CN53" s="53"/>
      <c r="CO53" s="53"/>
      <c r="CP53" s="53"/>
      <c r="CQ53" s="53"/>
      <c r="CR53" s="90"/>
      <c r="CU53" s="53"/>
      <c r="CV53" s="53"/>
      <c r="CW53" s="53"/>
      <c r="CX53" s="53"/>
      <c r="CY53" s="53"/>
      <c r="CZ53" s="53"/>
      <c r="DA53" s="53"/>
      <c r="DB53" s="53"/>
      <c r="DC53" s="53"/>
      <c r="DD53" s="53"/>
      <c r="DE53" s="53"/>
      <c r="DF53" s="53"/>
      <c r="DG53" s="53"/>
      <c r="DH53" s="90"/>
    </row>
    <row r="54" spans="2:128" x14ac:dyDescent="0.2">
      <c r="C54" s="53"/>
      <c r="D54" s="53"/>
      <c r="E54" s="53"/>
      <c r="F54" s="53"/>
      <c r="G54" s="53"/>
      <c r="H54" s="53"/>
      <c r="I54" s="53"/>
      <c r="J54" s="53"/>
      <c r="K54" s="53"/>
      <c r="L54" s="53"/>
      <c r="M54" s="53"/>
      <c r="N54" s="53"/>
      <c r="O54" s="53"/>
      <c r="P54" s="90"/>
      <c r="S54" s="53"/>
      <c r="T54" s="53"/>
      <c r="U54" s="53"/>
      <c r="V54" s="53"/>
      <c r="W54" s="53"/>
      <c r="X54" s="53"/>
      <c r="Y54" s="53"/>
      <c r="Z54" s="53"/>
      <c r="AA54" s="53"/>
      <c r="AB54" s="53"/>
      <c r="AC54" s="53"/>
      <c r="AD54" s="53"/>
      <c r="AE54" s="53"/>
      <c r="AF54" s="90"/>
      <c r="AI54" s="53"/>
      <c r="AJ54" s="53"/>
      <c r="AK54" s="53"/>
      <c r="AL54" s="53"/>
      <c r="AM54" s="53"/>
      <c r="AN54" s="53"/>
      <c r="AO54" s="53"/>
      <c r="AP54" s="53"/>
      <c r="AQ54" s="53"/>
      <c r="AR54" s="53"/>
      <c r="AS54" s="53"/>
      <c r="AT54" s="53"/>
      <c r="AU54" s="53"/>
      <c r="AV54" s="90"/>
      <c r="AY54" s="53"/>
      <c r="AZ54" s="53"/>
      <c r="BA54" s="53"/>
      <c r="BB54" s="53"/>
      <c r="BC54" s="53"/>
      <c r="BD54" s="53"/>
      <c r="BE54" s="53"/>
      <c r="BF54" s="53"/>
      <c r="BG54" s="53"/>
      <c r="BH54" s="53"/>
      <c r="BI54" s="53"/>
      <c r="BJ54" s="53"/>
      <c r="BK54" s="53"/>
      <c r="BL54" s="90"/>
      <c r="BO54" s="53"/>
      <c r="BP54" s="53"/>
      <c r="BQ54" s="53"/>
      <c r="BR54" s="53"/>
      <c r="BS54" s="53"/>
      <c r="BT54" s="53"/>
      <c r="BU54" s="53"/>
      <c r="BV54" s="53"/>
      <c r="BW54" s="53"/>
      <c r="BX54" s="53"/>
      <c r="BY54" s="53"/>
      <c r="BZ54" s="53"/>
      <c r="CA54" s="53"/>
      <c r="CB54" s="90"/>
      <c r="CE54" s="53"/>
      <c r="CF54" s="53"/>
      <c r="CG54" s="53"/>
      <c r="CH54" s="53"/>
      <c r="CI54" s="53"/>
      <c r="CJ54" s="53"/>
      <c r="CK54" s="53"/>
      <c r="CL54" s="53"/>
      <c r="CM54" s="53"/>
      <c r="CN54" s="53"/>
      <c r="CO54" s="53"/>
      <c r="CP54" s="53"/>
      <c r="CQ54" s="53"/>
      <c r="CR54" s="90"/>
      <c r="CU54" s="53"/>
      <c r="CV54" s="53"/>
      <c r="CW54" s="53"/>
      <c r="CX54" s="53"/>
      <c r="CY54" s="53"/>
      <c r="CZ54" s="53"/>
      <c r="DA54" s="53"/>
      <c r="DB54" s="53"/>
      <c r="DC54" s="53"/>
      <c r="DD54" s="53"/>
      <c r="DE54" s="53"/>
      <c r="DF54" s="53"/>
      <c r="DG54" s="53"/>
      <c r="DH54" s="90"/>
    </row>
    <row r="58" spans="2:128" ht="13.5" customHeight="1" x14ac:dyDescent="0.2"/>
  </sheetData>
  <phoneticPr fontId="2" type="noConversion"/>
  <pageMargins left="0.59055118110236227" right="0.59055118110236227" top="0.78740157480314965" bottom="0.78740157480314965" header="0.39370078740157483" footer="0.39370078740157483"/>
  <pageSetup paperSize="9" scale="65" firstPageNumber="73" fitToWidth="8" orientation="landscape" useFirstPageNumber="1" r:id="rId1"/>
  <headerFooter alignWithMargins="0">
    <oddHeader>&amp;R&amp;12Les finances des communes en 2024</oddHeader>
    <oddFooter>&amp;L&amp;12Direction Générale des Collectivités Locales / DESL&amp;C&amp;12&amp;P&amp;R&amp;12Mise en ligne : janvier 2026</oddFooter>
  </headerFooter>
  <colBreaks count="7" manualBreakCount="7">
    <brk id="16" max="47" man="1"/>
    <brk id="32" max="47" man="1"/>
    <brk id="48" max="47" man="1"/>
    <brk id="64" max="47" man="1"/>
    <brk id="80" max="47" man="1"/>
    <brk id="96" max="47" man="1"/>
    <brk id="112" max="47"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J50"/>
  <sheetViews>
    <sheetView view="pageBreakPreview" zoomScale="60" zoomScaleNormal="100" workbookViewId="0"/>
  </sheetViews>
  <sheetFormatPr baseColWidth="10" defaultRowHeight="12.75" x14ac:dyDescent="0.2"/>
  <cols>
    <col min="1" max="1" width="4.7109375" customWidth="1"/>
    <col min="2" max="2" width="28" customWidth="1"/>
    <col min="3" max="13" width="12.42578125" customWidth="1"/>
    <col min="14" max="15" width="13.42578125" customWidth="1"/>
    <col min="16" max="16" width="11.42578125" style="94"/>
    <col min="17" max="17" width="4.7109375" customWidth="1"/>
    <col min="18" max="18" width="28" customWidth="1"/>
    <col min="19" max="29" width="12.42578125" customWidth="1"/>
    <col min="30" max="31" width="13.42578125" customWidth="1"/>
    <col min="32" max="32" width="11.42578125" style="94"/>
    <col min="33" max="33" width="4.7109375" customWidth="1"/>
    <col min="34" max="34" width="28" customWidth="1"/>
    <col min="35" max="45" width="12.42578125" customWidth="1"/>
    <col min="46" max="47" width="13.42578125" customWidth="1"/>
    <col min="48" max="48" width="11.42578125" style="94"/>
    <col min="49" max="49" width="4.7109375" customWidth="1"/>
    <col min="50" max="50" width="28" customWidth="1"/>
    <col min="51" max="61" width="12.42578125" customWidth="1"/>
    <col min="62" max="63" width="13.42578125" customWidth="1"/>
    <col min="64" max="64" width="11.42578125" style="94"/>
    <col min="65" max="65" width="4.7109375" customWidth="1"/>
    <col min="66" max="66" width="28" customWidth="1"/>
    <col min="67" max="77" width="12.42578125" customWidth="1"/>
    <col min="78" max="79" width="13.42578125" customWidth="1"/>
    <col min="80" max="80" width="11.42578125" style="94"/>
    <col min="81" max="81" width="4.7109375" customWidth="1"/>
    <col min="82" max="82" width="28" customWidth="1"/>
    <col min="83" max="93" width="12.42578125" customWidth="1"/>
    <col min="94" max="95" width="13.42578125" customWidth="1"/>
    <col min="96" max="96" width="12" style="94" customWidth="1"/>
    <col min="97" max="97" width="1.5703125" hidden="1" customWidth="1"/>
    <col min="98" max="98" width="4.7109375" customWidth="1"/>
    <col min="99" max="99" width="11.42578125" hidden="1" customWidth="1"/>
    <col min="100" max="100" width="28" customWidth="1"/>
    <col min="101" max="111" width="12.42578125" customWidth="1"/>
    <col min="112" max="113" width="13.42578125" customWidth="1"/>
  </cols>
  <sheetData>
    <row r="1" spans="1:114" ht="20.25" x14ac:dyDescent="0.3">
      <c r="A1" s="10" t="s">
        <v>943</v>
      </c>
      <c r="B1" s="69"/>
      <c r="C1" s="69"/>
      <c r="D1" s="69"/>
      <c r="E1" s="69"/>
      <c r="F1" s="69"/>
      <c r="G1" s="69"/>
      <c r="H1" s="69"/>
      <c r="I1" s="69"/>
      <c r="J1" s="69"/>
      <c r="K1" s="69"/>
      <c r="L1" s="69"/>
      <c r="M1" s="69"/>
      <c r="N1" s="69"/>
      <c r="O1" s="69"/>
      <c r="P1" s="147"/>
      <c r="Q1" s="49"/>
      <c r="R1" s="69"/>
      <c r="S1" s="69"/>
      <c r="T1" s="69"/>
      <c r="U1" s="69"/>
      <c r="V1" s="69"/>
      <c r="W1" s="69"/>
      <c r="X1" s="69"/>
      <c r="Y1" s="69"/>
      <c r="Z1" s="69"/>
      <c r="AA1" s="69"/>
      <c r="AB1" s="69"/>
      <c r="AC1" s="69"/>
      <c r="AD1" s="69"/>
      <c r="AE1" s="69"/>
      <c r="AF1" s="147"/>
      <c r="AG1" s="49" t="s">
        <v>636</v>
      </c>
      <c r="AH1" s="69"/>
      <c r="AI1" s="69"/>
      <c r="AJ1" s="69"/>
      <c r="AK1" s="69"/>
      <c r="AL1" s="78"/>
      <c r="AM1" s="69"/>
      <c r="AN1" s="69"/>
      <c r="AO1" s="69"/>
      <c r="AP1" s="69"/>
      <c r="AQ1" s="69"/>
      <c r="AR1" s="69"/>
      <c r="AS1" s="69"/>
      <c r="AT1" s="69"/>
      <c r="AU1" s="69"/>
      <c r="AV1" s="147"/>
      <c r="AW1" s="49"/>
      <c r="AX1" s="69"/>
      <c r="AY1" s="69"/>
      <c r="AZ1" s="69"/>
      <c r="BA1" s="69"/>
      <c r="BB1" s="69"/>
      <c r="BC1" s="69"/>
      <c r="BD1" s="69"/>
      <c r="BE1" s="69"/>
      <c r="BF1" s="69"/>
      <c r="BG1" s="69"/>
      <c r="BH1" s="69"/>
      <c r="BI1" s="69"/>
      <c r="BJ1" s="69"/>
      <c r="BK1" s="69"/>
      <c r="BL1" s="69"/>
      <c r="BM1" s="49"/>
      <c r="BN1" s="69"/>
      <c r="BO1" s="69"/>
      <c r="BP1" s="69"/>
      <c r="BQ1" s="69"/>
      <c r="BR1" s="69"/>
      <c r="BS1" s="69"/>
      <c r="BT1" s="69"/>
      <c r="BU1" s="69"/>
      <c r="BV1" s="69"/>
      <c r="BW1" s="69"/>
      <c r="BX1" s="69"/>
      <c r="BY1" s="69"/>
      <c r="BZ1" s="69"/>
      <c r="CA1" s="69"/>
      <c r="CB1" s="104"/>
      <c r="CC1" s="126"/>
      <c r="CD1" s="127"/>
      <c r="CE1" s="127"/>
      <c r="CF1" s="127"/>
      <c r="CG1" s="127"/>
      <c r="CH1" s="127"/>
      <c r="CI1" s="127"/>
      <c r="CJ1" s="127"/>
      <c r="CK1" s="127"/>
      <c r="CL1" s="127"/>
      <c r="CM1" s="127"/>
      <c r="CN1" s="127"/>
      <c r="CO1" s="69"/>
      <c r="CP1" s="69"/>
      <c r="CQ1" s="69"/>
      <c r="CR1" s="147"/>
      <c r="CS1" s="126"/>
      <c r="CT1" s="126"/>
      <c r="CU1" s="128"/>
      <c r="CV1" s="128"/>
      <c r="CW1" s="129"/>
      <c r="CX1" s="129"/>
      <c r="CY1" s="129"/>
      <c r="CZ1" s="129"/>
      <c r="DA1" s="129"/>
      <c r="DB1" s="129"/>
      <c r="DC1" s="129"/>
      <c r="DD1" s="129"/>
      <c r="DE1" s="129"/>
      <c r="DF1" s="129"/>
      <c r="DG1" s="129"/>
      <c r="DH1" s="129"/>
      <c r="DI1" s="129"/>
      <c r="DJ1" s="157"/>
    </row>
    <row r="2" spans="1:114" ht="12.75" customHeight="1" x14ac:dyDescent="0.3">
      <c r="A2" s="9"/>
      <c r="B2" s="69"/>
      <c r="C2" s="69"/>
      <c r="D2" s="69"/>
      <c r="E2" s="69"/>
      <c r="F2" s="69"/>
      <c r="G2" s="78"/>
      <c r="H2" s="69"/>
      <c r="I2" s="69"/>
      <c r="J2" s="69"/>
      <c r="K2" s="69"/>
      <c r="L2" s="69"/>
      <c r="M2" s="69"/>
      <c r="N2" s="69"/>
      <c r="O2" s="69"/>
      <c r="P2" s="147"/>
      <c r="Q2" s="49"/>
      <c r="R2" s="69"/>
      <c r="S2" s="69"/>
      <c r="T2" s="69"/>
      <c r="U2" s="69"/>
      <c r="V2" s="69"/>
      <c r="W2" s="69"/>
      <c r="X2" s="69"/>
      <c r="Y2" s="69"/>
      <c r="Z2" s="69"/>
      <c r="AA2" s="69"/>
      <c r="AB2" s="69"/>
      <c r="AC2" s="69"/>
      <c r="AD2" s="69"/>
      <c r="AE2" s="69"/>
      <c r="AF2" s="147"/>
      <c r="AG2" s="49"/>
      <c r="AH2" s="69"/>
      <c r="AI2" s="69"/>
      <c r="AJ2" s="69"/>
      <c r="AK2" s="69"/>
      <c r="AL2" s="78"/>
      <c r="AM2" s="69"/>
      <c r="AN2" s="69"/>
      <c r="AO2" s="69"/>
      <c r="AP2" s="69"/>
      <c r="AQ2" s="69"/>
      <c r="AR2" s="69"/>
      <c r="AS2" s="69"/>
      <c r="AT2" s="69"/>
      <c r="AU2" s="69"/>
      <c r="AV2" s="147"/>
      <c r="AW2" s="130"/>
      <c r="AX2" s="13"/>
      <c r="AY2" s="13"/>
      <c r="AZ2" s="13"/>
      <c r="BA2" s="13"/>
      <c r="BB2" s="13"/>
      <c r="BC2" s="13"/>
      <c r="BD2" s="13"/>
      <c r="BE2" s="13"/>
      <c r="BF2" s="13"/>
      <c r="BG2" s="13"/>
      <c r="BH2" s="13"/>
      <c r="BI2" s="13"/>
      <c r="BJ2" s="13"/>
      <c r="BK2" s="13"/>
      <c r="BL2" s="13"/>
      <c r="CC2" s="126"/>
      <c r="CD2" s="127"/>
      <c r="CE2" s="127"/>
      <c r="CF2" s="127"/>
      <c r="CG2" s="127"/>
      <c r="CH2" s="274"/>
      <c r="CI2" s="127"/>
      <c r="CJ2" s="127"/>
      <c r="CK2" s="127"/>
      <c r="CL2" s="127"/>
      <c r="CM2" s="127"/>
      <c r="CN2" s="127"/>
      <c r="CO2" s="69"/>
      <c r="CP2" s="69"/>
      <c r="CQ2" s="69"/>
      <c r="CR2" s="147"/>
      <c r="CS2" s="126"/>
      <c r="CT2" s="126"/>
      <c r="CU2" s="128"/>
      <c r="CV2" s="128"/>
      <c r="CW2" s="129"/>
      <c r="CX2" s="129"/>
      <c r="CY2" s="129"/>
      <c r="CZ2" s="129"/>
      <c r="DA2" s="129"/>
      <c r="DB2" s="129"/>
      <c r="DC2" s="129"/>
      <c r="DD2" s="129"/>
      <c r="DE2" s="129"/>
      <c r="DF2" s="129"/>
      <c r="DG2" s="129"/>
      <c r="DH2" s="129"/>
      <c r="DI2" s="129"/>
      <c r="DJ2" s="157"/>
    </row>
    <row r="3" spans="1:114" ht="16.5" x14ac:dyDescent="0.25">
      <c r="A3" s="13"/>
      <c r="B3" s="13"/>
      <c r="C3" s="13"/>
      <c r="D3" s="13"/>
      <c r="E3" s="13"/>
      <c r="F3" s="13"/>
      <c r="G3" s="68"/>
      <c r="H3" s="13"/>
      <c r="I3" s="13"/>
      <c r="J3" s="13"/>
      <c r="K3" s="13"/>
      <c r="L3" s="13"/>
      <c r="M3" s="13"/>
      <c r="N3" s="13"/>
      <c r="O3" s="13"/>
      <c r="P3" s="38"/>
      <c r="Q3" s="130"/>
      <c r="R3" s="13"/>
      <c r="S3" s="13"/>
      <c r="T3" s="13"/>
      <c r="U3" s="13"/>
      <c r="V3" s="13"/>
      <c r="W3" s="13"/>
      <c r="X3" s="13"/>
      <c r="Y3" s="13"/>
      <c r="Z3" s="13"/>
      <c r="AA3" s="13"/>
      <c r="AB3" s="13"/>
      <c r="AC3" s="13"/>
      <c r="AD3" s="13"/>
      <c r="AE3" s="13"/>
      <c r="AF3" s="38"/>
      <c r="AG3" s="130"/>
      <c r="AH3" s="13"/>
      <c r="AI3" s="13"/>
      <c r="AJ3" s="13"/>
      <c r="AK3" s="13"/>
      <c r="AL3" s="68"/>
      <c r="AM3" s="13"/>
      <c r="AN3" s="13"/>
      <c r="AO3" s="13"/>
      <c r="AP3" s="13"/>
      <c r="AQ3" s="13"/>
      <c r="AR3" s="13"/>
      <c r="AS3" s="13"/>
      <c r="AT3" s="13"/>
      <c r="AU3" s="13"/>
      <c r="AV3" s="38"/>
      <c r="AW3" s="109" t="s">
        <v>310</v>
      </c>
      <c r="BM3" s="108" t="s">
        <v>337</v>
      </c>
      <c r="BN3" s="13"/>
      <c r="BO3" s="13"/>
      <c r="BP3" s="13"/>
      <c r="BQ3" s="13"/>
      <c r="BR3" s="13"/>
      <c r="BS3" s="13"/>
      <c r="BT3" s="13"/>
      <c r="BU3" s="13"/>
      <c r="BV3" s="13"/>
      <c r="BW3" s="13"/>
      <c r="BX3" s="13"/>
      <c r="BY3" s="13"/>
      <c r="BZ3" s="13"/>
      <c r="CA3" s="13"/>
      <c r="CB3" s="131"/>
      <c r="CC3" s="39"/>
      <c r="CD3" s="39"/>
      <c r="CE3" s="39"/>
      <c r="CF3" s="39"/>
      <c r="CG3" s="39"/>
      <c r="CH3" s="39"/>
      <c r="CI3" s="39"/>
      <c r="CJ3" s="39"/>
      <c r="CK3" s="39"/>
      <c r="CL3" s="39"/>
      <c r="CM3" s="39"/>
      <c r="CN3" s="39"/>
      <c r="CO3" s="45"/>
      <c r="CP3" s="45"/>
      <c r="CQ3" s="45"/>
      <c r="CR3" s="153"/>
      <c r="CS3" s="39"/>
      <c r="CT3" s="39"/>
      <c r="CU3" s="57"/>
      <c r="CV3" s="57"/>
      <c r="CW3" s="132"/>
      <c r="CX3" s="132"/>
      <c r="CY3" s="132"/>
      <c r="CZ3" s="132"/>
      <c r="DA3" s="132"/>
      <c r="DB3" s="132"/>
      <c r="DC3" s="132"/>
      <c r="DD3" s="132"/>
      <c r="DE3" s="132"/>
      <c r="DF3" s="132"/>
      <c r="DG3" s="132"/>
      <c r="DH3" s="132"/>
      <c r="DI3" s="132"/>
      <c r="DJ3" s="158"/>
    </row>
    <row r="4" spans="1:114" ht="16.5" x14ac:dyDescent="0.25">
      <c r="A4" s="108" t="s">
        <v>637</v>
      </c>
      <c r="B4" s="108"/>
      <c r="C4" s="108"/>
      <c r="D4" s="108"/>
      <c r="E4" s="108"/>
      <c r="F4" s="108"/>
      <c r="G4" s="273"/>
      <c r="H4" s="108"/>
      <c r="I4" s="108"/>
      <c r="J4" s="108"/>
      <c r="K4" s="108"/>
      <c r="L4" s="108"/>
      <c r="M4" s="108"/>
      <c r="N4" s="108"/>
      <c r="O4" s="108"/>
      <c r="P4" s="148"/>
      <c r="Q4" s="54" t="s">
        <v>308</v>
      </c>
      <c r="R4" s="54"/>
      <c r="S4" s="54"/>
      <c r="T4" s="54"/>
      <c r="U4" s="54"/>
      <c r="V4" s="54"/>
      <c r="W4" s="54"/>
      <c r="X4" s="54"/>
      <c r="Y4" s="54"/>
      <c r="Z4" s="54"/>
      <c r="AA4" s="54"/>
      <c r="AB4" s="54"/>
      <c r="AC4" s="54"/>
      <c r="AD4" s="54"/>
      <c r="AE4" s="54"/>
      <c r="AF4" s="151"/>
      <c r="AG4" s="54" t="s">
        <v>309</v>
      </c>
      <c r="AH4" s="54"/>
      <c r="AI4" s="54"/>
      <c r="AJ4" s="54"/>
      <c r="AK4" s="54"/>
      <c r="AL4" s="54"/>
      <c r="AM4" s="54"/>
      <c r="AN4" s="54"/>
      <c r="AO4" s="54"/>
      <c r="AP4" s="54"/>
      <c r="AQ4" s="54"/>
      <c r="AR4" s="54"/>
      <c r="AS4" s="54"/>
      <c r="AT4" s="54"/>
      <c r="AU4" s="54"/>
      <c r="AV4" s="151"/>
      <c r="AW4" s="54" t="s">
        <v>240</v>
      </c>
      <c r="AX4" s="54"/>
      <c r="AY4" s="54"/>
      <c r="AZ4" s="54"/>
      <c r="BA4" s="54"/>
      <c r="BB4" s="54"/>
      <c r="BC4" s="54"/>
      <c r="BD4" s="54"/>
      <c r="BE4" s="54"/>
      <c r="BF4" s="54"/>
      <c r="BG4" s="54"/>
      <c r="BH4" s="54"/>
      <c r="BI4" s="54"/>
      <c r="BJ4" s="54"/>
      <c r="BK4" s="54"/>
      <c r="BL4" s="54"/>
      <c r="BM4" s="54" t="s">
        <v>235</v>
      </c>
      <c r="BN4" s="54"/>
      <c r="BO4" s="54"/>
      <c r="BP4" s="54"/>
      <c r="BQ4" s="54"/>
      <c r="BR4" s="54"/>
      <c r="BS4" s="54"/>
      <c r="BT4" s="54"/>
      <c r="BU4" s="54"/>
      <c r="BV4" s="54"/>
      <c r="BW4" s="54"/>
      <c r="BX4" s="54"/>
      <c r="BY4" s="54"/>
      <c r="BZ4" s="54"/>
      <c r="CA4" s="54"/>
      <c r="CB4" s="82"/>
      <c r="CC4" s="54" t="s">
        <v>478</v>
      </c>
      <c r="CD4" s="54"/>
      <c r="CE4" s="54"/>
      <c r="CF4" s="54"/>
      <c r="CG4" s="54"/>
      <c r="CH4" s="54"/>
      <c r="CI4" s="54"/>
      <c r="CJ4" s="54"/>
      <c r="CK4" s="54"/>
      <c r="CL4" s="54"/>
      <c r="CM4" s="54"/>
      <c r="CN4" s="54"/>
      <c r="CO4" s="54"/>
      <c r="CP4" s="54"/>
      <c r="CQ4" s="54"/>
      <c r="CR4" s="151"/>
      <c r="CS4" s="54" t="s">
        <v>11</v>
      </c>
      <c r="CT4" s="54" t="s">
        <v>479</v>
      </c>
      <c r="CU4" s="133"/>
      <c r="CV4" s="133"/>
      <c r="CW4" s="134"/>
      <c r="CX4" s="134"/>
      <c r="CY4" s="134"/>
      <c r="CZ4" s="134"/>
      <c r="DA4" s="134"/>
      <c r="DB4" s="134"/>
      <c r="DC4" s="134"/>
      <c r="DD4" s="134"/>
      <c r="DE4" s="134"/>
      <c r="DF4" s="134"/>
      <c r="DG4" s="134"/>
      <c r="DH4" s="134"/>
      <c r="DI4" s="134"/>
      <c r="DJ4" s="159"/>
    </row>
    <row r="5" spans="1:114" ht="16.5" x14ac:dyDescent="0.25">
      <c r="A5" s="272" t="s">
        <v>241</v>
      </c>
      <c r="B5" s="146"/>
      <c r="C5" s="146"/>
      <c r="D5" s="146"/>
      <c r="E5" s="146"/>
      <c r="F5" s="146"/>
      <c r="G5" s="146"/>
      <c r="H5" s="146"/>
      <c r="I5" s="146"/>
      <c r="J5" s="146"/>
      <c r="K5" s="146"/>
      <c r="L5" s="146"/>
      <c r="M5" s="146"/>
      <c r="N5" s="146"/>
      <c r="O5" s="146"/>
      <c r="P5" s="149"/>
      <c r="Q5" s="272"/>
      <c r="R5" s="106"/>
      <c r="S5" s="106"/>
      <c r="T5" s="106"/>
      <c r="U5" s="106"/>
      <c r="V5" s="106"/>
      <c r="W5" s="106"/>
      <c r="X5" s="106"/>
      <c r="Y5" s="106"/>
      <c r="Z5" s="106"/>
      <c r="AA5" s="106"/>
      <c r="AB5" s="106"/>
      <c r="AC5" s="106"/>
      <c r="AD5" s="106"/>
      <c r="AE5" s="106"/>
      <c r="AF5" s="152"/>
      <c r="AG5" s="106"/>
      <c r="AH5" s="106"/>
      <c r="AI5" s="106"/>
      <c r="AJ5" s="106"/>
      <c r="AK5" s="106"/>
      <c r="AL5" s="106"/>
      <c r="AM5" s="106"/>
      <c r="AN5" s="106"/>
      <c r="AO5" s="106"/>
      <c r="AP5" s="106"/>
      <c r="AQ5" s="106"/>
      <c r="AR5" s="106"/>
      <c r="AS5" s="106"/>
      <c r="AT5" s="106"/>
      <c r="AU5" s="106"/>
      <c r="AV5" s="152"/>
      <c r="AW5" s="68" t="s">
        <v>573</v>
      </c>
      <c r="AX5" s="106"/>
      <c r="AY5" s="106"/>
      <c r="AZ5" s="106"/>
      <c r="BA5" s="106"/>
      <c r="BB5" s="106"/>
      <c r="BC5" s="106"/>
      <c r="BD5" s="106"/>
      <c r="BE5" s="106"/>
      <c r="BF5" s="106"/>
      <c r="BG5" s="106"/>
      <c r="BH5" s="106"/>
      <c r="BI5" s="106"/>
      <c r="BJ5" s="106"/>
      <c r="BK5" s="106"/>
      <c r="BL5" s="106"/>
      <c r="BM5" s="68" t="s">
        <v>573</v>
      </c>
      <c r="BN5" s="108"/>
      <c r="BO5" s="108"/>
      <c r="BP5" s="108"/>
      <c r="BQ5" s="108"/>
      <c r="BR5" s="108"/>
      <c r="BS5" s="108"/>
      <c r="BT5" s="108"/>
      <c r="BU5" s="108"/>
      <c r="BV5" s="108"/>
      <c r="BW5" s="108"/>
      <c r="BX5" s="108"/>
      <c r="BY5" s="108"/>
      <c r="BZ5" s="108"/>
      <c r="CA5" s="108"/>
      <c r="CB5" s="190"/>
      <c r="CC5" s="272" t="s">
        <v>241</v>
      </c>
      <c r="CD5" s="108"/>
      <c r="CE5" s="108"/>
      <c r="CF5" s="108"/>
      <c r="CG5" s="108"/>
      <c r="CH5" s="108"/>
      <c r="CI5" s="108"/>
      <c r="CJ5" s="108"/>
      <c r="CK5" s="108"/>
      <c r="CL5" s="108"/>
      <c r="CM5" s="108"/>
      <c r="CN5" s="108"/>
      <c r="CO5" s="108"/>
      <c r="CP5" s="108"/>
      <c r="CQ5" s="108"/>
      <c r="CR5" s="148"/>
      <c r="CS5" s="106"/>
      <c r="CT5" s="88" t="s">
        <v>480</v>
      </c>
      <c r="CU5" s="135"/>
      <c r="CV5" s="135"/>
      <c r="CW5" s="136"/>
      <c r="CX5" s="136"/>
      <c r="CY5" s="136"/>
      <c r="CZ5" s="136"/>
      <c r="DA5" s="136"/>
      <c r="DB5" s="136"/>
      <c r="DC5" s="136"/>
      <c r="DD5" s="136"/>
      <c r="DE5" s="136"/>
      <c r="DF5" s="136"/>
      <c r="DG5" s="136"/>
      <c r="DH5" s="136"/>
      <c r="DI5" s="136"/>
      <c r="DJ5" s="160"/>
    </row>
    <row r="6" spans="1:114" x14ac:dyDescent="0.2">
      <c r="B6" s="68" t="s">
        <v>573</v>
      </c>
      <c r="C6" s="13"/>
      <c r="D6" s="13"/>
      <c r="E6" s="13"/>
      <c r="F6" s="13"/>
      <c r="G6" s="13"/>
      <c r="H6" s="13"/>
      <c r="I6" s="13"/>
      <c r="J6" s="13"/>
      <c r="K6" s="13"/>
      <c r="L6" s="13"/>
      <c r="M6" s="13"/>
      <c r="N6" s="13"/>
      <c r="O6" s="13"/>
      <c r="P6" s="38"/>
      <c r="Q6" s="68" t="s">
        <v>573</v>
      </c>
      <c r="R6" s="13"/>
      <c r="S6" s="13"/>
      <c r="T6" s="13"/>
      <c r="U6" s="13"/>
      <c r="V6" s="13"/>
      <c r="W6" s="13"/>
      <c r="X6" s="13"/>
      <c r="Y6" s="13"/>
      <c r="Z6" s="13"/>
      <c r="AA6" s="13"/>
      <c r="AB6" s="13"/>
      <c r="AC6" s="13"/>
      <c r="AD6" s="13"/>
      <c r="AE6" s="13"/>
      <c r="AF6" s="38"/>
      <c r="AG6" s="68" t="s">
        <v>573</v>
      </c>
      <c r="AH6" s="13"/>
      <c r="AI6" s="13"/>
      <c r="AJ6" s="13"/>
      <c r="AK6" s="13"/>
      <c r="AL6" s="13"/>
      <c r="AM6" s="13"/>
      <c r="AN6" s="13"/>
      <c r="AO6" s="13"/>
      <c r="AP6" s="13"/>
      <c r="AQ6" s="13"/>
      <c r="AR6" s="13"/>
      <c r="AS6" s="13"/>
      <c r="AT6" s="13"/>
      <c r="AU6" s="13"/>
      <c r="AV6" s="38"/>
      <c r="AW6" s="68" t="s">
        <v>693</v>
      </c>
      <c r="AX6" s="13"/>
      <c r="AY6" s="13"/>
      <c r="AZ6" s="13"/>
      <c r="BA6" s="13"/>
      <c r="BB6" s="13"/>
      <c r="BC6" s="13"/>
      <c r="BD6" s="13"/>
      <c r="BE6" s="13"/>
      <c r="BF6" s="13"/>
      <c r="BG6" s="13"/>
      <c r="BH6" s="13"/>
      <c r="BI6" s="13"/>
      <c r="BJ6" s="13"/>
      <c r="BK6" s="13"/>
      <c r="BL6" s="13"/>
      <c r="BM6" s="68" t="s">
        <v>693</v>
      </c>
      <c r="BN6" s="13"/>
      <c r="BO6" s="13"/>
      <c r="BP6" s="13"/>
      <c r="BQ6" s="13"/>
      <c r="BR6" s="13"/>
      <c r="BS6" s="13"/>
      <c r="BT6" s="13"/>
      <c r="BU6" s="13"/>
      <c r="BV6" s="13"/>
      <c r="BW6" s="13"/>
      <c r="BX6" s="13"/>
      <c r="BY6" s="13"/>
      <c r="BZ6" s="13"/>
      <c r="CA6" s="13"/>
      <c r="CB6" s="131"/>
      <c r="CC6" s="68" t="s">
        <v>573</v>
      </c>
      <c r="CD6" s="39"/>
      <c r="CE6" s="39"/>
      <c r="CF6" s="39"/>
      <c r="CG6" s="39"/>
      <c r="CH6" s="39"/>
      <c r="CI6" s="39"/>
      <c r="CJ6" s="39"/>
      <c r="CK6" s="39"/>
      <c r="CL6" s="39"/>
      <c r="CM6" s="39"/>
      <c r="CN6" s="39"/>
      <c r="CO6" s="45"/>
      <c r="CP6" s="45"/>
      <c r="CQ6" s="45"/>
      <c r="CR6" s="153"/>
      <c r="CS6" s="137"/>
      <c r="CT6" s="68" t="s">
        <v>573</v>
      </c>
      <c r="CU6" s="57"/>
      <c r="CV6" s="57"/>
      <c r="CW6" s="132"/>
      <c r="CX6" s="132"/>
      <c r="CY6" s="132"/>
      <c r="CZ6" s="132"/>
      <c r="DA6" s="132"/>
      <c r="DB6" s="132"/>
      <c r="DC6" s="132"/>
      <c r="DD6" s="132"/>
      <c r="DE6" s="132"/>
      <c r="DF6" s="132"/>
      <c r="DG6" s="132"/>
      <c r="DH6" s="132"/>
      <c r="DI6" s="132"/>
      <c r="DJ6" s="158"/>
    </row>
    <row r="7" spans="1:114" x14ac:dyDescent="0.2">
      <c r="A7" s="68"/>
      <c r="B7" s="910" t="s">
        <v>572</v>
      </c>
      <c r="C7" s="270"/>
      <c r="D7" s="72"/>
      <c r="E7" s="72"/>
      <c r="F7" s="72"/>
      <c r="G7" s="72"/>
      <c r="H7" s="72"/>
      <c r="I7" s="72"/>
      <c r="J7" s="72"/>
      <c r="K7" s="72"/>
      <c r="L7" s="72"/>
      <c r="M7" s="72"/>
      <c r="N7" s="13"/>
      <c r="O7" s="13"/>
      <c r="P7" s="38"/>
      <c r="Q7" s="849" t="s">
        <v>572</v>
      </c>
      <c r="R7" s="72"/>
      <c r="S7" s="72"/>
      <c r="T7" s="72"/>
      <c r="U7" s="72"/>
      <c r="V7" s="72"/>
      <c r="W7" s="72"/>
      <c r="X7" s="72"/>
      <c r="Y7" s="72"/>
      <c r="Z7" s="72"/>
      <c r="AA7" s="72"/>
      <c r="AB7" s="13"/>
      <c r="AC7" s="13"/>
      <c r="AD7" s="13"/>
      <c r="AE7" s="13"/>
      <c r="AF7" s="38"/>
      <c r="AG7" s="68" t="s">
        <v>692</v>
      </c>
      <c r="AH7" s="13"/>
      <c r="AI7" s="13"/>
      <c r="AJ7" s="13"/>
      <c r="AK7" s="13"/>
      <c r="AL7" s="13"/>
      <c r="AM7" s="13"/>
      <c r="AN7" s="13"/>
      <c r="AO7" s="13"/>
      <c r="AP7" s="13"/>
      <c r="AQ7" s="13"/>
      <c r="AR7" s="13"/>
      <c r="AS7" s="13"/>
      <c r="AT7" s="13"/>
      <c r="AU7" s="13"/>
      <c r="AV7" s="38"/>
      <c r="AW7" s="68" t="s">
        <v>656</v>
      </c>
      <c r="AX7" s="13"/>
      <c r="AY7" s="13"/>
      <c r="AZ7" s="13"/>
      <c r="BA7" s="13"/>
      <c r="BB7" s="13"/>
      <c r="BC7" s="13"/>
      <c r="BD7" s="13"/>
      <c r="BE7" s="13"/>
      <c r="BF7" s="13"/>
      <c r="BG7" s="13"/>
      <c r="BH7" s="13"/>
      <c r="BI7" s="13"/>
      <c r="BJ7" s="13"/>
      <c r="BK7" s="13"/>
      <c r="BL7" s="13"/>
      <c r="BM7" s="68" t="s">
        <v>656</v>
      </c>
      <c r="BN7" s="13"/>
      <c r="BO7" s="13"/>
      <c r="BP7" s="13"/>
      <c r="BQ7" s="13"/>
      <c r="BR7" s="13"/>
      <c r="BS7" s="13"/>
      <c r="BT7" s="13"/>
      <c r="BU7" s="13"/>
      <c r="BV7" s="13"/>
      <c r="BW7" s="13"/>
      <c r="BX7" s="13"/>
      <c r="BY7" s="13"/>
      <c r="BZ7" s="13"/>
      <c r="CA7" s="13"/>
      <c r="CB7" s="131"/>
      <c r="CC7" s="68" t="s">
        <v>839</v>
      </c>
      <c r="CD7" s="39"/>
      <c r="CE7" s="39"/>
      <c r="CF7" s="39"/>
      <c r="CG7" s="39"/>
      <c r="CH7" s="39"/>
      <c r="CI7" s="39"/>
      <c r="CJ7" s="39"/>
      <c r="CK7" s="39"/>
      <c r="CL7" s="39"/>
      <c r="CM7" s="39"/>
      <c r="CN7" s="39"/>
      <c r="CO7" s="45"/>
      <c r="CP7" s="45"/>
      <c r="CQ7" s="45"/>
      <c r="CR7" s="153"/>
      <c r="CS7" s="39" t="s">
        <v>253</v>
      </c>
      <c r="CT7" s="88" t="s">
        <v>251</v>
      </c>
      <c r="CU7" s="57"/>
      <c r="CV7" s="57"/>
      <c r="CW7" s="132"/>
      <c r="CX7" s="132"/>
      <c r="CY7" s="132"/>
      <c r="CZ7" s="132"/>
      <c r="DA7" s="132"/>
      <c r="DB7" s="132"/>
      <c r="DC7" s="132"/>
      <c r="DD7" s="132"/>
      <c r="DE7" s="132"/>
      <c r="DF7" s="132"/>
      <c r="DG7" s="132"/>
      <c r="DH7" s="132"/>
      <c r="DI7" s="132"/>
      <c r="DJ7" s="158"/>
    </row>
    <row r="8" spans="1:114" x14ac:dyDescent="0.2">
      <c r="A8" s="68"/>
      <c r="B8" s="910" t="s">
        <v>594</v>
      </c>
      <c r="D8" s="72"/>
      <c r="E8" s="72"/>
      <c r="F8" s="72"/>
      <c r="G8" s="72"/>
      <c r="H8" s="72"/>
      <c r="I8" s="72"/>
      <c r="J8" s="72"/>
      <c r="K8" s="72"/>
      <c r="L8" s="72"/>
      <c r="M8" s="72"/>
      <c r="N8" s="13"/>
      <c r="O8" s="13"/>
      <c r="P8" s="38"/>
      <c r="Q8" s="849" t="s">
        <v>574</v>
      </c>
      <c r="R8" s="72"/>
      <c r="S8" s="72"/>
      <c r="T8" s="72"/>
      <c r="U8" s="72"/>
      <c r="V8" s="72"/>
      <c r="W8" s="72"/>
      <c r="X8" s="72"/>
      <c r="Y8" s="72"/>
      <c r="Z8" s="72"/>
      <c r="AA8" s="72"/>
      <c r="AB8" s="13"/>
      <c r="AC8" s="13"/>
      <c r="AD8" s="13"/>
      <c r="AE8" s="13"/>
      <c r="AF8" s="38"/>
      <c r="AG8" s="260"/>
      <c r="AH8" s="13"/>
      <c r="AI8" s="13"/>
      <c r="AJ8" s="13"/>
      <c r="AK8" s="13"/>
      <c r="AL8" s="13"/>
      <c r="AM8" s="13"/>
      <c r="AN8" s="13"/>
      <c r="AO8" s="13"/>
      <c r="AP8" s="13"/>
      <c r="AQ8" s="13"/>
      <c r="AR8" s="13"/>
      <c r="AS8" s="13"/>
      <c r="AT8" s="13"/>
      <c r="AU8" s="13"/>
      <c r="AV8" s="38"/>
      <c r="AW8" s="68" t="s">
        <v>575</v>
      </c>
      <c r="AX8" s="13"/>
      <c r="AY8" s="13"/>
      <c r="AZ8" s="13"/>
      <c r="BA8" s="13"/>
      <c r="BB8" s="13"/>
      <c r="BC8" s="13"/>
      <c r="BD8" s="13"/>
      <c r="BE8" s="13"/>
      <c r="BF8" s="13"/>
      <c r="BG8" s="13"/>
      <c r="BH8" s="13"/>
      <c r="BI8" s="13"/>
      <c r="BJ8" s="13"/>
      <c r="BK8" s="13"/>
      <c r="BL8" s="13"/>
      <c r="BM8" s="68" t="s">
        <v>575</v>
      </c>
      <c r="BN8" s="13"/>
      <c r="BO8" s="13"/>
      <c r="BP8" s="13"/>
      <c r="BQ8" s="13"/>
      <c r="BR8" s="13"/>
      <c r="BS8" s="13"/>
      <c r="BT8" s="13"/>
      <c r="BU8" s="13"/>
      <c r="BV8" s="13"/>
      <c r="BW8" s="13"/>
      <c r="BX8" s="13"/>
      <c r="BY8" s="13"/>
      <c r="BZ8" s="13"/>
      <c r="CA8" s="13"/>
      <c r="CB8" s="131"/>
      <c r="CC8" s="849" t="s">
        <v>572</v>
      </c>
      <c r="CD8" s="39"/>
      <c r="CE8" s="39"/>
      <c r="CF8" s="39"/>
      <c r="CG8" s="39"/>
      <c r="CH8" s="39"/>
      <c r="CI8" s="39"/>
      <c r="CJ8" s="39"/>
      <c r="CK8" s="39"/>
      <c r="CL8" s="39"/>
      <c r="CM8" s="39"/>
      <c r="CN8" s="39"/>
      <c r="CO8" s="45"/>
      <c r="CP8" s="45"/>
      <c r="CQ8" s="45"/>
      <c r="CR8" s="153"/>
      <c r="CS8" s="39"/>
      <c r="CT8" s="849" t="s">
        <v>572</v>
      </c>
      <c r="CU8" s="57"/>
      <c r="CV8" s="57"/>
      <c r="CW8" s="132"/>
      <c r="CX8" s="132"/>
      <c r="CY8" s="132"/>
      <c r="CZ8" s="132"/>
      <c r="DA8" s="132"/>
      <c r="DB8" s="132"/>
      <c r="DC8" s="132"/>
      <c r="DD8" s="132"/>
      <c r="DE8" s="132"/>
      <c r="DF8" s="132"/>
      <c r="DG8" s="132"/>
      <c r="DH8" s="132"/>
      <c r="DI8" s="132"/>
      <c r="DJ8" s="158"/>
    </row>
    <row r="9" spans="1:114" x14ac:dyDescent="0.2">
      <c r="A9" s="13"/>
      <c r="B9" s="260"/>
      <c r="C9" s="8"/>
      <c r="D9" s="8"/>
      <c r="E9" s="8"/>
      <c r="F9" s="8"/>
      <c r="G9" s="8"/>
      <c r="H9" s="8"/>
      <c r="I9" s="8"/>
      <c r="J9" s="8"/>
      <c r="K9" s="8"/>
      <c r="L9" s="8"/>
      <c r="M9" s="8"/>
      <c r="N9" s="8"/>
      <c r="O9" s="8"/>
      <c r="P9" s="15"/>
      <c r="Q9" s="260"/>
      <c r="R9" s="138"/>
      <c r="S9" s="8"/>
      <c r="T9" s="8"/>
      <c r="U9" s="8"/>
      <c r="V9" s="8"/>
      <c r="W9" s="8"/>
      <c r="X9" s="8"/>
      <c r="Y9" s="8"/>
      <c r="Z9" s="8"/>
      <c r="AA9" s="8"/>
      <c r="AB9" s="8"/>
      <c r="AC9" s="8"/>
      <c r="AD9" s="8"/>
      <c r="AE9" s="8"/>
      <c r="AF9" s="15"/>
      <c r="AG9" s="45"/>
      <c r="AH9" s="8"/>
      <c r="AI9" s="8"/>
      <c r="AJ9" s="8"/>
      <c r="AK9" s="8"/>
      <c r="AL9" s="8"/>
      <c r="AM9" s="8"/>
      <c r="AN9" s="8"/>
      <c r="AO9" s="8"/>
      <c r="AP9" s="8"/>
      <c r="AQ9" s="8"/>
      <c r="AR9" s="8"/>
      <c r="AS9" s="8"/>
      <c r="AT9" s="8"/>
      <c r="AU9" s="8"/>
      <c r="AV9" s="15"/>
      <c r="AW9" s="260"/>
      <c r="AX9" s="8"/>
      <c r="AY9" s="8"/>
      <c r="AZ9" s="8"/>
      <c r="BA9" s="8"/>
      <c r="BB9" s="8"/>
      <c r="BC9" s="8"/>
      <c r="BD9" s="8"/>
      <c r="BE9" s="8"/>
      <c r="BF9" s="8"/>
      <c r="BG9" s="8"/>
      <c r="BH9" s="8"/>
      <c r="BI9" s="8"/>
      <c r="BJ9" s="8"/>
      <c r="BK9" s="8"/>
      <c r="BL9" s="8"/>
      <c r="BM9" s="921" t="s">
        <v>837</v>
      </c>
      <c r="BN9" s="8"/>
      <c r="BO9" s="8"/>
      <c r="BP9" s="8"/>
      <c r="BQ9" s="8"/>
      <c r="BR9" s="8"/>
      <c r="BS9" s="8"/>
      <c r="BT9" s="8"/>
      <c r="BU9" s="8"/>
      <c r="BV9" s="8"/>
      <c r="BW9" s="8"/>
      <c r="BX9" s="8"/>
      <c r="BY9" s="8"/>
      <c r="BZ9" s="8"/>
      <c r="CA9" s="8"/>
      <c r="CB9" s="45"/>
      <c r="CC9" s="910" t="s">
        <v>594</v>
      </c>
      <c r="CD9" s="110"/>
      <c r="CE9" s="110"/>
      <c r="CF9" s="110"/>
      <c r="CG9" s="110"/>
      <c r="CH9" s="110"/>
      <c r="CI9" s="110"/>
      <c r="CJ9" s="110"/>
      <c r="CK9" s="110"/>
      <c r="CL9" s="110"/>
      <c r="CM9" s="110"/>
      <c r="CN9" s="110"/>
      <c r="CO9" s="45"/>
      <c r="CP9" s="45"/>
      <c r="CQ9" s="45"/>
      <c r="CR9" s="153"/>
      <c r="CS9" s="110"/>
      <c r="CT9" s="910" t="s">
        <v>594</v>
      </c>
      <c r="CU9" s="57"/>
      <c r="CV9" s="57"/>
      <c r="CW9" s="132"/>
      <c r="CX9" s="132"/>
      <c r="CY9" s="132"/>
      <c r="CZ9" s="132"/>
      <c r="DA9" s="132"/>
      <c r="DB9" s="132"/>
      <c r="DC9" s="132"/>
      <c r="DD9" s="132"/>
      <c r="DE9" s="132"/>
      <c r="DF9" s="132"/>
      <c r="DG9" s="132"/>
      <c r="DH9" s="132"/>
      <c r="DI9" s="132"/>
      <c r="DJ9" s="158"/>
    </row>
    <row r="10" spans="1:114" x14ac:dyDescent="0.2">
      <c r="B10" s="13"/>
      <c r="C10" s="13"/>
      <c r="D10" s="13"/>
      <c r="E10" s="13"/>
      <c r="F10" s="13"/>
      <c r="G10" s="13"/>
      <c r="H10" s="13"/>
      <c r="I10" s="13"/>
      <c r="J10" s="13"/>
      <c r="K10" s="13"/>
      <c r="L10" s="13"/>
      <c r="M10" s="13"/>
      <c r="N10" s="13"/>
      <c r="O10" s="13"/>
      <c r="P10" s="38"/>
      <c r="R10" s="13"/>
      <c r="S10" s="13"/>
      <c r="T10" s="13"/>
      <c r="U10" s="13"/>
      <c r="V10" s="13"/>
      <c r="W10" s="13"/>
      <c r="X10" s="13"/>
      <c r="Y10" s="13"/>
      <c r="Z10" s="13"/>
      <c r="AA10" s="13"/>
      <c r="AB10" s="13"/>
      <c r="AC10" s="13"/>
      <c r="AD10" s="13"/>
      <c r="AE10" s="13"/>
      <c r="AF10" s="38"/>
      <c r="AG10" s="59" t="s">
        <v>16</v>
      </c>
      <c r="AH10" s="13"/>
      <c r="AI10" s="13"/>
      <c r="AJ10" s="13"/>
      <c r="AK10" s="13"/>
      <c r="AL10" s="13"/>
      <c r="AM10" s="13"/>
      <c r="AN10" s="13"/>
      <c r="AO10" s="13"/>
      <c r="AP10" s="13"/>
      <c r="AQ10" s="13"/>
      <c r="AR10" s="13"/>
      <c r="AS10" s="13"/>
      <c r="AT10" s="13"/>
      <c r="AU10" s="13"/>
      <c r="AV10" s="38"/>
      <c r="AX10" s="13"/>
      <c r="AY10" s="13"/>
      <c r="AZ10" s="13"/>
      <c r="BA10" s="13"/>
      <c r="BB10" s="13"/>
      <c r="BC10" s="13"/>
      <c r="BD10" s="13"/>
      <c r="BE10" s="13"/>
      <c r="BF10" s="13"/>
      <c r="BG10" s="13"/>
      <c r="BH10" s="13"/>
      <c r="BI10" s="13"/>
      <c r="BJ10" s="13"/>
      <c r="BK10" s="13"/>
      <c r="BL10" s="13"/>
      <c r="BN10" s="13"/>
      <c r="BO10" s="13"/>
      <c r="BP10" s="13"/>
      <c r="BQ10" s="13"/>
      <c r="BR10" s="13"/>
      <c r="BS10" s="13"/>
      <c r="BT10" s="13"/>
      <c r="BU10" s="13"/>
      <c r="BV10" s="13"/>
      <c r="BW10" s="13"/>
      <c r="BX10" s="13"/>
      <c r="BY10" s="13"/>
      <c r="BZ10" s="13"/>
      <c r="CA10" s="13"/>
      <c r="CB10" s="45"/>
      <c r="CD10" s="39"/>
      <c r="CE10" s="39"/>
      <c r="CF10" s="39"/>
      <c r="CG10" s="39"/>
      <c r="CH10" s="39"/>
      <c r="CI10" s="39"/>
      <c r="CJ10" s="39"/>
      <c r="CK10" s="39"/>
      <c r="CL10" s="39"/>
      <c r="CM10" s="39"/>
      <c r="CN10" s="39"/>
      <c r="CO10" s="45"/>
      <c r="CP10" s="45"/>
      <c r="CQ10" s="45"/>
      <c r="CR10" s="153"/>
      <c r="CS10" s="140" t="s">
        <v>15</v>
      </c>
      <c r="CU10" s="139"/>
      <c r="CV10" s="139"/>
      <c r="CW10" s="86"/>
      <c r="CX10" s="86"/>
      <c r="CY10" s="86"/>
      <c r="CZ10" s="86"/>
      <c r="DA10" s="86"/>
      <c r="DB10" s="86"/>
      <c r="DC10" s="86"/>
      <c r="DD10" s="86"/>
      <c r="DE10" s="86"/>
      <c r="DF10" s="86"/>
      <c r="DG10" s="86"/>
      <c r="DH10" s="86"/>
      <c r="DI10" s="86"/>
      <c r="DJ10" s="161"/>
    </row>
    <row r="11" spans="1:114" x14ac:dyDescent="0.2">
      <c r="B11" s="59" t="s">
        <v>12</v>
      </c>
      <c r="C11" s="13"/>
      <c r="D11" s="13"/>
      <c r="E11" s="13"/>
      <c r="F11" s="13"/>
      <c r="G11" s="13"/>
      <c r="H11" s="13"/>
      <c r="I11" s="13"/>
      <c r="J11" s="13"/>
      <c r="K11" s="13"/>
      <c r="L11" s="13"/>
      <c r="M11" s="13"/>
      <c r="N11" s="13"/>
      <c r="O11" s="13"/>
      <c r="P11" s="38"/>
      <c r="Q11" s="59" t="s">
        <v>307</v>
      </c>
      <c r="R11" s="13"/>
      <c r="S11" s="13"/>
      <c r="T11" s="13"/>
      <c r="U11" s="13"/>
      <c r="V11" s="13"/>
      <c r="W11" s="13"/>
      <c r="X11" s="13"/>
      <c r="Y11" s="13"/>
      <c r="Z11" s="13"/>
      <c r="AA11" s="13"/>
      <c r="AB11" s="13"/>
      <c r="AC11" s="13"/>
      <c r="AD11" s="13"/>
      <c r="AE11" s="13"/>
      <c r="AF11" s="38"/>
      <c r="AH11" s="13"/>
      <c r="AI11" s="13"/>
      <c r="AJ11" s="13"/>
      <c r="AK11" s="13"/>
      <c r="AL11" s="13"/>
      <c r="AM11" s="13"/>
      <c r="AN11" s="13"/>
      <c r="AO11" s="13"/>
      <c r="AP11" s="13"/>
      <c r="AQ11" s="13"/>
      <c r="AR11" s="13"/>
      <c r="AS11" s="13"/>
      <c r="AT11" s="13"/>
      <c r="AU11" s="13"/>
      <c r="AV11" s="38"/>
      <c r="AW11" s="59"/>
      <c r="AX11" s="13"/>
      <c r="AY11" s="13"/>
      <c r="AZ11" s="13"/>
      <c r="BA11" s="13"/>
      <c r="BB11" s="13"/>
      <c r="BC11" s="13"/>
      <c r="BD11" s="13"/>
      <c r="BE11" s="13"/>
      <c r="BF11" s="13"/>
      <c r="BG11" s="13"/>
      <c r="BH11" s="13"/>
      <c r="BI11" s="13"/>
      <c r="BJ11" s="13"/>
      <c r="BK11" s="13"/>
      <c r="BL11" s="13"/>
      <c r="BM11" s="59"/>
      <c r="BN11" s="13"/>
      <c r="BO11" s="13"/>
      <c r="BP11" s="13"/>
      <c r="BQ11" s="13"/>
      <c r="BR11" s="13"/>
      <c r="BS11" s="13"/>
      <c r="BT11" s="13"/>
      <c r="BU11" s="13"/>
      <c r="BV11" s="13"/>
      <c r="BW11" s="13"/>
      <c r="BX11" s="13"/>
      <c r="BY11" s="24"/>
      <c r="BZ11" s="24"/>
      <c r="CA11" s="24"/>
      <c r="CB11" s="191"/>
      <c r="CC11" s="140" t="s">
        <v>374</v>
      </c>
      <c r="CT11" s="140"/>
      <c r="CU11" s="139"/>
      <c r="CV11" s="139"/>
      <c r="CW11" s="86"/>
      <c r="CX11" s="86"/>
      <c r="CY11" s="86"/>
      <c r="CZ11" s="86"/>
      <c r="DA11" s="86"/>
      <c r="DB11" s="86"/>
      <c r="DC11" s="86"/>
      <c r="DD11" s="86"/>
      <c r="DE11" s="86"/>
      <c r="DF11" s="86"/>
      <c r="DG11" s="86"/>
      <c r="DH11" s="86"/>
      <c r="DI11" s="86"/>
      <c r="DJ11" s="161"/>
    </row>
    <row r="12" spans="1:114" x14ac:dyDescent="0.2">
      <c r="B12" s="13"/>
      <c r="C12" s="13"/>
      <c r="D12" s="13"/>
      <c r="E12" s="13"/>
      <c r="F12" s="13"/>
      <c r="G12" s="13"/>
      <c r="H12" s="13"/>
      <c r="I12" s="13"/>
      <c r="J12" s="13"/>
      <c r="K12" s="13"/>
      <c r="L12" s="13"/>
      <c r="M12" s="13"/>
      <c r="N12" s="13"/>
      <c r="O12" s="13"/>
      <c r="P12" s="38"/>
      <c r="Q12" s="13"/>
      <c r="R12" s="13"/>
      <c r="S12" s="13"/>
      <c r="T12" s="13"/>
      <c r="U12" s="13"/>
      <c r="V12" s="13"/>
      <c r="W12" s="13"/>
      <c r="X12" s="13"/>
      <c r="Y12" s="13"/>
      <c r="Z12" s="13"/>
      <c r="AA12" s="13"/>
      <c r="AB12" s="13"/>
      <c r="AC12" s="13"/>
      <c r="AD12" s="13"/>
      <c r="AE12" s="13"/>
      <c r="AF12" s="38"/>
      <c r="AG12" s="8"/>
      <c r="AH12" s="13"/>
      <c r="AI12" s="13"/>
      <c r="AJ12" s="13"/>
      <c r="AK12" s="13"/>
      <c r="AL12" s="13"/>
      <c r="AM12" s="13"/>
      <c r="AN12" s="13"/>
      <c r="AO12" s="13"/>
      <c r="AP12" s="13"/>
      <c r="AQ12" s="13"/>
      <c r="AR12" s="13"/>
      <c r="AS12" s="13"/>
      <c r="AT12" s="13"/>
      <c r="AU12" s="13"/>
      <c r="AV12" s="38"/>
      <c r="AX12" s="13"/>
      <c r="AY12" s="13"/>
      <c r="AZ12" s="13"/>
      <c r="BA12" s="13"/>
      <c r="BB12" s="13"/>
      <c r="BC12" s="13"/>
      <c r="BD12" s="13"/>
      <c r="BE12" s="13"/>
      <c r="BF12" s="13"/>
      <c r="BG12" s="13"/>
      <c r="BH12" s="13"/>
      <c r="BI12" s="13"/>
      <c r="BJ12" s="13"/>
      <c r="BK12" s="13"/>
      <c r="BL12" s="13"/>
      <c r="BN12" s="13"/>
      <c r="BO12" s="13"/>
      <c r="BP12" s="13"/>
      <c r="BQ12" s="13"/>
      <c r="BR12" s="13"/>
      <c r="BS12" s="13"/>
      <c r="BT12" s="13"/>
      <c r="BU12" s="13"/>
      <c r="BV12" s="13"/>
      <c r="BW12" s="13"/>
      <c r="BX12" s="13"/>
      <c r="BY12" s="13"/>
      <c r="BZ12" s="13"/>
      <c r="CA12" s="13"/>
      <c r="CB12" s="13"/>
      <c r="CD12" s="39"/>
      <c r="CE12" s="39"/>
      <c r="CF12" s="39"/>
      <c r="CG12" s="39"/>
      <c r="CH12" s="39"/>
      <c r="CI12" s="39"/>
      <c r="CJ12" s="39"/>
      <c r="CK12" s="39"/>
      <c r="CL12" s="39"/>
      <c r="CM12" s="39"/>
      <c r="CN12" s="39"/>
      <c r="CO12" s="13"/>
      <c r="CP12" s="13"/>
      <c r="CQ12" s="13"/>
      <c r="CR12" s="38"/>
      <c r="CS12" s="39"/>
      <c r="CU12" s="139"/>
      <c r="CV12" s="139"/>
      <c r="CW12" s="86"/>
      <c r="CX12" s="86"/>
      <c r="CY12" s="86"/>
      <c r="CZ12" s="86"/>
      <c r="DA12" s="86"/>
      <c r="DB12" s="86"/>
      <c r="DC12" s="86"/>
      <c r="DD12" s="86"/>
      <c r="DE12" s="86"/>
      <c r="DF12" s="86"/>
      <c r="DG12" s="86"/>
      <c r="DH12" s="86"/>
      <c r="DI12" s="86"/>
      <c r="DJ12" s="161"/>
    </row>
    <row r="13" spans="1:114" x14ac:dyDescent="0.2">
      <c r="B13" s="13"/>
      <c r="C13" s="13"/>
      <c r="D13" s="13"/>
      <c r="E13" s="13"/>
      <c r="F13" s="13"/>
      <c r="G13" s="13"/>
      <c r="H13" s="13"/>
      <c r="I13" s="13"/>
      <c r="J13" s="13"/>
      <c r="K13" s="13"/>
      <c r="L13" s="13"/>
      <c r="M13" s="13"/>
      <c r="N13" s="13"/>
      <c r="O13" s="13"/>
      <c r="P13" s="38"/>
      <c r="Q13" s="13"/>
      <c r="R13" s="13"/>
      <c r="S13" s="13"/>
      <c r="T13" s="13"/>
      <c r="U13" s="13"/>
      <c r="V13" s="13"/>
      <c r="W13" s="13"/>
      <c r="X13" s="13"/>
      <c r="Y13" s="13"/>
      <c r="Z13" s="13"/>
      <c r="AA13" s="13"/>
      <c r="AB13" s="13"/>
      <c r="AC13" s="13"/>
      <c r="AD13" s="13"/>
      <c r="AE13" s="13"/>
      <c r="AF13" s="38"/>
      <c r="AG13" s="13"/>
      <c r="AH13" s="13"/>
      <c r="AI13" s="13"/>
      <c r="AJ13" s="13"/>
      <c r="AK13" s="13"/>
      <c r="AL13" s="13"/>
      <c r="AM13" s="13"/>
      <c r="AN13" s="13"/>
      <c r="AO13" s="13"/>
      <c r="AP13" s="13"/>
      <c r="AQ13" s="13"/>
      <c r="AR13" s="13"/>
      <c r="AS13" s="13"/>
      <c r="AT13" s="13"/>
      <c r="AU13" s="13"/>
      <c r="AV13" s="38"/>
      <c r="AW13" s="8" t="s">
        <v>261</v>
      </c>
      <c r="AX13" s="13"/>
      <c r="AY13" s="13"/>
      <c r="AZ13" s="13"/>
      <c r="BA13" s="13"/>
      <c r="BB13" s="13"/>
      <c r="BC13" s="13"/>
      <c r="BD13" s="13"/>
      <c r="BE13" s="13"/>
      <c r="BF13" s="13"/>
      <c r="BG13" s="13"/>
      <c r="BH13" s="13"/>
      <c r="BI13" s="13"/>
      <c r="BJ13" s="13"/>
      <c r="BK13" s="13"/>
      <c r="BL13" s="13"/>
      <c r="BM13" s="8" t="s">
        <v>262</v>
      </c>
      <c r="BN13" s="13"/>
      <c r="BO13" s="13"/>
      <c r="BP13" s="13"/>
      <c r="BQ13" s="13"/>
      <c r="BR13" s="13"/>
      <c r="BS13" s="13"/>
      <c r="BT13" s="13"/>
      <c r="BU13" s="13"/>
      <c r="BV13" s="13"/>
      <c r="BW13" s="13"/>
      <c r="BX13" s="13"/>
      <c r="BY13" s="13"/>
      <c r="BZ13" s="13"/>
      <c r="CA13" s="13"/>
      <c r="CB13" s="13"/>
      <c r="CC13" s="39"/>
      <c r="CD13" s="39"/>
      <c r="CE13" s="39"/>
      <c r="CF13" s="39"/>
      <c r="CG13" s="39"/>
      <c r="CH13" s="39"/>
      <c r="CI13" s="39"/>
      <c r="CJ13" s="39"/>
      <c r="CK13" s="39"/>
      <c r="CL13" s="39"/>
      <c r="CM13" s="39"/>
      <c r="CN13" s="39"/>
      <c r="CO13" s="13"/>
      <c r="CP13" s="13"/>
      <c r="CQ13" s="13"/>
      <c r="CR13" s="38"/>
      <c r="CS13" s="39"/>
      <c r="CT13" s="131"/>
      <c r="CU13" s="139"/>
      <c r="CV13" s="139"/>
      <c r="CW13" s="86"/>
      <c r="CX13" s="86"/>
      <c r="CY13" s="86"/>
      <c r="CZ13" s="86"/>
      <c r="DA13" s="86"/>
      <c r="DB13" s="86"/>
      <c r="DC13" s="86"/>
      <c r="DD13" s="86"/>
      <c r="DE13" s="86"/>
      <c r="DF13" s="86"/>
      <c r="DG13" s="86"/>
      <c r="DH13" s="86"/>
      <c r="DI13" s="86"/>
      <c r="DJ13" s="161"/>
    </row>
    <row r="14" spans="1:114" x14ac:dyDescent="0.2">
      <c r="A14" s="141"/>
      <c r="B14" s="141"/>
      <c r="C14" s="141"/>
      <c r="D14" s="141"/>
      <c r="E14" s="141"/>
      <c r="F14" s="141"/>
      <c r="G14" s="141"/>
      <c r="H14" s="141"/>
      <c r="I14" s="141"/>
      <c r="J14" s="141"/>
      <c r="K14" s="141"/>
      <c r="L14" s="141"/>
      <c r="M14" s="141"/>
      <c r="N14" s="141"/>
      <c r="O14" s="141"/>
      <c r="P14" s="150"/>
      <c r="Q14" s="141"/>
      <c r="R14" s="141"/>
      <c r="S14" s="141"/>
      <c r="T14" s="141"/>
      <c r="U14" s="141"/>
      <c r="V14" s="141"/>
      <c r="W14" s="141"/>
      <c r="X14" s="141"/>
      <c r="Y14" s="141"/>
      <c r="Z14" s="141"/>
      <c r="AA14" s="141"/>
      <c r="AB14" s="141"/>
      <c r="AC14" s="141"/>
      <c r="AD14" s="141"/>
      <c r="AE14" s="141"/>
      <c r="AF14" s="150"/>
      <c r="AG14" s="141"/>
      <c r="AH14" s="141"/>
      <c r="AI14" s="141"/>
      <c r="AJ14" s="141"/>
      <c r="AK14" s="141"/>
      <c r="AL14" s="141"/>
      <c r="AM14" s="141"/>
      <c r="AN14" s="141"/>
      <c r="AO14" s="141"/>
      <c r="AP14" s="141"/>
      <c r="AQ14" s="141"/>
      <c r="AR14" s="141"/>
      <c r="AS14" s="141"/>
      <c r="AT14" s="141"/>
      <c r="AU14" s="141"/>
      <c r="AV14" s="150"/>
      <c r="AW14" s="141"/>
      <c r="AX14" s="141"/>
      <c r="AY14" s="141"/>
      <c r="AZ14" s="141"/>
      <c r="BA14" s="141"/>
      <c r="BB14" s="141"/>
      <c r="BC14" s="141"/>
      <c r="BD14" s="141"/>
      <c r="BE14" s="141"/>
      <c r="BF14" s="141"/>
      <c r="BG14" s="141"/>
      <c r="BH14" s="141"/>
      <c r="BI14" s="141"/>
      <c r="BJ14" s="141"/>
      <c r="BK14" s="141"/>
      <c r="BL14" s="141"/>
      <c r="BM14" s="141"/>
      <c r="BN14" s="141"/>
      <c r="BO14" s="141"/>
      <c r="BP14" s="141"/>
      <c r="BQ14" s="141"/>
      <c r="BR14" s="141"/>
      <c r="BS14" s="141"/>
      <c r="BT14" s="141"/>
      <c r="BU14" s="141"/>
      <c r="BV14" s="141"/>
      <c r="BW14" s="141"/>
      <c r="BX14" s="141"/>
      <c r="BY14" s="141"/>
      <c r="BZ14" s="141"/>
      <c r="CA14" s="141"/>
      <c r="CB14" s="141"/>
      <c r="CC14" s="142"/>
      <c r="CD14" s="142"/>
      <c r="CE14" s="142"/>
      <c r="CF14" s="142"/>
      <c r="CG14" s="142"/>
      <c r="CH14" s="142"/>
      <c r="CI14" s="142"/>
      <c r="CJ14" s="142"/>
      <c r="CK14" s="142"/>
      <c r="CL14" s="142"/>
      <c r="CM14" s="142"/>
      <c r="CN14" s="142"/>
      <c r="CO14" s="141"/>
      <c r="CP14" s="141"/>
      <c r="CQ14" s="141"/>
      <c r="CR14" s="150"/>
      <c r="CS14" s="142"/>
      <c r="CT14" s="143"/>
      <c r="CU14" s="144"/>
      <c r="CV14" s="144"/>
      <c r="CW14" s="145"/>
      <c r="CX14" s="145"/>
      <c r="CY14" s="145"/>
      <c r="CZ14" s="145"/>
      <c r="DA14" s="145"/>
      <c r="DB14" s="145"/>
      <c r="DC14" s="145"/>
      <c r="DD14" s="145"/>
      <c r="DE14" s="145"/>
      <c r="DF14" s="145"/>
      <c r="DG14" s="145"/>
      <c r="DH14" s="145"/>
      <c r="DI14" s="145"/>
      <c r="DJ14" s="162"/>
    </row>
    <row r="15" spans="1:114" x14ac:dyDescent="0.2">
      <c r="A15" s="116"/>
      <c r="B15" s="117"/>
      <c r="C15" s="117"/>
      <c r="D15" s="117"/>
      <c r="E15" s="117"/>
      <c r="F15" s="117"/>
      <c r="G15" s="117"/>
      <c r="H15" s="117"/>
      <c r="I15" s="117"/>
      <c r="J15" s="117"/>
      <c r="K15" s="117"/>
      <c r="L15" s="117"/>
      <c r="M15" s="113"/>
      <c r="N15" s="113"/>
      <c r="O15" s="113"/>
      <c r="P15" s="114" t="s">
        <v>98</v>
      </c>
      <c r="Q15" s="116"/>
      <c r="R15" s="117"/>
      <c r="S15" s="117"/>
      <c r="T15" s="117"/>
      <c r="U15" s="117"/>
      <c r="V15" s="117"/>
      <c r="W15" s="117"/>
      <c r="X15" s="117"/>
      <c r="Y15" s="117"/>
      <c r="Z15" s="117"/>
      <c r="AA15" s="117"/>
      <c r="AB15" s="117"/>
      <c r="AC15" s="113"/>
      <c r="AD15" s="113"/>
      <c r="AE15" s="113"/>
      <c r="AF15" s="114" t="s">
        <v>98</v>
      </c>
      <c r="AG15" s="116"/>
      <c r="AH15" s="117"/>
      <c r="AI15" s="117"/>
      <c r="AJ15" s="117"/>
      <c r="AK15" s="117"/>
      <c r="AL15" s="117"/>
      <c r="AM15" s="117"/>
      <c r="AN15" s="117"/>
      <c r="AO15" s="117"/>
      <c r="AP15" s="117"/>
      <c r="AQ15" s="117"/>
      <c r="AR15" s="117"/>
      <c r="AS15" s="113"/>
      <c r="AT15" s="113"/>
      <c r="AU15" s="113"/>
      <c r="AV15" s="114" t="s">
        <v>98</v>
      </c>
      <c r="AW15" s="116"/>
      <c r="AX15" s="117"/>
      <c r="AY15" s="117"/>
      <c r="AZ15" s="117"/>
      <c r="BA15" s="117"/>
      <c r="BB15" s="117"/>
      <c r="BC15" s="117"/>
      <c r="BD15" s="117"/>
      <c r="BE15" s="117"/>
      <c r="BF15" s="117"/>
      <c r="BG15" s="117"/>
      <c r="BH15" s="117"/>
      <c r="BI15" s="113"/>
      <c r="BJ15" s="113"/>
      <c r="BK15" s="113"/>
      <c r="BL15" s="114" t="s">
        <v>98</v>
      </c>
      <c r="BM15" s="116"/>
      <c r="BN15" s="117"/>
      <c r="BO15" s="117"/>
      <c r="BP15" s="117"/>
      <c r="BQ15" s="117"/>
      <c r="BR15" s="117"/>
      <c r="BS15" s="117"/>
      <c r="BT15" s="117"/>
      <c r="BU15" s="117"/>
      <c r="BV15" s="117"/>
      <c r="BW15" s="117"/>
      <c r="BX15" s="117"/>
      <c r="BY15" s="113"/>
      <c r="BZ15" s="113"/>
      <c r="CA15" s="113"/>
      <c r="CB15" s="120" t="s">
        <v>99</v>
      </c>
      <c r="CC15" s="116"/>
      <c r="CD15" s="117"/>
      <c r="CE15" s="117"/>
      <c r="CF15" s="117"/>
      <c r="CG15" s="117"/>
      <c r="CH15" s="117"/>
      <c r="CI15" s="117"/>
      <c r="CJ15" s="117"/>
      <c r="CK15" s="117"/>
      <c r="CL15" s="117"/>
      <c r="CM15" s="117"/>
      <c r="CN15" s="117"/>
      <c r="CO15" s="113"/>
      <c r="CP15" s="113"/>
      <c r="CQ15" s="113"/>
      <c r="CR15" s="120" t="s">
        <v>99</v>
      </c>
      <c r="CS15" s="116"/>
      <c r="CT15" s="116"/>
      <c r="CU15" s="117" t="s">
        <v>571</v>
      </c>
      <c r="CV15" s="117"/>
      <c r="CW15" s="117"/>
      <c r="CX15" s="117"/>
      <c r="CY15" s="117"/>
      <c r="CZ15" s="117"/>
      <c r="DA15" s="117"/>
      <c r="DB15" s="117"/>
      <c r="DC15" s="117"/>
      <c r="DD15" s="117"/>
      <c r="DE15" s="117"/>
      <c r="DF15" s="117"/>
      <c r="DG15" s="113"/>
      <c r="DH15" s="113"/>
      <c r="DI15" s="113"/>
      <c r="DJ15" s="120" t="s">
        <v>99</v>
      </c>
    </row>
    <row r="16" spans="1:114" x14ac:dyDescent="0.2">
      <c r="A16" s="7"/>
      <c r="B16" s="7"/>
      <c r="C16" s="7"/>
      <c r="D16" s="7"/>
      <c r="BL16"/>
      <c r="CB16"/>
      <c r="DJ16" s="94"/>
    </row>
    <row r="17" spans="2:114" x14ac:dyDescent="0.2">
      <c r="B17" s="64" t="s">
        <v>238</v>
      </c>
      <c r="C17" s="262" t="s">
        <v>35</v>
      </c>
      <c r="D17" s="262" t="s">
        <v>121</v>
      </c>
      <c r="E17" s="262" t="s">
        <v>123</v>
      </c>
      <c r="F17" s="262" t="s">
        <v>36</v>
      </c>
      <c r="G17" s="262" t="s">
        <v>37</v>
      </c>
      <c r="H17" s="262" t="s">
        <v>38</v>
      </c>
      <c r="I17" s="262" t="s">
        <v>39</v>
      </c>
      <c r="J17" s="262" t="s">
        <v>125</v>
      </c>
      <c r="K17" s="262" t="s">
        <v>126</v>
      </c>
      <c r="L17" s="262" t="s">
        <v>127</v>
      </c>
      <c r="M17" s="263">
        <v>100000</v>
      </c>
      <c r="N17" s="264" t="s">
        <v>228</v>
      </c>
      <c r="O17" s="264" t="s">
        <v>228</v>
      </c>
      <c r="P17" s="264" t="s">
        <v>77</v>
      </c>
      <c r="R17" s="64" t="s">
        <v>238</v>
      </c>
      <c r="S17" s="262" t="s">
        <v>35</v>
      </c>
      <c r="T17" s="262" t="s">
        <v>121</v>
      </c>
      <c r="U17" s="262" t="s">
        <v>123</v>
      </c>
      <c r="V17" s="262" t="s">
        <v>36</v>
      </c>
      <c r="W17" s="262" t="s">
        <v>37</v>
      </c>
      <c r="X17" s="262" t="s">
        <v>38</v>
      </c>
      <c r="Y17" s="262" t="s">
        <v>39</v>
      </c>
      <c r="Z17" s="262" t="s">
        <v>125</v>
      </c>
      <c r="AA17" s="262" t="s">
        <v>126</v>
      </c>
      <c r="AB17" s="262" t="s">
        <v>127</v>
      </c>
      <c r="AC17" s="263">
        <v>100000</v>
      </c>
      <c r="AD17" s="264" t="s">
        <v>228</v>
      </c>
      <c r="AE17" s="264" t="s">
        <v>228</v>
      </c>
      <c r="AF17" s="264" t="s">
        <v>77</v>
      </c>
      <c r="AH17" s="64" t="s">
        <v>238</v>
      </c>
      <c r="AI17" s="262" t="s">
        <v>35</v>
      </c>
      <c r="AJ17" s="262" t="s">
        <v>121</v>
      </c>
      <c r="AK17" s="262" t="s">
        <v>123</v>
      </c>
      <c r="AL17" s="262" t="s">
        <v>36</v>
      </c>
      <c r="AM17" s="262" t="s">
        <v>37</v>
      </c>
      <c r="AN17" s="262" t="s">
        <v>38</v>
      </c>
      <c r="AO17" s="262" t="s">
        <v>39</v>
      </c>
      <c r="AP17" s="262" t="s">
        <v>125</v>
      </c>
      <c r="AQ17" s="262" t="s">
        <v>126</v>
      </c>
      <c r="AR17" s="262" t="s">
        <v>127</v>
      </c>
      <c r="AS17" s="263">
        <v>100000</v>
      </c>
      <c r="AT17" s="264" t="s">
        <v>228</v>
      </c>
      <c r="AU17" s="264" t="s">
        <v>228</v>
      </c>
      <c r="AV17" s="264" t="s">
        <v>77</v>
      </c>
      <c r="AX17" s="64" t="s">
        <v>238</v>
      </c>
      <c r="AY17" s="262" t="s">
        <v>35</v>
      </c>
      <c r="AZ17" s="262" t="s">
        <v>121</v>
      </c>
      <c r="BA17" s="262" t="s">
        <v>123</v>
      </c>
      <c r="BB17" s="262" t="s">
        <v>36</v>
      </c>
      <c r="BC17" s="262" t="s">
        <v>37</v>
      </c>
      <c r="BD17" s="262" t="s">
        <v>38</v>
      </c>
      <c r="BE17" s="262" t="s">
        <v>39</v>
      </c>
      <c r="BF17" s="262" t="s">
        <v>125</v>
      </c>
      <c r="BG17" s="262" t="s">
        <v>126</v>
      </c>
      <c r="BH17" s="262" t="s">
        <v>127</v>
      </c>
      <c r="BI17" s="263">
        <v>100000</v>
      </c>
      <c r="BJ17" s="264" t="s">
        <v>228</v>
      </c>
      <c r="BK17" s="264" t="s">
        <v>228</v>
      </c>
      <c r="BL17" s="264" t="s">
        <v>77</v>
      </c>
      <c r="BN17" s="64" t="s">
        <v>238</v>
      </c>
      <c r="BO17" s="262" t="s">
        <v>35</v>
      </c>
      <c r="BP17" s="262" t="s">
        <v>121</v>
      </c>
      <c r="BQ17" s="262" t="s">
        <v>123</v>
      </c>
      <c r="BR17" s="262" t="s">
        <v>36</v>
      </c>
      <c r="BS17" s="262" t="s">
        <v>37</v>
      </c>
      <c r="BT17" s="262" t="s">
        <v>38</v>
      </c>
      <c r="BU17" s="262" t="s">
        <v>39</v>
      </c>
      <c r="BV17" s="262" t="s">
        <v>125</v>
      </c>
      <c r="BW17" s="262" t="s">
        <v>126</v>
      </c>
      <c r="BX17" s="262" t="s">
        <v>127</v>
      </c>
      <c r="BY17" s="263">
        <v>100000</v>
      </c>
      <c r="BZ17" s="264" t="s">
        <v>228</v>
      </c>
      <c r="CA17" s="264" t="s">
        <v>228</v>
      </c>
      <c r="CB17" s="264" t="s">
        <v>77</v>
      </c>
      <c r="CD17" s="64" t="s">
        <v>238</v>
      </c>
      <c r="CE17" s="262" t="s">
        <v>35</v>
      </c>
      <c r="CF17" s="262" t="s">
        <v>121</v>
      </c>
      <c r="CG17" s="262" t="s">
        <v>123</v>
      </c>
      <c r="CH17" s="262" t="s">
        <v>36</v>
      </c>
      <c r="CI17" s="262" t="s">
        <v>37</v>
      </c>
      <c r="CJ17" s="262" t="s">
        <v>38</v>
      </c>
      <c r="CK17" s="262" t="s">
        <v>39</v>
      </c>
      <c r="CL17" s="262" t="s">
        <v>125</v>
      </c>
      <c r="CM17" s="262" t="s">
        <v>126</v>
      </c>
      <c r="CN17" s="262" t="s">
        <v>127</v>
      </c>
      <c r="CO17" s="263">
        <v>100000</v>
      </c>
      <c r="CP17" s="264" t="s">
        <v>228</v>
      </c>
      <c r="CQ17" s="264" t="s">
        <v>228</v>
      </c>
      <c r="CR17" s="264" t="s">
        <v>77</v>
      </c>
      <c r="CU17" s="64" t="s">
        <v>88</v>
      </c>
      <c r="CV17" s="64" t="s">
        <v>238</v>
      </c>
      <c r="CW17" s="262" t="s">
        <v>35</v>
      </c>
      <c r="CX17" s="262" t="s">
        <v>121</v>
      </c>
      <c r="CY17" s="262" t="s">
        <v>123</v>
      </c>
      <c r="CZ17" s="262" t="s">
        <v>36</v>
      </c>
      <c r="DA17" s="262" t="s">
        <v>37</v>
      </c>
      <c r="DB17" s="262" t="s">
        <v>38</v>
      </c>
      <c r="DC17" s="262" t="s">
        <v>39</v>
      </c>
      <c r="DD17" s="262" t="s">
        <v>125</v>
      </c>
      <c r="DE17" s="262" t="s">
        <v>126</v>
      </c>
      <c r="DF17" s="262" t="s">
        <v>127</v>
      </c>
      <c r="DG17" s="263">
        <v>100000</v>
      </c>
      <c r="DH17" s="264" t="s">
        <v>228</v>
      </c>
      <c r="DI17" s="264" t="s">
        <v>228</v>
      </c>
      <c r="DJ17" s="264" t="s">
        <v>77</v>
      </c>
    </row>
    <row r="18" spans="2:114" x14ac:dyDescent="0.2">
      <c r="B18" s="65"/>
      <c r="C18" s="261" t="s">
        <v>120</v>
      </c>
      <c r="D18" s="261" t="s">
        <v>40</v>
      </c>
      <c r="E18" s="261" t="s">
        <v>40</v>
      </c>
      <c r="F18" s="261" t="s">
        <v>40</v>
      </c>
      <c r="G18" s="261" t="s">
        <v>40</v>
      </c>
      <c r="H18" s="261" t="s">
        <v>40</v>
      </c>
      <c r="I18" s="261" t="s">
        <v>40</v>
      </c>
      <c r="J18" s="261" t="s">
        <v>40</v>
      </c>
      <c r="K18" s="261" t="s">
        <v>40</v>
      </c>
      <c r="L18" s="261" t="s">
        <v>40</v>
      </c>
      <c r="M18" s="261" t="s">
        <v>43</v>
      </c>
      <c r="N18" s="12" t="s">
        <v>230</v>
      </c>
      <c r="O18" s="12" t="s">
        <v>138</v>
      </c>
      <c r="P18" s="12" t="s">
        <v>137</v>
      </c>
      <c r="R18" s="65"/>
      <c r="S18" s="261" t="s">
        <v>120</v>
      </c>
      <c r="T18" s="261" t="s">
        <v>40</v>
      </c>
      <c r="U18" s="261" t="s">
        <v>40</v>
      </c>
      <c r="V18" s="261" t="s">
        <v>40</v>
      </c>
      <c r="W18" s="261" t="s">
        <v>40</v>
      </c>
      <c r="X18" s="261" t="s">
        <v>40</v>
      </c>
      <c r="Y18" s="261" t="s">
        <v>40</v>
      </c>
      <c r="Z18" s="261" t="s">
        <v>40</v>
      </c>
      <c r="AA18" s="261" t="s">
        <v>40</v>
      </c>
      <c r="AB18" s="261" t="s">
        <v>40</v>
      </c>
      <c r="AC18" s="261" t="s">
        <v>43</v>
      </c>
      <c r="AD18" s="12" t="s">
        <v>230</v>
      </c>
      <c r="AE18" s="12" t="s">
        <v>138</v>
      </c>
      <c r="AF18" s="12" t="s">
        <v>137</v>
      </c>
      <c r="AH18" s="65"/>
      <c r="AI18" s="261" t="s">
        <v>120</v>
      </c>
      <c r="AJ18" s="261" t="s">
        <v>40</v>
      </c>
      <c r="AK18" s="261" t="s">
        <v>40</v>
      </c>
      <c r="AL18" s="261" t="s">
        <v>40</v>
      </c>
      <c r="AM18" s="261" t="s">
        <v>40</v>
      </c>
      <c r="AN18" s="261" t="s">
        <v>40</v>
      </c>
      <c r="AO18" s="261" t="s">
        <v>40</v>
      </c>
      <c r="AP18" s="261" t="s">
        <v>40</v>
      </c>
      <c r="AQ18" s="261" t="s">
        <v>40</v>
      </c>
      <c r="AR18" s="261" t="s">
        <v>40</v>
      </c>
      <c r="AS18" s="261" t="s">
        <v>43</v>
      </c>
      <c r="AT18" s="12" t="s">
        <v>230</v>
      </c>
      <c r="AU18" s="12" t="s">
        <v>138</v>
      </c>
      <c r="AV18" s="12" t="s">
        <v>137</v>
      </c>
      <c r="AX18" s="65"/>
      <c r="AY18" s="261" t="s">
        <v>120</v>
      </c>
      <c r="AZ18" s="261" t="s">
        <v>40</v>
      </c>
      <c r="BA18" s="261" t="s">
        <v>40</v>
      </c>
      <c r="BB18" s="261" t="s">
        <v>40</v>
      </c>
      <c r="BC18" s="261" t="s">
        <v>40</v>
      </c>
      <c r="BD18" s="261" t="s">
        <v>40</v>
      </c>
      <c r="BE18" s="261" t="s">
        <v>40</v>
      </c>
      <c r="BF18" s="261" t="s">
        <v>40</v>
      </c>
      <c r="BG18" s="261" t="s">
        <v>40</v>
      </c>
      <c r="BH18" s="261" t="s">
        <v>40</v>
      </c>
      <c r="BI18" s="261" t="s">
        <v>43</v>
      </c>
      <c r="BJ18" s="12" t="s">
        <v>230</v>
      </c>
      <c r="BK18" s="12" t="s">
        <v>138</v>
      </c>
      <c r="BL18" s="12" t="s">
        <v>137</v>
      </c>
      <c r="BN18" s="65"/>
      <c r="BO18" s="261" t="s">
        <v>120</v>
      </c>
      <c r="BP18" s="261" t="s">
        <v>40</v>
      </c>
      <c r="BQ18" s="261" t="s">
        <v>40</v>
      </c>
      <c r="BR18" s="261" t="s">
        <v>40</v>
      </c>
      <c r="BS18" s="261" t="s">
        <v>40</v>
      </c>
      <c r="BT18" s="261" t="s">
        <v>40</v>
      </c>
      <c r="BU18" s="261" t="s">
        <v>40</v>
      </c>
      <c r="BV18" s="261" t="s">
        <v>40</v>
      </c>
      <c r="BW18" s="261" t="s">
        <v>40</v>
      </c>
      <c r="BX18" s="261" t="s">
        <v>40</v>
      </c>
      <c r="BY18" s="261" t="s">
        <v>43</v>
      </c>
      <c r="BZ18" s="12" t="s">
        <v>230</v>
      </c>
      <c r="CA18" s="12" t="s">
        <v>138</v>
      </c>
      <c r="CB18" s="12" t="s">
        <v>137</v>
      </c>
      <c r="CD18" s="65"/>
      <c r="CE18" s="261" t="s">
        <v>120</v>
      </c>
      <c r="CF18" s="261" t="s">
        <v>40</v>
      </c>
      <c r="CG18" s="261" t="s">
        <v>40</v>
      </c>
      <c r="CH18" s="261" t="s">
        <v>40</v>
      </c>
      <c r="CI18" s="261" t="s">
        <v>40</v>
      </c>
      <c r="CJ18" s="261" t="s">
        <v>40</v>
      </c>
      <c r="CK18" s="261" t="s">
        <v>40</v>
      </c>
      <c r="CL18" s="261" t="s">
        <v>40</v>
      </c>
      <c r="CM18" s="261" t="s">
        <v>40</v>
      </c>
      <c r="CN18" s="261" t="s">
        <v>40</v>
      </c>
      <c r="CO18" s="261" t="s">
        <v>43</v>
      </c>
      <c r="CP18" s="12" t="s">
        <v>230</v>
      </c>
      <c r="CQ18" s="12" t="s">
        <v>138</v>
      </c>
      <c r="CR18" s="12" t="s">
        <v>137</v>
      </c>
      <c r="CU18" s="65" t="s">
        <v>89</v>
      </c>
      <c r="CV18" s="65"/>
      <c r="CW18" s="261" t="s">
        <v>120</v>
      </c>
      <c r="CX18" s="261" t="s">
        <v>40</v>
      </c>
      <c r="CY18" s="261" t="s">
        <v>40</v>
      </c>
      <c r="CZ18" s="261" t="s">
        <v>40</v>
      </c>
      <c r="DA18" s="261" t="s">
        <v>40</v>
      </c>
      <c r="DB18" s="261" t="s">
        <v>40</v>
      </c>
      <c r="DC18" s="261" t="s">
        <v>40</v>
      </c>
      <c r="DD18" s="261" t="s">
        <v>40</v>
      </c>
      <c r="DE18" s="261" t="s">
        <v>40</v>
      </c>
      <c r="DF18" s="261" t="s">
        <v>40</v>
      </c>
      <c r="DG18" s="261" t="s">
        <v>43</v>
      </c>
      <c r="DH18" s="12" t="s">
        <v>230</v>
      </c>
      <c r="DI18" s="12" t="s">
        <v>138</v>
      </c>
      <c r="DJ18" s="12" t="s">
        <v>137</v>
      </c>
    </row>
    <row r="19" spans="2:114" x14ac:dyDescent="0.2">
      <c r="B19" s="66"/>
      <c r="C19" s="265" t="s">
        <v>43</v>
      </c>
      <c r="D19" s="265" t="s">
        <v>122</v>
      </c>
      <c r="E19" s="265" t="s">
        <v>124</v>
      </c>
      <c r="F19" s="265" t="s">
        <v>44</v>
      </c>
      <c r="G19" s="265" t="s">
        <v>45</v>
      </c>
      <c r="H19" s="265" t="s">
        <v>46</v>
      </c>
      <c r="I19" s="265" t="s">
        <v>42</v>
      </c>
      <c r="J19" s="265" t="s">
        <v>128</v>
      </c>
      <c r="K19" s="265" t="s">
        <v>129</v>
      </c>
      <c r="L19" s="265" t="s">
        <v>130</v>
      </c>
      <c r="M19" s="265" t="s">
        <v>131</v>
      </c>
      <c r="N19" s="266" t="s">
        <v>138</v>
      </c>
      <c r="O19" s="266" t="s">
        <v>131</v>
      </c>
      <c r="P19" s="266" t="s">
        <v>41</v>
      </c>
      <c r="R19" s="66"/>
      <c r="S19" s="265" t="s">
        <v>43</v>
      </c>
      <c r="T19" s="265" t="s">
        <v>122</v>
      </c>
      <c r="U19" s="265" t="s">
        <v>124</v>
      </c>
      <c r="V19" s="265" t="s">
        <v>44</v>
      </c>
      <c r="W19" s="265" t="s">
        <v>45</v>
      </c>
      <c r="X19" s="265" t="s">
        <v>46</v>
      </c>
      <c r="Y19" s="265" t="s">
        <v>42</v>
      </c>
      <c r="Z19" s="265" t="s">
        <v>128</v>
      </c>
      <c r="AA19" s="265" t="s">
        <v>129</v>
      </c>
      <c r="AB19" s="265" t="s">
        <v>130</v>
      </c>
      <c r="AC19" s="265" t="s">
        <v>131</v>
      </c>
      <c r="AD19" s="266" t="s">
        <v>138</v>
      </c>
      <c r="AE19" s="266" t="s">
        <v>131</v>
      </c>
      <c r="AF19" s="266" t="s">
        <v>41</v>
      </c>
      <c r="AH19" s="66"/>
      <c r="AI19" s="265" t="s">
        <v>43</v>
      </c>
      <c r="AJ19" s="265" t="s">
        <v>122</v>
      </c>
      <c r="AK19" s="265" t="s">
        <v>124</v>
      </c>
      <c r="AL19" s="265" t="s">
        <v>44</v>
      </c>
      <c r="AM19" s="265" t="s">
        <v>45</v>
      </c>
      <c r="AN19" s="265" t="s">
        <v>46</v>
      </c>
      <c r="AO19" s="265" t="s">
        <v>42</v>
      </c>
      <c r="AP19" s="265" t="s">
        <v>128</v>
      </c>
      <c r="AQ19" s="265" t="s">
        <v>129</v>
      </c>
      <c r="AR19" s="265" t="s">
        <v>130</v>
      </c>
      <c r="AS19" s="265" t="s">
        <v>131</v>
      </c>
      <c r="AT19" s="266" t="s">
        <v>138</v>
      </c>
      <c r="AU19" s="266" t="s">
        <v>131</v>
      </c>
      <c r="AV19" s="266" t="s">
        <v>41</v>
      </c>
      <c r="AX19" s="66"/>
      <c r="AY19" s="265" t="s">
        <v>43</v>
      </c>
      <c r="AZ19" s="265" t="s">
        <v>122</v>
      </c>
      <c r="BA19" s="265" t="s">
        <v>124</v>
      </c>
      <c r="BB19" s="265" t="s">
        <v>44</v>
      </c>
      <c r="BC19" s="265" t="s">
        <v>45</v>
      </c>
      <c r="BD19" s="265" t="s">
        <v>46</v>
      </c>
      <c r="BE19" s="265" t="s">
        <v>42</v>
      </c>
      <c r="BF19" s="265" t="s">
        <v>128</v>
      </c>
      <c r="BG19" s="265" t="s">
        <v>129</v>
      </c>
      <c r="BH19" s="265" t="s">
        <v>130</v>
      </c>
      <c r="BI19" s="265" t="s">
        <v>131</v>
      </c>
      <c r="BJ19" s="266" t="s">
        <v>138</v>
      </c>
      <c r="BK19" s="266" t="s">
        <v>131</v>
      </c>
      <c r="BL19" s="266" t="s">
        <v>41</v>
      </c>
      <c r="BN19" s="66"/>
      <c r="BO19" s="265" t="s">
        <v>43</v>
      </c>
      <c r="BP19" s="265" t="s">
        <v>122</v>
      </c>
      <c r="BQ19" s="265" t="s">
        <v>124</v>
      </c>
      <c r="BR19" s="265" t="s">
        <v>44</v>
      </c>
      <c r="BS19" s="265" t="s">
        <v>45</v>
      </c>
      <c r="BT19" s="265" t="s">
        <v>46</v>
      </c>
      <c r="BU19" s="265" t="s">
        <v>42</v>
      </c>
      <c r="BV19" s="265" t="s">
        <v>128</v>
      </c>
      <c r="BW19" s="265" t="s">
        <v>129</v>
      </c>
      <c r="BX19" s="265" t="s">
        <v>130</v>
      </c>
      <c r="BY19" s="265" t="s">
        <v>131</v>
      </c>
      <c r="BZ19" s="266" t="s">
        <v>138</v>
      </c>
      <c r="CA19" s="266" t="s">
        <v>131</v>
      </c>
      <c r="CB19" s="266" t="s">
        <v>41</v>
      </c>
      <c r="CD19" s="66"/>
      <c r="CE19" s="265" t="s">
        <v>43</v>
      </c>
      <c r="CF19" s="265" t="s">
        <v>122</v>
      </c>
      <c r="CG19" s="265" t="s">
        <v>124</v>
      </c>
      <c r="CH19" s="265" t="s">
        <v>44</v>
      </c>
      <c r="CI19" s="265" t="s">
        <v>45</v>
      </c>
      <c r="CJ19" s="265" t="s">
        <v>46</v>
      </c>
      <c r="CK19" s="265" t="s">
        <v>42</v>
      </c>
      <c r="CL19" s="265" t="s">
        <v>128</v>
      </c>
      <c r="CM19" s="265" t="s">
        <v>129</v>
      </c>
      <c r="CN19" s="265" t="s">
        <v>130</v>
      </c>
      <c r="CO19" s="265" t="s">
        <v>131</v>
      </c>
      <c r="CP19" s="266" t="s">
        <v>138</v>
      </c>
      <c r="CQ19" s="266" t="s">
        <v>131</v>
      </c>
      <c r="CR19" s="266" t="s">
        <v>41</v>
      </c>
      <c r="CU19" s="66"/>
      <c r="CV19" s="66"/>
      <c r="CW19" s="265" t="s">
        <v>43</v>
      </c>
      <c r="CX19" s="265" t="s">
        <v>122</v>
      </c>
      <c r="CY19" s="265" t="s">
        <v>124</v>
      </c>
      <c r="CZ19" s="265" t="s">
        <v>44</v>
      </c>
      <c r="DA19" s="265" t="s">
        <v>45</v>
      </c>
      <c r="DB19" s="265" t="s">
        <v>46</v>
      </c>
      <c r="DC19" s="265" t="s">
        <v>42</v>
      </c>
      <c r="DD19" s="265" t="s">
        <v>128</v>
      </c>
      <c r="DE19" s="265" t="s">
        <v>129</v>
      </c>
      <c r="DF19" s="265" t="s">
        <v>130</v>
      </c>
      <c r="DG19" s="265" t="s">
        <v>131</v>
      </c>
      <c r="DH19" s="266" t="s">
        <v>138</v>
      </c>
      <c r="DI19" s="266" t="s">
        <v>131</v>
      </c>
      <c r="DJ19" s="266" t="s">
        <v>41</v>
      </c>
    </row>
    <row r="20" spans="2:114" s="465" customFormat="1" ht="15.75" customHeight="1" x14ac:dyDescent="0.25">
      <c r="B20" s="606" t="s">
        <v>90</v>
      </c>
      <c r="C20" s="607">
        <v>861.59519999999998</v>
      </c>
      <c r="D20" s="607">
        <v>614.22050000000002</v>
      </c>
      <c r="E20" s="607">
        <v>482.61180000000002</v>
      </c>
      <c r="F20" s="607">
        <v>471.64569999999998</v>
      </c>
      <c r="G20" s="607">
        <v>499.19310000000002</v>
      </c>
      <c r="H20" s="607">
        <v>515.90989999999999</v>
      </c>
      <c r="I20" s="607">
        <v>520.39120000000003</v>
      </c>
      <c r="J20" s="607">
        <v>491.85919999999999</v>
      </c>
      <c r="K20" s="607">
        <v>532.32100000000003</v>
      </c>
      <c r="L20" s="607">
        <v>609.35479999999995</v>
      </c>
      <c r="M20" s="607">
        <v>583.55079999999998</v>
      </c>
      <c r="N20" s="608">
        <v>501.00069999999999</v>
      </c>
      <c r="O20" s="608">
        <v>552.25800000000004</v>
      </c>
      <c r="P20" s="609">
        <v>527.03859999999997</v>
      </c>
      <c r="R20" s="606" t="s">
        <v>90</v>
      </c>
      <c r="S20" s="607">
        <v>739.56460000000004</v>
      </c>
      <c r="T20" s="607">
        <v>519.11699999999996</v>
      </c>
      <c r="U20" s="607">
        <v>404.76150000000001</v>
      </c>
      <c r="V20" s="607">
        <v>395.68380000000002</v>
      </c>
      <c r="W20" s="607">
        <v>424.86369999999999</v>
      </c>
      <c r="X20" s="607">
        <v>439.1044</v>
      </c>
      <c r="Y20" s="607">
        <v>437.23070000000001</v>
      </c>
      <c r="Z20" s="607">
        <v>407.4083</v>
      </c>
      <c r="AA20" s="607">
        <v>430.69380000000001</v>
      </c>
      <c r="AB20" s="607">
        <v>475.41250000000002</v>
      </c>
      <c r="AC20" s="607">
        <v>466.08330000000001</v>
      </c>
      <c r="AD20" s="608">
        <v>422.50580000000002</v>
      </c>
      <c r="AE20" s="608">
        <v>443.9828</v>
      </c>
      <c r="AF20" s="609">
        <v>433.41579999999999</v>
      </c>
      <c r="AH20" s="606" t="s">
        <v>90</v>
      </c>
      <c r="AI20" s="607">
        <v>706.4049</v>
      </c>
      <c r="AJ20" s="607">
        <v>492.87990000000002</v>
      </c>
      <c r="AK20" s="607">
        <v>380.476</v>
      </c>
      <c r="AL20" s="607">
        <v>374.27949999999998</v>
      </c>
      <c r="AM20" s="607">
        <v>399.88339999999999</v>
      </c>
      <c r="AN20" s="607">
        <v>412.6318</v>
      </c>
      <c r="AO20" s="607">
        <v>410.84249999999997</v>
      </c>
      <c r="AP20" s="607">
        <v>378.86619999999999</v>
      </c>
      <c r="AQ20" s="607">
        <v>393.57639999999998</v>
      </c>
      <c r="AR20" s="607">
        <v>429.2586</v>
      </c>
      <c r="AS20" s="607">
        <v>375.0059</v>
      </c>
      <c r="AT20" s="608">
        <v>398.14299999999997</v>
      </c>
      <c r="AU20" s="608">
        <v>391.16579999999999</v>
      </c>
      <c r="AV20" s="609">
        <v>394.59870000000001</v>
      </c>
      <c r="AX20" s="606" t="s">
        <v>90</v>
      </c>
      <c r="AY20" s="607">
        <v>709.53129999999999</v>
      </c>
      <c r="AZ20" s="607">
        <v>496.16269999999997</v>
      </c>
      <c r="BA20" s="607">
        <v>384.48939999999999</v>
      </c>
      <c r="BB20" s="607">
        <v>377.78500000000003</v>
      </c>
      <c r="BC20" s="607">
        <v>405.42180000000002</v>
      </c>
      <c r="BD20" s="607">
        <v>421.1789</v>
      </c>
      <c r="BE20" s="607">
        <v>420.1848</v>
      </c>
      <c r="BF20" s="607">
        <v>388.35149999999999</v>
      </c>
      <c r="BG20" s="607">
        <v>402.55259999999998</v>
      </c>
      <c r="BH20" s="607">
        <v>441.11599999999999</v>
      </c>
      <c r="BI20" s="607">
        <v>382.35309999999998</v>
      </c>
      <c r="BJ20" s="608">
        <v>404.13409999999999</v>
      </c>
      <c r="BK20" s="608">
        <v>400.27499999999998</v>
      </c>
      <c r="BL20" s="609">
        <v>402.1737</v>
      </c>
      <c r="BN20" s="606" t="s">
        <v>90</v>
      </c>
      <c r="BO20" s="645">
        <v>46.193100000000001</v>
      </c>
      <c r="BP20" s="645">
        <v>44.625700000000002</v>
      </c>
      <c r="BQ20" s="645">
        <v>41.192100000000003</v>
      </c>
      <c r="BR20" s="645">
        <v>39.868699999999997</v>
      </c>
      <c r="BS20" s="645">
        <v>37.5426</v>
      </c>
      <c r="BT20" s="645">
        <v>34.537300000000002</v>
      </c>
      <c r="BU20" s="645">
        <v>31.8079</v>
      </c>
      <c r="BV20" s="645">
        <v>26.7075</v>
      </c>
      <c r="BW20" s="645">
        <v>25.076799999999999</v>
      </c>
      <c r="BX20" s="645">
        <v>25.324999999999999</v>
      </c>
      <c r="BY20" s="645">
        <v>19.474799999999998</v>
      </c>
      <c r="BZ20" s="646">
        <v>36.5871</v>
      </c>
      <c r="CA20" s="646">
        <v>23.510400000000001</v>
      </c>
      <c r="CB20" s="640">
        <v>28.5566</v>
      </c>
      <c r="CD20" s="606" t="s">
        <v>90</v>
      </c>
      <c r="CE20" s="645">
        <v>2.4302999999999999</v>
      </c>
      <c r="CF20" s="645">
        <v>2.9195000000000002</v>
      </c>
      <c r="CG20" s="645">
        <v>2.8932000000000002</v>
      </c>
      <c r="CH20" s="645">
        <v>2.5222000000000002</v>
      </c>
      <c r="CI20" s="645">
        <v>2.6564999999999999</v>
      </c>
      <c r="CJ20" s="645">
        <v>3.0003000000000002</v>
      </c>
      <c r="CK20" s="645">
        <v>3.1524999999999999</v>
      </c>
      <c r="CL20" s="645">
        <v>3.3628999999999998</v>
      </c>
      <c r="CM20" s="645">
        <v>3.5796999999999999</v>
      </c>
      <c r="CN20" s="645">
        <v>3.5047000000000001</v>
      </c>
      <c r="CO20" s="645">
        <v>12.3736</v>
      </c>
      <c r="CP20" s="646">
        <v>2.8138999999999998</v>
      </c>
      <c r="CQ20" s="646">
        <v>6.2727000000000004</v>
      </c>
      <c r="CR20" s="640">
        <v>4.6550000000000002</v>
      </c>
      <c r="CS20" s="465">
        <v>5.5434999999999999</v>
      </c>
      <c r="CU20" s="648" t="s">
        <v>90</v>
      </c>
      <c r="CV20" s="606" t="s">
        <v>90</v>
      </c>
      <c r="CW20" s="645">
        <v>11.364699999999999</v>
      </c>
      <c r="CX20" s="645">
        <v>12.0525</v>
      </c>
      <c r="CY20" s="645">
        <v>12.206200000000001</v>
      </c>
      <c r="CZ20" s="645">
        <v>12.9313</v>
      </c>
      <c r="DA20" s="645">
        <v>13.0945</v>
      </c>
      <c r="DB20" s="645">
        <v>14.52</v>
      </c>
      <c r="DC20" s="645">
        <v>14.1807</v>
      </c>
      <c r="DD20" s="645">
        <v>16.739799999999999</v>
      </c>
      <c r="DE20" s="645">
        <v>20.829799999999999</v>
      </c>
      <c r="DF20" s="645">
        <v>24.955300000000001</v>
      </c>
      <c r="DG20" s="645">
        <v>37.733699999999999</v>
      </c>
      <c r="DH20" s="646">
        <v>13.381399999999999</v>
      </c>
      <c r="DI20" s="646">
        <v>26.126899999999999</v>
      </c>
      <c r="DJ20" s="640">
        <v>20.165700000000001</v>
      </c>
    </row>
    <row r="21" spans="2:114" s="465" customFormat="1" ht="15.75" customHeight="1" x14ac:dyDescent="0.25">
      <c r="B21" s="610" t="s">
        <v>239</v>
      </c>
      <c r="C21" s="611">
        <v>861.59519999999998</v>
      </c>
      <c r="D21" s="611">
        <v>614.22050000000002</v>
      </c>
      <c r="E21" s="611">
        <v>482.334</v>
      </c>
      <c r="F21" s="611">
        <v>471.65429999999998</v>
      </c>
      <c r="G21" s="611">
        <v>499.64319999999998</v>
      </c>
      <c r="H21" s="611">
        <v>516.41800000000001</v>
      </c>
      <c r="I21" s="611">
        <v>515.7011</v>
      </c>
      <c r="J21" s="611">
        <v>493.32810000000001</v>
      </c>
      <c r="K21" s="611">
        <v>537.56010000000003</v>
      </c>
      <c r="L21" s="611">
        <v>617.13819999999998</v>
      </c>
      <c r="M21" s="611">
        <v>582.58460000000002</v>
      </c>
      <c r="N21" s="612">
        <v>499.81369999999998</v>
      </c>
      <c r="O21" s="612">
        <v>555.06769999999995</v>
      </c>
      <c r="P21" s="613">
        <v>527.27599999999995</v>
      </c>
      <c r="R21" s="610" t="s">
        <v>239</v>
      </c>
      <c r="S21" s="611">
        <v>739.56460000000004</v>
      </c>
      <c r="T21" s="611">
        <v>519.11699999999996</v>
      </c>
      <c r="U21" s="611">
        <v>404.49560000000002</v>
      </c>
      <c r="V21" s="611">
        <v>395.63839999999999</v>
      </c>
      <c r="W21" s="611">
        <v>425.18439999999998</v>
      </c>
      <c r="X21" s="611">
        <v>439.84019999999998</v>
      </c>
      <c r="Y21" s="611">
        <v>431.9898</v>
      </c>
      <c r="Z21" s="611">
        <v>406.91969999999998</v>
      </c>
      <c r="AA21" s="611">
        <v>434.6268</v>
      </c>
      <c r="AB21" s="611">
        <v>481.09859999999998</v>
      </c>
      <c r="AC21" s="611">
        <v>466.10140000000001</v>
      </c>
      <c r="AD21" s="612">
        <v>421.2002</v>
      </c>
      <c r="AE21" s="612">
        <v>446.02510000000001</v>
      </c>
      <c r="AF21" s="613">
        <v>433.53859999999997</v>
      </c>
      <c r="AH21" s="610" t="s">
        <v>239</v>
      </c>
      <c r="AI21" s="611">
        <v>706.4049</v>
      </c>
      <c r="AJ21" s="611">
        <v>492.87990000000002</v>
      </c>
      <c r="AK21" s="611">
        <v>380.2038</v>
      </c>
      <c r="AL21" s="611">
        <v>374.2484</v>
      </c>
      <c r="AM21" s="611">
        <v>400.10160000000002</v>
      </c>
      <c r="AN21" s="611">
        <v>413.11320000000001</v>
      </c>
      <c r="AO21" s="611">
        <v>405.35500000000002</v>
      </c>
      <c r="AP21" s="611">
        <v>378.00060000000002</v>
      </c>
      <c r="AQ21" s="611">
        <v>397.54660000000001</v>
      </c>
      <c r="AR21" s="611">
        <v>432.64260000000002</v>
      </c>
      <c r="AS21" s="611">
        <v>373.42219999999998</v>
      </c>
      <c r="AT21" s="612">
        <v>396.7484</v>
      </c>
      <c r="AU21" s="612">
        <v>391.87299999999999</v>
      </c>
      <c r="AV21" s="613">
        <v>394.3252</v>
      </c>
      <c r="AX21" s="610" t="s">
        <v>239</v>
      </c>
      <c r="AY21" s="611">
        <v>709.53129999999999</v>
      </c>
      <c r="AZ21" s="611">
        <v>496.16269999999997</v>
      </c>
      <c r="BA21" s="611">
        <v>384.21820000000002</v>
      </c>
      <c r="BB21" s="611">
        <v>377.75959999999998</v>
      </c>
      <c r="BC21" s="611">
        <v>405.63600000000002</v>
      </c>
      <c r="BD21" s="611">
        <v>421.48020000000002</v>
      </c>
      <c r="BE21" s="611">
        <v>413.72800000000001</v>
      </c>
      <c r="BF21" s="611">
        <v>387.66370000000001</v>
      </c>
      <c r="BG21" s="611">
        <v>406.36520000000002</v>
      </c>
      <c r="BH21" s="611">
        <v>445.06420000000003</v>
      </c>
      <c r="BI21" s="611">
        <v>380.85070000000002</v>
      </c>
      <c r="BJ21" s="612">
        <v>402.45240000000001</v>
      </c>
      <c r="BK21" s="612">
        <v>401.05180000000001</v>
      </c>
      <c r="BL21" s="613">
        <v>401.75630000000001</v>
      </c>
      <c r="BN21" s="610" t="s">
        <v>239</v>
      </c>
      <c r="BO21" s="633">
        <v>46.193100000000001</v>
      </c>
      <c r="BP21" s="633">
        <v>44.625700000000002</v>
      </c>
      <c r="BQ21" s="633">
        <v>41.2254</v>
      </c>
      <c r="BR21" s="633">
        <v>39.941099999999999</v>
      </c>
      <c r="BS21" s="633">
        <v>37.739400000000003</v>
      </c>
      <c r="BT21" s="633">
        <v>34.7742</v>
      </c>
      <c r="BU21" s="633">
        <v>31.522600000000001</v>
      </c>
      <c r="BV21" s="633">
        <v>26.742000000000001</v>
      </c>
      <c r="BW21" s="633">
        <v>25.383500000000002</v>
      </c>
      <c r="BX21" s="633">
        <v>25.3507</v>
      </c>
      <c r="BY21" s="633">
        <v>19.330100000000002</v>
      </c>
      <c r="BZ21" s="641">
        <v>36.645099999999999</v>
      </c>
      <c r="CA21" s="641">
        <v>23.4985</v>
      </c>
      <c r="CB21" s="634">
        <v>28.683299999999999</v>
      </c>
      <c r="CD21" s="610" t="s">
        <v>239</v>
      </c>
      <c r="CE21" s="633">
        <v>2.4302999999999999</v>
      </c>
      <c r="CF21" s="633">
        <v>2.9195000000000002</v>
      </c>
      <c r="CG21" s="633">
        <v>2.8956</v>
      </c>
      <c r="CH21" s="633">
        <v>2.5247000000000002</v>
      </c>
      <c r="CI21" s="633">
        <v>2.6654</v>
      </c>
      <c r="CJ21" s="633">
        <v>3.0285000000000002</v>
      </c>
      <c r="CK21" s="633">
        <v>3.2745000000000002</v>
      </c>
      <c r="CL21" s="633">
        <v>3.4430999999999998</v>
      </c>
      <c r="CM21" s="633">
        <v>3.6309999999999998</v>
      </c>
      <c r="CN21" s="633">
        <v>3.7989999999999999</v>
      </c>
      <c r="CO21" s="633">
        <v>12.620900000000001</v>
      </c>
      <c r="CP21" s="641">
        <v>2.8475999999999999</v>
      </c>
      <c r="CQ21" s="641">
        <v>6.4983000000000004</v>
      </c>
      <c r="CR21" s="634">
        <v>4.7576999999999998</v>
      </c>
      <c r="CU21" s="478" t="s">
        <v>91</v>
      </c>
      <c r="CV21" s="610" t="s">
        <v>239</v>
      </c>
      <c r="CW21" s="633">
        <v>11.364699999999999</v>
      </c>
      <c r="CX21" s="633">
        <v>12.0525</v>
      </c>
      <c r="CY21" s="633">
        <v>12.2164</v>
      </c>
      <c r="CZ21" s="633">
        <v>12.9518</v>
      </c>
      <c r="DA21" s="633">
        <v>13.110900000000001</v>
      </c>
      <c r="DB21" s="633">
        <v>14.529</v>
      </c>
      <c r="DC21" s="633">
        <v>14.089700000000001</v>
      </c>
      <c r="DD21" s="633">
        <v>17.162400000000002</v>
      </c>
      <c r="DE21" s="633">
        <v>20.9636</v>
      </c>
      <c r="DF21" s="633">
        <v>26.446400000000001</v>
      </c>
      <c r="DG21" s="633">
        <v>38.241300000000003</v>
      </c>
      <c r="DH21" s="641">
        <v>13.3605</v>
      </c>
      <c r="DI21" s="641">
        <v>26.776599999999998</v>
      </c>
      <c r="DJ21" s="634">
        <v>20.38</v>
      </c>
    </row>
    <row r="22" spans="2:114" s="465" customFormat="1" ht="15.75" customHeight="1" x14ac:dyDescent="0.25">
      <c r="B22" s="614" t="s">
        <v>501</v>
      </c>
      <c r="C22" s="615"/>
      <c r="D22" s="615"/>
      <c r="E22" s="615"/>
      <c r="F22" s="615"/>
      <c r="G22" s="615"/>
      <c r="H22" s="615"/>
      <c r="I22" s="615"/>
      <c r="J22" s="615"/>
      <c r="K22" s="615"/>
      <c r="L22" s="615"/>
      <c r="M22" s="615"/>
      <c r="N22" s="616"/>
      <c r="O22" s="616"/>
      <c r="P22" s="617"/>
      <c r="R22" s="614" t="s">
        <v>501</v>
      </c>
      <c r="S22" s="615"/>
      <c r="T22" s="615"/>
      <c r="U22" s="615"/>
      <c r="V22" s="615"/>
      <c r="W22" s="615"/>
      <c r="X22" s="615"/>
      <c r="Y22" s="615"/>
      <c r="Z22" s="615"/>
      <c r="AA22" s="615"/>
      <c r="AB22" s="615"/>
      <c r="AC22" s="615"/>
      <c r="AD22" s="616"/>
      <c r="AE22" s="616"/>
      <c r="AF22" s="617"/>
      <c r="AH22" s="614" t="s">
        <v>501</v>
      </c>
      <c r="AI22" s="615"/>
      <c r="AJ22" s="615"/>
      <c r="AK22" s="615"/>
      <c r="AL22" s="615"/>
      <c r="AM22" s="615"/>
      <c r="AN22" s="615"/>
      <c r="AO22" s="615"/>
      <c r="AP22" s="615"/>
      <c r="AQ22" s="615"/>
      <c r="AR22" s="615"/>
      <c r="AS22" s="615"/>
      <c r="AT22" s="616"/>
      <c r="AU22" s="616"/>
      <c r="AV22" s="617"/>
      <c r="AX22" s="614" t="s">
        <v>501</v>
      </c>
      <c r="AY22" s="615"/>
      <c r="AZ22" s="615"/>
      <c r="BA22" s="615"/>
      <c r="BB22" s="615"/>
      <c r="BC22" s="615"/>
      <c r="BD22" s="615"/>
      <c r="BE22" s="615"/>
      <c r="BF22" s="615"/>
      <c r="BG22" s="615"/>
      <c r="BH22" s="615"/>
      <c r="BI22" s="615"/>
      <c r="BJ22" s="616"/>
      <c r="BK22" s="616"/>
      <c r="BL22" s="617"/>
      <c r="BN22" s="614" t="s">
        <v>501</v>
      </c>
      <c r="BO22" s="635"/>
      <c r="BP22" s="635"/>
      <c r="BQ22" s="635"/>
      <c r="BR22" s="635"/>
      <c r="BS22" s="635"/>
      <c r="BT22" s="635"/>
      <c r="BU22" s="635"/>
      <c r="BV22" s="635"/>
      <c r="BW22" s="635"/>
      <c r="BX22" s="635"/>
      <c r="BY22" s="635"/>
      <c r="BZ22" s="642"/>
      <c r="CA22" s="642"/>
      <c r="CB22" s="636"/>
      <c r="CD22" s="614" t="s">
        <v>501</v>
      </c>
      <c r="CE22" s="635"/>
      <c r="CF22" s="635"/>
      <c r="CG22" s="635"/>
      <c r="CH22" s="635"/>
      <c r="CI22" s="635"/>
      <c r="CJ22" s="635"/>
      <c r="CK22" s="635"/>
      <c r="CL22" s="635"/>
      <c r="CM22" s="635"/>
      <c r="CN22" s="635"/>
      <c r="CO22" s="635"/>
      <c r="CP22" s="642"/>
      <c r="CQ22" s="642"/>
      <c r="CR22" s="636"/>
      <c r="CU22" s="618" t="s">
        <v>47</v>
      </c>
      <c r="CV22" s="614" t="s">
        <v>501</v>
      </c>
      <c r="CW22" s="635"/>
      <c r="CX22" s="635"/>
      <c r="CY22" s="635"/>
      <c r="CZ22" s="635"/>
      <c r="DA22" s="635"/>
      <c r="DB22" s="635"/>
      <c r="DC22" s="635"/>
      <c r="DD22" s="635"/>
      <c r="DE22" s="635"/>
      <c r="DF22" s="635"/>
      <c r="DG22" s="635"/>
      <c r="DH22" s="642"/>
      <c r="DI22" s="642"/>
      <c r="DJ22" s="636"/>
    </row>
    <row r="23" spans="2:114" s="571" customFormat="1" ht="15.75" customHeight="1" x14ac:dyDescent="0.25">
      <c r="B23" s="618" t="s">
        <v>763</v>
      </c>
      <c r="C23" s="619">
        <v>1385.1838</v>
      </c>
      <c r="D23" s="619">
        <v>968.88009999999997</v>
      </c>
      <c r="E23" s="619">
        <v>797.74900000000002</v>
      </c>
      <c r="F23" s="619">
        <v>598.43439999999998</v>
      </c>
      <c r="G23" s="619">
        <v>602.11130000000003</v>
      </c>
      <c r="H23" s="619">
        <v>641.54679999999996</v>
      </c>
      <c r="I23" s="619">
        <v>593.33429999999998</v>
      </c>
      <c r="J23" s="619">
        <v>495.47280000000001</v>
      </c>
      <c r="K23" s="619">
        <v>514.07050000000004</v>
      </c>
      <c r="L23" s="619">
        <v>550.69259999999997</v>
      </c>
      <c r="M23" s="619">
        <v>424.72399999999999</v>
      </c>
      <c r="N23" s="620">
        <v>623.10209999999995</v>
      </c>
      <c r="O23" s="620">
        <v>478.39179999999999</v>
      </c>
      <c r="P23" s="621">
        <v>562.47439999999995</v>
      </c>
      <c r="R23" s="618" t="s">
        <v>763</v>
      </c>
      <c r="S23" s="619">
        <v>1195.8141000000001</v>
      </c>
      <c r="T23" s="619">
        <v>812.29240000000004</v>
      </c>
      <c r="U23" s="619">
        <v>666.83960000000002</v>
      </c>
      <c r="V23" s="619">
        <v>499.81709999999998</v>
      </c>
      <c r="W23" s="619">
        <v>506.85969999999998</v>
      </c>
      <c r="X23" s="619">
        <v>549.14689999999996</v>
      </c>
      <c r="Y23" s="619">
        <v>500.18610000000001</v>
      </c>
      <c r="Z23" s="619">
        <v>406.91030000000001</v>
      </c>
      <c r="AA23" s="619">
        <v>430.74099999999999</v>
      </c>
      <c r="AB23" s="619">
        <v>432.40649999999999</v>
      </c>
      <c r="AC23" s="619">
        <v>335.88830000000002</v>
      </c>
      <c r="AD23" s="620">
        <v>524.16999999999996</v>
      </c>
      <c r="AE23" s="620">
        <v>389.19850000000002</v>
      </c>
      <c r="AF23" s="621">
        <v>467.6225</v>
      </c>
      <c r="AH23" s="618" t="s">
        <v>763</v>
      </c>
      <c r="AI23" s="619">
        <v>1134.5474999999999</v>
      </c>
      <c r="AJ23" s="619">
        <v>760.99009999999998</v>
      </c>
      <c r="AK23" s="619">
        <v>629.92259999999999</v>
      </c>
      <c r="AL23" s="619">
        <v>468.28890000000001</v>
      </c>
      <c r="AM23" s="619">
        <v>471.6302</v>
      </c>
      <c r="AN23" s="619">
        <v>513.36479999999995</v>
      </c>
      <c r="AO23" s="619">
        <v>458.62830000000002</v>
      </c>
      <c r="AP23" s="619">
        <v>376.12009999999998</v>
      </c>
      <c r="AQ23" s="619">
        <v>389.13099999999997</v>
      </c>
      <c r="AR23" s="619">
        <v>389.85469999999998</v>
      </c>
      <c r="AS23" s="619">
        <v>282.50080000000003</v>
      </c>
      <c r="AT23" s="620">
        <v>488.0951</v>
      </c>
      <c r="AU23" s="620">
        <v>345.8107</v>
      </c>
      <c r="AV23" s="621">
        <v>428.48379999999997</v>
      </c>
      <c r="AX23" s="618" t="s">
        <v>763</v>
      </c>
      <c r="AY23" s="619">
        <v>1141.1655000000001</v>
      </c>
      <c r="AZ23" s="619">
        <v>766.85500000000002</v>
      </c>
      <c r="BA23" s="619">
        <v>633.59969999999998</v>
      </c>
      <c r="BB23" s="619">
        <v>470.2475</v>
      </c>
      <c r="BC23" s="619">
        <v>478.18869999999998</v>
      </c>
      <c r="BD23" s="619">
        <v>525.59159999999997</v>
      </c>
      <c r="BE23" s="619">
        <v>466.35660000000001</v>
      </c>
      <c r="BF23" s="619">
        <v>383.63049999999998</v>
      </c>
      <c r="BG23" s="619">
        <v>394.68579999999997</v>
      </c>
      <c r="BH23" s="619">
        <v>402.45389999999998</v>
      </c>
      <c r="BI23" s="619">
        <v>283.96550000000002</v>
      </c>
      <c r="BJ23" s="620">
        <v>493.83839999999998</v>
      </c>
      <c r="BK23" s="620">
        <v>350.81799999999998</v>
      </c>
      <c r="BL23" s="621">
        <v>433.9187</v>
      </c>
      <c r="BN23" s="618" t="s">
        <v>763</v>
      </c>
      <c r="BO23" s="637">
        <v>48.806199999999997</v>
      </c>
      <c r="BP23" s="637">
        <v>46.427700000000002</v>
      </c>
      <c r="BQ23" s="637">
        <v>46.605499999999999</v>
      </c>
      <c r="BR23" s="637">
        <v>43.104399999999998</v>
      </c>
      <c r="BS23" s="637">
        <v>39.188400000000001</v>
      </c>
      <c r="BT23" s="637">
        <v>40.757300000000001</v>
      </c>
      <c r="BU23" s="637">
        <v>34.952399999999997</v>
      </c>
      <c r="BV23" s="637">
        <v>26.790400000000002</v>
      </c>
      <c r="BW23" s="637">
        <v>27.638000000000002</v>
      </c>
      <c r="BX23" s="637">
        <v>22.4757</v>
      </c>
      <c r="BY23" s="637">
        <v>18.065200000000001</v>
      </c>
      <c r="BZ23" s="643">
        <v>40.093899999999998</v>
      </c>
      <c r="CA23" s="643">
        <v>23.250800000000002</v>
      </c>
      <c r="CB23" s="638">
        <v>32.194299999999998</v>
      </c>
      <c r="CD23" s="618" t="s">
        <v>763</v>
      </c>
      <c r="CE23" s="637">
        <v>1.5958000000000001</v>
      </c>
      <c r="CF23" s="637">
        <v>3.0232999999999999</v>
      </c>
      <c r="CG23" s="637">
        <v>3.1076999999999999</v>
      </c>
      <c r="CH23" s="637">
        <v>2.5002</v>
      </c>
      <c r="CI23" s="637">
        <v>2.6438999999999999</v>
      </c>
      <c r="CJ23" s="637">
        <v>2.7492999999999999</v>
      </c>
      <c r="CK23" s="637">
        <v>4.6929999999999996</v>
      </c>
      <c r="CL23" s="637">
        <v>3.7621000000000002</v>
      </c>
      <c r="CM23" s="637">
        <v>5.2838000000000003</v>
      </c>
      <c r="CN23" s="637">
        <v>1.9280999999999999</v>
      </c>
      <c r="CO23" s="637">
        <v>6.6239999999999997</v>
      </c>
      <c r="CP23" s="643">
        <v>3.1591</v>
      </c>
      <c r="CQ23" s="643">
        <v>5.0614999999999997</v>
      </c>
      <c r="CR23" s="638">
        <v>3.8370000000000002</v>
      </c>
      <c r="CU23" s="622" t="s">
        <v>48</v>
      </c>
      <c r="CV23" s="618" t="s">
        <v>763</v>
      </c>
      <c r="CW23" s="637">
        <v>8.0908999999999995</v>
      </c>
      <c r="CX23" s="637">
        <v>8.8359000000000005</v>
      </c>
      <c r="CY23" s="637">
        <v>14.0959</v>
      </c>
      <c r="CZ23" s="637">
        <v>15.1433</v>
      </c>
      <c r="DA23" s="637">
        <v>11.229799999999999</v>
      </c>
      <c r="DB23" s="637">
        <v>11.1953</v>
      </c>
      <c r="DC23" s="637">
        <v>15.32</v>
      </c>
      <c r="DD23" s="637">
        <v>17.685400000000001</v>
      </c>
      <c r="DE23" s="637">
        <v>24.056799999999999</v>
      </c>
      <c r="DF23" s="637">
        <v>14.266</v>
      </c>
      <c r="DG23" s="637">
        <v>20.937200000000001</v>
      </c>
      <c r="DH23" s="643">
        <v>13.716100000000001</v>
      </c>
      <c r="DI23" s="643">
        <v>20.558199999999999</v>
      </c>
      <c r="DJ23" s="638">
        <v>16.1541</v>
      </c>
    </row>
    <row r="24" spans="2:114" s="465" customFormat="1" ht="15.75" customHeight="1" x14ac:dyDescent="0.25">
      <c r="B24" s="622" t="s">
        <v>764</v>
      </c>
      <c r="C24" s="623">
        <v>615.2355</v>
      </c>
      <c r="D24" s="623">
        <v>553.97090000000003</v>
      </c>
      <c r="E24" s="623">
        <v>423.95299999999997</v>
      </c>
      <c r="F24" s="623">
        <v>453.83449999999999</v>
      </c>
      <c r="G24" s="623">
        <v>460.51139999999998</v>
      </c>
      <c r="H24" s="623">
        <v>491.19040000000001</v>
      </c>
      <c r="I24" s="623">
        <v>436.79399999999998</v>
      </c>
      <c r="J24" s="623">
        <v>480.84640000000002</v>
      </c>
      <c r="K24" s="623">
        <v>604.95330000000001</v>
      </c>
      <c r="L24" s="623" t="s">
        <v>102</v>
      </c>
      <c r="M24" s="623">
        <v>460.8288</v>
      </c>
      <c r="N24" s="624">
        <v>458.5043</v>
      </c>
      <c r="O24" s="624">
        <v>525.16229999999996</v>
      </c>
      <c r="P24" s="609">
        <v>476.14089999999999</v>
      </c>
      <c r="R24" s="622" t="s">
        <v>764</v>
      </c>
      <c r="S24" s="623">
        <v>523.69799999999998</v>
      </c>
      <c r="T24" s="623">
        <v>464.98689999999999</v>
      </c>
      <c r="U24" s="623">
        <v>346.66449999999998</v>
      </c>
      <c r="V24" s="623">
        <v>368.58690000000001</v>
      </c>
      <c r="W24" s="623">
        <v>392.57069999999999</v>
      </c>
      <c r="X24" s="623">
        <v>402.18759999999997</v>
      </c>
      <c r="Y24" s="623">
        <v>352.76589999999999</v>
      </c>
      <c r="Z24" s="623">
        <v>390.50979999999998</v>
      </c>
      <c r="AA24" s="623">
        <v>462.13619999999997</v>
      </c>
      <c r="AB24" s="623" t="s">
        <v>102</v>
      </c>
      <c r="AC24" s="623">
        <v>381.14659999999998</v>
      </c>
      <c r="AD24" s="624">
        <v>376.39819999999997</v>
      </c>
      <c r="AE24" s="624">
        <v>416.90750000000003</v>
      </c>
      <c r="AF24" s="609">
        <v>387.11630000000002</v>
      </c>
      <c r="AH24" s="622" t="s">
        <v>764</v>
      </c>
      <c r="AI24" s="623">
        <v>501.02330000000001</v>
      </c>
      <c r="AJ24" s="623">
        <v>439.89949999999999</v>
      </c>
      <c r="AK24" s="623">
        <v>327.08629999999999</v>
      </c>
      <c r="AL24" s="623">
        <v>346.55410000000001</v>
      </c>
      <c r="AM24" s="623">
        <v>361.4726</v>
      </c>
      <c r="AN24" s="623">
        <v>383.31689999999998</v>
      </c>
      <c r="AO24" s="623">
        <v>332.76510000000002</v>
      </c>
      <c r="AP24" s="623">
        <v>361.66640000000001</v>
      </c>
      <c r="AQ24" s="623">
        <v>427.96820000000002</v>
      </c>
      <c r="AR24" s="623" t="s">
        <v>102</v>
      </c>
      <c r="AS24" s="623">
        <v>322.08339999999998</v>
      </c>
      <c r="AT24" s="624">
        <v>354.0027</v>
      </c>
      <c r="AU24" s="624">
        <v>374.50349999999997</v>
      </c>
      <c r="AV24" s="609">
        <v>359.42689999999999</v>
      </c>
      <c r="AX24" s="622" t="s">
        <v>764</v>
      </c>
      <c r="AY24" s="623">
        <v>504.45839999999998</v>
      </c>
      <c r="AZ24" s="623">
        <v>445.0609</v>
      </c>
      <c r="BA24" s="623">
        <v>329.85980000000001</v>
      </c>
      <c r="BB24" s="623">
        <v>348.87259999999998</v>
      </c>
      <c r="BC24" s="623">
        <v>363.31889999999999</v>
      </c>
      <c r="BD24" s="623">
        <v>387.26979999999998</v>
      </c>
      <c r="BE24" s="623">
        <v>341.84140000000002</v>
      </c>
      <c r="BF24" s="623">
        <v>364.05329999999998</v>
      </c>
      <c r="BG24" s="623">
        <v>435.99509999999998</v>
      </c>
      <c r="BH24" s="623" t="s">
        <v>102</v>
      </c>
      <c r="BI24" s="623">
        <v>329.20859999999999</v>
      </c>
      <c r="BJ24" s="624">
        <v>357.66730000000001</v>
      </c>
      <c r="BK24" s="624">
        <v>381.02319999999997</v>
      </c>
      <c r="BL24" s="609">
        <v>363.84690000000001</v>
      </c>
      <c r="BN24" s="622" t="s">
        <v>764</v>
      </c>
      <c r="BO24" s="639">
        <v>37.083300000000001</v>
      </c>
      <c r="BP24" s="639">
        <v>43.191699999999997</v>
      </c>
      <c r="BQ24" s="639">
        <v>38.7378</v>
      </c>
      <c r="BR24" s="639">
        <v>40.393099999999997</v>
      </c>
      <c r="BS24" s="639">
        <v>37.133299999999998</v>
      </c>
      <c r="BT24" s="639">
        <v>29.917300000000001</v>
      </c>
      <c r="BU24" s="639">
        <v>26.734500000000001</v>
      </c>
      <c r="BV24" s="639">
        <v>27.032499999999999</v>
      </c>
      <c r="BW24" s="639">
        <v>26.9816</v>
      </c>
      <c r="BX24" s="639" t="s">
        <v>102</v>
      </c>
      <c r="BY24" s="639">
        <v>23.980599999999999</v>
      </c>
      <c r="BZ24" s="644">
        <v>36.174599999999998</v>
      </c>
      <c r="CA24" s="644">
        <v>25.9391</v>
      </c>
      <c r="CB24" s="640">
        <v>32.609400000000001</v>
      </c>
      <c r="CD24" s="622" t="s">
        <v>764</v>
      </c>
      <c r="CE24" s="639">
        <v>2.8759000000000001</v>
      </c>
      <c r="CF24" s="639">
        <v>3.1372</v>
      </c>
      <c r="CG24" s="639">
        <v>2.7972999999999999</v>
      </c>
      <c r="CH24" s="639">
        <v>3.2328000000000001</v>
      </c>
      <c r="CI24" s="639">
        <v>4.2373000000000003</v>
      </c>
      <c r="CJ24" s="639">
        <v>3.0937000000000001</v>
      </c>
      <c r="CK24" s="639">
        <v>2.8834</v>
      </c>
      <c r="CL24" s="639">
        <v>2.1977000000000002</v>
      </c>
      <c r="CM24" s="639">
        <v>3.0051000000000001</v>
      </c>
      <c r="CN24" s="639" t="s">
        <v>102</v>
      </c>
      <c r="CO24" s="639">
        <v>11.6905</v>
      </c>
      <c r="CP24" s="644">
        <v>3.2118000000000002</v>
      </c>
      <c r="CQ24" s="644">
        <v>5.7111000000000001</v>
      </c>
      <c r="CR24" s="640">
        <v>3.9411</v>
      </c>
      <c r="CU24" s="618" t="s">
        <v>49</v>
      </c>
      <c r="CV24" s="622" t="s">
        <v>764</v>
      </c>
      <c r="CW24" s="639">
        <v>17.241</v>
      </c>
      <c r="CX24" s="639">
        <v>10.749599999999999</v>
      </c>
      <c r="CY24" s="639">
        <v>13.7524</v>
      </c>
      <c r="CZ24" s="639">
        <v>14.110300000000001</v>
      </c>
      <c r="DA24" s="639">
        <v>17.512</v>
      </c>
      <c r="DB24" s="639">
        <v>13.04</v>
      </c>
      <c r="DC24" s="639">
        <v>10.399699999999999</v>
      </c>
      <c r="DD24" s="639">
        <v>25.237300000000001</v>
      </c>
      <c r="DE24" s="639">
        <v>30.359500000000001</v>
      </c>
      <c r="DF24" s="639" t="s">
        <v>102</v>
      </c>
      <c r="DG24" s="639">
        <v>2.8933</v>
      </c>
      <c r="DH24" s="644">
        <v>13.700900000000001</v>
      </c>
      <c r="DI24" s="644">
        <v>20.345600000000001</v>
      </c>
      <c r="DJ24" s="640">
        <v>15.64</v>
      </c>
    </row>
    <row r="25" spans="2:114" s="571" customFormat="1" ht="15.75" customHeight="1" x14ac:dyDescent="0.25">
      <c r="B25" s="618" t="s">
        <v>51</v>
      </c>
      <c r="C25" s="619">
        <v>974.52089999999998</v>
      </c>
      <c r="D25" s="619">
        <v>1366.7137</v>
      </c>
      <c r="E25" s="619">
        <v>578.22460000000001</v>
      </c>
      <c r="F25" s="619">
        <v>514.44880000000001</v>
      </c>
      <c r="G25" s="619">
        <v>535.7817</v>
      </c>
      <c r="H25" s="619">
        <v>537.35299999999995</v>
      </c>
      <c r="I25" s="619">
        <v>543.09910000000002</v>
      </c>
      <c r="J25" s="619">
        <v>500.22449999999998</v>
      </c>
      <c r="K25" s="619">
        <v>535.4846</v>
      </c>
      <c r="L25" s="619">
        <v>491.24110000000002</v>
      </c>
      <c r="M25" s="619">
        <v>331.53019999999998</v>
      </c>
      <c r="N25" s="620">
        <v>534.43939999999998</v>
      </c>
      <c r="O25" s="620">
        <v>451.7414</v>
      </c>
      <c r="P25" s="621">
        <v>506.43689999999998</v>
      </c>
      <c r="R25" s="618" t="s">
        <v>51</v>
      </c>
      <c r="S25" s="619">
        <v>910.41830000000004</v>
      </c>
      <c r="T25" s="619">
        <v>1245.6045999999999</v>
      </c>
      <c r="U25" s="619">
        <v>480.84649999999999</v>
      </c>
      <c r="V25" s="619">
        <v>438.35070000000002</v>
      </c>
      <c r="W25" s="619">
        <v>458.39319999999998</v>
      </c>
      <c r="X25" s="619">
        <v>463.51839999999999</v>
      </c>
      <c r="Y25" s="619">
        <v>453.96780000000001</v>
      </c>
      <c r="Z25" s="619">
        <v>395.66480000000001</v>
      </c>
      <c r="AA25" s="619">
        <v>417.1515</v>
      </c>
      <c r="AB25" s="619">
        <v>381.26459999999997</v>
      </c>
      <c r="AC25" s="619">
        <v>253.91739999999999</v>
      </c>
      <c r="AD25" s="620">
        <v>454.28840000000002</v>
      </c>
      <c r="AE25" s="620">
        <v>352.4787</v>
      </c>
      <c r="AF25" s="621">
        <v>419.81450000000001</v>
      </c>
      <c r="AH25" s="618" t="s">
        <v>51</v>
      </c>
      <c r="AI25" s="619">
        <v>890.57740000000001</v>
      </c>
      <c r="AJ25" s="619">
        <v>1232.0368000000001</v>
      </c>
      <c r="AK25" s="619">
        <v>441.291</v>
      </c>
      <c r="AL25" s="619">
        <v>412.73360000000002</v>
      </c>
      <c r="AM25" s="619">
        <v>428.27229999999997</v>
      </c>
      <c r="AN25" s="619">
        <v>434.16500000000002</v>
      </c>
      <c r="AO25" s="619">
        <v>430.2303</v>
      </c>
      <c r="AP25" s="619">
        <v>370.30610000000001</v>
      </c>
      <c r="AQ25" s="619">
        <v>390.56119999999999</v>
      </c>
      <c r="AR25" s="619">
        <v>346.88339999999999</v>
      </c>
      <c r="AS25" s="619">
        <v>188.22300000000001</v>
      </c>
      <c r="AT25" s="620">
        <v>427.13639999999998</v>
      </c>
      <c r="AU25" s="620">
        <v>312.8159</v>
      </c>
      <c r="AV25" s="621">
        <v>388.42619999999999</v>
      </c>
      <c r="AX25" s="618" t="s">
        <v>51</v>
      </c>
      <c r="AY25" s="619">
        <v>920.21789999999999</v>
      </c>
      <c r="AZ25" s="619">
        <v>1234.2914000000001</v>
      </c>
      <c r="BA25" s="619">
        <v>447.40269999999998</v>
      </c>
      <c r="BB25" s="619">
        <v>418.40550000000002</v>
      </c>
      <c r="BC25" s="619">
        <v>437.32380000000001</v>
      </c>
      <c r="BD25" s="619">
        <v>443.49380000000002</v>
      </c>
      <c r="BE25" s="619">
        <v>439.30340000000001</v>
      </c>
      <c r="BF25" s="619">
        <v>386.79689999999999</v>
      </c>
      <c r="BG25" s="619">
        <v>402.91820000000001</v>
      </c>
      <c r="BH25" s="619">
        <v>356.92419999999998</v>
      </c>
      <c r="BI25" s="619">
        <v>193.19069999999999</v>
      </c>
      <c r="BJ25" s="620">
        <v>435.20600000000002</v>
      </c>
      <c r="BK25" s="620">
        <v>323.97710000000001</v>
      </c>
      <c r="BL25" s="621">
        <v>397.54259999999999</v>
      </c>
      <c r="BN25" s="618" t="s">
        <v>51</v>
      </c>
      <c r="BO25" s="637">
        <v>56.985199999999999</v>
      </c>
      <c r="BP25" s="637">
        <v>81.899299999999997</v>
      </c>
      <c r="BQ25" s="637">
        <v>43.225499999999997</v>
      </c>
      <c r="BR25" s="637">
        <v>44.995399999999997</v>
      </c>
      <c r="BS25" s="637">
        <v>41.915900000000001</v>
      </c>
      <c r="BT25" s="637">
        <v>38.763599999999997</v>
      </c>
      <c r="BU25" s="637">
        <v>36.030200000000001</v>
      </c>
      <c r="BV25" s="637">
        <v>30.4392</v>
      </c>
      <c r="BW25" s="637">
        <v>26.0669</v>
      </c>
      <c r="BX25" s="637">
        <v>24.823799999999999</v>
      </c>
      <c r="BY25" s="637">
        <v>14.348100000000001</v>
      </c>
      <c r="BZ25" s="643">
        <v>40.334299999999999</v>
      </c>
      <c r="CA25" s="643">
        <v>23.6938</v>
      </c>
      <c r="CB25" s="638">
        <v>33.7864</v>
      </c>
      <c r="CD25" s="618" t="s">
        <v>51</v>
      </c>
      <c r="CE25" s="637">
        <v>2.036</v>
      </c>
      <c r="CF25" s="637">
        <v>0.91549999999999998</v>
      </c>
      <c r="CG25" s="637">
        <v>3.8944999999999999</v>
      </c>
      <c r="CH25" s="637">
        <v>2.8999000000000001</v>
      </c>
      <c r="CI25" s="637">
        <v>3.5895000000000001</v>
      </c>
      <c r="CJ25" s="637">
        <v>3.931</v>
      </c>
      <c r="CK25" s="637">
        <v>3.2722000000000002</v>
      </c>
      <c r="CL25" s="637">
        <v>2.6200999999999999</v>
      </c>
      <c r="CM25" s="637">
        <v>4.3498999999999999</v>
      </c>
      <c r="CN25" s="637">
        <v>5.5740999999999996</v>
      </c>
      <c r="CO25" s="637">
        <v>18.742100000000001</v>
      </c>
      <c r="CP25" s="643">
        <v>3.3740999999999999</v>
      </c>
      <c r="CQ25" s="643">
        <v>7.1920000000000002</v>
      </c>
      <c r="CR25" s="638">
        <v>4.5273000000000003</v>
      </c>
      <c r="CU25" s="622" t="s">
        <v>50</v>
      </c>
      <c r="CV25" s="618" t="s">
        <v>51</v>
      </c>
      <c r="CW25" s="637">
        <v>0.29599999999999999</v>
      </c>
      <c r="CX25" s="637">
        <v>2.0030000000000001</v>
      </c>
      <c r="CY25" s="637">
        <v>15.0534</v>
      </c>
      <c r="CZ25" s="637">
        <v>11.452500000000001</v>
      </c>
      <c r="DA25" s="637">
        <v>10.9132</v>
      </c>
      <c r="DB25" s="637">
        <v>19.692599999999999</v>
      </c>
      <c r="DC25" s="637">
        <v>15.6859</v>
      </c>
      <c r="DD25" s="637">
        <v>29.252400000000002</v>
      </c>
      <c r="DE25" s="637">
        <v>31.4312</v>
      </c>
      <c r="DF25" s="637">
        <v>26.3581</v>
      </c>
      <c r="DG25" s="637">
        <v>21.119599999999998</v>
      </c>
      <c r="DH25" s="643">
        <v>14.119300000000001</v>
      </c>
      <c r="DI25" s="643">
        <v>27.329799999999999</v>
      </c>
      <c r="DJ25" s="638">
        <v>18.109400000000001</v>
      </c>
    </row>
    <row r="26" spans="2:114" s="465" customFormat="1" ht="15.75" customHeight="1" x14ac:dyDescent="0.25">
      <c r="B26" s="622" t="s">
        <v>765</v>
      </c>
      <c r="C26" s="623">
        <v>416.76549999999997</v>
      </c>
      <c r="D26" s="623">
        <v>395.8168</v>
      </c>
      <c r="E26" s="623">
        <v>359.20249999999999</v>
      </c>
      <c r="F26" s="623">
        <v>369.76920000000001</v>
      </c>
      <c r="G26" s="623">
        <v>433.63619999999997</v>
      </c>
      <c r="H26" s="623">
        <v>434.63159999999999</v>
      </c>
      <c r="I26" s="623">
        <v>463.8777</v>
      </c>
      <c r="J26" s="623">
        <v>434.70850000000002</v>
      </c>
      <c r="K26" s="623">
        <v>643.78840000000002</v>
      </c>
      <c r="L26" s="623">
        <v>636.78830000000005</v>
      </c>
      <c r="M26" s="623">
        <v>471.91539999999998</v>
      </c>
      <c r="N26" s="624">
        <v>404.37310000000002</v>
      </c>
      <c r="O26" s="624">
        <v>526.11120000000005</v>
      </c>
      <c r="P26" s="609">
        <v>447.24829999999997</v>
      </c>
      <c r="R26" s="622" t="s">
        <v>765</v>
      </c>
      <c r="S26" s="623">
        <v>369.69029999999998</v>
      </c>
      <c r="T26" s="623">
        <v>339.25319999999999</v>
      </c>
      <c r="U26" s="623">
        <v>305.16160000000002</v>
      </c>
      <c r="V26" s="623">
        <v>309.25650000000002</v>
      </c>
      <c r="W26" s="623">
        <v>373.92570000000001</v>
      </c>
      <c r="X26" s="623">
        <v>372.1309</v>
      </c>
      <c r="Y26" s="623">
        <v>375.86250000000001</v>
      </c>
      <c r="Z26" s="623">
        <v>361.31310000000002</v>
      </c>
      <c r="AA26" s="623">
        <v>532.18510000000003</v>
      </c>
      <c r="AB26" s="623">
        <v>445.51979999999998</v>
      </c>
      <c r="AC26" s="623">
        <v>341.95150000000001</v>
      </c>
      <c r="AD26" s="624">
        <v>339.76139999999998</v>
      </c>
      <c r="AE26" s="624">
        <v>416.34870000000001</v>
      </c>
      <c r="AF26" s="609">
        <v>366.73480000000001</v>
      </c>
      <c r="AH26" s="622" t="s">
        <v>765</v>
      </c>
      <c r="AI26" s="623">
        <v>354.85520000000002</v>
      </c>
      <c r="AJ26" s="623">
        <v>320.53190000000001</v>
      </c>
      <c r="AK26" s="623">
        <v>287.19409999999999</v>
      </c>
      <c r="AL26" s="623">
        <v>296.42090000000002</v>
      </c>
      <c r="AM26" s="623">
        <v>335.3886</v>
      </c>
      <c r="AN26" s="623">
        <v>353.202</v>
      </c>
      <c r="AO26" s="623">
        <v>351.8655</v>
      </c>
      <c r="AP26" s="623">
        <v>318.91030000000001</v>
      </c>
      <c r="AQ26" s="623">
        <v>474.54349999999999</v>
      </c>
      <c r="AR26" s="623">
        <v>352.2201</v>
      </c>
      <c r="AS26" s="623">
        <v>273.84059999999999</v>
      </c>
      <c r="AT26" s="624">
        <v>319.09550000000002</v>
      </c>
      <c r="AU26" s="624">
        <v>358.28559999999999</v>
      </c>
      <c r="AV26" s="609">
        <v>332.89789999999999</v>
      </c>
      <c r="AX26" s="622" t="s">
        <v>765</v>
      </c>
      <c r="AY26" s="623">
        <v>354.85520000000002</v>
      </c>
      <c r="AZ26" s="623">
        <v>320.75790000000001</v>
      </c>
      <c r="BA26" s="623">
        <v>287.9717</v>
      </c>
      <c r="BB26" s="623">
        <v>297.05439999999999</v>
      </c>
      <c r="BC26" s="623">
        <v>339.60019999999997</v>
      </c>
      <c r="BD26" s="623">
        <v>356.1336</v>
      </c>
      <c r="BE26" s="623">
        <v>355.9117</v>
      </c>
      <c r="BF26" s="623">
        <v>331.0693</v>
      </c>
      <c r="BG26" s="623">
        <v>486.77510000000001</v>
      </c>
      <c r="BH26" s="623">
        <v>377.39179999999999</v>
      </c>
      <c r="BI26" s="623">
        <v>289.07810000000001</v>
      </c>
      <c r="BJ26" s="624">
        <v>321.22789999999998</v>
      </c>
      <c r="BK26" s="624">
        <v>372.25189999999998</v>
      </c>
      <c r="BL26" s="609">
        <v>339.19810000000001</v>
      </c>
      <c r="BN26" s="622" t="s">
        <v>765</v>
      </c>
      <c r="BO26" s="639">
        <v>26.997299999999999</v>
      </c>
      <c r="BP26" s="639">
        <v>31.4603</v>
      </c>
      <c r="BQ26" s="639">
        <v>33.188200000000002</v>
      </c>
      <c r="BR26" s="639">
        <v>33.136800000000001</v>
      </c>
      <c r="BS26" s="639">
        <v>33.066400000000002</v>
      </c>
      <c r="BT26" s="639">
        <v>31.3581</v>
      </c>
      <c r="BU26" s="639">
        <v>28.071999999999999</v>
      </c>
      <c r="BV26" s="639">
        <v>21.8248</v>
      </c>
      <c r="BW26" s="639">
        <v>30.003799999999998</v>
      </c>
      <c r="BX26" s="639">
        <v>24.796199999999999</v>
      </c>
      <c r="BY26" s="639">
        <v>18.3611</v>
      </c>
      <c r="BZ26" s="644">
        <v>31.735299999999999</v>
      </c>
      <c r="CA26" s="644">
        <v>23.7559</v>
      </c>
      <c r="CB26" s="640">
        <v>28.088699999999999</v>
      </c>
      <c r="CD26" s="622" t="s">
        <v>765</v>
      </c>
      <c r="CE26" s="639">
        <v>3.532</v>
      </c>
      <c r="CF26" s="639">
        <v>1.9457</v>
      </c>
      <c r="CG26" s="639">
        <v>2.2869999999999999</v>
      </c>
      <c r="CH26" s="639">
        <v>2.2833000000000001</v>
      </c>
      <c r="CI26" s="639">
        <v>3.6515</v>
      </c>
      <c r="CJ26" s="639">
        <v>2.3033000000000001</v>
      </c>
      <c r="CK26" s="639">
        <v>4.2077999999999998</v>
      </c>
      <c r="CL26" s="639">
        <v>7.3231000000000002</v>
      </c>
      <c r="CM26" s="639">
        <v>4.8304999999999998</v>
      </c>
      <c r="CN26" s="639">
        <v>7.5867000000000004</v>
      </c>
      <c r="CO26" s="639">
        <v>10.4832</v>
      </c>
      <c r="CP26" s="644">
        <v>2.927</v>
      </c>
      <c r="CQ26" s="644">
        <v>7.1661999999999999</v>
      </c>
      <c r="CR26" s="640">
        <v>4.6833</v>
      </c>
      <c r="CU26" s="618" t="s">
        <v>51</v>
      </c>
      <c r="CV26" s="622" t="s">
        <v>765</v>
      </c>
      <c r="CW26" s="639">
        <v>8.2199999999999995E-2</v>
      </c>
      <c r="CX26" s="639">
        <v>10.150399999999999</v>
      </c>
      <c r="CY26" s="639">
        <v>11.1591</v>
      </c>
      <c r="CZ26" s="639">
        <v>10.997199999999999</v>
      </c>
      <c r="DA26" s="639">
        <v>9.6888000000000005</v>
      </c>
      <c r="DB26" s="639">
        <v>13.8895</v>
      </c>
      <c r="DC26" s="639">
        <v>14.000999999999999</v>
      </c>
      <c r="DD26" s="639">
        <v>15.052</v>
      </c>
      <c r="DE26" s="639">
        <v>23.331299999999999</v>
      </c>
      <c r="DF26" s="639">
        <v>11.946999999999999</v>
      </c>
      <c r="DG26" s="639">
        <v>26.592199999999998</v>
      </c>
      <c r="DH26" s="644">
        <v>11.695399999999999</v>
      </c>
      <c r="DI26" s="644">
        <v>20.911100000000001</v>
      </c>
      <c r="DJ26" s="640">
        <v>15.513400000000001</v>
      </c>
    </row>
    <row r="27" spans="2:114" s="571" customFormat="1" ht="15.75" customHeight="1" x14ac:dyDescent="0.25">
      <c r="B27" s="618" t="s">
        <v>54</v>
      </c>
      <c r="C27" s="619">
        <v>2713.6042000000002</v>
      </c>
      <c r="D27" s="619">
        <v>2160.4792000000002</v>
      </c>
      <c r="E27" s="619">
        <v>1401.6980000000001</v>
      </c>
      <c r="F27" s="619">
        <v>785.88</v>
      </c>
      <c r="G27" s="619">
        <v>753.97720000000004</v>
      </c>
      <c r="H27" s="619">
        <v>1034.884</v>
      </c>
      <c r="I27" s="619">
        <v>626.74080000000004</v>
      </c>
      <c r="J27" s="619">
        <v>1536.7922000000001</v>
      </c>
      <c r="K27" s="619">
        <v>615.91510000000005</v>
      </c>
      <c r="L27" s="619">
        <v>632.14890000000003</v>
      </c>
      <c r="M27" s="619" t="s">
        <v>102</v>
      </c>
      <c r="N27" s="620">
        <v>956.61739999999998</v>
      </c>
      <c r="O27" s="620">
        <v>702.28030000000001</v>
      </c>
      <c r="P27" s="621">
        <v>858.94669999999996</v>
      </c>
      <c r="R27" s="618" t="s">
        <v>54</v>
      </c>
      <c r="S27" s="619">
        <v>2374.6212999999998</v>
      </c>
      <c r="T27" s="619">
        <v>1973.1966</v>
      </c>
      <c r="U27" s="619">
        <v>1261.08</v>
      </c>
      <c r="V27" s="619">
        <v>700.18949999999995</v>
      </c>
      <c r="W27" s="619">
        <v>689.78219999999999</v>
      </c>
      <c r="X27" s="619">
        <v>941.31579999999997</v>
      </c>
      <c r="Y27" s="619">
        <v>588.50819999999999</v>
      </c>
      <c r="Z27" s="619">
        <v>1368.9061999999999</v>
      </c>
      <c r="AA27" s="619">
        <v>548.6508</v>
      </c>
      <c r="AB27" s="619">
        <v>454.26830000000001</v>
      </c>
      <c r="AC27" s="619" t="s">
        <v>102</v>
      </c>
      <c r="AD27" s="620">
        <v>867.07259999999997</v>
      </c>
      <c r="AE27" s="620">
        <v>565.58109999999999</v>
      </c>
      <c r="AF27" s="621">
        <v>751.29359999999997</v>
      </c>
      <c r="AH27" s="618" t="s">
        <v>54</v>
      </c>
      <c r="AI27" s="619">
        <v>2346.7031999999999</v>
      </c>
      <c r="AJ27" s="619">
        <v>1960.3679999999999</v>
      </c>
      <c r="AK27" s="619">
        <v>1209.9662000000001</v>
      </c>
      <c r="AL27" s="619">
        <v>677.53499999999997</v>
      </c>
      <c r="AM27" s="619">
        <v>682.80349999999999</v>
      </c>
      <c r="AN27" s="619">
        <v>940.26700000000005</v>
      </c>
      <c r="AO27" s="619">
        <v>579.98170000000005</v>
      </c>
      <c r="AP27" s="619">
        <v>1338.1845000000001</v>
      </c>
      <c r="AQ27" s="619">
        <v>503.71609999999998</v>
      </c>
      <c r="AR27" s="619">
        <v>247.16</v>
      </c>
      <c r="AS27" s="619" t="s">
        <v>102</v>
      </c>
      <c r="AT27" s="620">
        <v>851.38779999999997</v>
      </c>
      <c r="AU27" s="620">
        <v>432.4452</v>
      </c>
      <c r="AV27" s="621">
        <v>690.50509999999997</v>
      </c>
      <c r="AX27" s="618" t="s">
        <v>54</v>
      </c>
      <c r="AY27" s="619">
        <v>2346.7031999999999</v>
      </c>
      <c r="AZ27" s="619">
        <v>1964.8056999999999</v>
      </c>
      <c r="BA27" s="619">
        <v>1209.9662000000001</v>
      </c>
      <c r="BB27" s="619">
        <v>677.91800000000001</v>
      </c>
      <c r="BC27" s="619">
        <v>686.50789999999995</v>
      </c>
      <c r="BD27" s="619">
        <v>942.96990000000005</v>
      </c>
      <c r="BE27" s="619">
        <v>591.70140000000004</v>
      </c>
      <c r="BF27" s="619">
        <v>1368.9061999999999</v>
      </c>
      <c r="BG27" s="619">
        <v>520.98099999999999</v>
      </c>
      <c r="BH27" s="619">
        <v>272.37639999999999</v>
      </c>
      <c r="BI27" s="619" t="s">
        <v>102</v>
      </c>
      <c r="BJ27" s="620">
        <v>855.26969999999994</v>
      </c>
      <c r="BK27" s="620">
        <v>455.22449999999998</v>
      </c>
      <c r="BL27" s="621">
        <v>701.64400000000001</v>
      </c>
      <c r="BN27" s="618" t="s">
        <v>54</v>
      </c>
      <c r="BO27" s="637">
        <v>86.808300000000003</v>
      </c>
      <c r="BP27" s="637">
        <v>102.80889999999999</v>
      </c>
      <c r="BQ27" s="637">
        <v>78.108999999999995</v>
      </c>
      <c r="BR27" s="637">
        <v>46.554099999999998</v>
      </c>
      <c r="BS27" s="637">
        <v>49.9694</v>
      </c>
      <c r="BT27" s="637">
        <v>80.524100000000004</v>
      </c>
      <c r="BU27" s="637">
        <v>40.866900000000001</v>
      </c>
      <c r="BV27" s="637">
        <v>45.905299999999997</v>
      </c>
      <c r="BW27" s="637">
        <v>42.1571</v>
      </c>
      <c r="BX27" s="637">
        <v>18.143999999999998</v>
      </c>
      <c r="BY27" s="637" t="s">
        <v>102</v>
      </c>
      <c r="BZ27" s="643">
        <v>58.032800000000002</v>
      </c>
      <c r="CA27" s="643">
        <v>29.774699999999999</v>
      </c>
      <c r="CB27" s="638">
        <v>46.934600000000003</v>
      </c>
      <c r="CD27" s="618" t="s">
        <v>54</v>
      </c>
      <c r="CE27" s="637">
        <v>8.3900000000000002E-2</v>
      </c>
      <c r="CF27" s="637">
        <v>0</v>
      </c>
      <c r="CG27" s="637">
        <v>0</v>
      </c>
      <c r="CH27" s="637">
        <v>0.19159999999999999</v>
      </c>
      <c r="CI27" s="637">
        <v>0</v>
      </c>
      <c r="CJ27" s="637">
        <v>8.9200000000000002E-2</v>
      </c>
      <c r="CK27" s="637">
        <v>0.95430000000000004</v>
      </c>
      <c r="CL27" s="637">
        <v>0</v>
      </c>
      <c r="CM27" s="637">
        <v>1.5233000000000001</v>
      </c>
      <c r="CN27" s="637">
        <v>7.2502000000000004</v>
      </c>
      <c r="CO27" s="637" t="s">
        <v>102</v>
      </c>
      <c r="CP27" s="643">
        <v>0.18759999999999999</v>
      </c>
      <c r="CQ27" s="643">
        <v>4.0846999999999998</v>
      </c>
      <c r="CR27" s="638">
        <v>1.4112</v>
      </c>
      <c r="CU27" s="622" t="s">
        <v>52</v>
      </c>
      <c r="CV27" s="618" t="s">
        <v>54</v>
      </c>
      <c r="CW27" s="637">
        <v>4.9043000000000001</v>
      </c>
      <c r="CX27" s="637">
        <v>14.522</v>
      </c>
      <c r="CY27" s="637">
        <v>9.5947999999999993</v>
      </c>
      <c r="CZ27" s="637">
        <v>21.319800000000001</v>
      </c>
      <c r="DA27" s="637">
        <v>9.2135999999999996</v>
      </c>
      <c r="DB27" s="637">
        <v>43.825200000000002</v>
      </c>
      <c r="DC27" s="637">
        <v>21.285499999999999</v>
      </c>
      <c r="DD27" s="637">
        <v>17.171399999999998</v>
      </c>
      <c r="DE27" s="637">
        <v>9.9000000000000008E-3</v>
      </c>
      <c r="DF27" s="637">
        <v>22.48</v>
      </c>
      <c r="DG27" s="637" t="s">
        <v>102</v>
      </c>
      <c r="DH27" s="643">
        <v>17.9969</v>
      </c>
      <c r="DI27" s="643">
        <v>14.3164</v>
      </c>
      <c r="DJ27" s="638">
        <v>16.8413</v>
      </c>
    </row>
    <row r="28" spans="2:114" s="465" customFormat="1" ht="15.75" customHeight="1" x14ac:dyDescent="0.25">
      <c r="B28" s="622" t="s">
        <v>132</v>
      </c>
      <c r="C28" s="623">
        <v>724.53430000000003</v>
      </c>
      <c r="D28" s="623">
        <v>549.01059999999995</v>
      </c>
      <c r="E28" s="623">
        <v>472.58730000000003</v>
      </c>
      <c r="F28" s="623">
        <v>462.13889999999998</v>
      </c>
      <c r="G28" s="623">
        <v>482.74619999999999</v>
      </c>
      <c r="H28" s="623">
        <v>479.29320000000001</v>
      </c>
      <c r="I28" s="623">
        <v>518.78660000000002</v>
      </c>
      <c r="J28" s="623">
        <v>447.98270000000002</v>
      </c>
      <c r="K28" s="623">
        <v>475.06979999999999</v>
      </c>
      <c r="L28" s="623">
        <v>677.053</v>
      </c>
      <c r="M28" s="623">
        <v>546.56960000000004</v>
      </c>
      <c r="N28" s="624">
        <v>487.12299999999999</v>
      </c>
      <c r="O28" s="624">
        <v>506.839</v>
      </c>
      <c r="P28" s="609">
        <v>494.41469999999998</v>
      </c>
      <c r="R28" s="622" t="s">
        <v>132</v>
      </c>
      <c r="S28" s="623">
        <v>612.00260000000003</v>
      </c>
      <c r="T28" s="623">
        <v>461.08780000000002</v>
      </c>
      <c r="U28" s="623">
        <v>397.22579999999999</v>
      </c>
      <c r="V28" s="623">
        <v>388.29259999999999</v>
      </c>
      <c r="W28" s="623">
        <v>409.17160000000001</v>
      </c>
      <c r="X28" s="623">
        <v>410.45030000000003</v>
      </c>
      <c r="Y28" s="623">
        <v>435.1155</v>
      </c>
      <c r="Z28" s="623">
        <v>371.7817</v>
      </c>
      <c r="AA28" s="623">
        <v>360.0643</v>
      </c>
      <c r="AB28" s="623">
        <v>570.4547</v>
      </c>
      <c r="AC28" s="623">
        <v>416.31009999999998</v>
      </c>
      <c r="AD28" s="624">
        <v>410.58949999999999</v>
      </c>
      <c r="AE28" s="624">
        <v>398.97559999999999</v>
      </c>
      <c r="AF28" s="609">
        <v>406.29419999999999</v>
      </c>
      <c r="AH28" s="622" t="s">
        <v>132</v>
      </c>
      <c r="AI28" s="623">
        <v>568.7441</v>
      </c>
      <c r="AJ28" s="623">
        <v>431.21550000000002</v>
      </c>
      <c r="AK28" s="623">
        <v>367.15539999999999</v>
      </c>
      <c r="AL28" s="623">
        <v>366.70760000000001</v>
      </c>
      <c r="AM28" s="623">
        <v>389.41590000000002</v>
      </c>
      <c r="AN28" s="623">
        <v>394.8777</v>
      </c>
      <c r="AO28" s="623">
        <v>412.38810000000001</v>
      </c>
      <c r="AP28" s="623">
        <v>346.71559999999999</v>
      </c>
      <c r="AQ28" s="623">
        <v>343.92570000000001</v>
      </c>
      <c r="AR28" s="623">
        <v>546.08889999999997</v>
      </c>
      <c r="AS28" s="623">
        <v>359.4545</v>
      </c>
      <c r="AT28" s="624">
        <v>387.97149999999999</v>
      </c>
      <c r="AU28" s="624">
        <v>363.64620000000002</v>
      </c>
      <c r="AV28" s="609">
        <v>378.9751</v>
      </c>
      <c r="AX28" s="622" t="s">
        <v>132</v>
      </c>
      <c r="AY28" s="623">
        <v>571.80219999999997</v>
      </c>
      <c r="AZ28" s="623">
        <v>433.74349999999998</v>
      </c>
      <c r="BA28" s="623">
        <v>374.09699999999998</v>
      </c>
      <c r="BB28" s="623">
        <v>372.62310000000002</v>
      </c>
      <c r="BC28" s="623">
        <v>395.35129999999998</v>
      </c>
      <c r="BD28" s="623">
        <v>404.78269999999998</v>
      </c>
      <c r="BE28" s="623">
        <v>420.83370000000002</v>
      </c>
      <c r="BF28" s="623">
        <v>354.57940000000002</v>
      </c>
      <c r="BG28" s="623">
        <v>351.58920000000001</v>
      </c>
      <c r="BH28" s="623">
        <v>553.99919999999997</v>
      </c>
      <c r="BI28" s="623">
        <v>363.92930000000001</v>
      </c>
      <c r="BJ28" s="624">
        <v>394.72989999999999</v>
      </c>
      <c r="BK28" s="624">
        <v>370.15350000000001</v>
      </c>
      <c r="BL28" s="609">
        <v>385.64060000000001</v>
      </c>
      <c r="BN28" s="622" t="s">
        <v>132</v>
      </c>
      <c r="BO28" s="639">
        <v>44.101100000000002</v>
      </c>
      <c r="BP28" s="639">
        <v>43.217599999999997</v>
      </c>
      <c r="BQ28" s="639">
        <v>45.213999999999999</v>
      </c>
      <c r="BR28" s="639">
        <v>43.8187</v>
      </c>
      <c r="BS28" s="639">
        <v>41.104199999999999</v>
      </c>
      <c r="BT28" s="639">
        <v>37.832000000000001</v>
      </c>
      <c r="BU28" s="639">
        <v>36.029699999999998</v>
      </c>
      <c r="BV28" s="639">
        <v>30.026199999999999</v>
      </c>
      <c r="BW28" s="639">
        <v>25.516500000000001</v>
      </c>
      <c r="BX28" s="639">
        <v>34.075800000000001</v>
      </c>
      <c r="BY28" s="639">
        <v>23.302499999999998</v>
      </c>
      <c r="BZ28" s="644">
        <v>41.0032</v>
      </c>
      <c r="CA28" s="644">
        <v>26.414999999999999</v>
      </c>
      <c r="CB28" s="640">
        <v>34.282200000000003</v>
      </c>
      <c r="CD28" s="622" t="s">
        <v>132</v>
      </c>
      <c r="CE28" s="639">
        <v>4.0987</v>
      </c>
      <c r="CF28" s="639">
        <v>4.3745000000000003</v>
      </c>
      <c r="CG28" s="639">
        <v>3.5387</v>
      </c>
      <c r="CH28" s="639">
        <v>2.1141999999999999</v>
      </c>
      <c r="CI28" s="639">
        <v>1.2138</v>
      </c>
      <c r="CJ28" s="639">
        <v>1.4836</v>
      </c>
      <c r="CK28" s="639">
        <v>2.3102999999999998</v>
      </c>
      <c r="CL28" s="639">
        <v>3.4798</v>
      </c>
      <c r="CM28" s="639">
        <v>2.2477999999999998</v>
      </c>
      <c r="CN28" s="639">
        <v>3.4906999999999999</v>
      </c>
      <c r="CO28" s="639">
        <v>7.5701999999999998</v>
      </c>
      <c r="CP28" s="644">
        <v>2.2671000000000001</v>
      </c>
      <c r="CQ28" s="644">
        <v>4.93</v>
      </c>
      <c r="CR28" s="640">
        <v>3.2766999999999999</v>
      </c>
      <c r="CU28" s="618" t="s">
        <v>53</v>
      </c>
      <c r="CV28" s="622" t="s">
        <v>132</v>
      </c>
      <c r="CW28" s="639">
        <v>10.055999999999999</v>
      </c>
      <c r="CX28" s="639">
        <v>14.62</v>
      </c>
      <c r="CY28" s="639">
        <v>12.436500000000001</v>
      </c>
      <c r="CZ28" s="639">
        <v>11.016999999999999</v>
      </c>
      <c r="DA28" s="639">
        <v>14.542400000000001</v>
      </c>
      <c r="DB28" s="639">
        <v>17.030799999999999</v>
      </c>
      <c r="DC28" s="639">
        <v>15.177099999999999</v>
      </c>
      <c r="DD28" s="639">
        <v>15.677</v>
      </c>
      <c r="DE28" s="639">
        <v>27.082799999999999</v>
      </c>
      <c r="DF28" s="639">
        <v>32.3185</v>
      </c>
      <c r="DG28" s="639">
        <v>35.9602</v>
      </c>
      <c r="DH28" s="644">
        <v>13.3757</v>
      </c>
      <c r="DI28" s="644">
        <v>27.983799999999999</v>
      </c>
      <c r="DJ28" s="640">
        <v>18.914100000000001</v>
      </c>
    </row>
    <row r="29" spans="2:114" s="571" customFormat="1" ht="15.75" customHeight="1" x14ac:dyDescent="0.25">
      <c r="B29" s="618" t="s">
        <v>766</v>
      </c>
      <c r="C29" s="619">
        <v>558.26160000000004</v>
      </c>
      <c r="D29" s="619">
        <v>437.35820000000001</v>
      </c>
      <c r="E29" s="619">
        <v>370.96510000000001</v>
      </c>
      <c r="F29" s="619">
        <v>350.3775</v>
      </c>
      <c r="G29" s="619">
        <v>393.91640000000001</v>
      </c>
      <c r="H29" s="619">
        <v>390.14659999999998</v>
      </c>
      <c r="I29" s="619">
        <v>410.9008</v>
      </c>
      <c r="J29" s="619">
        <v>423.1148</v>
      </c>
      <c r="K29" s="619">
        <v>495.51769999999999</v>
      </c>
      <c r="L29" s="619">
        <v>468.68880000000001</v>
      </c>
      <c r="M29" s="619">
        <v>492.93920000000003</v>
      </c>
      <c r="N29" s="620">
        <v>382.69639999999998</v>
      </c>
      <c r="O29" s="620">
        <v>467.36239999999998</v>
      </c>
      <c r="P29" s="621">
        <v>418.84980000000002</v>
      </c>
      <c r="R29" s="618" t="s">
        <v>766</v>
      </c>
      <c r="S29" s="619">
        <v>484.47949999999997</v>
      </c>
      <c r="T29" s="619">
        <v>369.70179999999999</v>
      </c>
      <c r="U29" s="619">
        <v>314.76440000000002</v>
      </c>
      <c r="V29" s="619">
        <v>292.94170000000003</v>
      </c>
      <c r="W29" s="619">
        <v>336.95749999999998</v>
      </c>
      <c r="X29" s="619">
        <v>326.74650000000003</v>
      </c>
      <c r="Y29" s="619">
        <v>340.65690000000001</v>
      </c>
      <c r="Z29" s="619">
        <v>339.32830000000001</v>
      </c>
      <c r="AA29" s="619">
        <v>400.94889999999998</v>
      </c>
      <c r="AB29" s="619">
        <v>351.40679999999998</v>
      </c>
      <c r="AC29" s="619">
        <v>392.79230000000001</v>
      </c>
      <c r="AD29" s="620">
        <v>321.3236</v>
      </c>
      <c r="AE29" s="620">
        <v>370.67930000000001</v>
      </c>
      <c r="AF29" s="621">
        <v>342.39909999999998</v>
      </c>
      <c r="AH29" s="618" t="s">
        <v>766</v>
      </c>
      <c r="AI29" s="619">
        <v>455.53609999999998</v>
      </c>
      <c r="AJ29" s="619">
        <v>344.5102</v>
      </c>
      <c r="AK29" s="619">
        <v>290.91660000000002</v>
      </c>
      <c r="AL29" s="619">
        <v>278.71539999999999</v>
      </c>
      <c r="AM29" s="619">
        <v>324.76220000000001</v>
      </c>
      <c r="AN29" s="619">
        <v>314.14980000000003</v>
      </c>
      <c r="AO29" s="619">
        <v>334.1189</v>
      </c>
      <c r="AP29" s="619">
        <v>327.7484</v>
      </c>
      <c r="AQ29" s="619">
        <v>370.92169999999999</v>
      </c>
      <c r="AR29" s="619">
        <v>331.70490000000001</v>
      </c>
      <c r="AS29" s="619">
        <v>358.55149999999998</v>
      </c>
      <c r="AT29" s="620">
        <v>308.10640000000001</v>
      </c>
      <c r="AU29" s="620">
        <v>347.8349</v>
      </c>
      <c r="AV29" s="621">
        <v>325.07089999999999</v>
      </c>
      <c r="AX29" s="618" t="s">
        <v>766</v>
      </c>
      <c r="AY29" s="619">
        <v>457.91950000000003</v>
      </c>
      <c r="AZ29" s="619">
        <v>347.06630000000001</v>
      </c>
      <c r="BA29" s="619">
        <v>294.80180000000001</v>
      </c>
      <c r="BB29" s="619">
        <v>280.04599999999999</v>
      </c>
      <c r="BC29" s="619">
        <v>327.10820000000001</v>
      </c>
      <c r="BD29" s="619">
        <v>317.64760000000001</v>
      </c>
      <c r="BE29" s="619">
        <v>337.72300000000001</v>
      </c>
      <c r="BF29" s="619">
        <v>331.66419999999999</v>
      </c>
      <c r="BG29" s="619">
        <v>386.29860000000002</v>
      </c>
      <c r="BH29" s="619">
        <v>337.86500000000001</v>
      </c>
      <c r="BI29" s="619">
        <v>368.62079999999997</v>
      </c>
      <c r="BJ29" s="620">
        <v>310.72640000000001</v>
      </c>
      <c r="BK29" s="620">
        <v>357.03469999999999</v>
      </c>
      <c r="BL29" s="621">
        <v>330.50060000000002</v>
      </c>
      <c r="BN29" s="618" t="s">
        <v>766</v>
      </c>
      <c r="BO29" s="637">
        <v>42.574100000000001</v>
      </c>
      <c r="BP29" s="637">
        <v>41.582099999999997</v>
      </c>
      <c r="BQ29" s="637">
        <v>40.4221</v>
      </c>
      <c r="BR29" s="637">
        <v>34.543700000000001</v>
      </c>
      <c r="BS29" s="637">
        <v>32.381700000000002</v>
      </c>
      <c r="BT29" s="637">
        <v>27.377400000000002</v>
      </c>
      <c r="BU29" s="637">
        <v>26.6</v>
      </c>
      <c r="BV29" s="637">
        <v>23.055599999999998</v>
      </c>
      <c r="BW29" s="637">
        <v>24.749199999999998</v>
      </c>
      <c r="BX29" s="637">
        <v>20.8293</v>
      </c>
      <c r="BY29" s="637">
        <v>23.0548</v>
      </c>
      <c r="BZ29" s="643">
        <v>31.374099999999999</v>
      </c>
      <c r="CA29" s="643">
        <v>23.167000000000002</v>
      </c>
      <c r="CB29" s="638">
        <v>26.967199999999998</v>
      </c>
      <c r="CD29" s="618" t="s">
        <v>766</v>
      </c>
      <c r="CE29" s="637">
        <v>4.7252999999999998</v>
      </c>
      <c r="CF29" s="637">
        <v>4.9363000000000001</v>
      </c>
      <c r="CG29" s="637">
        <v>4.5727000000000002</v>
      </c>
      <c r="CH29" s="637">
        <v>3.4350999999999998</v>
      </c>
      <c r="CI29" s="637">
        <v>2.4399000000000002</v>
      </c>
      <c r="CJ29" s="637">
        <v>2.2363</v>
      </c>
      <c r="CK29" s="637">
        <v>1.1617999999999999</v>
      </c>
      <c r="CL29" s="637">
        <v>1.9166000000000001</v>
      </c>
      <c r="CM29" s="637">
        <v>2.1246999999999998</v>
      </c>
      <c r="CN29" s="637">
        <v>2.7469000000000001</v>
      </c>
      <c r="CO29" s="637">
        <v>4.0045000000000002</v>
      </c>
      <c r="CP29" s="643">
        <v>2.6976</v>
      </c>
      <c r="CQ29" s="643">
        <v>2.4799000000000002</v>
      </c>
      <c r="CR29" s="638">
        <v>2.5939000000000001</v>
      </c>
      <c r="CU29" s="622" t="s">
        <v>54</v>
      </c>
      <c r="CV29" s="618" t="s">
        <v>766</v>
      </c>
      <c r="CW29" s="637">
        <v>12.763299999999999</v>
      </c>
      <c r="CX29" s="637">
        <v>9.3592999999999993</v>
      </c>
      <c r="CY29" s="637">
        <v>11.525</v>
      </c>
      <c r="CZ29" s="637">
        <v>10.7158</v>
      </c>
      <c r="DA29" s="637">
        <v>12.0473</v>
      </c>
      <c r="DB29" s="637">
        <v>11.663399999999999</v>
      </c>
      <c r="DC29" s="637">
        <v>7.4977</v>
      </c>
      <c r="DD29" s="637">
        <v>13.240600000000001</v>
      </c>
      <c r="DE29" s="637">
        <v>16.573399999999999</v>
      </c>
      <c r="DF29" s="637">
        <v>25.281300000000002</v>
      </c>
      <c r="DG29" s="637">
        <v>32.095799999999997</v>
      </c>
      <c r="DH29" s="643">
        <v>10.2889</v>
      </c>
      <c r="DI29" s="643">
        <v>19.786000000000001</v>
      </c>
      <c r="DJ29" s="638">
        <v>14.814</v>
      </c>
    </row>
    <row r="30" spans="2:114" s="465" customFormat="1" ht="15.75" customHeight="1" x14ac:dyDescent="0.25">
      <c r="B30" s="622" t="s">
        <v>133</v>
      </c>
      <c r="C30" s="623">
        <v>355.44189999999998</v>
      </c>
      <c r="D30" s="623">
        <v>355.5419</v>
      </c>
      <c r="E30" s="623">
        <v>293.58159999999998</v>
      </c>
      <c r="F30" s="623">
        <v>337.12799999999999</v>
      </c>
      <c r="G30" s="623">
        <v>393.375</v>
      </c>
      <c r="H30" s="623">
        <v>554.22630000000004</v>
      </c>
      <c r="I30" s="623">
        <v>475.20359999999999</v>
      </c>
      <c r="J30" s="623">
        <v>503.83300000000003</v>
      </c>
      <c r="K30" s="623">
        <v>512.54759999999999</v>
      </c>
      <c r="L30" s="623">
        <v>535.03650000000005</v>
      </c>
      <c r="M30" s="623">
        <v>484.87970000000001</v>
      </c>
      <c r="N30" s="624">
        <v>389.69900000000001</v>
      </c>
      <c r="O30" s="624">
        <v>501.91969999999998</v>
      </c>
      <c r="P30" s="609">
        <v>427.49209999999999</v>
      </c>
      <c r="R30" s="622" t="s">
        <v>133</v>
      </c>
      <c r="S30" s="623">
        <v>313.63619999999997</v>
      </c>
      <c r="T30" s="623">
        <v>300.25170000000003</v>
      </c>
      <c r="U30" s="623">
        <v>247.79830000000001</v>
      </c>
      <c r="V30" s="623">
        <v>285.25080000000003</v>
      </c>
      <c r="W30" s="623">
        <v>323.661</v>
      </c>
      <c r="X30" s="623">
        <v>467.72129999999999</v>
      </c>
      <c r="Y30" s="623">
        <v>371.80430000000001</v>
      </c>
      <c r="Z30" s="623">
        <v>418.54910000000001</v>
      </c>
      <c r="AA30" s="623">
        <v>417.97379999999998</v>
      </c>
      <c r="AB30" s="623">
        <v>464.9212</v>
      </c>
      <c r="AC30" s="623">
        <v>370.98099999999999</v>
      </c>
      <c r="AD30" s="624">
        <v>323.0564</v>
      </c>
      <c r="AE30" s="624">
        <v>405.26119999999997</v>
      </c>
      <c r="AF30" s="609">
        <v>350.74090000000001</v>
      </c>
      <c r="AH30" s="622" t="s">
        <v>133</v>
      </c>
      <c r="AI30" s="623">
        <v>298.03750000000002</v>
      </c>
      <c r="AJ30" s="623">
        <v>279.19479999999999</v>
      </c>
      <c r="AK30" s="623">
        <v>227.6431</v>
      </c>
      <c r="AL30" s="623">
        <v>262.82650000000001</v>
      </c>
      <c r="AM30" s="623">
        <v>300.99560000000002</v>
      </c>
      <c r="AN30" s="623">
        <v>442.13760000000002</v>
      </c>
      <c r="AO30" s="623">
        <v>346.49439999999998</v>
      </c>
      <c r="AP30" s="623">
        <v>383.07920000000001</v>
      </c>
      <c r="AQ30" s="623">
        <v>377.73790000000002</v>
      </c>
      <c r="AR30" s="623">
        <v>445.59829999999999</v>
      </c>
      <c r="AS30" s="623">
        <v>334.88209999999998</v>
      </c>
      <c r="AT30" s="624">
        <v>300.1019</v>
      </c>
      <c r="AU30" s="624">
        <v>369.37630000000001</v>
      </c>
      <c r="AV30" s="609">
        <v>323.43180000000001</v>
      </c>
      <c r="AX30" s="622" t="s">
        <v>133</v>
      </c>
      <c r="AY30" s="623">
        <v>298.29419999999999</v>
      </c>
      <c r="AZ30" s="623">
        <v>280.28359999999998</v>
      </c>
      <c r="BA30" s="623">
        <v>231.7919</v>
      </c>
      <c r="BB30" s="623">
        <v>270.39269999999999</v>
      </c>
      <c r="BC30" s="623">
        <v>306.97300000000001</v>
      </c>
      <c r="BD30" s="623">
        <v>448.17559999999997</v>
      </c>
      <c r="BE30" s="623">
        <v>357.34679999999997</v>
      </c>
      <c r="BF30" s="623">
        <v>388.05990000000003</v>
      </c>
      <c r="BG30" s="623">
        <v>387.0514</v>
      </c>
      <c r="BH30" s="623">
        <v>451.19749999999999</v>
      </c>
      <c r="BI30" s="623">
        <v>338.85599999999999</v>
      </c>
      <c r="BJ30" s="624">
        <v>307.12520000000001</v>
      </c>
      <c r="BK30" s="624">
        <v>375.26060000000001</v>
      </c>
      <c r="BL30" s="609">
        <v>330.07150000000001</v>
      </c>
      <c r="BN30" s="622" t="s">
        <v>133</v>
      </c>
      <c r="BO30" s="639">
        <v>28.743400000000001</v>
      </c>
      <c r="BP30" s="639">
        <v>36.2361</v>
      </c>
      <c r="BQ30" s="639">
        <v>32.47</v>
      </c>
      <c r="BR30" s="639">
        <v>32.8155</v>
      </c>
      <c r="BS30" s="639">
        <v>30.057700000000001</v>
      </c>
      <c r="BT30" s="639">
        <v>31.7653</v>
      </c>
      <c r="BU30" s="639">
        <v>24.601199999999999</v>
      </c>
      <c r="BV30" s="639">
        <v>24.306999999999999</v>
      </c>
      <c r="BW30" s="639">
        <v>24.7197</v>
      </c>
      <c r="BX30" s="639">
        <v>22.5063</v>
      </c>
      <c r="BY30" s="639">
        <v>22.895399999999999</v>
      </c>
      <c r="BZ30" s="644">
        <v>30.267800000000001</v>
      </c>
      <c r="CA30" s="644">
        <v>23.8049</v>
      </c>
      <c r="CB30" s="640">
        <v>27.4178</v>
      </c>
      <c r="CD30" s="622" t="s">
        <v>133</v>
      </c>
      <c r="CE30" s="639">
        <v>3.6919</v>
      </c>
      <c r="CF30" s="639">
        <v>4.3052999999999999</v>
      </c>
      <c r="CG30" s="639">
        <v>4.2228000000000003</v>
      </c>
      <c r="CH30" s="639">
        <v>3.391</v>
      </c>
      <c r="CI30" s="639">
        <v>3.2683</v>
      </c>
      <c r="CJ30" s="639">
        <v>2.5910000000000002</v>
      </c>
      <c r="CK30" s="639">
        <v>3.2006000000000001</v>
      </c>
      <c r="CL30" s="639">
        <v>2.8772000000000002</v>
      </c>
      <c r="CM30" s="639">
        <v>3.5541999999999998</v>
      </c>
      <c r="CN30" s="639">
        <v>3.4361999999999999</v>
      </c>
      <c r="CO30" s="639">
        <v>4.8258000000000001</v>
      </c>
      <c r="CP30" s="644">
        <v>3.3033999999999999</v>
      </c>
      <c r="CQ30" s="644">
        <v>3.7593000000000001</v>
      </c>
      <c r="CR30" s="640">
        <v>3.4836999999999998</v>
      </c>
      <c r="CU30" s="618" t="s">
        <v>55</v>
      </c>
      <c r="CV30" s="622" t="s">
        <v>133</v>
      </c>
      <c r="CW30" s="639">
        <v>2.1012</v>
      </c>
      <c r="CX30" s="639">
        <v>11.058199999999999</v>
      </c>
      <c r="CY30" s="639">
        <v>7.8543000000000003</v>
      </c>
      <c r="CZ30" s="639">
        <v>8.1442999999999994</v>
      </c>
      <c r="DA30" s="639">
        <v>8.7794000000000008</v>
      </c>
      <c r="DB30" s="639">
        <v>16.506499999999999</v>
      </c>
      <c r="DC30" s="639">
        <v>12.684699999999999</v>
      </c>
      <c r="DD30" s="639">
        <v>13.5627</v>
      </c>
      <c r="DE30" s="639">
        <v>20.5502</v>
      </c>
      <c r="DF30" s="639">
        <v>20.787800000000001</v>
      </c>
      <c r="DG30" s="639">
        <v>20.1417</v>
      </c>
      <c r="DH30" s="644">
        <v>10.603899999999999</v>
      </c>
      <c r="DI30" s="644">
        <v>18.2761</v>
      </c>
      <c r="DJ30" s="640">
        <v>13.637499999999999</v>
      </c>
    </row>
    <row r="31" spans="2:114" s="571" customFormat="1" ht="15.75" customHeight="1" x14ac:dyDescent="0.25">
      <c r="B31" s="618" t="s">
        <v>767</v>
      </c>
      <c r="C31" s="619">
        <v>680.27279999999996</v>
      </c>
      <c r="D31" s="619">
        <v>486.3999</v>
      </c>
      <c r="E31" s="619">
        <v>422.96870000000001</v>
      </c>
      <c r="F31" s="619">
        <v>424.1302</v>
      </c>
      <c r="G31" s="619">
        <v>449.2432</v>
      </c>
      <c r="H31" s="619">
        <v>503.74340000000001</v>
      </c>
      <c r="I31" s="619">
        <v>486.0487</v>
      </c>
      <c r="J31" s="619">
        <v>522.12620000000004</v>
      </c>
      <c r="K31" s="619">
        <v>536.32690000000002</v>
      </c>
      <c r="L31" s="619">
        <v>572.76509999999996</v>
      </c>
      <c r="M31" s="619">
        <v>577.99310000000003</v>
      </c>
      <c r="N31" s="620">
        <v>451.78210000000001</v>
      </c>
      <c r="O31" s="620">
        <v>549.08460000000002</v>
      </c>
      <c r="P31" s="621">
        <v>486.35730000000001</v>
      </c>
      <c r="R31" s="618" t="s">
        <v>767</v>
      </c>
      <c r="S31" s="619">
        <v>577.12070000000006</v>
      </c>
      <c r="T31" s="619">
        <v>400.9699</v>
      </c>
      <c r="U31" s="619">
        <v>352.1807</v>
      </c>
      <c r="V31" s="619">
        <v>353.084</v>
      </c>
      <c r="W31" s="619">
        <v>379.57350000000002</v>
      </c>
      <c r="X31" s="619">
        <v>431.30619999999999</v>
      </c>
      <c r="Y31" s="619">
        <v>404.39460000000003</v>
      </c>
      <c r="Z31" s="619">
        <v>435.8476</v>
      </c>
      <c r="AA31" s="619">
        <v>427.87860000000001</v>
      </c>
      <c r="AB31" s="619">
        <v>484.06049999999999</v>
      </c>
      <c r="AC31" s="619">
        <v>468.00599999999997</v>
      </c>
      <c r="AD31" s="620">
        <v>378.17689999999999</v>
      </c>
      <c r="AE31" s="620">
        <v>449.89940000000001</v>
      </c>
      <c r="AF31" s="621">
        <v>403.6626</v>
      </c>
      <c r="AH31" s="618" t="s">
        <v>767</v>
      </c>
      <c r="AI31" s="619">
        <v>555.02760000000001</v>
      </c>
      <c r="AJ31" s="619">
        <v>386.62549999999999</v>
      </c>
      <c r="AK31" s="619">
        <v>340.10840000000002</v>
      </c>
      <c r="AL31" s="619">
        <v>337.8218</v>
      </c>
      <c r="AM31" s="619">
        <v>356.32870000000003</v>
      </c>
      <c r="AN31" s="619">
        <v>396.69830000000002</v>
      </c>
      <c r="AO31" s="619">
        <v>381.94330000000002</v>
      </c>
      <c r="AP31" s="619">
        <v>387.10640000000001</v>
      </c>
      <c r="AQ31" s="619">
        <v>394.66550000000001</v>
      </c>
      <c r="AR31" s="619">
        <v>429.08850000000001</v>
      </c>
      <c r="AS31" s="619">
        <v>373.38029999999998</v>
      </c>
      <c r="AT31" s="620">
        <v>358.41930000000002</v>
      </c>
      <c r="AU31" s="620">
        <v>397.11169999999998</v>
      </c>
      <c r="AV31" s="621">
        <v>372.16820000000001</v>
      </c>
      <c r="AX31" s="618" t="s">
        <v>767</v>
      </c>
      <c r="AY31" s="619">
        <v>555.45690000000002</v>
      </c>
      <c r="AZ31" s="619">
        <v>387.82569999999998</v>
      </c>
      <c r="BA31" s="619">
        <v>342.7045</v>
      </c>
      <c r="BB31" s="619">
        <v>340.50880000000001</v>
      </c>
      <c r="BC31" s="619">
        <v>361.0163</v>
      </c>
      <c r="BD31" s="619">
        <v>405.27940000000001</v>
      </c>
      <c r="BE31" s="619">
        <v>389.9606</v>
      </c>
      <c r="BF31" s="619">
        <v>414.26490000000001</v>
      </c>
      <c r="BG31" s="619">
        <v>408.69369999999998</v>
      </c>
      <c r="BH31" s="619">
        <v>435.4384</v>
      </c>
      <c r="BI31" s="619">
        <v>376.44040000000001</v>
      </c>
      <c r="BJ31" s="620">
        <v>363.11180000000002</v>
      </c>
      <c r="BK31" s="620">
        <v>410.32940000000002</v>
      </c>
      <c r="BL31" s="621">
        <v>379.89</v>
      </c>
      <c r="BN31" s="618" t="s">
        <v>767</v>
      </c>
      <c r="BO31" s="637">
        <v>36.098399999999998</v>
      </c>
      <c r="BP31" s="637">
        <v>34.501600000000003</v>
      </c>
      <c r="BQ31" s="637">
        <v>37.141800000000003</v>
      </c>
      <c r="BR31" s="637">
        <v>36.822600000000001</v>
      </c>
      <c r="BS31" s="637">
        <v>35.008299999999998</v>
      </c>
      <c r="BT31" s="637">
        <v>34.930100000000003</v>
      </c>
      <c r="BU31" s="637">
        <v>30.520199999999999</v>
      </c>
      <c r="BV31" s="637">
        <v>28.394300000000001</v>
      </c>
      <c r="BW31" s="637">
        <v>27.458500000000001</v>
      </c>
      <c r="BX31" s="637">
        <v>30.125499999999999</v>
      </c>
      <c r="BY31" s="637">
        <v>24.356000000000002</v>
      </c>
      <c r="BZ31" s="643">
        <v>34.648899999999998</v>
      </c>
      <c r="CA31" s="643">
        <v>27.684799999999999</v>
      </c>
      <c r="CB31" s="638">
        <v>31.598199999999999</v>
      </c>
      <c r="CD31" s="618" t="s">
        <v>767</v>
      </c>
      <c r="CE31" s="637">
        <v>2.1861999999999999</v>
      </c>
      <c r="CF31" s="637">
        <v>1.9557</v>
      </c>
      <c r="CG31" s="637">
        <v>1.4587000000000001</v>
      </c>
      <c r="CH31" s="637">
        <v>2.0230999999999999</v>
      </c>
      <c r="CI31" s="637">
        <v>2.6823000000000001</v>
      </c>
      <c r="CJ31" s="637">
        <v>3.8601999999999999</v>
      </c>
      <c r="CK31" s="637">
        <v>3.2673999999999999</v>
      </c>
      <c r="CL31" s="637">
        <v>4.7073999999999998</v>
      </c>
      <c r="CM31" s="637">
        <v>4.2588999999999997</v>
      </c>
      <c r="CN31" s="637">
        <v>6.0160999999999998</v>
      </c>
      <c r="CO31" s="637">
        <v>14.463200000000001</v>
      </c>
      <c r="CP31" s="643">
        <v>2.5648</v>
      </c>
      <c r="CQ31" s="643">
        <v>6.7127999999999997</v>
      </c>
      <c r="CR31" s="638">
        <v>4.2287999999999997</v>
      </c>
      <c r="CU31" s="622" t="s">
        <v>92</v>
      </c>
      <c r="CV31" s="618" t="s">
        <v>767</v>
      </c>
      <c r="CW31" s="637">
        <v>8.2060999999999993</v>
      </c>
      <c r="CX31" s="637">
        <v>11.831099999999999</v>
      </c>
      <c r="CY31" s="637">
        <v>11.7799</v>
      </c>
      <c r="CZ31" s="637">
        <v>13.959</v>
      </c>
      <c r="DA31" s="637">
        <v>18.300799999999999</v>
      </c>
      <c r="DB31" s="637">
        <v>16.147099999999998</v>
      </c>
      <c r="DC31" s="637">
        <v>14.1153</v>
      </c>
      <c r="DD31" s="637">
        <v>12.135</v>
      </c>
      <c r="DE31" s="637">
        <v>24.7515</v>
      </c>
      <c r="DF31" s="637">
        <v>33.498699999999999</v>
      </c>
      <c r="DG31" s="637">
        <v>41.570700000000002</v>
      </c>
      <c r="DH31" s="643">
        <v>14.691700000000001</v>
      </c>
      <c r="DI31" s="643">
        <v>27.363700000000001</v>
      </c>
      <c r="DJ31" s="638">
        <v>19.775300000000001</v>
      </c>
    </row>
    <row r="32" spans="2:114" s="465" customFormat="1" ht="15.75" customHeight="1" x14ac:dyDescent="0.25">
      <c r="B32" s="622" t="s">
        <v>134</v>
      </c>
      <c r="C32" s="623">
        <v>1015.1745</v>
      </c>
      <c r="D32" s="623">
        <v>706.58950000000004</v>
      </c>
      <c r="E32" s="623">
        <v>537.35289999999998</v>
      </c>
      <c r="F32" s="623">
        <v>534.27859999999998</v>
      </c>
      <c r="G32" s="623">
        <v>507.2176</v>
      </c>
      <c r="H32" s="623">
        <v>499.54169999999999</v>
      </c>
      <c r="I32" s="623">
        <v>566.36950000000002</v>
      </c>
      <c r="J32" s="623">
        <v>461.21589999999998</v>
      </c>
      <c r="K32" s="623">
        <v>537.40899999999999</v>
      </c>
      <c r="L32" s="623">
        <v>676.90620000000001</v>
      </c>
      <c r="M32" s="623">
        <v>537.22</v>
      </c>
      <c r="N32" s="624">
        <v>545.53549999999996</v>
      </c>
      <c r="O32" s="624">
        <v>533.14239999999995</v>
      </c>
      <c r="P32" s="609">
        <v>540.42679999999996</v>
      </c>
      <c r="R32" s="622" t="s">
        <v>134</v>
      </c>
      <c r="S32" s="623">
        <v>876.93380000000002</v>
      </c>
      <c r="T32" s="623">
        <v>604.68740000000003</v>
      </c>
      <c r="U32" s="623">
        <v>452.79950000000002</v>
      </c>
      <c r="V32" s="623">
        <v>443.85090000000002</v>
      </c>
      <c r="W32" s="623">
        <v>426.49169999999998</v>
      </c>
      <c r="X32" s="623">
        <v>419.49529999999999</v>
      </c>
      <c r="Y32" s="623">
        <v>467.54250000000002</v>
      </c>
      <c r="Z32" s="623">
        <v>370.40480000000002</v>
      </c>
      <c r="AA32" s="623">
        <v>425.07679999999999</v>
      </c>
      <c r="AB32" s="623">
        <v>556.51649999999995</v>
      </c>
      <c r="AC32" s="623">
        <v>457.32659999999998</v>
      </c>
      <c r="AD32" s="624">
        <v>455.61149999999998</v>
      </c>
      <c r="AE32" s="624">
        <v>439.04520000000002</v>
      </c>
      <c r="AF32" s="609">
        <v>448.7826</v>
      </c>
      <c r="AH32" s="622" t="s">
        <v>134</v>
      </c>
      <c r="AI32" s="623">
        <v>846.42899999999997</v>
      </c>
      <c r="AJ32" s="623">
        <v>577.86569999999995</v>
      </c>
      <c r="AK32" s="623">
        <v>429.12509999999997</v>
      </c>
      <c r="AL32" s="623">
        <v>421.66590000000002</v>
      </c>
      <c r="AM32" s="623">
        <v>407.83659999999998</v>
      </c>
      <c r="AN32" s="623">
        <v>396.34179999999998</v>
      </c>
      <c r="AO32" s="623">
        <v>425.13189999999997</v>
      </c>
      <c r="AP32" s="623">
        <v>341.74149999999997</v>
      </c>
      <c r="AQ32" s="623">
        <v>383.45890000000003</v>
      </c>
      <c r="AR32" s="623">
        <v>484.34809999999999</v>
      </c>
      <c r="AS32" s="623">
        <v>393.23129999999998</v>
      </c>
      <c r="AT32" s="624">
        <v>428.47070000000002</v>
      </c>
      <c r="AU32" s="624">
        <v>387.81389999999999</v>
      </c>
      <c r="AV32" s="609">
        <v>411.71109999999999</v>
      </c>
      <c r="AX32" s="622" t="s">
        <v>134</v>
      </c>
      <c r="AY32" s="623">
        <v>849.73749999999995</v>
      </c>
      <c r="AZ32" s="623">
        <v>581.99040000000002</v>
      </c>
      <c r="BA32" s="623">
        <v>433.99439999999998</v>
      </c>
      <c r="BB32" s="623">
        <v>427.72269999999997</v>
      </c>
      <c r="BC32" s="623">
        <v>415.07100000000003</v>
      </c>
      <c r="BD32" s="623">
        <v>407.39920000000001</v>
      </c>
      <c r="BE32" s="623">
        <v>437.82940000000002</v>
      </c>
      <c r="BF32" s="623">
        <v>350.11009999999999</v>
      </c>
      <c r="BG32" s="623">
        <v>389.38549999999998</v>
      </c>
      <c r="BH32" s="623">
        <v>487.55919999999998</v>
      </c>
      <c r="BI32" s="623">
        <v>397.31970000000001</v>
      </c>
      <c r="BJ32" s="624">
        <v>436.77609999999999</v>
      </c>
      <c r="BK32" s="624">
        <v>393.26209999999998</v>
      </c>
      <c r="BL32" s="609">
        <v>418.83870000000002</v>
      </c>
      <c r="BN32" s="622" t="s">
        <v>134</v>
      </c>
      <c r="BO32" s="639">
        <v>48.563800000000001</v>
      </c>
      <c r="BP32" s="639">
        <v>47.106299999999997</v>
      </c>
      <c r="BQ32" s="639">
        <v>42.6235</v>
      </c>
      <c r="BR32" s="639">
        <v>41.212200000000003</v>
      </c>
      <c r="BS32" s="639">
        <v>40.912500000000001</v>
      </c>
      <c r="BT32" s="639">
        <v>35.454099999999997</v>
      </c>
      <c r="BU32" s="639">
        <v>32.308599999999998</v>
      </c>
      <c r="BV32" s="639">
        <v>25.212299999999999</v>
      </c>
      <c r="BW32" s="639">
        <v>23.919899999999998</v>
      </c>
      <c r="BX32" s="639">
        <v>32.932899999999997</v>
      </c>
      <c r="BY32" s="639">
        <v>28.049299999999999</v>
      </c>
      <c r="BZ32" s="644">
        <v>38.310499999999998</v>
      </c>
      <c r="CA32" s="644">
        <v>26.835799999999999</v>
      </c>
      <c r="CB32" s="640">
        <v>32.8705</v>
      </c>
      <c r="CD32" s="622" t="s">
        <v>134</v>
      </c>
      <c r="CE32" s="639">
        <v>1.9345000000000001</v>
      </c>
      <c r="CF32" s="639">
        <v>2.2338</v>
      </c>
      <c r="CG32" s="639">
        <v>2.2957999999999998</v>
      </c>
      <c r="CH32" s="639">
        <v>2.202</v>
      </c>
      <c r="CI32" s="639">
        <v>2.3311000000000002</v>
      </c>
      <c r="CJ32" s="639">
        <v>2.0905</v>
      </c>
      <c r="CK32" s="639">
        <v>4.0904999999999996</v>
      </c>
      <c r="CL32" s="639">
        <v>4.6707000000000001</v>
      </c>
      <c r="CM32" s="639">
        <v>5.2385000000000002</v>
      </c>
      <c r="CN32" s="639">
        <v>4.7130999999999998</v>
      </c>
      <c r="CO32" s="639">
        <v>10.633599999999999</v>
      </c>
      <c r="CP32" s="644">
        <v>2.7029999999999998</v>
      </c>
      <c r="CQ32" s="644">
        <v>7.3863000000000003</v>
      </c>
      <c r="CR32" s="640">
        <v>4.6075999999999997</v>
      </c>
      <c r="CU32" s="618" t="s">
        <v>56</v>
      </c>
      <c r="CV32" s="622" t="s">
        <v>134</v>
      </c>
      <c r="CW32" s="639">
        <v>15.503</v>
      </c>
      <c r="CX32" s="639">
        <v>12.7684</v>
      </c>
      <c r="CY32" s="639">
        <v>12.827299999999999</v>
      </c>
      <c r="CZ32" s="639">
        <v>14.7682</v>
      </c>
      <c r="DA32" s="639">
        <v>16.450900000000001</v>
      </c>
      <c r="DB32" s="639">
        <v>16.762899999999998</v>
      </c>
      <c r="DC32" s="639">
        <v>21.659600000000001</v>
      </c>
      <c r="DD32" s="639">
        <v>23.921199999999999</v>
      </c>
      <c r="DE32" s="639">
        <v>16.862500000000001</v>
      </c>
      <c r="DF32" s="639">
        <v>38.556699999999999</v>
      </c>
      <c r="DG32" s="639">
        <v>30.0062</v>
      </c>
      <c r="DH32" s="644">
        <v>16.773900000000001</v>
      </c>
      <c r="DI32" s="644">
        <v>26.757400000000001</v>
      </c>
      <c r="DJ32" s="640">
        <v>20.8338</v>
      </c>
    </row>
    <row r="33" spans="2:114" s="571" customFormat="1" ht="15.75" customHeight="1" x14ac:dyDescent="0.25">
      <c r="B33" s="618" t="s">
        <v>63</v>
      </c>
      <c r="C33" s="619">
        <v>573.15769999999998</v>
      </c>
      <c r="D33" s="619">
        <v>473.45920000000001</v>
      </c>
      <c r="E33" s="619">
        <v>404.71089999999998</v>
      </c>
      <c r="F33" s="619">
        <v>450.88029999999998</v>
      </c>
      <c r="G33" s="619">
        <v>512.17639999999994</v>
      </c>
      <c r="H33" s="619">
        <v>500.47550000000001</v>
      </c>
      <c r="I33" s="619">
        <v>491.30930000000001</v>
      </c>
      <c r="J33" s="619">
        <v>505.95490000000001</v>
      </c>
      <c r="K33" s="619">
        <v>464.05059999999997</v>
      </c>
      <c r="L33" s="619">
        <v>546.09400000000005</v>
      </c>
      <c r="M33" s="619">
        <v>357.12670000000003</v>
      </c>
      <c r="N33" s="620">
        <v>483.97829999999999</v>
      </c>
      <c r="O33" s="620">
        <v>449.92489999999998</v>
      </c>
      <c r="P33" s="621">
        <v>468.5437</v>
      </c>
      <c r="R33" s="618" t="s">
        <v>63</v>
      </c>
      <c r="S33" s="619">
        <v>481.67489999999998</v>
      </c>
      <c r="T33" s="619">
        <v>417.64100000000002</v>
      </c>
      <c r="U33" s="619">
        <v>334.73809999999997</v>
      </c>
      <c r="V33" s="619">
        <v>382.64819999999997</v>
      </c>
      <c r="W33" s="619">
        <v>443.72930000000002</v>
      </c>
      <c r="X33" s="619">
        <v>433.2876</v>
      </c>
      <c r="Y33" s="619">
        <v>414.60340000000002</v>
      </c>
      <c r="Z33" s="619">
        <v>415.53489999999999</v>
      </c>
      <c r="AA33" s="619">
        <v>405.94499999999999</v>
      </c>
      <c r="AB33" s="619">
        <v>445.56610000000001</v>
      </c>
      <c r="AC33" s="619">
        <v>276.96199999999999</v>
      </c>
      <c r="AD33" s="620">
        <v>413.20839999999998</v>
      </c>
      <c r="AE33" s="620">
        <v>368.88749999999999</v>
      </c>
      <c r="AF33" s="621">
        <v>393.12</v>
      </c>
      <c r="AH33" s="618" t="s">
        <v>63</v>
      </c>
      <c r="AI33" s="619">
        <v>392.31420000000003</v>
      </c>
      <c r="AJ33" s="619">
        <v>383.10070000000002</v>
      </c>
      <c r="AK33" s="619">
        <v>311.57569999999998</v>
      </c>
      <c r="AL33" s="619">
        <v>354.20749999999998</v>
      </c>
      <c r="AM33" s="619">
        <v>416.9864</v>
      </c>
      <c r="AN33" s="619">
        <v>399.6739</v>
      </c>
      <c r="AO33" s="619">
        <v>386.697</v>
      </c>
      <c r="AP33" s="619">
        <v>375.14710000000002</v>
      </c>
      <c r="AQ33" s="619">
        <v>373.36619999999999</v>
      </c>
      <c r="AR33" s="619">
        <v>416.52960000000002</v>
      </c>
      <c r="AS33" s="619">
        <v>241.0129</v>
      </c>
      <c r="AT33" s="620">
        <v>384.68759999999997</v>
      </c>
      <c r="AU33" s="620">
        <v>333.70179999999999</v>
      </c>
      <c r="AV33" s="621">
        <v>361.57839999999999</v>
      </c>
      <c r="AX33" s="618" t="s">
        <v>63</v>
      </c>
      <c r="AY33" s="619">
        <v>392.31420000000003</v>
      </c>
      <c r="AZ33" s="619">
        <v>396.25389999999999</v>
      </c>
      <c r="BA33" s="619">
        <v>311.83179999999999</v>
      </c>
      <c r="BB33" s="619">
        <v>355.57380000000001</v>
      </c>
      <c r="BC33" s="619">
        <v>420.68990000000002</v>
      </c>
      <c r="BD33" s="619">
        <v>405.04939999999999</v>
      </c>
      <c r="BE33" s="619">
        <v>392.43950000000001</v>
      </c>
      <c r="BF33" s="619">
        <v>380.91109999999998</v>
      </c>
      <c r="BG33" s="619">
        <v>376.8528</v>
      </c>
      <c r="BH33" s="619">
        <v>418.92070000000001</v>
      </c>
      <c r="BI33" s="619">
        <v>248.08920000000001</v>
      </c>
      <c r="BJ33" s="620">
        <v>388.5806</v>
      </c>
      <c r="BK33" s="620">
        <v>338.86649999999997</v>
      </c>
      <c r="BL33" s="621">
        <v>366.0478</v>
      </c>
      <c r="BN33" s="618" t="s">
        <v>63</v>
      </c>
      <c r="BO33" s="637">
        <v>37.642600000000002</v>
      </c>
      <c r="BP33" s="637">
        <v>40.801600000000001</v>
      </c>
      <c r="BQ33" s="637">
        <v>37.348799999999997</v>
      </c>
      <c r="BR33" s="637">
        <v>41.208599999999997</v>
      </c>
      <c r="BS33" s="637">
        <v>40.890500000000003</v>
      </c>
      <c r="BT33" s="637">
        <v>36.030200000000001</v>
      </c>
      <c r="BU33" s="637">
        <v>32.512099999999997</v>
      </c>
      <c r="BV33" s="637">
        <v>27.640999999999998</v>
      </c>
      <c r="BW33" s="637">
        <v>29.8462</v>
      </c>
      <c r="BX33" s="637">
        <v>30.000599999999999</v>
      </c>
      <c r="BY33" s="637">
        <v>16.883800000000001</v>
      </c>
      <c r="BZ33" s="643">
        <v>37.076900000000002</v>
      </c>
      <c r="CA33" s="643">
        <v>24.427700000000002</v>
      </c>
      <c r="CB33" s="638">
        <v>30.459</v>
      </c>
      <c r="CD33" s="618" t="s">
        <v>63</v>
      </c>
      <c r="CE33" s="637">
        <v>6.7702</v>
      </c>
      <c r="CF33" s="637">
        <v>4.2507000000000001</v>
      </c>
      <c r="CG33" s="637">
        <v>3.9758</v>
      </c>
      <c r="CH33" s="637">
        <v>3.8742000000000001</v>
      </c>
      <c r="CI33" s="637">
        <v>4.1253000000000002</v>
      </c>
      <c r="CJ33" s="637">
        <v>4.6130000000000004</v>
      </c>
      <c r="CK33" s="637">
        <v>3.7042999999999999</v>
      </c>
      <c r="CL33" s="637">
        <v>6.0406000000000004</v>
      </c>
      <c r="CM33" s="637">
        <v>5.9104999999999999</v>
      </c>
      <c r="CN33" s="637">
        <v>2.7810999999999999</v>
      </c>
      <c r="CO33" s="637">
        <v>7.9615</v>
      </c>
      <c r="CP33" s="643">
        <v>4.0052000000000003</v>
      </c>
      <c r="CQ33" s="643">
        <v>5.9112</v>
      </c>
      <c r="CR33" s="638">
        <v>4.8348000000000004</v>
      </c>
      <c r="CU33" s="622" t="s">
        <v>57</v>
      </c>
      <c r="CV33" s="618" t="s">
        <v>63</v>
      </c>
      <c r="CW33" s="637">
        <v>0</v>
      </c>
      <c r="CX33" s="637">
        <v>9.5860000000000003</v>
      </c>
      <c r="CY33" s="637">
        <v>15.801299999999999</v>
      </c>
      <c r="CZ33" s="637">
        <v>12.6563</v>
      </c>
      <c r="DA33" s="637">
        <v>13.3573</v>
      </c>
      <c r="DB33" s="637">
        <v>10.126300000000001</v>
      </c>
      <c r="DC33" s="637">
        <v>12.997400000000001</v>
      </c>
      <c r="DD33" s="637">
        <v>18.7605</v>
      </c>
      <c r="DE33" s="637">
        <v>26.176300000000001</v>
      </c>
      <c r="DF33" s="637">
        <v>38.269199999999998</v>
      </c>
      <c r="DG33" s="637">
        <v>35.304000000000002</v>
      </c>
      <c r="DH33" s="643">
        <v>12.616</v>
      </c>
      <c r="DI33" s="643">
        <v>29.019600000000001</v>
      </c>
      <c r="DJ33" s="638">
        <v>19.755500000000001</v>
      </c>
    </row>
    <row r="34" spans="2:114" s="465" customFormat="1" ht="15.75" customHeight="1" x14ac:dyDescent="0.25">
      <c r="B34" s="622" t="s">
        <v>93</v>
      </c>
      <c r="C34" s="623">
        <v>1583.5597</v>
      </c>
      <c r="D34" s="623">
        <v>1563.6152</v>
      </c>
      <c r="E34" s="623">
        <v>1085.5463</v>
      </c>
      <c r="F34" s="623">
        <v>903.36220000000003</v>
      </c>
      <c r="G34" s="623">
        <v>618.03319999999997</v>
      </c>
      <c r="H34" s="623">
        <v>582.83619999999996</v>
      </c>
      <c r="I34" s="623">
        <v>576.39089999999999</v>
      </c>
      <c r="J34" s="623">
        <v>597.56939999999997</v>
      </c>
      <c r="K34" s="623">
        <v>600.12739999999997</v>
      </c>
      <c r="L34" s="623">
        <v>660.65440000000001</v>
      </c>
      <c r="M34" s="623">
        <v>455.72500000000002</v>
      </c>
      <c r="N34" s="624">
        <v>678.36739999999998</v>
      </c>
      <c r="O34" s="624">
        <v>548.05179999999996</v>
      </c>
      <c r="P34" s="609">
        <v>584.15819999999997</v>
      </c>
      <c r="R34" s="622" t="s">
        <v>93</v>
      </c>
      <c r="S34" s="623">
        <v>1335.1075000000001</v>
      </c>
      <c r="T34" s="623">
        <v>1288.328</v>
      </c>
      <c r="U34" s="623">
        <v>893.46</v>
      </c>
      <c r="V34" s="623">
        <v>775.52949999999998</v>
      </c>
      <c r="W34" s="623">
        <v>530.24590000000001</v>
      </c>
      <c r="X34" s="623">
        <v>497.81689999999998</v>
      </c>
      <c r="Y34" s="623">
        <v>504.40649999999999</v>
      </c>
      <c r="Z34" s="623">
        <v>506.5326</v>
      </c>
      <c r="AA34" s="623">
        <v>487.95830000000001</v>
      </c>
      <c r="AB34" s="623">
        <v>482.46640000000002</v>
      </c>
      <c r="AC34" s="623">
        <v>319.33670000000001</v>
      </c>
      <c r="AD34" s="624">
        <v>583.77239999999995</v>
      </c>
      <c r="AE34" s="624">
        <v>420.59350000000001</v>
      </c>
      <c r="AF34" s="609">
        <v>465.80529999999999</v>
      </c>
      <c r="AH34" s="622" t="s">
        <v>93</v>
      </c>
      <c r="AI34" s="623">
        <v>1297.2615000000001</v>
      </c>
      <c r="AJ34" s="623">
        <v>1267.6674</v>
      </c>
      <c r="AK34" s="623">
        <v>844.49030000000005</v>
      </c>
      <c r="AL34" s="623">
        <v>748.52269999999999</v>
      </c>
      <c r="AM34" s="623">
        <v>505.12099999999998</v>
      </c>
      <c r="AN34" s="623">
        <v>448.00909999999999</v>
      </c>
      <c r="AO34" s="623">
        <v>471.59679999999997</v>
      </c>
      <c r="AP34" s="623">
        <v>459.24110000000002</v>
      </c>
      <c r="AQ34" s="623">
        <v>435.86540000000002</v>
      </c>
      <c r="AR34" s="623">
        <v>428.9914</v>
      </c>
      <c r="AS34" s="623">
        <v>238.4725</v>
      </c>
      <c r="AT34" s="624">
        <v>549.90189999999996</v>
      </c>
      <c r="AU34" s="624">
        <v>357.25099999999998</v>
      </c>
      <c r="AV34" s="609">
        <v>410.62860000000001</v>
      </c>
      <c r="AX34" s="622" t="s">
        <v>93</v>
      </c>
      <c r="AY34" s="623">
        <v>1307.7845</v>
      </c>
      <c r="AZ34" s="623">
        <v>1273.1329000000001</v>
      </c>
      <c r="BA34" s="623">
        <v>846.16679999999997</v>
      </c>
      <c r="BB34" s="623">
        <v>754.74030000000005</v>
      </c>
      <c r="BC34" s="623">
        <v>516.35919999999999</v>
      </c>
      <c r="BD34" s="623">
        <v>468.6155</v>
      </c>
      <c r="BE34" s="623">
        <v>489.43099999999998</v>
      </c>
      <c r="BF34" s="623">
        <v>482.8931</v>
      </c>
      <c r="BG34" s="623">
        <v>452.46949999999998</v>
      </c>
      <c r="BH34" s="623">
        <v>435.45080000000002</v>
      </c>
      <c r="BI34" s="623">
        <v>257.80259999999998</v>
      </c>
      <c r="BJ34" s="624">
        <v>564.18859999999995</v>
      </c>
      <c r="BK34" s="624">
        <v>374.89960000000002</v>
      </c>
      <c r="BL34" s="609">
        <v>427.3458</v>
      </c>
      <c r="BN34" s="622" t="s">
        <v>93</v>
      </c>
      <c r="BO34" s="639">
        <v>60.330599999999997</v>
      </c>
      <c r="BP34" s="639">
        <v>61.598199999999999</v>
      </c>
      <c r="BQ34" s="639">
        <v>43.794800000000002</v>
      </c>
      <c r="BR34" s="639">
        <v>45.3384</v>
      </c>
      <c r="BS34" s="639">
        <v>38.033000000000001</v>
      </c>
      <c r="BT34" s="639">
        <v>32.512799999999999</v>
      </c>
      <c r="BU34" s="639">
        <v>33.7164</v>
      </c>
      <c r="BV34" s="639">
        <v>28.973199999999999</v>
      </c>
      <c r="BW34" s="639">
        <v>25.728200000000001</v>
      </c>
      <c r="BX34" s="639">
        <v>21.5305</v>
      </c>
      <c r="BY34" s="639">
        <v>16.052499999999998</v>
      </c>
      <c r="BZ34" s="644">
        <v>37.591900000000003</v>
      </c>
      <c r="CA34" s="644">
        <v>21.8644</v>
      </c>
      <c r="CB34" s="640">
        <v>25.815100000000001</v>
      </c>
      <c r="CD34" s="622" t="s">
        <v>93</v>
      </c>
      <c r="CE34" s="639">
        <v>0.19689999999999999</v>
      </c>
      <c r="CF34" s="639">
        <v>0.49059999999999998</v>
      </c>
      <c r="CG34" s="639">
        <v>2.3201000000000001</v>
      </c>
      <c r="CH34" s="639">
        <v>1.6235999999999999</v>
      </c>
      <c r="CI34" s="639">
        <v>1.8827</v>
      </c>
      <c r="CJ34" s="639">
        <v>5.1540999999999997</v>
      </c>
      <c r="CK34" s="639">
        <v>3.0865</v>
      </c>
      <c r="CL34" s="639">
        <v>3.6459999999999999</v>
      </c>
      <c r="CM34" s="639">
        <v>4.5328999999999997</v>
      </c>
      <c r="CN34" s="639">
        <v>5.2648999999999999</v>
      </c>
      <c r="CO34" s="639">
        <v>11.922599999999999</v>
      </c>
      <c r="CP34" s="644">
        <v>2.7113999999999998</v>
      </c>
      <c r="CQ34" s="644">
        <v>7.0282999999999998</v>
      </c>
      <c r="CR34" s="640">
        <v>5.6393000000000004</v>
      </c>
      <c r="CU34" s="618" t="s">
        <v>58</v>
      </c>
      <c r="CV34" s="622" t="s">
        <v>93</v>
      </c>
      <c r="CW34" s="639">
        <v>9.6922999999999995</v>
      </c>
      <c r="CX34" s="639">
        <v>18.768999999999998</v>
      </c>
      <c r="CY34" s="639">
        <v>7.1681999999999997</v>
      </c>
      <c r="CZ34" s="639">
        <v>15.0243</v>
      </c>
      <c r="DA34" s="639">
        <v>7.6566999999999998</v>
      </c>
      <c r="DB34" s="639">
        <v>10.190300000000001</v>
      </c>
      <c r="DC34" s="639">
        <v>8.9281000000000006</v>
      </c>
      <c r="DD34" s="639">
        <v>13.8424</v>
      </c>
      <c r="DE34" s="639">
        <v>18.6935</v>
      </c>
      <c r="DF34" s="639">
        <v>23.008199999999999</v>
      </c>
      <c r="DG34" s="639">
        <v>28.5093</v>
      </c>
      <c r="DH34" s="644">
        <v>10.536099999999999</v>
      </c>
      <c r="DI34" s="644">
        <v>21.816800000000001</v>
      </c>
      <c r="DJ34" s="640">
        <v>18.187200000000001</v>
      </c>
    </row>
    <row r="35" spans="2:114" s="571" customFormat="1" ht="15.75" customHeight="1" x14ac:dyDescent="0.25">
      <c r="B35" s="618" t="s">
        <v>135</v>
      </c>
      <c r="C35" s="619">
        <v>1301.6582000000001</v>
      </c>
      <c r="D35" s="619">
        <v>590.0317</v>
      </c>
      <c r="E35" s="619">
        <v>547.95860000000005</v>
      </c>
      <c r="F35" s="619">
        <v>468.91520000000003</v>
      </c>
      <c r="G35" s="619">
        <v>533.10159999999996</v>
      </c>
      <c r="H35" s="619">
        <v>459.9914</v>
      </c>
      <c r="I35" s="619">
        <v>490.74209999999999</v>
      </c>
      <c r="J35" s="619">
        <v>503.06009999999998</v>
      </c>
      <c r="K35" s="619">
        <v>541.03440000000001</v>
      </c>
      <c r="L35" s="619">
        <v>662.18640000000005</v>
      </c>
      <c r="M35" s="619">
        <v>911.58240000000001</v>
      </c>
      <c r="N35" s="620">
        <v>490.86509999999998</v>
      </c>
      <c r="O35" s="620">
        <v>658.40179999999998</v>
      </c>
      <c r="P35" s="621">
        <v>633.12260000000003</v>
      </c>
      <c r="R35" s="618" t="s">
        <v>135</v>
      </c>
      <c r="S35" s="619">
        <v>1186.5662</v>
      </c>
      <c r="T35" s="619">
        <v>439.9348</v>
      </c>
      <c r="U35" s="619">
        <v>477.3612</v>
      </c>
      <c r="V35" s="619">
        <v>409.49079999999998</v>
      </c>
      <c r="W35" s="619">
        <v>466.06939999999997</v>
      </c>
      <c r="X35" s="619">
        <v>385.54500000000002</v>
      </c>
      <c r="Y35" s="619">
        <v>420.57709999999997</v>
      </c>
      <c r="Z35" s="619">
        <v>420.97179999999997</v>
      </c>
      <c r="AA35" s="619">
        <v>436.18130000000002</v>
      </c>
      <c r="AB35" s="619">
        <v>511.8698</v>
      </c>
      <c r="AC35" s="619">
        <v>761.38980000000004</v>
      </c>
      <c r="AD35" s="620">
        <v>422.72539999999998</v>
      </c>
      <c r="AE35" s="620">
        <v>533.64970000000005</v>
      </c>
      <c r="AF35" s="621">
        <v>516.9126</v>
      </c>
      <c r="AH35" s="618" t="s">
        <v>135</v>
      </c>
      <c r="AI35" s="619">
        <v>1186.5662</v>
      </c>
      <c r="AJ35" s="619">
        <v>419.00510000000003</v>
      </c>
      <c r="AK35" s="619">
        <v>441.50889999999998</v>
      </c>
      <c r="AL35" s="619">
        <v>398.20780000000002</v>
      </c>
      <c r="AM35" s="619">
        <v>442.577</v>
      </c>
      <c r="AN35" s="619">
        <v>366.75749999999999</v>
      </c>
      <c r="AO35" s="619">
        <v>404.68619999999999</v>
      </c>
      <c r="AP35" s="619">
        <v>406.2903</v>
      </c>
      <c r="AQ35" s="619">
        <v>400.38900000000001</v>
      </c>
      <c r="AR35" s="619">
        <v>462.03879999999998</v>
      </c>
      <c r="AS35" s="619">
        <v>578.33130000000006</v>
      </c>
      <c r="AT35" s="620">
        <v>405.553</v>
      </c>
      <c r="AU35" s="620">
        <v>460.49689999999998</v>
      </c>
      <c r="AV35" s="621">
        <v>452.20650000000001</v>
      </c>
      <c r="AX35" s="618" t="s">
        <v>135</v>
      </c>
      <c r="AY35" s="619">
        <v>1186.5662</v>
      </c>
      <c r="AZ35" s="619">
        <v>419.00510000000003</v>
      </c>
      <c r="BA35" s="619">
        <v>453.19760000000002</v>
      </c>
      <c r="BB35" s="619">
        <v>399.84980000000002</v>
      </c>
      <c r="BC35" s="619">
        <v>445.56720000000001</v>
      </c>
      <c r="BD35" s="619">
        <v>367.7149</v>
      </c>
      <c r="BE35" s="619">
        <v>408.91930000000002</v>
      </c>
      <c r="BF35" s="619">
        <v>408.48129999999998</v>
      </c>
      <c r="BG35" s="619">
        <v>406.29329999999999</v>
      </c>
      <c r="BH35" s="619">
        <v>479.94080000000002</v>
      </c>
      <c r="BI35" s="619">
        <v>584.4221</v>
      </c>
      <c r="BJ35" s="620">
        <v>408.7817</v>
      </c>
      <c r="BK35" s="620">
        <v>469.01850000000002</v>
      </c>
      <c r="BL35" s="621">
        <v>459.92950000000002</v>
      </c>
      <c r="BN35" s="618" t="s">
        <v>135</v>
      </c>
      <c r="BO35" s="637">
        <v>55.411799999999999</v>
      </c>
      <c r="BP35" s="637">
        <v>37.987299999999998</v>
      </c>
      <c r="BQ35" s="637">
        <v>46.939700000000002</v>
      </c>
      <c r="BR35" s="637">
        <v>40.839500000000001</v>
      </c>
      <c r="BS35" s="637">
        <v>35.369399999999999</v>
      </c>
      <c r="BT35" s="637">
        <v>27.709700000000002</v>
      </c>
      <c r="BU35" s="637">
        <v>28.229900000000001</v>
      </c>
      <c r="BV35" s="637">
        <v>26.438600000000001</v>
      </c>
      <c r="BW35" s="637">
        <v>23.860900000000001</v>
      </c>
      <c r="BX35" s="637">
        <v>25.4544</v>
      </c>
      <c r="BY35" s="637">
        <v>17.952999999999999</v>
      </c>
      <c r="BZ35" s="643">
        <v>32.1526</v>
      </c>
      <c r="CA35" s="643">
        <v>22.196100000000001</v>
      </c>
      <c r="CB35" s="638">
        <v>23.157800000000002</v>
      </c>
      <c r="CD35" s="618" t="s">
        <v>135</v>
      </c>
      <c r="CE35" s="637">
        <v>0</v>
      </c>
      <c r="CF35" s="637">
        <v>3.5179</v>
      </c>
      <c r="CG35" s="637">
        <v>1.7210000000000001</v>
      </c>
      <c r="CH35" s="637">
        <v>1.5345</v>
      </c>
      <c r="CI35" s="637">
        <v>1.1157999999999999</v>
      </c>
      <c r="CJ35" s="637">
        <v>2.7595999999999998</v>
      </c>
      <c r="CK35" s="637">
        <v>2.0539999999999998</v>
      </c>
      <c r="CL35" s="637">
        <v>1.7532000000000001</v>
      </c>
      <c r="CM35" s="637">
        <v>2.8281999999999998</v>
      </c>
      <c r="CN35" s="637">
        <v>3.1877</v>
      </c>
      <c r="CO35" s="637">
        <v>17.073399999999999</v>
      </c>
      <c r="CP35" s="643">
        <v>1.8621000000000001</v>
      </c>
      <c r="CQ35" s="643">
        <v>7.6891999999999996</v>
      </c>
      <c r="CR35" s="638">
        <v>7.0075000000000003</v>
      </c>
      <c r="CU35" s="622" t="s">
        <v>59</v>
      </c>
      <c r="CV35" s="618" t="s">
        <v>135</v>
      </c>
      <c r="CW35" s="637">
        <v>6.6074000000000002</v>
      </c>
      <c r="CX35" s="637">
        <v>13.7803</v>
      </c>
      <c r="CY35" s="637">
        <v>10.3161</v>
      </c>
      <c r="CZ35" s="637">
        <v>9.7227999999999994</v>
      </c>
      <c r="DA35" s="637">
        <v>14.4542</v>
      </c>
      <c r="DB35" s="637">
        <v>12.205500000000001</v>
      </c>
      <c r="DC35" s="637">
        <v>12.343999999999999</v>
      </c>
      <c r="DD35" s="637">
        <v>16.755400000000002</v>
      </c>
      <c r="DE35" s="637">
        <v>19.2333</v>
      </c>
      <c r="DF35" s="637">
        <v>25.096900000000002</v>
      </c>
      <c r="DG35" s="637">
        <v>52.989800000000002</v>
      </c>
      <c r="DH35" s="643">
        <v>12.006399999999999</v>
      </c>
      <c r="DI35" s="643">
        <v>32.024799999999999</v>
      </c>
      <c r="DJ35" s="638">
        <v>29.683</v>
      </c>
    </row>
    <row r="36" spans="2:114" s="474" customFormat="1" ht="15.75" customHeight="1" x14ac:dyDescent="0.25">
      <c r="B36" s="972" t="s">
        <v>804</v>
      </c>
      <c r="C36" s="985" t="s">
        <v>102</v>
      </c>
      <c r="D36" s="973" t="s">
        <v>102</v>
      </c>
      <c r="E36" s="973">
        <v>1525.4445000000001</v>
      </c>
      <c r="F36" s="973">
        <v>466.2833</v>
      </c>
      <c r="G36" s="973">
        <v>393.35739999999998</v>
      </c>
      <c r="H36" s="973">
        <v>467.02179999999998</v>
      </c>
      <c r="I36" s="973">
        <v>670.89139999999998</v>
      </c>
      <c r="J36" s="973">
        <v>467.58539999999999</v>
      </c>
      <c r="K36" s="973">
        <v>433.76960000000003</v>
      </c>
      <c r="L36" s="973">
        <v>536.95740000000001</v>
      </c>
      <c r="M36" s="973">
        <v>620.64200000000005</v>
      </c>
      <c r="N36" s="974">
        <v>616.5634</v>
      </c>
      <c r="O36" s="974">
        <v>501.69549999999998</v>
      </c>
      <c r="P36" s="975">
        <v>519.79650000000004</v>
      </c>
      <c r="R36" s="972" t="s">
        <v>804</v>
      </c>
      <c r="S36" s="985" t="s">
        <v>102</v>
      </c>
      <c r="T36" s="973" t="s">
        <v>102</v>
      </c>
      <c r="U36" s="973">
        <v>1402.3705</v>
      </c>
      <c r="V36" s="973">
        <v>423.95269999999999</v>
      </c>
      <c r="W36" s="973">
        <v>349.44729999999998</v>
      </c>
      <c r="X36" s="973">
        <v>368.30439999999999</v>
      </c>
      <c r="Y36" s="973">
        <v>605.40359999999998</v>
      </c>
      <c r="Z36" s="973">
        <v>415.48259999999999</v>
      </c>
      <c r="AA36" s="973">
        <v>356.7122</v>
      </c>
      <c r="AB36" s="973">
        <v>422.52330000000001</v>
      </c>
      <c r="AC36" s="973">
        <v>465.38810000000001</v>
      </c>
      <c r="AD36" s="974">
        <v>549.62040000000002</v>
      </c>
      <c r="AE36" s="974">
        <v>407.23079999999999</v>
      </c>
      <c r="AF36" s="975">
        <v>429.6687</v>
      </c>
      <c r="AH36" s="972" t="s">
        <v>804</v>
      </c>
      <c r="AI36" s="985" t="s">
        <v>102</v>
      </c>
      <c r="AJ36" s="973" t="s">
        <v>102</v>
      </c>
      <c r="AK36" s="973">
        <v>1402.3705</v>
      </c>
      <c r="AL36" s="973">
        <v>393.60660000000001</v>
      </c>
      <c r="AM36" s="973">
        <v>348.58629999999999</v>
      </c>
      <c r="AN36" s="973">
        <v>366.303</v>
      </c>
      <c r="AO36" s="973">
        <v>586.92859999999996</v>
      </c>
      <c r="AP36" s="973">
        <v>393.16860000000003</v>
      </c>
      <c r="AQ36" s="973">
        <v>318.8947</v>
      </c>
      <c r="AR36" s="973">
        <v>397.78179999999998</v>
      </c>
      <c r="AS36" s="973">
        <v>435.80149999999998</v>
      </c>
      <c r="AT36" s="974">
        <v>533.91780000000006</v>
      </c>
      <c r="AU36" s="974">
        <v>378.43880000000001</v>
      </c>
      <c r="AV36" s="975">
        <v>402.93939999999998</v>
      </c>
      <c r="AX36" s="972" t="s">
        <v>804</v>
      </c>
      <c r="AY36" s="986" t="s">
        <v>102</v>
      </c>
      <c r="AZ36" s="973" t="s">
        <v>102</v>
      </c>
      <c r="BA36" s="973">
        <v>1402.3705</v>
      </c>
      <c r="BB36" s="973">
        <v>393.60660000000001</v>
      </c>
      <c r="BC36" s="973">
        <v>355.0498</v>
      </c>
      <c r="BD36" s="973">
        <v>392.1859</v>
      </c>
      <c r="BE36" s="973">
        <v>627.37559999999996</v>
      </c>
      <c r="BF36" s="973">
        <v>399.71749999999997</v>
      </c>
      <c r="BG36" s="973">
        <v>330.8356</v>
      </c>
      <c r="BH36" s="973">
        <v>404.39190000000002</v>
      </c>
      <c r="BI36" s="973">
        <v>440.02569999999997</v>
      </c>
      <c r="BJ36" s="974">
        <v>567.85749999999996</v>
      </c>
      <c r="BK36" s="974">
        <v>386.29500000000002</v>
      </c>
      <c r="BL36" s="975">
        <v>414.9058</v>
      </c>
      <c r="BN36" s="972" t="s">
        <v>804</v>
      </c>
      <c r="BO36" s="986" t="s">
        <v>102</v>
      </c>
      <c r="BP36" s="987" t="s">
        <v>102</v>
      </c>
      <c r="BQ36" s="987">
        <v>22.5136</v>
      </c>
      <c r="BR36" s="987">
        <v>19.152200000000001</v>
      </c>
      <c r="BS36" s="987">
        <v>15.639699999999999</v>
      </c>
      <c r="BT36" s="987">
        <v>20.261500000000002</v>
      </c>
      <c r="BU36" s="987">
        <v>39.3431</v>
      </c>
      <c r="BV36" s="987">
        <v>26.1662</v>
      </c>
      <c r="BW36" s="987">
        <v>19.604299999999999</v>
      </c>
      <c r="BX36" s="987">
        <v>25.064900000000002</v>
      </c>
      <c r="BY36" s="987">
        <v>25.9223</v>
      </c>
      <c r="BZ36" s="988">
        <v>32.982199999999999</v>
      </c>
      <c r="CA36" s="988">
        <v>23.733899999999998</v>
      </c>
      <c r="CB36" s="989">
        <v>25.261600000000001</v>
      </c>
      <c r="CD36" s="972" t="s">
        <v>804</v>
      </c>
      <c r="CE36" s="986" t="s">
        <v>102</v>
      </c>
      <c r="CF36" s="987" t="s">
        <v>102</v>
      </c>
      <c r="CG36" s="987">
        <v>0</v>
      </c>
      <c r="CH36" s="987">
        <v>0.96209999999999996</v>
      </c>
      <c r="CI36" s="987">
        <v>0</v>
      </c>
      <c r="CJ36" s="987">
        <v>0</v>
      </c>
      <c r="CK36" s="987">
        <v>0.1431</v>
      </c>
      <c r="CL36" s="987">
        <v>1.9643999999999999</v>
      </c>
      <c r="CM36" s="987">
        <v>2.3828</v>
      </c>
      <c r="CN36" s="987">
        <v>0.35830000000000001</v>
      </c>
      <c r="CO36" s="987">
        <v>3.4601000000000002</v>
      </c>
      <c r="CP36" s="988">
        <v>0.1542</v>
      </c>
      <c r="CQ36" s="988">
        <v>1.7813000000000001</v>
      </c>
      <c r="CR36" s="989">
        <v>1.4772000000000001</v>
      </c>
      <c r="CU36" s="984" t="s">
        <v>60</v>
      </c>
      <c r="CV36" s="972" t="s">
        <v>804</v>
      </c>
      <c r="CW36" s="986" t="s">
        <v>102</v>
      </c>
      <c r="CX36" s="987" t="s">
        <v>102</v>
      </c>
      <c r="CY36" s="987">
        <v>0</v>
      </c>
      <c r="CZ36" s="987">
        <v>0</v>
      </c>
      <c r="DA36" s="987">
        <v>8.1992999999999991</v>
      </c>
      <c r="DB36" s="987">
        <v>13.5642</v>
      </c>
      <c r="DC36" s="987">
        <v>16.4268</v>
      </c>
      <c r="DD36" s="987">
        <v>9.3721999999999994</v>
      </c>
      <c r="DE36" s="987">
        <v>17.710699999999999</v>
      </c>
      <c r="DF36" s="987">
        <v>9.0150000000000006</v>
      </c>
      <c r="DG36" s="987">
        <v>19.444199999999999</v>
      </c>
      <c r="DH36" s="988">
        <v>15.030200000000001</v>
      </c>
      <c r="DI36" s="988">
        <v>13.1914</v>
      </c>
      <c r="DJ36" s="989">
        <v>13.5351</v>
      </c>
    </row>
    <row r="37" spans="2:114" s="465" customFormat="1" ht="15.75" customHeight="1" x14ac:dyDescent="0.25">
      <c r="B37" s="850" t="s">
        <v>808</v>
      </c>
      <c r="C37" s="619" t="s">
        <v>102</v>
      </c>
      <c r="D37" s="619" t="s">
        <v>102</v>
      </c>
      <c r="E37" s="619" t="s">
        <v>102</v>
      </c>
      <c r="F37" s="619">
        <v>504.5838</v>
      </c>
      <c r="G37" s="619">
        <v>387.15660000000003</v>
      </c>
      <c r="H37" s="619">
        <v>407.22980000000001</v>
      </c>
      <c r="I37" s="619">
        <v>412.31279999999998</v>
      </c>
      <c r="J37" s="619">
        <v>364.17320000000001</v>
      </c>
      <c r="K37" s="619">
        <v>389.12130000000002</v>
      </c>
      <c r="L37" s="619">
        <v>231.33359999999999</v>
      </c>
      <c r="M37" s="619" t="s">
        <v>102</v>
      </c>
      <c r="N37" s="620">
        <v>415.589</v>
      </c>
      <c r="O37" s="620">
        <v>351.45920000000001</v>
      </c>
      <c r="P37" s="621">
        <v>367.36860000000001</v>
      </c>
      <c r="R37" s="850" t="s">
        <v>808</v>
      </c>
      <c r="S37" s="619" t="s">
        <v>102</v>
      </c>
      <c r="T37" s="619" t="s">
        <v>102</v>
      </c>
      <c r="U37" s="619" t="s">
        <v>102</v>
      </c>
      <c r="V37" s="619">
        <v>450.84410000000003</v>
      </c>
      <c r="W37" s="619">
        <v>369.00470000000001</v>
      </c>
      <c r="X37" s="619">
        <v>374.23919999999998</v>
      </c>
      <c r="Y37" s="619">
        <v>350.56720000000001</v>
      </c>
      <c r="Z37" s="619">
        <v>289.60910000000001</v>
      </c>
      <c r="AA37" s="619">
        <v>306.55959999999999</v>
      </c>
      <c r="AB37" s="619">
        <v>143.1515</v>
      </c>
      <c r="AC37" s="619" t="s">
        <v>102</v>
      </c>
      <c r="AD37" s="620">
        <v>360.76949999999999</v>
      </c>
      <c r="AE37" s="620">
        <v>270.87380000000002</v>
      </c>
      <c r="AF37" s="621">
        <v>293.17520000000002</v>
      </c>
      <c r="AH37" s="850" t="s">
        <v>808</v>
      </c>
      <c r="AI37" s="619" t="s">
        <v>102</v>
      </c>
      <c r="AJ37" s="619" t="s">
        <v>102</v>
      </c>
      <c r="AK37" s="619" t="s">
        <v>102</v>
      </c>
      <c r="AL37" s="619">
        <v>386.5727</v>
      </c>
      <c r="AM37" s="619">
        <v>365.32760000000002</v>
      </c>
      <c r="AN37" s="619">
        <v>368.73450000000003</v>
      </c>
      <c r="AO37" s="619">
        <v>346.57299999999998</v>
      </c>
      <c r="AP37" s="619">
        <v>239.13640000000001</v>
      </c>
      <c r="AQ37" s="619">
        <v>287.81529999999998</v>
      </c>
      <c r="AR37" s="619">
        <v>119.105</v>
      </c>
      <c r="AS37" s="619" t="s">
        <v>102</v>
      </c>
      <c r="AT37" s="620">
        <v>353.02420000000001</v>
      </c>
      <c r="AU37" s="620">
        <v>239.33070000000001</v>
      </c>
      <c r="AV37" s="621">
        <v>267.53590000000003</v>
      </c>
      <c r="AX37" s="850" t="s">
        <v>808</v>
      </c>
      <c r="AY37" s="637" t="s">
        <v>102</v>
      </c>
      <c r="AZ37" s="619" t="s">
        <v>102</v>
      </c>
      <c r="BA37" s="619" t="s">
        <v>102</v>
      </c>
      <c r="BB37" s="619">
        <v>386.5727</v>
      </c>
      <c r="BC37" s="619">
        <v>365.32760000000002</v>
      </c>
      <c r="BD37" s="619">
        <v>368.73450000000003</v>
      </c>
      <c r="BE37" s="619">
        <v>349.00740000000002</v>
      </c>
      <c r="BF37" s="619">
        <v>239.36699999999999</v>
      </c>
      <c r="BG37" s="619">
        <v>295.43220000000002</v>
      </c>
      <c r="BH37" s="619">
        <v>134.1138</v>
      </c>
      <c r="BI37" s="619" t="s">
        <v>102</v>
      </c>
      <c r="BJ37" s="620">
        <v>354.84350000000001</v>
      </c>
      <c r="BK37" s="620">
        <v>245.51779999999999</v>
      </c>
      <c r="BL37" s="621">
        <v>272.63940000000002</v>
      </c>
      <c r="BN37" s="850" t="s">
        <v>808</v>
      </c>
      <c r="BO37" s="637" t="s">
        <v>102</v>
      </c>
      <c r="BP37" s="637" t="s">
        <v>102</v>
      </c>
      <c r="BQ37" s="637" t="s">
        <v>102</v>
      </c>
      <c r="BR37" s="637">
        <v>14.5898</v>
      </c>
      <c r="BS37" s="637">
        <v>19.322800000000001</v>
      </c>
      <c r="BT37" s="637">
        <v>16.5442</v>
      </c>
      <c r="BU37" s="637">
        <v>20.7058</v>
      </c>
      <c r="BV37" s="637">
        <v>12.3566</v>
      </c>
      <c r="BW37" s="637">
        <v>15.8469</v>
      </c>
      <c r="BX37" s="637">
        <v>7.5686</v>
      </c>
      <c r="BY37" s="637" t="s">
        <v>102</v>
      </c>
      <c r="BZ37" s="643">
        <v>19.417400000000001</v>
      </c>
      <c r="CA37" s="643">
        <v>13.094900000000001</v>
      </c>
      <c r="CB37" s="638">
        <v>14.6333</v>
      </c>
      <c r="CD37" s="850" t="s">
        <v>808</v>
      </c>
      <c r="CE37" s="637" t="s">
        <v>102</v>
      </c>
      <c r="CF37" s="637" t="s">
        <v>102</v>
      </c>
      <c r="CG37" s="637" t="s">
        <v>102</v>
      </c>
      <c r="CH37" s="637">
        <v>2.7732000000000001</v>
      </c>
      <c r="CI37" s="637" t="s">
        <v>102</v>
      </c>
      <c r="CJ37" s="637">
        <v>0</v>
      </c>
      <c r="CK37" s="637">
        <v>7.9000000000000001E-2</v>
      </c>
      <c r="CL37" s="637">
        <v>9.2415000000000003</v>
      </c>
      <c r="CM37" s="637">
        <v>0.16109999999999999</v>
      </c>
      <c r="CN37" s="637">
        <v>0.59619999999999995</v>
      </c>
      <c r="CO37" s="637" t="s">
        <v>102</v>
      </c>
      <c r="CP37" s="643">
        <v>0.25790000000000002</v>
      </c>
      <c r="CQ37" s="643">
        <v>3.7254999999999998</v>
      </c>
      <c r="CR37" s="638">
        <v>2.7523</v>
      </c>
      <c r="CU37" s="618"/>
      <c r="CV37" s="850" t="s">
        <v>808</v>
      </c>
      <c r="CW37" s="637" t="s">
        <v>102</v>
      </c>
      <c r="CX37" s="637" t="s">
        <v>102</v>
      </c>
      <c r="CY37" s="637" t="s">
        <v>102</v>
      </c>
      <c r="CZ37" s="637">
        <v>0</v>
      </c>
      <c r="DA37" s="637">
        <v>0</v>
      </c>
      <c r="DB37" s="637">
        <v>51.430700000000002</v>
      </c>
      <c r="DC37" s="637">
        <v>13.804399999999999</v>
      </c>
      <c r="DD37" s="637">
        <v>7.7991000000000001</v>
      </c>
      <c r="DE37" s="637">
        <v>5.3033999999999999</v>
      </c>
      <c r="DF37" s="637">
        <v>41.1265</v>
      </c>
      <c r="DG37" s="637" t="s">
        <v>102</v>
      </c>
      <c r="DH37" s="643">
        <v>16.965</v>
      </c>
      <c r="DI37" s="643">
        <v>10.505000000000001</v>
      </c>
      <c r="DJ37" s="638">
        <v>12.318</v>
      </c>
    </row>
    <row r="38" spans="2:114" s="465" customFormat="1" ht="15.75" customHeight="1" x14ac:dyDescent="0.25">
      <c r="B38" s="851" t="s">
        <v>809</v>
      </c>
      <c r="C38" s="623" t="s">
        <v>102</v>
      </c>
      <c r="D38" s="623" t="s">
        <v>102</v>
      </c>
      <c r="E38" s="623" t="s">
        <v>102</v>
      </c>
      <c r="F38" s="623">
        <v>434.46289999999999</v>
      </c>
      <c r="G38" s="623">
        <v>441.28370000000001</v>
      </c>
      <c r="H38" s="623">
        <v>461.5283</v>
      </c>
      <c r="I38" s="623">
        <v>523.06610000000001</v>
      </c>
      <c r="J38" s="623">
        <v>345.29750000000001</v>
      </c>
      <c r="K38" s="623">
        <v>353.3381</v>
      </c>
      <c r="L38" s="623">
        <v>364.93520000000001</v>
      </c>
      <c r="M38" s="623" t="s">
        <v>102</v>
      </c>
      <c r="N38" s="624">
        <v>493.73610000000002</v>
      </c>
      <c r="O38" s="624">
        <v>352.67439999999999</v>
      </c>
      <c r="P38" s="609">
        <v>389.98669999999998</v>
      </c>
      <c r="R38" s="851" t="s">
        <v>809</v>
      </c>
      <c r="S38" s="623" t="s">
        <v>102</v>
      </c>
      <c r="T38" s="623" t="s">
        <v>102</v>
      </c>
      <c r="U38" s="623" t="s">
        <v>102</v>
      </c>
      <c r="V38" s="623">
        <v>409.34500000000003</v>
      </c>
      <c r="W38" s="623">
        <v>432.85239999999999</v>
      </c>
      <c r="X38" s="623">
        <v>314.55869999999999</v>
      </c>
      <c r="Y38" s="623">
        <v>484.505</v>
      </c>
      <c r="Z38" s="623">
        <v>286.54809999999998</v>
      </c>
      <c r="AA38" s="623">
        <v>315.36630000000002</v>
      </c>
      <c r="AB38" s="623">
        <v>152.12629999999999</v>
      </c>
      <c r="AC38" s="623" t="s">
        <v>102</v>
      </c>
      <c r="AD38" s="624">
        <v>430.34620000000001</v>
      </c>
      <c r="AE38" s="624">
        <v>255.27809999999999</v>
      </c>
      <c r="AF38" s="609">
        <v>301.58539999999999</v>
      </c>
      <c r="AH38" s="851" t="s">
        <v>809</v>
      </c>
      <c r="AI38" s="623" t="s">
        <v>102</v>
      </c>
      <c r="AJ38" s="623" t="s">
        <v>102</v>
      </c>
      <c r="AK38" s="623" t="s">
        <v>102</v>
      </c>
      <c r="AL38" s="623">
        <v>385.07619999999997</v>
      </c>
      <c r="AM38" s="623">
        <v>432.76659999999998</v>
      </c>
      <c r="AN38" s="623">
        <v>313.988</v>
      </c>
      <c r="AO38" s="623">
        <v>476.87860000000001</v>
      </c>
      <c r="AP38" s="623">
        <v>280.62650000000002</v>
      </c>
      <c r="AQ38" s="623">
        <v>264.20089999999999</v>
      </c>
      <c r="AR38" s="623">
        <v>147.79230000000001</v>
      </c>
      <c r="AS38" s="623" t="s">
        <v>102</v>
      </c>
      <c r="AT38" s="624">
        <v>423.94499999999999</v>
      </c>
      <c r="AU38" s="624">
        <v>239.43090000000001</v>
      </c>
      <c r="AV38" s="609">
        <v>288.23669999999998</v>
      </c>
      <c r="AX38" s="851" t="s">
        <v>809</v>
      </c>
      <c r="AY38" s="639" t="s">
        <v>102</v>
      </c>
      <c r="AZ38" s="623" t="s">
        <v>102</v>
      </c>
      <c r="BA38" s="623" t="s">
        <v>102</v>
      </c>
      <c r="BB38" s="623">
        <v>385.07619999999997</v>
      </c>
      <c r="BC38" s="623">
        <v>453.61309999999997</v>
      </c>
      <c r="BD38" s="623">
        <v>357.81180000000001</v>
      </c>
      <c r="BE38" s="623">
        <v>528.02599999999995</v>
      </c>
      <c r="BF38" s="623">
        <v>294.6576</v>
      </c>
      <c r="BG38" s="623">
        <v>291.0095</v>
      </c>
      <c r="BH38" s="623">
        <v>165.34790000000001</v>
      </c>
      <c r="BI38" s="623" t="s">
        <v>102</v>
      </c>
      <c r="BJ38" s="624">
        <v>466.90640000000002</v>
      </c>
      <c r="BK38" s="624">
        <v>257.3845</v>
      </c>
      <c r="BL38" s="609">
        <v>312.80520000000001</v>
      </c>
      <c r="BN38" s="851" t="s">
        <v>809</v>
      </c>
      <c r="BO38" s="639" t="s">
        <v>102</v>
      </c>
      <c r="BP38" s="639" t="s">
        <v>102</v>
      </c>
      <c r="BQ38" s="639" t="s">
        <v>102</v>
      </c>
      <c r="BR38" s="639">
        <v>19.9177</v>
      </c>
      <c r="BS38" s="639">
        <v>17.792100000000001</v>
      </c>
      <c r="BT38" s="639">
        <v>18.821999999999999</v>
      </c>
      <c r="BU38" s="639">
        <v>31.064800000000002</v>
      </c>
      <c r="BV38" s="639">
        <v>18.377600000000001</v>
      </c>
      <c r="BW38" s="639">
        <v>15.253500000000001</v>
      </c>
      <c r="BX38" s="639">
        <v>7.2732000000000001</v>
      </c>
      <c r="BY38" s="639" t="s">
        <v>102</v>
      </c>
      <c r="BZ38" s="644">
        <v>25.386199999999999</v>
      </c>
      <c r="CA38" s="644">
        <v>13.8233</v>
      </c>
      <c r="CB38" s="640">
        <v>16.854299999999999</v>
      </c>
      <c r="CD38" s="851" t="s">
        <v>809</v>
      </c>
      <c r="CE38" s="639" t="s">
        <v>102</v>
      </c>
      <c r="CF38" s="639" t="s">
        <v>102</v>
      </c>
      <c r="CG38" s="639" t="s">
        <v>102</v>
      </c>
      <c r="CH38" s="639">
        <v>0</v>
      </c>
      <c r="CI38" s="639">
        <v>0</v>
      </c>
      <c r="CJ38" s="639">
        <v>0</v>
      </c>
      <c r="CK38" s="639">
        <v>0.19170000000000001</v>
      </c>
      <c r="CL38" s="639">
        <v>6.4100000000000004E-2</v>
      </c>
      <c r="CM38" s="639">
        <v>10.763999999999999</v>
      </c>
      <c r="CN38" s="639">
        <v>0</v>
      </c>
      <c r="CO38" s="639" t="s">
        <v>102</v>
      </c>
      <c r="CP38" s="644">
        <v>0.11840000000000001</v>
      </c>
      <c r="CQ38" s="644">
        <v>2.5032000000000001</v>
      </c>
      <c r="CR38" s="640">
        <v>1.7045999999999999</v>
      </c>
      <c r="CU38" s="618"/>
      <c r="CV38" s="851" t="s">
        <v>809</v>
      </c>
      <c r="CW38" s="639" t="s">
        <v>102</v>
      </c>
      <c r="CX38" s="639" t="s">
        <v>102</v>
      </c>
      <c r="CY38" s="639" t="s">
        <v>102</v>
      </c>
      <c r="CZ38" s="639">
        <v>0</v>
      </c>
      <c r="DA38" s="639">
        <v>23.5425</v>
      </c>
      <c r="DB38" s="639">
        <v>9.2999999999999992E-3</v>
      </c>
      <c r="DC38" s="639">
        <v>17.009599999999999</v>
      </c>
      <c r="DD38" s="639">
        <v>9.9352</v>
      </c>
      <c r="DE38" s="639">
        <v>45.994900000000001</v>
      </c>
      <c r="DF38" s="639">
        <v>27.975200000000001</v>
      </c>
      <c r="DG38" s="639" t="s">
        <v>102</v>
      </c>
      <c r="DH38" s="644">
        <v>12.230600000000001</v>
      </c>
      <c r="DI38" s="644">
        <v>23.478100000000001</v>
      </c>
      <c r="DJ38" s="640">
        <v>19.711600000000001</v>
      </c>
    </row>
    <row r="39" spans="2:114" s="465" customFormat="1" ht="15.75" customHeight="1" x14ac:dyDescent="0.25">
      <c r="B39" s="850" t="s">
        <v>810</v>
      </c>
      <c r="C39" s="619" t="s">
        <v>102</v>
      </c>
      <c r="D39" s="619" t="s">
        <v>102</v>
      </c>
      <c r="E39" s="619">
        <v>1525.4445000000001</v>
      </c>
      <c r="F39" s="619">
        <v>468.05329999999998</v>
      </c>
      <c r="G39" s="619">
        <v>364.30340000000001</v>
      </c>
      <c r="H39" s="619">
        <v>666.20450000000005</v>
      </c>
      <c r="I39" s="619">
        <v>636.65210000000002</v>
      </c>
      <c r="J39" s="619">
        <v>394.98939999999999</v>
      </c>
      <c r="K39" s="619">
        <v>395.55029999999999</v>
      </c>
      <c r="L39" s="619">
        <v>439.0421</v>
      </c>
      <c r="M39" s="619" t="s">
        <v>102</v>
      </c>
      <c r="N39" s="620">
        <v>579.7962</v>
      </c>
      <c r="O39" s="620">
        <v>416.8458</v>
      </c>
      <c r="P39" s="621">
        <v>448.48169999999999</v>
      </c>
      <c r="R39" s="850" t="s">
        <v>810</v>
      </c>
      <c r="S39" s="619" t="s">
        <v>102</v>
      </c>
      <c r="T39" s="619" t="s">
        <v>102</v>
      </c>
      <c r="U39" s="619">
        <v>1402.3705</v>
      </c>
      <c r="V39" s="619">
        <v>414.03129999999999</v>
      </c>
      <c r="W39" s="619">
        <v>284.01170000000002</v>
      </c>
      <c r="X39" s="619">
        <v>648.07360000000006</v>
      </c>
      <c r="Y39" s="619">
        <v>619.83939999999996</v>
      </c>
      <c r="Z39" s="619">
        <v>369.64690000000002</v>
      </c>
      <c r="AA39" s="619">
        <v>362.37310000000002</v>
      </c>
      <c r="AB39" s="619">
        <v>405.1139</v>
      </c>
      <c r="AC39" s="619" t="s">
        <v>102</v>
      </c>
      <c r="AD39" s="620">
        <v>544.65740000000005</v>
      </c>
      <c r="AE39" s="620">
        <v>384.34019999999998</v>
      </c>
      <c r="AF39" s="621">
        <v>415.4649</v>
      </c>
      <c r="AH39" s="850" t="s">
        <v>810</v>
      </c>
      <c r="AI39" s="619" t="s">
        <v>102</v>
      </c>
      <c r="AJ39" s="619" t="s">
        <v>102</v>
      </c>
      <c r="AK39" s="619">
        <v>1402.3705</v>
      </c>
      <c r="AL39" s="619">
        <v>414.03129999999999</v>
      </c>
      <c r="AM39" s="619">
        <v>284.01170000000002</v>
      </c>
      <c r="AN39" s="619">
        <v>648.07360000000006</v>
      </c>
      <c r="AO39" s="619">
        <v>619.78629999999998</v>
      </c>
      <c r="AP39" s="619">
        <v>368.90269999999998</v>
      </c>
      <c r="AQ39" s="619">
        <v>354.47840000000002</v>
      </c>
      <c r="AR39" s="619">
        <v>399.01350000000002</v>
      </c>
      <c r="AS39" s="619" t="s">
        <v>102</v>
      </c>
      <c r="AT39" s="620">
        <v>544.62530000000004</v>
      </c>
      <c r="AU39" s="620">
        <v>378.27699999999999</v>
      </c>
      <c r="AV39" s="621">
        <v>410.57249999999999</v>
      </c>
      <c r="AX39" s="850" t="s">
        <v>810</v>
      </c>
      <c r="AY39" s="637" t="s">
        <v>102</v>
      </c>
      <c r="AZ39" s="619" t="s">
        <v>102</v>
      </c>
      <c r="BA39" s="619">
        <v>1402.3705</v>
      </c>
      <c r="BB39" s="619">
        <v>414.03129999999999</v>
      </c>
      <c r="BC39" s="619">
        <v>284.01170000000002</v>
      </c>
      <c r="BD39" s="619">
        <v>648.07360000000006</v>
      </c>
      <c r="BE39" s="619">
        <v>619.78629999999998</v>
      </c>
      <c r="BF39" s="619">
        <v>368.90269999999998</v>
      </c>
      <c r="BG39" s="619">
        <v>362.42540000000002</v>
      </c>
      <c r="BH39" s="619">
        <v>404.92239999999998</v>
      </c>
      <c r="BI39" s="619" t="s">
        <v>102</v>
      </c>
      <c r="BJ39" s="620">
        <v>544.62530000000004</v>
      </c>
      <c r="BK39" s="620">
        <v>384.1669</v>
      </c>
      <c r="BL39" s="621">
        <v>415.31900000000002</v>
      </c>
      <c r="BN39" s="850" t="s">
        <v>810</v>
      </c>
      <c r="BO39" s="637" t="s">
        <v>102</v>
      </c>
      <c r="BP39" s="637" t="s">
        <v>102</v>
      </c>
      <c r="BQ39" s="637">
        <v>22.5136</v>
      </c>
      <c r="BR39" s="637">
        <v>26.789100000000001</v>
      </c>
      <c r="BS39" s="637">
        <v>12.516299999999999</v>
      </c>
      <c r="BT39" s="637">
        <v>49.909100000000002</v>
      </c>
      <c r="BU39" s="637">
        <v>48.638100000000001</v>
      </c>
      <c r="BV39" s="637">
        <v>28.0564</v>
      </c>
      <c r="BW39" s="637">
        <v>24.042300000000001</v>
      </c>
      <c r="BX39" s="637">
        <v>27.277000000000001</v>
      </c>
      <c r="BY39" s="637" t="s">
        <v>102</v>
      </c>
      <c r="BZ39" s="643">
        <v>34.418300000000002</v>
      </c>
      <c r="CA39" s="643">
        <v>26.1234</v>
      </c>
      <c r="CB39" s="638">
        <v>27.831</v>
      </c>
      <c r="CD39" s="850" t="s">
        <v>810</v>
      </c>
      <c r="CE39" s="637" t="s">
        <v>102</v>
      </c>
      <c r="CF39" s="637" t="s">
        <v>102</v>
      </c>
      <c r="CG39" s="637">
        <v>0</v>
      </c>
      <c r="CH39" s="637" t="s">
        <v>102</v>
      </c>
      <c r="CI39" s="637">
        <v>0</v>
      </c>
      <c r="CJ39" s="637" t="s">
        <v>102</v>
      </c>
      <c r="CK39" s="637">
        <v>0</v>
      </c>
      <c r="CL39" s="637">
        <v>0</v>
      </c>
      <c r="CM39" s="637">
        <v>1.9959</v>
      </c>
      <c r="CN39" s="637">
        <v>4.36E-2</v>
      </c>
      <c r="CO39" s="637" t="s">
        <v>102</v>
      </c>
      <c r="CP39" s="643">
        <v>0</v>
      </c>
      <c r="CQ39" s="643">
        <v>0.73429999999999995</v>
      </c>
      <c r="CR39" s="638">
        <v>0.55000000000000004</v>
      </c>
      <c r="CU39" s="618"/>
      <c r="CV39" s="850" t="s">
        <v>810</v>
      </c>
      <c r="CW39" s="637" t="s">
        <v>102</v>
      </c>
      <c r="CX39" s="637" t="s">
        <v>102</v>
      </c>
      <c r="CY39" s="637">
        <v>0</v>
      </c>
      <c r="CZ39" s="637">
        <v>0</v>
      </c>
      <c r="DA39" s="637">
        <v>2.4400000000000002E-2</v>
      </c>
      <c r="DB39" s="637">
        <v>0</v>
      </c>
      <c r="DC39" s="637">
        <v>5.6099999999999997E-2</v>
      </c>
      <c r="DD39" s="637">
        <v>0</v>
      </c>
      <c r="DE39" s="637">
        <v>8.7119999999999997</v>
      </c>
      <c r="DF39" s="637">
        <v>0</v>
      </c>
      <c r="DG39" s="637" t="s">
        <v>102</v>
      </c>
      <c r="DH39" s="643">
        <v>4.0500000000000001E-2</v>
      </c>
      <c r="DI39" s="643">
        <v>3.1067999999999998</v>
      </c>
      <c r="DJ39" s="638">
        <v>2.3372000000000002</v>
      </c>
    </row>
    <row r="40" spans="2:114" s="465" customFormat="1" ht="15.75" customHeight="1" x14ac:dyDescent="0.25">
      <c r="B40" s="851" t="s">
        <v>811</v>
      </c>
      <c r="C40" s="623" t="s">
        <v>102</v>
      </c>
      <c r="D40" s="623" t="s">
        <v>102</v>
      </c>
      <c r="E40" s="623" t="s">
        <v>102</v>
      </c>
      <c r="F40" s="623" t="s">
        <v>102</v>
      </c>
      <c r="G40" s="623" t="s">
        <v>102</v>
      </c>
      <c r="H40" s="623" t="s">
        <v>102</v>
      </c>
      <c r="I40" s="623">
        <v>1069.125</v>
      </c>
      <c r="J40" s="623">
        <v>777.98580000000004</v>
      </c>
      <c r="K40" s="623">
        <v>441.97789999999998</v>
      </c>
      <c r="L40" s="623">
        <v>711.58969999999999</v>
      </c>
      <c r="M40" s="623">
        <v>620.64200000000005</v>
      </c>
      <c r="N40" s="624">
        <v>1069.125</v>
      </c>
      <c r="O40" s="624">
        <v>609.46489999999994</v>
      </c>
      <c r="P40" s="609">
        <v>633.15719999999999</v>
      </c>
      <c r="R40" s="851" t="s">
        <v>811</v>
      </c>
      <c r="S40" s="623" t="s">
        <v>102</v>
      </c>
      <c r="T40" s="623" t="s">
        <v>102</v>
      </c>
      <c r="U40" s="623" t="s">
        <v>102</v>
      </c>
      <c r="V40" s="623" t="s">
        <v>102</v>
      </c>
      <c r="W40" s="623" t="s">
        <v>102</v>
      </c>
      <c r="X40" s="623" t="s">
        <v>102</v>
      </c>
      <c r="Y40" s="623">
        <v>892.14850000000001</v>
      </c>
      <c r="Z40" s="623">
        <v>709.0865</v>
      </c>
      <c r="AA40" s="623">
        <v>333.8313</v>
      </c>
      <c r="AB40" s="623">
        <v>568.07209999999998</v>
      </c>
      <c r="AC40" s="623">
        <v>465.38810000000001</v>
      </c>
      <c r="AD40" s="624">
        <v>892.14850000000001</v>
      </c>
      <c r="AE40" s="624">
        <v>477.0881</v>
      </c>
      <c r="AF40" s="609">
        <v>498.48160000000001</v>
      </c>
      <c r="AH40" s="851" t="s">
        <v>811</v>
      </c>
      <c r="AI40" s="623" t="s">
        <v>102</v>
      </c>
      <c r="AJ40" s="623" t="s">
        <v>102</v>
      </c>
      <c r="AK40" s="623" t="s">
        <v>102</v>
      </c>
      <c r="AL40" s="623" t="s">
        <v>102</v>
      </c>
      <c r="AM40" s="623" t="s">
        <v>102</v>
      </c>
      <c r="AN40" s="623" t="s">
        <v>102</v>
      </c>
      <c r="AO40" s="623">
        <v>806.34749999999997</v>
      </c>
      <c r="AP40" s="623">
        <v>648.14580000000001</v>
      </c>
      <c r="AQ40" s="623">
        <v>275.13440000000003</v>
      </c>
      <c r="AR40" s="623">
        <v>532.89679999999998</v>
      </c>
      <c r="AS40" s="623">
        <v>435.80149999999998</v>
      </c>
      <c r="AT40" s="624">
        <v>806.34749999999997</v>
      </c>
      <c r="AU40" s="624">
        <v>435.29250000000002</v>
      </c>
      <c r="AV40" s="609">
        <v>454.4178</v>
      </c>
      <c r="AX40" s="851" t="s">
        <v>811</v>
      </c>
      <c r="AY40" s="639" t="s">
        <v>102</v>
      </c>
      <c r="AZ40" s="623" t="s">
        <v>102</v>
      </c>
      <c r="BA40" s="623" t="s">
        <v>102</v>
      </c>
      <c r="BB40" s="623" t="s">
        <v>102</v>
      </c>
      <c r="BC40" s="623" t="s">
        <v>102</v>
      </c>
      <c r="BD40" s="623" t="s">
        <v>102</v>
      </c>
      <c r="BE40" s="623">
        <v>968.72760000000005</v>
      </c>
      <c r="BF40" s="623">
        <v>666.47180000000003</v>
      </c>
      <c r="BG40" s="623">
        <v>288.70119999999997</v>
      </c>
      <c r="BH40" s="623">
        <v>536.98230000000001</v>
      </c>
      <c r="BI40" s="623">
        <v>440.02569999999997</v>
      </c>
      <c r="BJ40" s="624">
        <v>968.72760000000005</v>
      </c>
      <c r="BK40" s="624">
        <v>443.03890000000001</v>
      </c>
      <c r="BL40" s="609">
        <v>470.1345</v>
      </c>
      <c r="BN40" s="851" t="s">
        <v>811</v>
      </c>
      <c r="BO40" s="639" t="s">
        <v>102</v>
      </c>
      <c r="BP40" s="639" t="s">
        <v>102</v>
      </c>
      <c r="BQ40" s="639" t="s">
        <v>102</v>
      </c>
      <c r="BR40" s="639" t="s">
        <v>102</v>
      </c>
      <c r="BS40" s="639" t="s">
        <v>102</v>
      </c>
      <c r="BT40" s="639" t="s">
        <v>102</v>
      </c>
      <c r="BU40" s="639">
        <v>46.488900000000001</v>
      </c>
      <c r="BV40" s="639">
        <v>40.866300000000003</v>
      </c>
      <c r="BW40" s="639">
        <v>16.956499999999998</v>
      </c>
      <c r="BX40" s="639">
        <v>32.659399999999998</v>
      </c>
      <c r="BY40" s="639">
        <v>25.9223</v>
      </c>
      <c r="BZ40" s="644">
        <v>46.488900000000001</v>
      </c>
      <c r="CA40" s="644">
        <v>26.4194</v>
      </c>
      <c r="CB40" s="640">
        <v>27.689</v>
      </c>
      <c r="CD40" s="851" t="s">
        <v>811</v>
      </c>
      <c r="CE40" s="639" t="s">
        <v>102</v>
      </c>
      <c r="CF40" s="639" t="s">
        <v>102</v>
      </c>
      <c r="CG40" s="639" t="s">
        <v>102</v>
      </c>
      <c r="CH40" s="639" t="s">
        <v>102</v>
      </c>
      <c r="CI40" s="639" t="s">
        <v>102</v>
      </c>
      <c r="CJ40" s="639" t="s">
        <v>102</v>
      </c>
      <c r="CK40" s="639">
        <v>0.11169999999999999</v>
      </c>
      <c r="CL40" s="639">
        <v>0.5141</v>
      </c>
      <c r="CM40" s="639">
        <v>2.4495</v>
      </c>
      <c r="CN40" s="639">
        <v>0.32679999999999998</v>
      </c>
      <c r="CO40" s="639">
        <v>3.4601000000000002</v>
      </c>
      <c r="CP40" s="644">
        <v>0.11169999999999999</v>
      </c>
      <c r="CQ40" s="644">
        <v>1.7887999999999999</v>
      </c>
      <c r="CR40" s="640">
        <v>1.6428</v>
      </c>
      <c r="CU40" s="618"/>
      <c r="CV40" s="851" t="s">
        <v>811</v>
      </c>
      <c r="CW40" s="639" t="s">
        <v>102</v>
      </c>
      <c r="CX40" s="639" t="s">
        <v>102</v>
      </c>
      <c r="CY40" s="639" t="s">
        <v>102</v>
      </c>
      <c r="CZ40" s="639" t="s">
        <v>102</v>
      </c>
      <c r="DA40" s="639" t="s">
        <v>102</v>
      </c>
      <c r="DB40" s="639" t="s">
        <v>102</v>
      </c>
      <c r="DC40" s="639">
        <v>17.6221</v>
      </c>
      <c r="DD40" s="639">
        <v>10.546099999999999</v>
      </c>
      <c r="DE40" s="639">
        <v>15.7819</v>
      </c>
      <c r="DF40" s="639">
        <v>8.0820000000000007</v>
      </c>
      <c r="DG40" s="639">
        <v>19.444199999999999</v>
      </c>
      <c r="DH40" s="644">
        <v>17.6221</v>
      </c>
      <c r="DI40" s="644">
        <v>13.526</v>
      </c>
      <c r="DJ40" s="640">
        <v>13.8825</v>
      </c>
    </row>
    <row r="41" spans="2:114" s="465" customFormat="1" ht="15.75" customHeight="1" x14ac:dyDescent="0.25">
      <c r="B41" s="850" t="s">
        <v>812</v>
      </c>
      <c r="C41" s="619" t="s">
        <v>102</v>
      </c>
      <c r="D41" s="619" t="s">
        <v>102</v>
      </c>
      <c r="E41" s="619" t="s">
        <v>102</v>
      </c>
      <c r="F41" s="619" t="s">
        <v>102</v>
      </c>
      <c r="G41" s="619" t="s">
        <v>102</v>
      </c>
      <c r="H41" s="619" t="s">
        <v>102</v>
      </c>
      <c r="I41" s="619">
        <v>871.97929999999997</v>
      </c>
      <c r="J41" s="619">
        <v>593.07640000000004</v>
      </c>
      <c r="K41" s="619">
        <v>804.98080000000004</v>
      </c>
      <c r="L41" s="619">
        <v>418.81209999999999</v>
      </c>
      <c r="M41" s="619" t="s">
        <v>102</v>
      </c>
      <c r="N41" s="620">
        <v>871.97929999999997</v>
      </c>
      <c r="O41" s="620">
        <v>565.94000000000005</v>
      </c>
      <c r="P41" s="621">
        <v>624.17700000000002</v>
      </c>
      <c r="R41" s="850" t="s">
        <v>812</v>
      </c>
      <c r="S41" s="619" t="s">
        <v>102</v>
      </c>
      <c r="T41" s="619" t="s">
        <v>102</v>
      </c>
      <c r="U41" s="619" t="s">
        <v>102</v>
      </c>
      <c r="V41" s="619" t="s">
        <v>102</v>
      </c>
      <c r="W41" s="619" t="s">
        <v>102</v>
      </c>
      <c r="X41" s="619" t="s">
        <v>102</v>
      </c>
      <c r="Y41" s="619">
        <v>839.0027</v>
      </c>
      <c r="Z41" s="619">
        <v>572.46159999999998</v>
      </c>
      <c r="AA41" s="619">
        <v>787.71749999999997</v>
      </c>
      <c r="AB41" s="619">
        <v>372.87470000000002</v>
      </c>
      <c r="AC41" s="619" t="s">
        <v>102</v>
      </c>
      <c r="AD41" s="620">
        <v>839.0027</v>
      </c>
      <c r="AE41" s="620">
        <v>537.15989999999999</v>
      </c>
      <c r="AF41" s="621">
        <v>594.59839999999997</v>
      </c>
      <c r="AH41" s="850" t="s">
        <v>812</v>
      </c>
      <c r="AI41" s="619" t="s">
        <v>102</v>
      </c>
      <c r="AJ41" s="619" t="s">
        <v>102</v>
      </c>
      <c r="AK41" s="619" t="s">
        <v>102</v>
      </c>
      <c r="AL41" s="619" t="s">
        <v>102</v>
      </c>
      <c r="AM41" s="619" t="s">
        <v>102</v>
      </c>
      <c r="AN41" s="619" t="s">
        <v>102</v>
      </c>
      <c r="AO41" s="619">
        <v>836.05290000000002</v>
      </c>
      <c r="AP41" s="619">
        <v>571.32439999999997</v>
      </c>
      <c r="AQ41" s="619">
        <v>772.28430000000003</v>
      </c>
      <c r="AR41" s="619">
        <v>337.31279999999998</v>
      </c>
      <c r="AS41" s="619" t="s">
        <v>102</v>
      </c>
      <c r="AT41" s="620">
        <v>836.05290000000002</v>
      </c>
      <c r="AU41" s="620">
        <v>522.02189999999996</v>
      </c>
      <c r="AV41" s="621">
        <v>581.77970000000005</v>
      </c>
      <c r="AX41" s="850" t="s">
        <v>812</v>
      </c>
      <c r="AY41" s="637" t="s">
        <v>102</v>
      </c>
      <c r="AZ41" s="619" t="s">
        <v>102</v>
      </c>
      <c r="BA41" s="619" t="s">
        <v>102</v>
      </c>
      <c r="BB41" s="619" t="s">
        <v>102</v>
      </c>
      <c r="BC41" s="619" t="s">
        <v>102</v>
      </c>
      <c r="BD41" s="619" t="s">
        <v>102</v>
      </c>
      <c r="BE41" s="619">
        <v>836.05290000000002</v>
      </c>
      <c r="BF41" s="619">
        <v>571.32439999999997</v>
      </c>
      <c r="BG41" s="619">
        <v>772.28430000000003</v>
      </c>
      <c r="BH41" s="619">
        <v>337.31279999999998</v>
      </c>
      <c r="BI41" s="619" t="s">
        <v>102</v>
      </c>
      <c r="BJ41" s="620">
        <v>836.05290000000002</v>
      </c>
      <c r="BK41" s="620">
        <v>522.02189999999996</v>
      </c>
      <c r="BL41" s="621">
        <v>581.77970000000005</v>
      </c>
      <c r="BN41" s="850" t="s">
        <v>812</v>
      </c>
      <c r="BO41" s="637" t="s">
        <v>102</v>
      </c>
      <c r="BP41" s="637" t="s">
        <v>102</v>
      </c>
      <c r="BQ41" s="637" t="s">
        <v>102</v>
      </c>
      <c r="BR41" s="637" t="s">
        <v>102</v>
      </c>
      <c r="BS41" s="637" t="s">
        <v>102</v>
      </c>
      <c r="BT41" s="637" t="s">
        <v>102</v>
      </c>
      <c r="BU41" s="637">
        <v>74.756</v>
      </c>
      <c r="BV41" s="637">
        <v>55.558100000000003</v>
      </c>
      <c r="BW41" s="637">
        <v>82.301400000000001</v>
      </c>
      <c r="BX41" s="637">
        <v>37.5289</v>
      </c>
      <c r="BY41" s="637" t="s">
        <v>102</v>
      </c>
      <c r="BZ41" s="643">
        <v>74.756</v>
      </c>
      <c r="CA41" s="643">
        <v>53.811799999999998</v>
      </c>
      <c r="CB41" s="638">
        <v>58.276699999999998</v>
      </c>
      <c r="CD41" s="850" t="s">
        <v>812</v>
      </c>
      <c r="CE41" s="637" t="s">
        <v>102</v>
      </c>
      <c r="CF41" s="637" t="s">
        <v>102</v>
      </c>
      <c r="CG41" s="637" t="s">
        <v>102</v>
      </c>
      <c r="CH41" s="637" t="s">
        <v>102</v>
      </c>
      <c r="CI41" s="637" t="s">
        <v>102</v>
      </c>
      <c r="CJ41" s="637" t="s">
        <v>102</v>
      </c>
      <c r="CK41" s="637">
        <v>0.25990000000000002</v>
      </c>
      <c r="CL41" s="637">
        <v>6.2899999999999998E-2</v>
      </c>
      <c r="CM41" s="637" t="s">
        <v>102</v>
      </c>
      <c r="CN41" s="637">
        <v>1.3088</v>
      </c>
      <c r="CO41" s="637" t="s">
        <v>102</v>
      </c>
      <c r="CP41" s="643">
        <v>0.25990000000000002</v>
      </c>
      <c r="CQ41" s="643">
        <v>0.36520000000000002</v>
      </c>
      <c r="CR41" s="638">
        <v>0.3372</v>
      </c>
      <c r="CU41" s="618"/>
      <c r="CV41" s="850" t="s">
        <v>812</v>
      </c>
      <c r="CW41" s="637" t="s">
        <v>102</v>
      </c>
      <c r="CX41" s="637" t="s">
        <v>102</v>
      </c>
      <c r="CY41" s="637" t="s">
        <v>102</v>
      </c>
      <c r="CZ41" s="637" t="s">
        <v>102</v>
      </c>
      <c r="DA41" s="637" t="s">
        <v>102</v>
      </c>
      <c r="DB41" s="637" t="s">
        <v>102</v>
      </c>
      <c r="DC41" s="637">
        <v>24.5928</v>
      </c>
      <c r="DD41" s="637">
        <v>11.008800000000001</v>
      </c>
      <c r="DE41" s="637">
        <v>37.929499999999997</v>
      </c>
      <c r="DF41" s="637">
        <v>2.9999999999999997E-4</v>
      </c>
      <c r="DG41" s="637" t="s">
        <v>102</v>
      </c>
      <c r="DH41" s="643">
        <v>24.5928</v>
      </c>
      <c r="DI41" s="643">
        <v>14.1075</v>
      </c>
      <c r="DJ41" s="638">
        <v>16.8949</v>
      </c>
    </row>
    <row r="42" spans="2:114" s="571" customFormat="1" ht="15.75" customHeight="1" x14ac:dyDescent="0.25">
      <c r="B42" s="976" t="s">
        <v>940</v>
      </c>
      <c r="C42" s="977"/>
      <c r="D42" s="977"/>
      <c r="E42" s="977"/>
      <c r="F42" s="977"/>
      <c r="G42" s="977"/>
      <c r="H42" s="977"/>
      <c r="I42" s="977"/>
      <c r="J42" s="977"/>
      <c r="K42" s="977"/>
      <c r="L42" s="977"/>
      <c r="M42" s="977"/>
      <c r="N42" s="978"/>
      <c r="O42" s="978"/>
      <c r="P42" s="979"/>
      <c r="R42" s="976" t="s">
        <v>940</v>
      </c>
      <c r="S42" s="977"/>
      <c r="T42" s="977"/>
      <c r="U42" s="977"/>
      <c r="V42" s="977"/>
      <c r="W42" s="977"/>
      <c r="X42" s="977"/>
      <c r="Y42" s="977"/>
      <c r="Z42" s="977"/>
      <c r="AA42" s="977"/>
      <c r="AB42" s="977"/>
      <c r="AC42" s="977"/>
      <c r="AD42" s="978"/>
      <c r="AE42" s="978"/>
      <c r="AF42" s="979"/>
      <c r="AH42" s="976" t="s">
        <v>940</v>
      </c>
      <c r="AI42" s="977"/>
      <c r="AJ42" s="977"/>
      <c r="AK42" s="977"/>
      <c r="AL42" s="977"/>
      <c r="AM42" s="977"/>
      <c r="AN42" s="977"/>
      <c r="AO42" s="977"/>
      <c r="AP42" s="977"/>
      <c r="AQ42" s="977"/>
      <c r="AR42" s="977"/>
      <c r="AS42" s="977"/>
      <c r="AT42" s="978"/>
      <c r="AU42" s="978"/>
      <c r="AV42" s="979"/>
      <c r="AX42" s="976" t="s">
        <v>940</v>
      </c>
      <c r="AY42" s="977"/>
      <c r="AZ42" s="977"/>
      <c r="BA42" s="977"/>
      <c r="BB42" s="977"/>
      <c r="BC42" s="977"/>
      <c r="BD42" s="977"/>
      <c r="BE42" s="977"/>
      <c r="BF42" s="977"/>
      <c r="BG42" s="977"/>
      <c r="BH42" s="977"/>
      <c r="BI42" s="977"/>
      <c r="BJ42" s="978"/>
      <c r="BK42" s="978"/>
      <c r="BL42" s="979"/>
      <c r="BN42" s="976" t="s">
        <v>940</v>
      </c>
      <c r="BO42" s="981"/>
      <c r="BP42" s="981"/>
      <c r="BQ42" s="981"/>
      <c r="BR42" s="981"/>
      <c r="BS42" s="981"/>
      <c r="BT42" s="981"/>
      <c r="BU42" s="981"/>
      <c r="BV42" s="981"/>
      <c r="BW42" s="981"/>
      <c r="BX42" s="981"/>
      <c r="BY42" s="981"/>
      <c r="BZ42" s="982"/>
      <c r="CA42" s="982"/>
      <c r="CB42" s="983"/>
      <c r="CD42" s="976" t="s">
        <v>940</v>
      </c>
      <c r="CE42" s="981"/>
      <c r="CF42" s="981"/>
      <c r="CG42" s="981"/>
      <c r="CH42" s="981"/>
      <c r="CI42" s="981"/>
      <c r="CJ42" s="981"/>
      <c r="CK42" s="981"/>
      <c r="CL42" s="981"/>
      <c r="CM42" s="981"/>
      <c r="CN42" s="981"/>
      <c r="CO42" s="981"/>
      <c r="CP42" s="982"/>
      <c r="CQ42" s="982"/>
      <c r="CR42" s="983"/>
      <c r="CU42" s="622" t="s">
        <v>61</v>
      </c>
      <c r="CV42" s="976" t="s">
        <v>940</v>
      </c>
      <c r="CW42" s="981"/>
      <c r="CX42" s="981"/>
      <c r="CY42" s="981"/>
      <c r="CZ42" s="981"/>
      <c r="DA42" s="981"/>
      <c r="DB42" s="981"/>
      <c r="DC42" s="981"/>
      <c r="DD42" s="981"/>
      <c r="DE42" s="981"/>
      <c r="DF42" s="981"/>
      <c r="DG42" s="981"/>
      <c r="DH42" s="982"/>
      <c r="DI42" s="982"/>
      <c r="DJ42" s="983"/>
    </row>
    <row r="43" spans="2:114" s="465" customFormat="1" ht="15.75" customHeight="1" x14ac:dyDescent="0.25">
      <c r="B43" s="852" t="s">
        <v>502</v>
      </c>
      <c r="C43" s="853">
        <v>349.89920000000001</v>
      </c>
      <c r="D43" s="853">
        <v>1004.8875</v>
      </c>
      <c r="E43" s="853">
        <v>416.08390000000003</v>
      </c>
      <c r="F43" s="853">
        <v>436.74759999999998</v>
      </c>
      <c r="G43" s="853">
        <v>398.68709999999999</v>
      </c>
      <c r="H43" s="853">
        <v>447.15249999999997</v>
      </c>
      <c r="I43" s="853">
        <v>456.95499999999998</v>
      </c>
      <c r="J43" s="853">
        <v>437.71769999999998</v>
      </c>
      <c r="K43" s="853">
        <v>490.49549999999999</v>
      </c>
      <c r="L43" s="853">
        <v>603.25369999999998</v>
      </c>
      <c r="M43" s="853">
        <v>585.23609999999996</v>
      </c>
      <c r="N43" s="854">
        <v>444.46940000000001</v>
      </c>
      <c r="O43" s="854">
        <v>548.59079999999994</v>
      </c>
      <c r="P43" s="855">
        <v>532.77710000000002</v>
      </c>
      <c r="R43" s="852" t="s">
        <v>502</v>
      </c>
      <c r="S43" s="853">
        <v>325.62959999999998</v>
      </c>
      <c r="T43" s="853">
        <v>663.66359999999997</v>
      </c>
      <c r="U43" s="853">
        <v>304.47590000000002</v>
      </c>
      <c r="V43" s="853">
        <v>376.44839999999999</v>
      </c>
      <c r="W43" s="853">
        <v>341.51659999999998</v>
      </c>
      <c r="X43" s="853">
        <v>395.7774</v>
      </c>
      <c r="Y43" s="853">
        <v>386.59230000000002</v>
      </c>
      <c r="Z43" s="853">
        <v>366.94499999999999</v>
      </c>
      <c r="AA43" s="853">
        <v>397.56720000000001</v>
      </c>
      <c r="AB43" s="853">
        <v>467.81470000000002</v>
      </c>
      <c r="AC43" s="853">
        <v>467.97910000000002</v>
      </c>
      <c r="AD43" s="854">
        <v>379.22230000000002</v>
      </c>
      <c r="AE43" s="854">
        <v>439.58690000000001</v>
      </c>
      <c r="AF43" s="855">
        <v>430.41890000000001</v>
      </c>
      <c r="AH43" s="852" t="s">
        <v>502</v>
      </c>
      <c r="AI43" s="853">
        <v>322.46660000000003</v>
      </c>
      <c r="AJ43" s="853">
        <v>627.48149999999998</v>
      </c>
      <c r="AK43" s="853">
        <v>270.20440000000002</v>
      </c>
      <c r="AL43" s="853">
        <v>353.3073</v>
      </c>
      <c r="AM43" s="853">
        <v>320.73579999999998</v>
      </c>
      <c r="AN43" s="853">
        <v>378.36680000000001</v>
      </c>
      <c r="AO43" s="853">
        <v>360.69369999999998</v>
      </c>
      <c r="AP43" s="853">
        <v>338.14530000000002</v>
      </c>
      <c r="AQ43" s="853">
        <v>360.11599999999999</v>
      </c>
      <c r="AR43" s="853">
        <v>416.28379999999999</v>
      </c>
      <c r="AS43" s="853">
        <v>372.9178</v>
      </c>
      <c r="AT43" s="854">
        <v>355.61590000000001</v>
      </c>
      <c r="AU43" s="854">
        <v>372.6884</v>
      </c>
      <c r="AV43" s="855">
        <v>370.09550000000002</v>
      </c>
      <c r="AX43" s="852" t="s">
        <v>502</v>
      </c>
      <c r="AY43" s="853">
        <v>322.46660000000003</v>
      </c>
      <c r="AZ43" s="853">
        <v>642.72239999999999</v>
      </c>
      <c r="BA43" s="853">
        <v>282.74090000000001</v>
      </c>
      <c r="BB43" s="853">
        <v>359.43009999999998</v>
      </c>
      <c r="BC43" s="853">
        <v>321.9776</v>
      </c>
      <c r="BD43" s="853">
        <v>381.15219999999999</v>
      </c>
      <c r="BE43" s="853">
        <v>366.62479999999999</v>
      </c>
      <c r="BF43" s="853">
        <v>344.47919999999999</v>
      </c>
      <c r="BG43" s="853">
        <v>366.88150000000002</v>
      </c>
      <c r="BH43" s="853">
        <v>432.1241</v>
      </c>
      <c r="BI43" s="853">
        <v>380.4932</v>
      </c>
      <c r="BJ43" s="854">
        <v>360.51650000000001</v>
      </c>
      <c r="BK43" s="854">
        <v>381.21269999999998</v>
      </c>
      <c r="BL43" s="855">
        <v>378.06939999999997</v>
      </c>
      <c r="BN43" s="852" t="s">
        <v>502</v>
      </c>
      <c r="BO43" s="887">
        <v>35.075499999999998</v>
      </c>
      <c r="BP43" s="887">
        <v>50.718699999999998</v>
      </c>
      <c r="BQ43" s="887">
        <v>35.800699999999999</v>
      </c>
      <c r="BR43" s="887">
        <v>40.4756</v>
      </c>
      <c r="BS43" s="887">
        <v>31.909700000000001</v>
      </c>
      <c r="BT43" s="887">
        <v>33.168999999999997</v>
      </c>
      <c r="BU43" s="887">
        <v>28.3992</v>
      </c>
      <c r="BV43" s="887">
        <v>24.031600000000001</v>
      </c>
      <c r="BW43" s="887">
        <v>22.3901</v>
      </c>
      <c r="BX43" s="887">
        <v>23.9711</v>
      </c>
      <c r="BY43" s="887">
        <v>19.133400000000002</v>
      </c>
      <c r="BZ43" s="888">
        <v>31.001200000000001</v>
      </c>
      <c r="CA43" s="888">
        <v>21.027899999999999</v>
      </c>
      <c r="CB43" s="889">
        <v>22.055499999999999</v>
      </c>
      <c r="CD43" s="852" t="s">
        <v>502</v>
      </c>
      <c r="CE43" s="887">
        <v>0.90400000000000003</v>
      </c>
      <c r="CF43" s="887">
        <v>1.9018999999999999</v>
      </c>
      <c r="CG43" s="887">
        <v>3.6949000000000001</v>
      </c>
      <c r="CH43" s="887">
        <v>3.1756000000000002</v>
      </c>
      <c r="CI43" s="887">
        <v>4.3856000000000002</v>
      </c>
      <c r="CJ43" s="887">
        <v>3.1219999999999999</v>
      </c>
      <c r="CK43" s="887">
        <v>4.2412999999999998</v>
      </c>
      <c r="CL43" s="887">
        <v>4.6189</v>
      </c>
      <c r="CM43" s="887">
        <v>3.6150000000000002</v>
      </c>
      <c r="CN43" s="887">
        <v>4.5308000000000002</v>
      </c>
      <c r="CO43" s="887">
        <v>12.9217</v>
      </c>
      <c r="CP43" s="888">
        <v>3.9235000000000002</v>
      </c>
      <c r="CQ43" s="888">
        <v>8.7220999999999993</v>
      </c>
      <c r="CR43" s="889">
        <v>8.1141000000000005</v>
      </c>
      <c r="CU43" s="618" t="s">
        <v>62</v>
      </c>
      <c r="CV43" s="852" t="s">
        <v>502</v>
      </c>
      <c r="CW43" s="887">
        <v>10.0045</v>
      </c>
      <c r="CX43" s="887">
        <v>14.646599999999999</v>
      </c>
      <c r="CY43" s="887">
        <v>6.5837000000000003</v>
      </c>
      <c r="CZ43" s="887">
        <v>10.534700000000001</v>
      </c>
      <c r="DA43" s="887">
        <v>13.606400000000001</v>
      </c>
      <c r="DB43" s="887">
        <v>12.881399999999999</v>
      </c>
      <c r="DC43" s="887">
        <v>15.990500000000001</v>
      </c>
      <c r="DD43" s="887">
        <v>17.006900000000002</v>
      </c>
      <c r="DE43" s="887">
        <v>17.695699999999999</v>
      </c>
      <c r="DF43" s="887">
        <v>24.474799999999998</v>
      </c>
      <c r="DG43" s="887">
        <v>38.876199999999997</v>
      </c>
      <c r="DH43" s="888">
        <v>14.3065</v>
      </c>
      <c r="DI43" s="888">
        <v>29.858899999999998</v>
      </c>
      <c r="DJ43" s="889">
        <v>27.888400000000001</v>
      </c>
    </row>
    <row r="44" spans="2:114" s="571" customFormat="1" ht="15.75" customHeight="1" x14ac:dyDescent="0.25">
      <c r="B44" s="856" t="s">
        <v>472</v>
      </c>
      <c r="C44" s="857">
        <v>929.59860000000003</v>
      </c>
      <c r="D44" s="857">
        <v>623.56500000000005</v>
      </c>
      <c r="E44" s="857">
        <v>493.68509999999998</v>
      </c>
      <c r="F44" s="857">
        <v>435.7097</v>
      </c>
      <c r="G44" s="857">
        <v>483.20429999999999</v>
      </c>
      <c r="H44" s="857">
        <v>487.77530000000002</v>
      </c>
      <c r="I44" s="857">
        <v>520.92939999999999</v>
      </c>
      <c r="J44" s="857">
        <v>509.0376</v>
      </c>
      <c r="K44" s="857">
        <v>566.56889999999999</v>
      </c>
      <c r="L44" s="857">
        <v>619.51170000000002</v>
      </c>
      <c r="M44" s="857">
        <v>563.20010000000002</v>
      </c>
      <c r="N44" s="858">
        <v>483.44029999999998</v>
      </c>
      <c r="O44" s="858">
        <v>563.28930000000003</v>
      </c>
      <c r="P44" s="859">
        <v>527.6653</v>
      </c>
      <c r="R44" s="856" t="s">
        <v>472</v>
      </c>
      <c r="S44" s="857">
        <v>786.24450000000002</v>
      </c>
      <c r="T44" s="857">
        <v>519.15689999999995</v>
      </c>
      <c r="U44" s="857">
        <v>417.62689999999998</v>
      </c>
      <c r="V44" s="857">
        <v>365.68</v>
      </c>
      <c r="W44" s="857">
        <v>413.34859999999998</v>
      </c>
      <c r="X44" s="857">
        <v>412.76440000000002</v>
      </c>
      <c r="Y44" s="857">
        <v>439.09379999999999</v>
      </c>
      <c r="Z44" s="857">
        <v>423.08100000000002</v>
      </c>
      <c r="AA44" s="857">
        <v>457.61779999999999</v>
      </c>
      <c r="AB44" s="857">
        <v>485.11360000000002</v>
      </c>
      <c r="AC44" s="857">
        <v>443.1891</v>
      </c>
      <c r="AD44" s="858">
        <v>408.5018</v>
      </c>
      <c r="AE44" s="858">
        <v>453.93189999999998</v>
      </c>
      <c r="AF44" s="859">
        <v>433.66359999999997</v>
      </c>
      <c r="AH44" s="856" t="s">
        <v>472</v>
      </c>
      <c r="AI44" s="857">
        <v>703.37249999999995</v>
      </c>
      <c r="AJ44" s="857">
        <v>488.81670000000003</v>
      </c>
      <c r="AK44" s="857">
        <v>391.07929999999999</v>
      </c>
      <c r="AL44" s="857">
        <v>347.75540000000001</v>
      </c>
      <c r="AM44" s="857">
        <v>390.17829999999998</v>
      </c>
      <c r="AN44" s="857">
        <v>388.61079999999998</v>
      </c>
      <c r="AO44" s="857">
        <v>413.69009999999997</v>
      </c>
      <c r="AP44" s="857">
        <v>393.63380000000001</v>
      </c>
      <c r="AQ44" s="857">
        <v>420.00119999999998</v>
      </c>
      <c r="AR44" s="857">
        <v>443.53899999999999</v>
      </c>
      <c r="AS44" s="857">
        <v>400.22129999999999</v>
      </c>
      <c r="AT44" s="858">
        <v>385.76010000000002</v>
      </c>
      <c r="AU44" s="858">
        <v>417.24939999999998</v>
      </c>
      <c r="AV44" s="859">
        <v>403.20069999999998</v>
      </c>
      <c r="AX44" s="856" t="s">
        <v>472</v>
      </c>
      <c r="AY44" s="857">
        <v>715.62400000000002</v>
      </c>
      <c r="AZ44" s="857">
        <v>494.28769999999997</v>
      </c>
      <c r="BA44" s="857">
        <v>396.161</v>
      </c>
      <c r="BB44" s="857">
        <v>351.01819999999998</v>
      </c>
      <c r="BC44" s="857">
        <v>395.81490000000002</v>
      </c>
      <c r="BD44" s="857">
        <v>395.44529999999997</v>
      </c>
      <c r="BE44" s="857">
        <v>423.61520000000002</v>
      </c>
      <c r="BF44" s="857">
        <v>405.01780000000002</v>
      </c>
      <c r="BG44" s="857">
        <v>430.94920000000002</v>
      </c>
      <c r="BH44" s="857">
        <v>451.63459999999998</v>
      </c>
      <c r="BI44" s="857">
        <v>404.81290000000001</v>
      </c>
      <c r="BJ44" s="858">
        <v>392.14240000000001</v>
      </c>
      <c r="BK44" s="858">
        <v>427.2826</v>
      </c>
      <c r="BL44" s="859">
        <v>411.60509999999999</v>
      </c>
      <c r="BN44" s="856" t="s">
        <v>472</v>
      </c>
      <c r="BO44" s="884">
        <v>45.675600000000003</v>
      </c>
      <c r="BP44" s="884">
        <v>47.466000000000001</v>
      </c>
      <c r="BQ44" s="884">
        <v>46.568300000000001</v>
      </c>
      <c r="BR44" s="884">
        <v>39.942999999999998</v>
      </c>
      <c r="BS44" s="884">
        <v>38.452300000000001</v>
      </c>
      <c r="BT44" s="884">
        <v>33.866900000000001</v>
      </c>
      <c r="BU44" s="884">
        <v>32.051499999999997</v>
      </c>
      <c r="BV44" s="884">
        <v>27.398900000000001</v>
      </c>
      <c r="BW44" s="884">
        <v>27.247599999999998</v>
      </c>
      <c r="BX44" s="884">
        <v>26.741399999999999</v>
      </c>
      <c r="BY44" s="884">
        <v>24.419799999999999</v>
      </c>
      <c r="BZ44" s="885">
        <v>36.150700000000001</v>
      </c>
      <c r="CA44" s="885">
        <v>26.985600000000002</v>
      </c>
      <c r="CB44" s="886">
        <v>30.244800000000001</v>
      </c>
      <c r="CD44" s="856" t="s">
        <v>472</v>
      </c>
      <c r="CE44" s="884">
        <v>4.1039000000000003</v>
      </c>
      <c r="CF44" s="884">
        <v>2.9384999999999999</v>
      </c>
      <c r="CG44" s="884">
        <v>3.1730999999999998</v>
      </c>
      <c r="CH44" s="884">
        <v>2.4887999999999999</v>
      </c>
      <c r="CI44" s="884">
        <v>2.4518</v>
      </c>
      <c r="CJ44" s="884">
        <v>3.0948000000000002</v>
      </c>
      <c r="CK44" s="884">
        <v>2.7509999999999999</v>
      </c>
      <c r="CL44" s="884">
        <v>3.0387</v>
      </c>
      <c r="CM44" s="884">
        <v>3.5972</v>
      </c>
      <c r="CN44" s="884">
        <v>2.5455999999999999</v>
      </c>
      <c r="CO44" s="884">
        <v>5.4955999999999996</v>
      </c>
      <c r="CP44" s="885">
        <v>2.6974</v>
      </c>
      <c r="CQ44" s="885">
        <v>3.3119999999999998</v>
      </c>
      <c r="CR44" s="886">
        <v>3.0608</v>
      </c>
      <c r="CU44" s="622" t="s">
        <v>63</v>
      </c>
      <c r="CV44" s="856" t="s">
        <v>472</v>
      </c>
      <c r="CW44" s="884">
        <v>6.0278</v>
      </c>
      <c r="CX44" s="884">
        <v>12.5101</v>
      </c>
      <c r="CY44" s="884">
        <v>12.0816</v>
      </c>
      <c r="CZ44" s="884">
        <v>12.566599999999999</v>
      </c>
      <c r="DA44" s="884">
        <v>11.959899999999999</v>
      </c>
      <c r="DB44" s="884">
        <v>14.3651</v>
      </c>
      <c r="DC44" s="884">
        <v>12.9742</v>
      </c>
      <c r="DD44" s="884">
        <v>15.7446</v>
      </c>
      <c r="DE44" s="884">
        <v>23.008800000000001</v>
      </c>
      <c r="DF44" s="884">
        <v>25.661999999999999</v>
      </c>
      <c r="DG44" s="884">
        <v>23.398399999999999</v>
      </c>
      <c r="DH44" s="885">
        <v>12.792400000000001</v>
      </c>
      <c r="DI44" s="885">
        <v>21.966100000000001</v>
      </c>
      <c r="DJ44" s="886">
        <v>18.2163</v>
      </c>
    </row>
    <row r="45" spans="2:114" s="465" customFormat="1" ht="15.75" customHeight="1" x14ac:dyDescent="0.25">
      <c r="B45" s="865" t="s">
        <v>97</v>
      </c>
      <c r="C45" s="853">
        <v>819.85</v>
      </c>
      <c r="D45" s="853">
        <v>597.63969999999995</v>
      </c>
      <c r="E45" s="853">
        <v>465.88869999999997</v>
      </c>
      <c r="F45" s="853">
        <v>474.60160000000002</v>
      </c>
      <c r="G45" s="853">
        <v>507.39879999999999</v>
      </c>
      <c r="H45" s="853">
        <v>524.66489999999999</v>
      </c>
      <c r="I45" s="853">
        <v>544.32180000000005</v>
      </c>
      <c r="J45" s="853">
        <v>514.50220000000002</v>
      </c>
      <c r="K45" s="853">
        <v>509.57170000000002</v>
      </c>
      <c r="L45" s="866">
        <v>362.18360000000001</v>
      </c>
      <c r="M45" s="866" t="s">
        <v>102</v>
      </c>
      <c r="N45" s="854">
        <v>504.03160000000003</v>
      </c>
      <c r="O45" s="854">
        <v>510.18180000000001</v>
      </c>
      <c r="P45" s="855">
        <v>504.6728</v>
      </c>
      <c r="R45" s="865" t="s">
        <v>97</v>
      </c>
      <c r="S45" s="853">
        <v>699.99220000000003</v>
      </c>
      <c r="T45" s="853">
        <v>504.64510000000001</v>
      </c>
      <c r="U45" s="853">
        <v>389.27969999999999</v>
      </c>
      <c r="V45" s="853">
        <v>396.5899</v>
      </c>
      <c r="W45" s="853">
        <v>429.78449999999998</v>
      </c>
      <c r="X45" s="853">
        <v>442.73110000000003</v>
      </c>
      <c r="Y45" s="853">
        <v>454.02699999999999</v>
      </c>
      <c r="Z45" s="853">
        <v>416.57900000000001</v>
      </c>
      <c r="AA45" s="853">
        <v>418.39609999999999</v>
      </c>
      <c r="AB45" s="866">
        <v>345.57839999999999</v>
      </c>
      <c r="AC45" s="866" t="s">
        <v>102</v>
      </c>
      <c r="AD45" s="854">
        <v>422.80799999999999</v>
      </c>
      <c r="AE45" s="854">
        <v>414.99270000000001</v>
      </c>
      <c r="AF45" s="855">
        <v>421.99310000000003</v>
      </c>
      <c r="AH45" s="865" t="s">
        <v>97</v>
      </c>
      <c r="AI45" s="853">
        <v>672.07899999999995</v>
      </c>
      <c r="AJ45" s="853">
        <v>478.99709999999999</v>
      </c>
      <c r="AK45" s="853">
        <v>367.45310000000001</v>
      </c>
      <c r="AL45" s="853">
        <v>375.65499999999997</v>
      </c>
      <c r="AM45" s="853">
        <v>403.82459999999998</v>
      </c>
      <c r="AN45" s="853">
        <v>414.02730000000003</v>
      </c>
      <c r="AO45" s="853">
        <v>430.69450000000001</v>
      </c>
      <c r="AP45" s="853">
        <v>389.62689999999998</v>
      </c>
      <c r="AQ45" s="853">
        <v>403.06630000000001</v>
      </c>
      <c r="AR45" s="866">
        <v>345.57839999999999</v>
      </c>
      <c r="AS45" s="866" t="s">
        <v>102</v>
      </c>
      <c r="AT45" s="854">
        <v>399.39960000000002</v>
      </c>
      <c r="AU45" s="854">
        <v>389.92180000000002</v>
      </c>
      <c r="AV45" s="855">
        <v>398.41140000000001</v>
      </c>
      <c r="AX45" s="865" t="s">
        <v>97</v>
      </c>
      <c r="AY45" s="853">
        <v>675.18439999999998</v>
      </c>
      <c r="AZ45" s="853">
        <v>482.06349999999998</v>
      </c>
      <c r="BA45" s="853">
        <v>370.79520000000002</v>
      </c>
      <c r="BB45" s="853">
        <v>379.09820000000002</v>
      </c>
      <c r="BC45" s="853">
        <v>409.44990000000001</v>
      </c>
      <c r="BD45" s="853">
        <v>423.74450000000002</v>
      </c>
      <c r="BE45" s="853">
        <v>441.11810000000003</v>
      </c>
      <c r="BF45" s="853">
        <v>399.26010000000002</v>
      </c>
      <c r="BG45" s="853">
        <v>406.24290000000002</v>
      </c>
      <c r="BH45" s="866">
        <v>345.57839999999999</v>
      </c>
      <c r="BI45" s="866" t="s">
        <v>102</v>
      </c>
      <c r="BJ45" s="854">
        <v>405.13690000000003</v>
      </c>
      <c r="BK45" s="854">
        <v>398.64339999999999</v>
      </c>
      <c r="BL45" s="855">
        <v>404.4599</v>
      </c>
      <c r="BN45" s="865" t="s">
        <v>97</v>
      </c>
      <c r="BO45" s="887">
        <v>44.121200000000002</v>
      </c>
      <c r="BP45" s="887">
        <v>43.2592</v>
      </c>
      <c r="BQ45" s="887">
        <v>39.905099999999997</v>
      </c>
      <c r="BR45" s="887">
        <v>40.2958</v>
      </c>
      <c r="BS45" s="887">
        <v>38.057600000000001</v>
      </c>
      <c r="BT45" s="887">
        <v>34.733899999999998</v>
      </c>
      <c r="BU45" s="887">
        <v>33.822000000000003</v>
      </c>
      <c r="BV45" s="887">
        <v>27.951899999999998</v>
      </c>
      <c r="BW45" s="887">
        <v>26.706700000000001</v>
      </c>
      <c r="BX45" s="890">
        <v>26.894200000000001</v>
      </c>
      <c r="BY45" s="890" t="s">
        <v>102</v>
      </c>
      <c r="BZ45" s="888">
        <v>37.892600000000002</v>
      </c>
      <c r="CA45" s="888">
        <v>27.791</v>
      </c>
      <c r="CB45" s="889">
        <v>36.528199999999998</v>
      </c>
      <c r="CD45" s="865" t="s">
        <v>97</v>
      </c>
      <c r="CE45" s="887">
        <v>2.1465999999999998</v>
      </c>
      <c r="CF45" s="887">
        <v>2.8574000000000002</v>
      </c>
      <c r="CG45" s="887">
        <v>2.6301999999999999</v>
      </c>
      <c r="CH45" s="887">
        <v>2.3755999999999999</v>
      </c>
      <c r="CI45" s="887">
        <v>2.6373000000000002</v>
      </c>
      <c r="CJ45" s="887">
        <v>3.069</v>
      </c>
      <c r="CK45" s="887">
        <v>2.2865000000000002</v>
      </c>
      <c r="CL45" s="887">
        <v>2.7643</v>
      </c>
      <c r="CM45" s="887">
        <v>2.2524000000000002</v>
      </c>
      <c r="CN45" s="890">
        <v>0</v>
      </c>
      <c r="CO45" s="890" t="s">
        <v>102</v>
      </c>
      <c r="CP45" s="888">
        <v>2.5261</v>
      </c>
      <c r="CQ45" s="888">
        <v>2.6621000000000001</v>
      </c>
      <c r="CR45" s="889">
        <v>2.5405000000000002</v>
      </c>
      <c r="CU45" s="618" t="s">
        <v>64</v>
      </c>
      <c r="CV45" s="865" t="s">
        <v>97</v>
      </c>
      <c r="CW45" s="887">
        <v>12.2187</v>
      </c>
      <c r="CX45" s="887">
        <v>11.344900000000001</v>
      </c>
      <c r="CY45" s="887">
        <v>12.5078</v>
      </c>
      <c r="CZ45" s="887">
        <v>13.3712</v>
      </c>
      <c r="DA45" s="887">
        <v>13.759399999999999</v>
      </c>
      <c r="DB45" s="887">
        <v>14.364100000000001</v>
      </c>
      <c r="DC45" s="887">
        <v>14.5573</v>
      </c>
      <c r="DD45" s="887">
        <v>18.887</v>
      </c>
      <c r="DE45" s="887">
        <v>20.537199999999999</v>
      </c>
      <c r="DF45" s="890">
        <v>0</v>
      </c>
      <c r="DG45" s="890" t="s">
        <v>102</v>
      </c>
      <c r="DH45" s="888">
        <v>13.5975</v>
      </c>
      <c r="DI45" s="888">
        <v>18.722999999999999</v>
      </c>
      <c r="DJ45" s="889">
        <v>14.137700000000001</v>
      </c>
    </row>
    <row r="46" spans="2:114" s="571" customFormat="1" ht="15.75" customHeight="1" x14ac:dyDescent="0.25">
      <c r="B46" s="860" t="s">
        <v>96</v>
      </c>
      <c r="C46" s="861">
        <v>967.53369999999995</v>
      </c>
      <c r="D46" s="861">
        <v>647.63260000000002</v>
      </c>
      <c r="E46" s="861">
        <v>549.48879999999997</v>
      </c>
      <c r="F46" s="861">
        <v>599.39940000000001</v>
      </c>
      <c r="G46" s="861">
        <v>710.5847</v>
      </c>
      <c r="H46" s="861">
        <v>824.48450000000003</v>
      </c>
      <c r="I46" s="861">
        <v>651.69949999999994</v>
      </c>
      <c r="J46" s="861">
        <v>638.47310000000004</v>
      </c>
      <c r="K46" s="861" t="s">
        <v>102</v>
      </c>
      <c r="L46" s="862" t="s">
        <v>102</v>
      </c>
      <c r="M46" s="862" t="s">
        <v>102</v>
      </c>
      <c r="N46" s="863">
        <v>641.87980000000005</v>
      </c>
      <c r="O46" s="863">
        <v>638.47310000000004</v>
      </c>
      <c r="P46" s="864">
        <v>641.72270000000003</v>
      </c>
      <c r="R46" s="860" t="s">
        <v>96</v>
      </c>
      <c r="S46" s="861">
        <v>843.81569999999999</v>
      </c>
      <c r="T46" s="861">
        <v>561.38369999999998</v>
      </c>
      <c r="U46" s="861">
        <v>467.52800000000002</v>
      </c>
      <c r="V46" s="861">
        <v>508.17930000000001</v>
      </c>
      <c r="W46" s="861">
        <v>606.95460000000003</v>
      </c>
      <c r="X46" s="861">
        <v>716.60699999999997</v>
      </c>
      <c r="Y46" s="861">
        <v>548.08799999999997</v>
      </c>
      <c r="Z46" s="861">
        <v>550.24199999999996</v>
      </c>
      <c r="AA46" s="861" t="s">
        <v>102</v>
      </c>
      <c r="AB46" s="862" t="s">
        <v>102</v>
      </c>
      <c r="AC46" s="862" t="s">
        <v>102</v>
      </c>
      <c r="AD46" s="863">
        <v>547.52930000000003</v>
      </c>
      <c r="AE46" s="863">
        <v>550.24199999999996</v>
      </c>
      <c r="AF46" s="864">
        <v>547.65440000000001</v>
      </c>
      <c r="AH46" s="860" t="s">
        <v>96</v>
      </c>
      <c r="AI46" s="861">
        <v>809.47329999999999</v>
      </c>
      <c r="AJ46" s="861">
        <v>535.71130000000005</v>
      </c>
      <c r="AK46" s="861">
        <v>435.7269</v>
      </c>
      <c r="AL46" s="861">
        <v>471.56029999999998</v>
      </c>
      <c r="AM46" s="861">
        <v>571.35619999999994</v>
      </c>
      <c r="AN46" s="861">
        <v>670.15620000000001</v>
      </c>
      <c r="AO46" s="861">
        <v>473.42430000000002</v>
      </c>
      <c r="AP46" s="861">
        <v>530.24699999999996</v>
      </c>
      <c r="AQ46" s="861" t="s">
        <v>102</v>
      </c>
      <c r="AR46" s="862" t="s">
        <v>102</v>
      </c>
      <c r="AS46" s="862" t="s">
        <v>102</v>
      </c>
      <c r="AT46" s="863">
        <v>507.45740000000001</v>
      </c>
      <c r="AU46" s="863">
        <v>530.24699999999996</v>
      </c>
      <c r="AV46" s="864">
        <v>508.50880000000001</v>
      </c>
      <c r="AX46" s="860" t="s">
        <v>96</v>
      </c>
      <c r="AY46" s="861">
        <v>810.14580000000001</v>
      </c>
      <c r="AZ46" s="861">
        <v>538.05939999999998</v>
      </c>
      <c r="BA46" s="861">
        <v>440.44670000000002</v>
      </c>
      <c r="BB46" s="861">
        <v>474.91500000000002</v>
      </c>
      <c r="BC46" s="861">
        <v>582.91319999999996</v>
      </c>
      <c r="BD46" s="861">
        <v>695.55600000000004</v>
      </c>
      <c r="BE46" s="861">
        <v>486.79250000000002</v>
      </c>
      <c r="BF46" s="861">
        <v>538.24450000000002</v>
      </c>
      <c r="BG46" s="861" t="s">
        <v>102</v>
      </c>
      <c r="BH46" s="862" t="s">
        <v>102</v>
      </c>
      <c r="BI46" s="862" t="s">
        <v>102</v>
      </c>
      <c r="BJ46" s="863">
        <v>515.11419999999998</v>
      </c>
      <c r="BK46" s="863">
        <v>538.24450000000002</v>
      </c>
      <c r="BL46" s="864">
        <v>516.18140000000005</v>
      </c>
      <c r="BN46" s="860" t="s">
        <v>96</v>
      </c>
      <c r="BO46" s="891">
        <v>52.149900000000002</v>
      </c>
      <c r="BP46" s="891">
        <v>47.519500000000001</v>
      </c>
      <c r="BQ46" s="891">
        <v>41.268700000000003</v>
      </c>
      <c r="BR46" s="891">
        <v>37.026400000000002</v>
      </c>
      <c r="BS46" s="891">
        <v>35.953699999999998</v>
      </c>
      <c r="BT46" s="891">
        <v>38.860199999999999</v>
      </c>
      <c r="BU46" s="891">
        <v>28.866</v>
      </c>
      <c r="BV46" s="891">
        <v>35.957799999999999</v>
      </c>
      <c r="BW46" s="891" t="s">
        <v>102</v>
      </c>
      <c r="BX46" s="892" t="s">
        <v>102</v>
      </c>
      <c r="BY46" s="892" t="s">
        <v>102</v>
      </c>
      <c r="BZ46" s="893">
        <v>37.5321</v>
      </c>
      <c r="CA46" s="893">
        <v>35.957799999999999</v>
      </c>
      <c r="CB46" s="894">
        <v>37.453200000000002</v>
      </c>
      <c r="CD46" s="860" t="s">
        <v>96</v>
      </c>
      <c r="CE46" s="891">
        <v>2.6591999999999998</v>
      </c>
      <c r="CF46" s="891">
        <v>3.1755</v>
      </c>
      <c r="CG46" s="891">
        <v>3.5941999999999998</v>
      </c>
      <c r="CH46" s="891">
        <v>3.2105000000000001</v>
      </c>
      <c r="CI46" s="891">
        <v>2.0994999999999999</v>
      </c>
      <c r="CJ46" s="891">
        <v>1.9934000000000001</v>
      </c>
      <c r="CK46" s="891">
        <v>9.8091000000000008</v>
      </c>
      <c r="CL46" s="891">
        <v>2.5123000000000002</v>
      </c>
      <c r="CM46" s="891" t="s">
        <v>102</v>
      </c>
      <c r="CN46" s="892" t="s">
        <v>102</v>
      </c>
      <c r="CO46" s="892" t="s">
        <v>102</v>
      </c>
      <c r="CP46" s="893">
        <v>3.7422</v>
      </c>
      <c r="CQ46" s="893">
        <v>2.5123000000000002</v>
      </c>
      <c r="CR46" s="894">
        <v>3.6858</v>
      </c>
      <c r="CU46" s="622" t="s">
        <v>65</v>
      </c>
      <c r="CV46" s="860" t="s">
        <v>96</v>
      </c>
      <c r="CW46" s="891">
        <v>10.7921</v>
      </c>
      <c r="CX46" s="891">
        <v>13.8485</v>
      </c>
      <c r="CY46" s="891">
        <v>11.633900000000001</v>
      </c>
      <c r="CZ46" s="891">
        <v>12.316700000000001</v>
      </c>
      <c r="DA46" s="891">
        <v>13.323600000000001</v>
      </c>
      <c r="DB46" s="891">
        <v>18.454799999999999</v>
      </c>
      <c r="DC46" s="891">
        <v>8.7985000000000007</v>
      </c>
      <c r="DD46" s="891">
        <v>10.878299999999999</v>
      </c>
      <c r="DE46" s="891" t="s">
        <v>102</v>
      </c>
      <c r="DF46" s="892" t="s">
        <v>102</v>
      </c>
      <c r="DG46" s="892" t="s">
        <v>102</v>
      </c>
      <c r="DH46" s="893">
        <v>12.6806</v>
      </c>
      <c r="DI46" s="893">
        <v>10.878299999999999</v>
      </c>
      <c r="DJ46" s="894">
        <v>12.597799999999999</v>
      </c>
    </row>
    <row r="47" spans="2:114" s="168" customFormat="1" x14ac:dyDescent="0.2">
      <c r="B47" s="37" t="s">
        <v>270</v>
      </c>
      <c r="C47" s="649"/>
      <c r="D47" s="649"/>
      <c r="E47" s="649"/>
      <c r="F47" s="649"/>
      <c r="G47" s="649"/>
      <c r="H47" s="649"/>
      <c r="I47" s="649"/>
      <c r="J47" s="649"/>
      <c r="K47" s="649"/>
      <c r="L47" s="649"/>
      <c r="M47" s="649"/>
      <c r="N47" s="649"/>
      <c r="O47" s="649"/>
      <c r="P47" s="650"/>
      <c r="R47" s="37" t="s">
        <v>270</v>
      </c>
      <c r="S47" s="649"/>
      <c r="T47" s="649"/>
      <c r="U47" s="649"/>
      <c r="V47" s="649"/>
      <c r="W47" s="649"/>
      <c r="X47" s="649"/>
      <c r="Y47" s="649"/>
      <c r="Z47" s="649"/>
      <c r="AA47" s="649"/>
      <c r="AB47" s="649"/>
      <c r="AC47" s="649"/>
      <c r="AD47" s="649"/>
      <c r="AE47" s="649"/>
      <c r="AF47" s="650"/>
      <c r="AH47" s="37" t="s">
        <v>270</v>
      </c>
      <c r="AI47" s="649"/>
      <c r="AJ47" s="649"/>
      <c r="AK47" s="649"/>
      <c r="AL47" s="649"/>
      <c r="AM47" s="649"/>
      <c r="AN47" s="649"/>
      <c r="AO47" s="649"/>
      <c r="AP47" s="649"/>
      <c r="AQ47" s="649"/>
      <c r="AR47" s="649"/>
      <c r="AS47" s="649"/>
      <c r="AT47" s="649"/>
      <c r="AU47" s="649"/>
      <c r="AV47" s="650"/>
      <c r="AX47" s="37" t="s">
        <v>270</v>
      </c>
      <c r="AY47" s="649"/>
      <c r="AZ47" s="649"/>
      <c r="BA47" s="649"/>
      <c r="BB47" s="649"/>
      <c r="BC47" s="649"/>
      <c r="BD47" s="649"/>
      <c r="BE47" s="649"/>
      <c r="BF47" s="649"/>
      <c r="BG47" s="649"/>
      <c r="BH47" s="649"/>
      <c r="BI47" s="649"/>
      <c r="BJ47" s="649"/>
      <c r="BK47" s="649"/>
      <c r="BL47" s="650"/>
      <c r="BN47" s="37" t="s">
        <v>270</v>
      </c>
      <c r="BO47" s="649"/>
      <c r="BP47" s="649"/>
      <c r="BQ47" s="649"/>
      <c r="BR47" s="649"/>
      <c r="BS47" s="649"/>
      <c r="BT47" s="649"/>
      <c r="BU47" s="649"/>
      <c r="BV47" s="649"/>
      <c r="BW47" s="649"/>
      <c r="BX47" s="649"/>
      <c r="BY47" s="649"/>
      <c r="BZ47" s="649"/>
      <c r="CA47" s="649"/>
      <c r="CB47" s="650"/>
      <c r="CD47" s="37" t="s">
        <v>270</v>
      </c>
      <c r="CE47" s="649"/>
      <c r="CF47" s="649"/>
      <c r="CG47" s="649"/>
      <c r="CH47" s="649"/>
      <c r="CI47" s="649"/>
      <c r="CJ47" s="649"/>
      <c r="CK47" s="649"/>
      <c r="CL47" s="649"/>
      <c r="CM47" s="649"/>
      <c r="CN47" s="649"/>
      <c r="CO47" s="649"/>
      <c r="CP47" s="649"/>
      <c r="CQ47" s="649"/>
      <c r="CR47" s="650"/>
      <c r="CU47" s="249" t="s">
        <v>66</v>
      </c>
      <c r="CV47" s="37" t="s">
        <v>270</v>
      </c>
      <c r="CW47" s="649"/>
      <c r="CX47" s="649"/>
      <c r="CY47" s="649"/>
      <c r="CZ47" s="649"/>
      <c r="DA47" s="649"/>
      <c r="DB47" s="649"/>
      <c r="DC47" s="649"/>
      <c r="DD47" s="649"/>
      <c r="DE47" s="649"/>
      <c r="DF47" s="649"/>
      <c r="DG47" s="649"/>
      <c r="DH47" s="649"/>
      <c r="DI47" s="649"/>
      <c r="DJ47" s="650"/>
    </row>
    <row r="48" spans="2:114" s="37" customFormat="1" x14ac:dyDescent="0.2">
      <c r="B48" s="37" t="s">
        <v>503</v>
      </c>
      <c r="C48" s="649"/>
      <c r="D48" s="649"/>
      <c r="E48" s="649"/>
      <c r="F48" s="649"/>
      <c r="G48" s="649"/>
      <c r="H48" s="649"/>
      <c r="I48" s="649"/>
      <c r="J48" s="649"/>
      <c r="K48" s="649"/>
      <c r="L48" s="649"/>
      <c r="M48" s="649"/>
      <c r="N48" s="649"/>
      <c r="O48" s="649"/>
      <c r="P48" s="650"/>
      <c r="R48" s="37" t="s">
        <v>503</v>
      </c>
      <c r="S48" s="649"/>
      <c r="T48" s="649"/>
      <c r="U48" s="649"/>
      <c r="V48" s="649"/>
      <c r="W48" s="649"/>
      <c r="X48" s="649"/>
      <c r="Y48" s="649"/>
      <c r="Z48" s="649"/>
      <c r="AA48" s="649"/>
      <c r="AB48" s="649"/>
      <c r="AC48" s="649"/>
      <c r="AD48" s="649"/>
      <c r="AE48" s="649"/>
      <c r="AF48" s="650"/>
      <c r="AH48" s="37" t="s">
        <v>503</v>
      </c>
      <c r="AI48" s="649"/>
      <c r="AJ48" s="649"/>
      <c r="AK48" s="649"/>
      <c r="AL48" s="649"/>
      <c r="AM48" s="649"/>
      <c r="AN48" s="649"/>
      <c r="AO48" s="649"/>
      <c r="AP48" s="649"/>
      <c r="AQ48" s="649"/>
      <c r="AR48" s="649"/>
      <c r="AS48" s="649"/>
      <c r="AT48" s="649"/>
      <c r="AU48" s="649"/>
      <c r="AV48" s="650"/>
      <c r="AX48" s="37" t="s">
        <v>503</v>
      </c>
      <c r="AY48" s="649"/>
      <c r="AZ48" s="649"/>
      <c r="BA48" s="649"/>
      <c r="BB48" s="649"/>
      <c r="BC48" s="649"/>
      <c r="BD48" s="649"/>
      <c r="BE48" s="649"/>
      <c r="BF48" s="649"/>
      <c r="BG48" s="649"/>
      <c r="BH48" s="649"/>
      <c r="BI48" s="649"/>
      <c r="BJ48" s="649"/>
      <c r="BK48" s="649"/>
      <c r="BL48" s="650"/>
      <c r="BN48" s="37" t="s">
        <v>503</v>
      </c>
      <c r="BO48" s="649"/>
      <c r="BP48" s="649"/>
      <c r="BQ48" s="649"/>
      <c r="BR48" s="649"/>
      <c r="BS48" s="649"/>
      <c r="BT48" s="649"/>
      <c r="BU48" s="649"/>
      <c r="BV48" s="649"/>
      <c r="BW48" s="649"/>
      <c r="BX48" s="649"/>
      <c r="BY48" s="649"/>
      <c r="BZ48" s="649"/>
      <c r="CA48" s="649"/>
      <c r="CB48" s="650"/>
      <c r="CD48" s="37" t="s">
        <v>503</v>
      </c>
      <c r="CE48" s="649"/>
      <c r="CF48" s="649"/>
      <c r="CG48" s="649"/>
      <c r="CH48" s="649"/>
      <c r="CI48" s="649"/>
      <c r="CJ48" s="649"/>
      <c r="CK48" s="649"/>
      <c r="CL48" s="649"/>
      <c r="CM48" s="649"/>
      <c r="CN48" s="649"/>
      <c r="CO48" s="649"/>
      <c r="CP48" s="649"/>
      <c r="CQ48" s="649"/>
      <c r="CR48" s="650"/>
      <c r="CU48" s="651" t="s">
        <v>94</v>
      </c>
      <c r="CV48" s="37" t="s">
        <v>503</v>
      </c>
      <c r="CW48" s="649"/>
      <c r="CX48" s="649"/>
      <c r="CY48" s="649"/>
      <c r="CZ48" s="649"/>
      <c r="DA48" s="649"/>
      <c r="DB48" s="649"/>
      <c r="DC48" s="649"/>
      <c r="DD48" s="649"/>
      <c r="DE48" s="649"/>
      <c r="DF48" s="649"/>
      <c r="DG48" s="649"/>
      <c r="DH48" s="649"/>
      <c r="DI48" s="649"/>
      <c r="DJ48" s="650"/>
    </row>
    <row r="49" spans="2:114" s="37" customFormat="1" x14ac:dyDescent="0.2">
      <c r="B49" s="37" t="s">
        <v>473</v>
      </c>
      <c r="C49" s="652"/>
      <c r="D49" s="652"/>
      <c r="E49" s="652"/>
      <c r="F49" s="652"/>
      <c r="G49" s="652"/>
      <c r="H49" s="652"/>
      <c r="I49" s="652"/>
      <c r="J49" s="652"/>
      <c r="K49" s="652"/>
      <c r="L49" s="652"/>
      <c r="M49" s="652"/>
      <c r="N49" s="652"/>
      <c r="O49" s="652"/>
      <c r="P49" s="653"/>
      <c r="R49" s="37" t="s">
        <v>473</v>
      </c>
      <c r="S49" s="652"/>
      <c r="T49" s="652"/>
      <c r="U49" s="652"/>
      <c r="V49" s="652"/>
      <c r="W49" s="652"/>
      <c r="X49" s="652"/>
      <c r="Y49" s="652"/>
      <c r="Z49" s="652"/>
      <c r="AA49" s="652"/>
      <c r="AB49" s="652"/>
      <c r="AC49" s="652"/>
      <c r="AD49" s="652"/>
      <c r="AE49" s="652"/>
      <c r="AF49" s="653"/>
      <c r="AH49" s="37" t="s">
        <v>473</v>
      </c>
      <c r="AI49" s="652"/>
      <c r="AJ49" s="652"/>
      <c r="AK49" s="652"/>
      <c r="AL49" s="652"/>
      <c r="AM49" s="652"/>
      <c r="AN49" s="652"/>
      <c r="AO49" s="652"/>
      <c r="AP49" s="652"/>
      <c r="AQ49" s="652"/>
      <c r="AR49" s="652"/>
      <c r="AS49" s="652"/>
      <c r="AT49" s="652"/>
      <c r="AU49" s="652"/>
      <c r="AV49" s="653"/>
      <c r="AX49" s="37" t="s">
        <v>473</v>
      </c>
      <c r="AY49" s="652"/>
      <c r="AZ49" s="652"/>
      <c r="BA49" s="652"/>
      <c r="BB49" s="652"/>
      <c r="BC49" s="652"/>
      <c r="BD49" s="652"/>
      <c r="BE49" s="652"/>
      <c r="BF49" s="652"/>
      <c r="BG49" s="652"/>
      <c r="BH49" s="652"/>
      <c r="BI49" s="652"/>
      <c r="BJ49" s="652"/>
      <c r="BK49" s="652"/>
      <c r="BL49" s="653"/>
      <c r="BN49" s="37" t="s">
        <v>473</v>
      </c>
      <c r="BO49" s="652"/>
      <c r="BP49" s="652"/>
      <c r="BQ49" s="652"/>
      <c r="BR49" s="652"/>
      <c r="BS49" s="652"/>
      <c r="BT49" s="652"/>
      <c r="BU49" s="652"/>
      <c r="BV49" s="652"/>
      <c r="BW49" s="652"/>
      <c r="BX49" s="652"/>
      <c r="BY49" s="652"/>
      <c r="BZ49" s="652"/>
      <c r="CA49" s="652"/>
      <c r="CB49" s="653"/>
      <c r="CD49" s="37" t="s">
        <v>473</v>
      </c>
      <c r="CE49" s="652"/>
      <c r="CF49" s="652"/>
      <c r="CG49" s="652"/>
      <c r="CH49" s="652"/>
      <c r="CI49" s="652"/>
      <c r="CJ49" s="652"/>
      <c r="CK49" s="652"/>
      <c r="CL49" s="652"/>
      <c r="CM49" s="652"/>
      <c r="CN49" s="652"/>
      <c r="CO49" s="652"/>
      <c r="CP49" s="652"/>
      <c r="CQ49" s="652"/>
      <c r="CR49" s="653"/>
      <c r="CU49" s="654" t="s">
        <v>95</v>
      </c>
      <c r="CV49" s="37" t="s">
        <v>473</v>
      </c>
      <c r="CW49" s="652"/>
      <c r="CX49" s="652"/>
      <c r="CY49" s="652"/>
      <c r="CZ49" s="652"/>
      <c r="DA49" s="652"/>
      <c r="DB49" s="652"/>
      <c r="DC49" s="652"/>
      <c r="DD49" s="652"/>
      <c r="DE49" s="652"/>
      <c r="DF49" s="652"/>
      <c r="DG49" s="652"/>
      <c r="DH49" s="652"/>
      <c r="DI49" s="652"/>
      <c r="DJ49" s="653"/>
    </row>
    <row r="50" spans="2:114" s="37" customFormat="1" x14ac:dyDescent="0.2">
      <c r="B50" s="625" t="s">
        <v>888</v>
      </c>
      <c r="P50" s="655"/>
      <c r="R50" s="625" t="s">
        <v>888</v>
      </c>
      <c r="AF50" s="655"/>
      <c r="AH50" s="625" t="s">
        <v>888</v>
      </c>
      <c r="AV50" s="655"/>
      <c r="AX50" s="625" t="s">
        <v>888</v>
      </c>
      <c r="BL50" s="655"/>
      <c r="BN50" s="625" t="s">
        <v>888</v>
      </c>
      <c r="CB50" s="655"/>
      <c r="CD50" s="625" t="s">
        <v>888</v>
      </c>
      <c r="CR50" s="655"/>
      <c r="CV50" s="625" t="s">
        <v>888</v>
      </c>
      <c r="DJ50" s="655"/>
    </row>
  </sheetData>
  <phoneticPr fontId="2" type="noConversion"/>
  <pageMargins left="0.59055118110236227" right="0.59055118110236227" top="0.78740157480314965" bottom="0.78740157480314965" header="0.39370078740157483" footer="0.39370078740157483"/>
  <pageSetup paperSize="9" scale="64" firstPageNumber="81" fitToWidth="7" orientation="landscape" useFirstPageNumber="1" r:id="rId1"/>
  <headerFooter alignWithMargins="0">
    <oddHeader>&amp;R&amp;12Les finances des communes en 2024</oddHeader>
    <oddFooter>&amp;L&amp;12Direction Générale des Collectivités Locales / DESL&amp;C&amp;12&amp;P&amp;R&amp;12Mise en ligne : janvier 2026</oddFooter>
  </headerFooter>
  <colBreaks count="6" manualBreakCount="6">
    <brk id="16" max="45" man="1"/>
    <brk id="32" max="45" man="1"/>
    <brk id="48" max="45" man="1"/>
    <brk id="64" max="45" man="1"/>
    <brk id="80" max="45" man="1"/>
    <brk id="97" max="4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CD50"/>
  <sheetViews>
    <sheetView view="pageBreakPreview" zoomScale="85" zoomScaleNormal="100" zoomScaleSheetLayoutView="85" workbookViewId="0"/>
  </sheetViews>
  <sheetFormatPr baseColWidth="10" defaultRowHeight="12.75" x14ac:dyDescent="0.2"/>
  <cols>
    <col min="1" max="1" width="4" customWidth="1"/>
    <col min="2" max="2" width="29.5703125" customWidth="1"/>
    <col min="3" max="13" width="12.42578125" customWidth="1"/>
    <col min="14" max="15" width="13.42578125" customWidth="1"/>
    <col min="16" max="16" width="11.42578125" style="94"/>
    <col min="17" max="17" width="4" customWidth="1"/>
    <col min="18" max="18" width="29.5703125" customWidth="1"/>
    <col min="19" max="29" width="12.42578125" customWidth="1"/>
    <col min="30" max="31" width="13.42578125" customWidth="1"/>
    <col min="32" max="32" width="11.42578125" style="94"/>
    <col min="33" max="33" width="4" customWidth="1"/>
    <col min="34" max="34" width="29.5703125" customWidth="1"/>
    <col min="35" max="45" width="12.42578125" customWidth="1"/>
    <col min="46" max="47" width="13.42578125" customWidth="1"/>
    <col min="48" max="48" width="11.42578125" style="94"/>
    <col min="49" max="49" width="4" customWidth="1"/>
    <col min="50" max="50" width="29.5703125" customWidth="1"/>
    <col min="51" max="61" width="12.42578125" customWidth="1"/>
    <col min="62" max="63" width="13.42578125" customWidth="1"/>
    <col min="64" max="64" width="12" style="94" customWidth="1"/>
    <col min="65" max="65" width="1.5703125" hidden="1" customWidth="1"/>
    <col min="66" max="66" width="4" customWidth="1"/>
    <col min="67" max="67" width="11.42578125" hidden="1" customWidth="1"/>
    <col min="68" max="68" width="29.5703125" customWidth="1"/>
    <col min="69" max="79" width="12.42578125" customWidth="1"/>
    <col min="80" max="81" width="13.42578125" customWidth="1"/>
  </cols>
  <sheetData>
    <row r="1" spans="1:82" ht="20.25" x14ac:dyDescent="0.3">
      <c r="A1" s="10" t="s">
        <v>944</v>
      </c>
      <c r="B1" s="69"/>
      <c r="C1" s="69"/>
      <c r="D1" s="69"/>
      <c r="E1" s="69"/>
      <c r="F1" s="69"/>
      <c r="G1" s="69"/>
      <c r="H1" s="69"/>
      <c r="I1" s="69"/>
      <c r="J1" s="69"/>
      <c r="K1" s="69"/>
      <c r="L1" s="69"/>
      <c r="M1" s="69"/>
      <c r="N1" s="69"/>
      <c r="O1" s="69"/>
      <c r="P1" s="147"/>
      <c r="Q1" s="49"/>
      <c r="R1" s="69"/>
      <c r="S1" s="69"/>
      <c r="T1" s="69"/>
      <c r="U1" s="69"/>
      <c r="V1" s="69"/>
      <c r="W1" s="69"/>
      <c r="X1" s="69"/>
      <c r="Y1" s="69"/>
      <c r="Z1" s="69"/>
      <c r="AA1" s="69"/>
      <c r="AB1" s="69"/>
      <c r="AC1" s="69"/>
      <c r="AD1" s="69"/>
      <c r="AE1" s="69"/>
      <c r="AF1" s="147"/>
      <c r="AG1" s="49"/>
      <c r="AH1" s="69"/>
      <c r="AI1" s="69"/>
      <c r="AJ1" s="69"/>
      <c r="AK1" s="69"/>
      <c r="AL1" s="69"/>
      <c r="AM1" s="69"/>
      <c r="AN1" s="69"/>
      <c r="AO1" s="69"/>
      <c r="AP1" s="69"/>
      <c r="AQ1" s="69"/>
      <c r="AR1" s="69"/>
      <c r="AS1" s="69"/>
      <c r="AT1" s="69"/>
      <c r="AU1" s="69"/>
      <c r="AV1" s="147"/>
      <c r="AW1" s="126"/>
      <c r="AX1" s="127"/>
      <c r="AY1" s="127"/>
      <c r="AZ1" s="127"/>
      <c r="BA1" s="127"/>
      <c r="BB1" s="127"/>
      <c r="BC1" s="127"/>
      <c r="BD1" s="127"/>
      <c r="BE1" s="127"/>
      <c r="BF1" s="127"/>
      <c r="BG1" s="127"/>
      <c r="BH1" s="127"/>
      <c r="BI1" s="69"/>
      <c r="BJ1" s="69"/>
      <c r="BK1" s="69"/>
      <c r="BL1" s="147"/>
      <c r="BM1" s="126"/>
      <c r="BN1" s="126"/>
      <c r="BO1" s="128"/>
      <c r="BP1" s="128"/>
      <c r="BQ1" s="129"/>
      <c r="BR1" s="129"/>
      <c r="BS1" s="129"/>
      <c r="BT1" s="129"/>
      <c r="BU1" s="129"/>
      <c r="BV1" s="129"/>
      <c r="BW1" s="129"/>
      <c r="BX1" s="129"/>
      <c r="BY1" s="129"/>
      <c r="BZ1" s="129"/>
      <c r="CA1" s="129"/>
      <c r="CB1" s="129"/>
      <c r="CC1" s="129"/>
      <c r="CD1" s="157"/>
    </row>
    <row r="2" spans="1:82" ht="12.75" customHeight="1" x14ac:dyDescent="0.3">
      <c r="A2" s="9"/>
      <c r="B2" s="69"/>
      <c r="C2" s="69"/>
      <c r="D2" s="69"/>
      <c r="E2" s="69"/>
      <c r="F2" s="69"/>
      <c r="G2" s="79"/>
      <c r="H2" s="69"/>
      <c r="I2" s="69"/>
      <c r="J2" s="69"/>
      <c r="K2" s="69"/>
      <c r="L2" s="69"/>
      <c r="M2" s="69"/>
      <c r="N2" s="69"/>
      <c r="O2" s="69"/>
      <c r="P2" s="147"/>
      <c r="Q2" s="49"/>
      <c r="R2" s="69"/>
      <c r="S2" s="69"/>
      <c r="T2" s="69"/>
      <c r="U2" s="69"/>
      <c r="V2" s="69"/>
      <c r="W2" s="69"/>
      <c r="X2" s="69"/>
      <c r="Y2" s="69"/>
      <c r="Z2" s="69"/>
      <c r="AA2" s="69"/>
      <c r="AB2" s="69"/>
      <c r="AC2" s="69"/>
      <c r="AD2" s="69"/>
      <c r="AE2" s="69"/>
      <c r="AF2" s="147"/>
      <c r="AG2" s="49"/>
      <c r="AH2" s="69"/>
      <c r="AI2" s="69"/>
      <c r="AJ2" s="69"/>
      <c r="AK2" s="69"/>
      <c r="AL2" s="69"/>
      <c r="AM2" s="69"/>
      <c r="AN2" s="69"/>
      <c r="AO2" s="69"/>
      <c r="AP2" s="69"/>
      <c r="AQ2" s="69"/>
      <c r="AR2" s="69"/>
      <c r="AS2" s="69"/>
      <c r="AT2" s="69"/>
      <c r="AU2" s="69"/>
      <c r="AV2" s="147"/>
      <c r="AW2" s="126"/>
      <c r="AX2" s="127"/>
      <c r="AY2" s="127"/>
      <c r="AZ2" s="127"/>
      <c r="BA2" s="127"/>
      <c r="BB2" s="127"/>
      <c r="BC2" s="127"/>
      <c r="BD2" s="127"/>
      <c r="BE2" s="127"/>
      <c r="BF2" s="127"/>
      <c r="BG2" s="127"/>
      <c r="BH2" s="127"/>
      <c r="BI2" s="69"/>
      <c r="BJ2" s="69"/>
      <c r="BK2" s="69"/>
      <c r="BL2" s="147"/>
      <c r="BM2" s="126"/>
      <c r="BN2" s="126"/>
      <c r="BO2" s="128"/>
      <c r="BP2" s="128"/>
      <c r="BQ2" s="129"/>
      <c r="BR2" s="129"/>
      <c r="BS2" s="129"/>
      <c r="BT2" s="129"/>
      <c r="BU2" s="129"/>
      <c r="BV2" s="129"/>
      <c r="BW2" s="129"/>
      <c r="BX2" s="129"/>
      <c r="BY2" s="129"/>
      <c r="BZ2" s="129"/>
      <c r="CA2" s="129"/>
      <c r="CB2" s="129"/>
      <c r="CC2" s="129"/>
      <c r="CD2" s="157"/>
    </row>
    <row r="3" spans="1:82" x14ac:dyDescent="0.2">
      <c r="A3" s="13"/>
      <c r="B3" s="13"/>
      <c r="C3" s="13"/>
      <c r="D3" s="13"/>
      <c r="E3" s="13"/>
      <c r="F3" s="13"/>
      <c r="G3" s="16"/>
      <c r="H3" s="13"/>
      <c r="I3" s="13"/>
      <c r="J3" s="13"/>
      <c r="K3" s="13"/>
      <c r="L3" s="13"/>
      <c r="M3" s="13"/>
      <c r="N3" s="13"/>
      <c r="O3" s="13"/>
      <c r="P3" s="38"/>
      <c r="Q3" s="130"/>
      <c r="R3" s="13"/>
      <c r="S3" s="13"/>
      <c r="T3" s="13"/>
      <c r="U3" s="13"/>
      <c r="V3" s="13"/>
      <c r="W3" s="13"/>
      <c r="X3" s="13"/>
      <c r="Y3" s="13"/>
      <c r="Z3" s="13"/>
      <c r="AA3" s="13"/>
      <c r="AB3" s="13"/>
      <c r="AC3" s="13"/>
      <c r="AD3" s="13"/>
      <c r="AE3" s="13"/>
      <c r="AF3" s="38"/>
      <c r="AG3" s="130"/>
      <c r="AH3" s="13"/>
      <c r="AI3" s="13"/>
      <c r="AJ3" s="13"/>
      <c r="AK3" s="13"/>
      <c r="AL3" s="13"/>
      <c r="AM3" s="13"/>
      <c r="AN3" s="13"/>
      <c r="AO3" s="13"/>
      <c r="AP3" s="13"/>
      <c r="AQ3" s="13"/>
      <c r="AR3" s="13"/>
      <c r="AS3" s="13"/>
      <c r="AT3" s="13"/>
      <c r="AU3" s="13"/>
      <c r="AV3" s="38"/>
      <c r="AW3" s="39"/>
      <c r="AX3" s="39"/>
      <c r="AY3" s="39"/>
      <c r="AZ3" s="39"/>
      <c r="BA3" s="39"/>
      <c r="BB3" s="39"/>
      <c r="BC3" s="39"/>
      <c r="BD3" s="39"/>
      <c r="BE3" s="39"/>
      <c r="BF3" s="39"/>
      <c r="BG3" s="39"/>
      <c r="BH3" s="39"/>
      <c r="BI3" s="45"/>
      <c r="BJ3" s="45"/>
      <c r="BK3" s="45"/>
      <c r="BL3" s="153"/>
      <c r="BM3" s="39"/>
      <c r="BN3" s="39"/>
      <c r="BO3" s="57"/>
      <c r="BP3" s="57"/>
      <c r="BQ3" s="132"/>
      <c r="BR3" s="132"/>
      <c r="BS3" s="132"/>
      <c r="BT3" s="132"/>
      <c r="BU3" s="132"/>
      <c r="BV3" s="132"/>
      <c r="BW3" s="132"/>
      <c r="BX3" s="132"/>
      <c r="BY3" s="132"/>
      <c r="BZ3" s="132"/>
      <c r="CA3" s="132"/>
      <c r="CB3" s="132"/>
      <c r="CC3" s="132"/>
      <c r="CD3" s="158"/>
    </row>
    <row r="4" spans="1:82" ht="16.5" x14ac:dyDescent="0.25">
      <c r="A4" s="108" t="s">
        <v>481</v>
      </c>
      <c r="B4" s="108"/>
      <c r="C4" s="108"/>
      <c r="D4" s="108"/>
      <c r="E4" s="108"/>
      <c r="F4" s="108"/>
      <c r="G4" s="275"/>
      <c r="H4" s="108"/>
      <c r="I4" s="108"/>
      <c r="J4" s="108"/>
      <c r="K4" s="108"/>
      <c r="L4" s="108"/>
      <c r="M4" s="108"/>
      <c r="N4" s="108"/>
      <c r="O4" s="108"/>
      <c r="P4" s="148"/>
      <c r="Q4" s="54" t="s">
        <v>311</v>
      </c>
      <c r="R4" s="54"/>
      <c r="S4" s="54"/>
      <c r="T4" s="54"/>
      <c r="U4" s="54"/>
      <c r="V4" s="54"/>
      <c r="W4" s="54"/>
      <c r="X4" s="54"/>
      <c r="Y4" s="54"/>
      <c r="Z4" s="54"/>
      <c r="AA4" s="54"/>
      <c r="AB4" s="54"/>
      <c r="AC4" s="54"/>
      <c r="AD4" s="54"/>
      <c r="AE4" s="54"/>
      <c r="AF4" s="151"/>
      <c r="AG4" s="54" t="s">
        <v>482</v>
      </c>
      <c r="AH4" s="54"/>
      <c r="AI4" s="54"/>
      <c r="AJ4" s="54"/>
      <c r="AK4" s="54"/>
      <c r="AL4" s="54"/>
      <c r="AM4" s="54"/>
      <c r="AN4" s="54"/>
      <c r="AO4" s="54"/>
      <c r="AP4" s="54"/>
      <c r="AQ4" s="54"/>
      <c r="AR4" s="54"/>
      <c r="AS4" s="54"/>
      <c r="AT4" s="54"/>
      <c r="AU4" s="54"/>
      <c r="AV4" s="151"/>
      <c r="AW4" s="54" t="s">
        <v>483</v>
      </c>
      <c r="AX4" s="54"/>
      <c r="AY4" s="54"/>
      <c r="AZ4" s="54"/>
      <c r="BA4" s="54"/>
      <c r="BB4" s="54"/>
      <c r="BC4" s="54"/>
      <c r="BD4" s="54"/>
      <c r="BE4" s="54"/>
      <c r="BF4" s="54"/>
      <c r="BG4" s="54"/>
      <c r="BH4" s="54"/>
      <c r="BI4" s="54"/>
      <c r="BJ4" s="54"/>
      <c r="BK4" s="54"/>
      <c r="BL4" s="151"/>
      <c r="BM4" s="54" t="s">
        <v>11</v>
      </c>
      <c r="BN4" s="54" t="s">
        <v>484</v>
      </c>
      <c r="BO4" s="133"/>
      <c r="BP4" s="133"/>
      <c r="BQ4" s="134"/>
      <c r="BR4" s="134"/>
      <c r="BS4" s="134"/>
      <c r="BT4" s="134"/>
      <c r="BU4" s="134"/>
      <c r="BV4" s="134"/>
      <c r="BW4" s="134"/>
      <c r="BX4" s="134"/>
      <c r="BY4" s="134"/>
      <c r="BZ4" s="134"/>
      <c r="CA4" s="134"/>
      <c r="CB4" s="134"/>
      <c r="CC4" s="134"/>
      <c r="CD4" s="159"/>
    </row>
    <row r="5" spans="1:82" ht="16.5" x14ac:dyDescent="0.25">
      <c r="A5" s="272" t="s">
        <v>242</v>
      </c>
      <c r="B5" s="146"/>
      <c r="C5" s="146"/>
      <c r="D5" s="146"/>
      <c r="E5" s="146"/>
      <c r="F5" s="146"/>
      <c r="G5" s="146"/>
      <c r="H5" s="146"/>
      <c r="I5" s="146"/>
      <c r="J5" s="146"/>
      <c r="K5" s="146"/>
      <c r="L5" s="146"/>
      <c r="M5" s="146"/>
      <c r="N5" s="146"/>
      <c r="O5" s="146"/>
      <c r="P5" s="149"/>
      <c r="Q5" s="272"/>
      <c r="R5" s="106"/>
      <c r="S5" s="106"/>
      <c r="T5" s="106"/>
      <c r="U5" s="106"/>
      <c r="V5" s="106"/>
      <c r="W5" s="106"/>
      <c r="X5" s="106"/>
      <c r="Y5" s="106"/>
      <c r="Z5" s="106"/>
      <c r="AA5" s="106"/>
      <c r="AB5" s="106"/>
      <c r="AC5" s="106"/>
      <c r="AD5" s="106"/>
      <c r="AE5" s="106"/>
      <c r="AF5" s="152"/>
      <c r="AG5" s="272" t="s">
        <v>242</v>
      </c>
      <c r="AH5" s="106"/>
      <c r="AI5" s="106"/>
      <c r="AJ5" s="106"/>
      <c r="AK5" s="106"/>
      <c r="AL5" s="106"/>
      <c r="AM5" s="106"/>
      <c r="AN5" s="106"/>
      <c r="AO5" s="106"/>
      <c r="AP5" s="106"/>
      <c r="AQ5" s="106"/>
      <c r="AR5" s="106"/>
      <c r="AS5" s="106"/>
      <c r="AT5" s="106"/>
      <c r="AU5" s="106"/>
      <c r="AV5" s="152"/>
      <c r="AW5" s="272" t="s">
        <v>242</v>
      </c>
      <c r="AX5" s="108"/>
      <c r="AY5" s="108"/>
      <c r="AZ5" s="108"/>
      <c r="BA5" s="108"/>
      <c r="BB5" s="108"/>
      <c r="BC5" s="108"/>
      <c r="BD5" s="108"/>
      <c r="BE5" s="108"/>
      <c r="BF5" s="108"/>
      <c r="BG5" s="108"/>
      <c r="BH5" s="108"/>
      <c r="BI5" s="108"/>
      <c r="BJ5" s="108"/>
      <c r="BK5" s="108"/>
      <c r="BL5" s="148"/>
      <c r="BM5" s="106"/>
      <c r="BN5" s="272" t="s">
        <v>242</v>
      </c>
      <c r="BO5" s="135"/>
      <c r="BP5" s="135"/>
      <c r="BQ5" s="136"/>
      <c r="BR5" s="136"/>
      <c r="BS5" s="136"/>
      <c r="BT5" s="136"/>
      <c r="BU5" s="136"/>
      <c r="BV5" s="136"/>
      <c r="BW5" s="136"/>
      <c r="BX5" s="136"/>
      <c r="BY5" s="136"/>
      <c r="BZ5" s="136"/>
      <c r="CA5" s="136"/>
      <c r="CB5" s="136"/>
      <c r="CC5" s="136"/>
      <c r="CD5" s="160"/>
    </row>
    <row r="6" spans="1:82" x14ac:dyDescent="0.2">
      <c r="A6" s="68" t="s">
        <v>573</v>
      </c>
      <c r="B6" s="13"/>
      <c r="C6" s="13"/>
      <c r="D6" s="13"/>
      <c r="E6" s="13"/>
      <c r="F6" s="13"/>
      <c r="G6" s="13"/>
      <c r="H6" s="13"/>
      <c r="I6" s="13"/>
      <c r="J6" s="13"/>
      <c r="K6" s="13"/>
      <c r="L6" s="13"/>
      <c r="M6" s="13"/>
      <c r="N6" s="13"/>
      <c r="O6" s="13"/>
      <c r="P6" s="38"/>
      <c r="Q6" s="68" t="s">
        <v>573</v>
      </c>
      <c r="R6" s="13"/>
      <c r="S6" s="13"/>
      <c r="T6" s="13"/>
      <c r="U6" s="13"/>
      <c r="V6" s="13"/>
      <c r="W6" s="13"/>
      <c r="X6" s="13"/>
      <c r="Y6" s="13"/>
      <c r="Z6" s="13"/>
      <c r="AA6" s="13"/>
      <c r="AB6" s="13"/>
      <c r="AC6" s="13"/>
      <c r="AD6" s="13"/>
      <c r="AE6" s="13"/>
      <c r="AF6" s="38"/>
      <c r="AG6" s="68" t="s">
        <v>573</v>
      </c>
      <c r="AH6" s="13"/>
      <c r="AI6" s="13"/>
      <c r="AJ6" s="13"/>
      <c r="AK6" s="13"/>
      <c r="AL6" s="13"/>
      <c r="AM6" s="13"/>
      <c r="AN6" s="13"/>
      <c r="AO6" s="13"/>
      <c r="AP6" s="13"/>
      <c r="AQ6" s="13"/>
      <c r="AR6" s="13"/>
      <c r="AS6" s="13"/>
      <c r="AT6" s="13"/>
      <c r="AU6" s="13"/>
      <c r="AV6" s="38"/>
      <c r="AW6" s="68" t="s">
        <v>573</v>
      </c>
      <c r="AX6" s="39"/>
      <c r="AY6" s="39"/>
      <c r="AZ6" s="39"/>
      <c r="BA6" s="39"/>
      <c r="BB6" s="39"/>
      <c r="BC6" s="39"/>
      <c r="BD6" s="39"/>
      <c r="BE6" s="39"/>
      <c r="BF6" s="39"/>
      <c r="BG6" s="39"/>
      <c r="BH6" s="39"/>
      <c r="BI6" s="45"/>
      <c r="BJ6" s="45"/>
      <c r="BK6" s="45"/>
      <c r="BL6" s="153"/>
      <c r="BM6" s="137"/>
      <c r="BN6" s="68" t="s">
        <v>573</v>
      </c>
      <c r="BO6" s="57"/>
      <c r="BP6" s="57"/>
      <c r="BQ6" s="132"/>
      <c r="BR6" s="132"/>
      <c r="BS6" s="132"/>
      <c r="BT6" s="132"/>
      <c r="BU6" s="132"/>
      <c r="BV6" s="132"/>
      <c r="BW6" s="132"/>
      <c r="BX6" s="132"/>
      <c r="BY6" s="132"/>
      <c r="BZ6" s="132"/>
      <c r="CA6" s="132"/>
      <c r="CB6" s="132"/>
      <c r="CC6" s="132"/>
      <c r="CD6" s="158"/>
    </row>
    <row r="7" spans="1:82" x14ac:dyDescent="0.2">
      <c r="A7" s="68" t="s">
        <v>576</v>
      </c>
      <c r="B7" s="13"/>
      <c r="C7" s="13"/>
      <c r="D7" s="13"/>
      <c r="E7" s="13"/>
      <c r="F7" s="13"/>
      <c r="G7" s="13"/>
      <c r="H7" s="13"/>
      <c r="I7" s="13"/>
      <c r="J7" s="13"/>
      <c r="K7" s="13"/>
      <c r="L7" s="13"/>
      <c r="M7" s="13"/>
      <c r="N7" s="13"/>
      <c r="O7" s="13"/>
      <c r="P7" s="38"/>
      <c r="Q7" s="68" t="s">
        <v>577</v>
      </c>
      <c r="R7" s="13"/>
      <c r="S7" s="13"/>
      <c r="T7" s="13"/>
      <c r="U7" s="13"/>
      <c r="V7" s="13"/>
      <c r="W7" s="13"/>
      <c r="X7" s="13"/>
      <c r="Y7" s="13"/>
      <c r="Z7" s="13"/>
      <c r="AA7" s="13"/>
      <c r="AB7" s="13"/>
      <c r="AC7" s="13"/>
      <c r="AD7" s="13"/>
      <c r="AE7" s="13"/>
      <c r="AF7" s="38"/>
      <c r="AG7" s="68" t="s">
        <v>375</v>
      </c>
      <c r="AH7" s="13"/>
      <c r="AI7" s="13"/>
      <c r="AJ7" s="13"/>
      <c r="AK7" s="13"/>
      <c r="AL7" s="13"/>
      <c r="AM7" s="13"/>
      <c r="AN7" s="13"/>
      <c r="AO7" s="13"/>
      <c r="AP7" s="13"/>
      <c r="AQ7" s="13"/>
      <c r="AR7" s="13"/>
      <c r="AS7" s="13"/>
      <c r="AT7" s="13"/>
      <c r="AU7" s="13"/>
      <c r="AV7" s="38"/>
      <c r="AW7" s="68" t="s">
        <v>252</v>
      </c>
      <c r="AX7" s="39"/>
      <c r="AY7" s="39"/>
      <c r="AZ7" s="39"/>
      <c r="BA7" s="39"/>
      <c r="BB7" s="39"/>
      <c r="BC7" s="39"/>
      <c r="BD7" s="39"/>
      <c r="BE7" s="39"/>
      <c r="BF7" s="39"/>
      <c r="BG7" s="39"/>
      <c r="BH7" s="39"/>
      <c r="BI7" s="45"/>
      <c r="BJ7" s="45"/>
      <c r="BK7" s="45"/>
      <c r="BL7" s="153"/>
      <c r="BM7" s="39" t="s">
        <v>14</v>
      </c>
      <c r="BN7" s="68" t="s">
        <v>578</v>
      </c>
      <c r="BO7" s="57"/>
      <c r="BP7" s="57"/>
      <c r="BQ7" s="132"/>
      <c r="BR7" s="132"/>
      <c r="BS7" s="132"/>
      <c r="BT7" s="132"/>
      <c r="BU7" s="132"/>
      <c r="BV7" s="132"/>
      <c r="BW7" s="132"/>
      <c r="BX7" s="132"/>
      <c r="BY7" s="132"/>
      <c r="BZ7" s="132"/>
      <c r="CA7" s="132"/>
      <c r="CB7" s="132"/>
      <c r="CC7" s="132"/>
      <c r="CD7" s="158"/>
    </row>
    <row r="8" spans="1:82" x14ac:dyDescent="0.2">
      <c r="A8" s="68" t="s">
        <v>595</v>
      </c>
      <c r="B8" s="138"/>
      <c r="C8" s="13"/>
      <c r="D8" s="13"/>
      <c r="E8" s="13"/>
      <c r="F8" s="13"/>
      <c r="G8" s="13"/>
      <c r="H8" s="13"/>
      <c r="I8" s="13"/>
      <c r="J8" s="13"/>
      <c r="K8" s="13"/>
      <c r="L8" s="13"/>
      <c r="M8" s="13"/>
      <c r="N8" s="13"/>
      <c r="O8" s="13"/>
      <c r="P8" s="38"/>
      <c r="Q8" s="68" t="s">
        <v>596</v>
      </c>
      <c r="R8" s="13"/>
      <c r="S8" s="13"/>
      <c r="T8" s="13"/>
      <c r="U8" s="13"/>
      <c r="V8" s="13"/>
      <c r="W8" s="13"/>
      <c r="X8" s="13"/>
      <c r="Y8" s="13"/>
      <c r="Z8" s="13"/>
      <c r="AA8" s="13"/>
      <c r="AB8" s="13"/>
      <c r="AC8" s="13"/>
      <c r="AD8" s="13"/>
      <c r="AE8" s="13"/>
      <c r="AF8" s="38"/>
      <c r="AG8" s="68" t="s">
        <v>576</v>
      </c>
      <c r="AH8" s="13"/>
      <c r="AI8" s="13"/>
      <c r="AJ8" s="13"/>
      <c r="AK8" s="13"/>
      <c r="AL8" s="13"/>
      <c r="AM8" s="13"/>
      <c r="AN8" s="13"/>
      <c r="AO8" s="13"/>
      <c r="AP8" s="13"/>
      <c r="AQ8" s="13"/>
      <c r="AR8" s="13"/>
      <c r="AS8" s="13"/>
      <c r="AT8" s="13"/>
      <c r="AU8" s="13"/>
      <c r="AV8" s="38"/>
      <c r="AW8" s="68" t="s">
        <v>576</v>
      </c>
      <c r="AX8" s="39"/>
      <c r="AY8" s="39"/>
      <c r="AZ8" s="39"/>
      <c r="BA8" s="39"/>
      <c r="BB8" s="39"/>
      <c r="BC8" s="39"/>
      <c r="BD8" s="39"/>
      <c r="BE8" s="39"/>
      <c r="BF8" s="39"/>
      <c r="BG8" s="39"/>
      <c r="BH8" s="39"/>
      <c r="BI8" s="45"/>
      <c r="BJ8" s="45"/>
      <c r="BK8" s="45"/>
      <c r="BL8" s="153"/>
      <c r="BM8" s="39"/>
      <c r="BN8" s="68" t="s">
        <v>576</v>
      </c>
      <c r="BO8" s="57"/>
      <c r="BP8" s="57"/>
      <c r="BQ8" s="132"/>
      <c r="BR8" s="132"/>
      <c r="BS8" s="132"/>
      <c r="BT8" s="132"/>
      <c r="BU8" s="132"/>
      <c r="BV8" s="132"/>
      <c r="BW8" s="132"/>
      <c r="BX8" s="132"/>
      <c r="BY8" s="132"/>
      <c r="BZ8" s="132"/>
      <c r="CA8" s="132"/>
      <c r="CB8" s="132"/>
      <c r="CC8" s="132"/>
      <c r="CD8" s="158"/>
    </row>
    <row r="9" spans="1:82" x14ac:dyDescent="0.2">
      <c r="A9" s="13"/>
      <c r="B9" s="8"/>
      <c r="C9" s="8"/>
      <c r="D9" s="8"/>
      <c r="E9" s="8"/>
      <c r="F9" s="8"/>
      <c r="G9" s="8"/>
      <c r="H9" s="8"/>
      <c r="I9" s="8"/>
      <c r="J9" s="8"/>
      <c r="K9" s="8"/>
      <c r="L9" s="8"/>
      <c r="M9" s="8"/>
      <c r="N9" s="8"/>
      <c r="O9" s="8"/>
      <c r="P9" s="15"/>
      <c r="Q9" s="8"/>
      <c r="R9" s="138"/>
      <c r="S9" s="8"/>
      <c r="T9" s="8"/>
      <c r="U9" s="8"/>
      <c r="V9" s="8"/>
      <c r="W9" s="8"/>
      <c r="X9" s="8"/>
      <c r="Y9" s="8"/>
      <c r="Z9" s="8"/>
      <c r="AA9" s="8"/>
      <c r="AB9" s="8"/>
      <c r="AC9" s="8"/>
      <c r="AD9" s="8"/>
      <c r="AE9" s="8"/>
      <c r="AF9" s="15"/>
      <c r="AG9" s="68" t="s">
        <v>595</v>
      </c>
      <c r="AH9" s="8"/>
      <c r="AI9" s="8"/>
      <c r="AJ9" s="8"/>
      <c r="AK9" s="8"/>
      <c r="AL9" s="8"/>
      <c r="AM9" s="8"/>
      <c r="AN9" s="8"/>
      <c r="AO9" s="8"/>
      <c r="AP9" s="8"/>
      <c r="AQ9" s="8"/>
      <c r="AR9" s="8"/>
      <c r="AS9" s="8"/>
      <c r="AT9" s="8"/>
      <c r="AU9" s="8"/>
      <c r="AV9" s="15"/>
      <c r="AW9" s="68" t="s">
        <v>595</v>
      </c>
      <c r="AX9" s="110"/>
      <c r="AY9" s="110"/>
      <c r="AZ9" s="110"/>
      <c r="BA9" s="110"/>
      <c r="BB9" s="110"/>
      <c r="BC9" s="110"/>
      <c r="BD9" s="110"/>
      <c r="BE9" s="110"/>
      <c r="BF9" s="110"/>
      <c r="BG9" s="110"/>
      <c r="BH9" s="110"/>
      <c r="BI9" s="45"/>
      <c r="BJ9" s="45"/>
      <c r="BK9" s="45"/>
      <c r="BL9" s="153"/>
      <c r="BM9" s="110"/>
      <c r="BN9" s="68" t="s">
        <v>595</v>
      </c>
      <c r="BO9" s="57"/>
      <c r="BP9" s="57"/>
      <c r="BQ9" s="132"/>
      <c r="BR9" s="132"/>
      <c r="BS9" s="132"/>
      <c r="BT9" s="132"/>
      <c r="BU9" s="132"/>
      <c r="BV9" s="132"/>
      <c r="BW9" s="132"/>
      <c r="BX9" s="132"/>
      <c r="BY9" s="132"/>
      <c r="BZ9" s="132"/>
      <c r="CA9" s="132"/>
      <c r="CB9" s="132"/>
      <c r="CC9" s="132"/>
      <c r="CD9" s="158"/>
    </row>
    <row r="10" spans="1:82" x14ac:dyDescent="0.2">
      <c r="B10" s="13"/>
      <c r="C10" s="13"/>
      <c r="D10" s="13"/>
      <c r="E10" s="13"/>
      <c r="F10" s="13"/>
      <c r="G10" s="13"/>
      <c r="H10" s="13"/>
      <c r="I10" s="13"/>
      <c r="J10" s="13"/>
      <c r="K10" s="13"/>
      <c r="L10" s="13"/>
      <c r="M10" s="13"/>
      <c r="N10" s="13"/>
      <c r="O10" s="13"/>
      <c r="P10" s="38"/>
      <c r="R10" s="13"/>
      <c r="S10" s="13"/>
      <c r="T10" s="13"/>
      <c r="U10" s="13"/>
      <c r="V10" s="13"/>
      <c r="W10" s="13"/>
      <c r="X10" s="13"/>
      <c r="Y10" s="13"/>
      <c r="Z10" s="13"/>
      <c r="AA10" s="13"/>
      <c r="AB10" s="13"/>
      <c r="AC10" s="13"/>
      <c r="AD10" s="13"/>
      <c r="AE10" s="13"/>
      <c r="AF10" s="38"/>
      <c r="AG10" s="140"/>
      <c r="AH10" s="13"/>
      <c r="AI10" s="13"/>
      <c r="AJ10" s="13"/>
      <c r="AK10" s="13"/>
      <c r="AL10" s="13"/>
      <c r="AM10" s="13"/>
      <c r="AN10" s="13"/>
      <c r="AO10" s="13"/>
      <c r="AP10" s="13"/>
      <c r="AQ10" s="13"/>
      <c r="AR10" s="13"/>
      <c r="AS10" s="13"/>
      <c r="AT10" s="13"/>
      <c r="AU10" s="13"/>
      <c r="AV10" s="38"/>
      <c r="AX10" s="39"/>
      <c r="AY10" s="39"/>
      <c r="AZ10" s="39"/>
      <c r="BA10" s="39"/>
      <c r="BB10" s="39"/>
      <c r="BC10" s="39"/>
      <c r="BD10" s="39"/>
      <c r="BE10" s="39"/>
      <c r="BF10" s="39"/>
      <c r="BG10" s="39"/>
      <c r="BH10" s="39"/>
      <c r="BI10" s="45"/>
      <c r="BJ10" s="45"/>
      <c r="BK10" s="45"/>
      <c r="BL10" s="153"/>
      <c r="BM10" s="140" t="s">
        <v>15</v>
      </c>
      <c r="BO10" s="139"/>
      <c r="BP10" s="139"/>
      <c r="BQ10" s="86"/>
      <c r="BR10" s="86"/>
      <c r="BS10" s="86"/>
      <c r="BT10" s="86"/>
      <c r="BU10" s="86"/>
      <c r="BV10" s="86"/>
      <c r="BW10" s="86"/>
      <c r="BX10" s="86"/>
      <c r="BY10" s="86"/>
      <c r="BZ10" s="86"/>
      <c r="CA10" s="86"/>
      <c r="CB10" s="86"/>
      <c r="CC10" s="86"/>
      <c r="CD10" s="161"/>
    </row>
    <row r="11" spans="1:82" x14ac:dyDescent="0.2">
      <c r="A11" s="59" t="s">
        <v>237</v>
      </c>
      <c r="B11" s="13"/>
      <c r="C11" s="13"/>
      <c r="D11" s="13"/>
      <c r="E11" s="13"/>
      <c r="F11" s="13"/>
      <c r="G11" s="13"/>
      <c r="H11" s="13"/>
      <c r="I11" s="13"/>
      <c r="J11" s="13"/>
      <c r="K11" s="13"/>
      <c r="L11" s="13"/>
      <c r="M11" s="13"/>
      <c r="N11" s="13"/>
      <c r="O11" s="13"/>
      <c r="P11" s="38"/>
      <c r="Q11" s="59" t="s">
        <v>259</v>
      </c>
      <c r="R11" s="13"/>
      <c r="S11" s="13"/>
      <c r="T11" s="13"/>
      <c r="U11" s="13"/>
      <c r="V11" s="13"/>
      <c r="W11" s="13"/>
      <c r="X11" s="13"/>
      <c r="Y11" s="13"/>
      <c r="Z11" s="13"/>
      <c r="AA11" s="13"/>
      <c r="AB11" s="13"/>
      <c r="AC11" s="13"/>
      <c r="AD11" s="13"/>
      <c r="AE11" s="13"/>
      <c r="AF11" s="38"/>
      <c r="AG11" s="140"/>
      <c r="AH11" s="13"/>
      <c r="AI11" s="13"/>
      <c r="AJ11" s="13"/>
      <c r="AK11" s="13"/>
      <c r="AL11" s="13"/>
      <c r="AM11" s="13"/>
      <c r="AN11" s="13"/>
      <c r="AO11" s="13"/>
      <c r="AP11" s="13"/>
      <c r="AQ11" s="13"/>
      <c r="AR11" s="13"/>
      <c r="AS11" s="13"/>
      <c r="AT11" s="13"/>
      <c r="AU11" s="13"/>
      <c r="AV11" s="38"/>
      <c r="AW11" s="140"/>
      <c r="BN11" s="140"/>
      <c r="BO11" s="139"/>
      <c r="BP11" s="139"/>
      <c r="BQ11" s="86"/>
      <c r="BR11" s="86"/>
      <c r="BS11" s="86"/>
      <c r="BT11" s="86"/>
      <c r="BU11" s="86"/>
      <c r="BV11" s="86"/>
      <c r="BW11" s="86"/>
      <c r="BX11" s="86"/>
      <c r="BY11" s="86"/>
      <c r="BZ11" s="86"/>
      <c r="CA11" s="86"/>
      <c r="CB11" s="86"/>
      <c r="CC11" s="86"/>
      <c r="CD11" s="161"/>
    </row>
    <row r="12" spans="1:82" x14ac:dyDescent="0.2">
      <c r="B12" s="13"/>
      <c r="C12" s="13"/>
      <c r="D12" s="13"/>
      <c r="E12" s="13"/>
      <c r="F12" s="13"/>
      <c r="G12" s="13"/>
      <c r="H12" s="13"/>
      <c r="I12" s="13"/>
      <c r="J12" s="13"/>
      <c r="K12" s="13"/>
      <c r="L12" s="13"/>
      <c r="M12" s="13"/>
      <c r="N12" s="13"/>
      <c r="O12" s="13"/>
      <c r="P12" s="38"/>
      <c r="Q12" s="13"/>
      <c r="R12" s="13"/>
      <c r="S12" s="13"/>
      <c r="T12" s="13"/>
      <c r="U12" s="13"/>
      <c r="V12" s="13"/>
      <c r="W12" s="13"/>
      <c r="X12" s="13"/>
      <c r="Y12" s="13"/>
      <c r="Z12" s="13"/>
      <c r="AA12" s="13"/>
      <c r="AB12" s="13"/>
      <c r="AC12" s="13"/>
      <c r="AD12" s="13"/>
      <c r="AE12" s="13"/>
      <c r="AF12" s="38"/>
      <c r="AG12" s="8"/>
      <c r="AH12" s="13"/>
      <c r="AI12" s="13"/>
      <c r="AJ12" s="13"/>
      <c r="AK12" s="13"/>
      <c r="AL12" s="13"/>
      <c r="AM12" s="13"/>
      <c r="AN12" s="13"/>
      <c r="AO12" s="13"/>
      <c r="AP12" s="13"/>
      <c r="AQ12" s="13"/>
      <c r="AR12" s="13"/>
      <c r="AS12" s="13"/>
      <c r="AT12" s="13"/>
      <c r="AU12" s="13"/>
      <c r="AV12" s="38"/>
      <c r="AX12" s="39"/>
      <c r="AY12" s="39"/>
      <c r="AZ12" s="39"/>
      <c r="BA12" s="39"/>
      <c r="BB12" s="39"/>
      <c r="BC12" s="39"/>
      <c r="BD12" s="39"/>
      <c r="BE12" s="39"/>
      <c r="BF12" s="39"/>
      <c r="BG12" s="39"/>
      <c r="BH12" s="39"/>
      <c r="BI12" s="13"/>
      <c r="BJ12" s="13"/>
      <c r="BK12" s="13"/>
      <c r="BL12" s="38"/>
      <c r="BM12" s="39"/>
      <c r="BO12" s="139"/>
      <c r="BP12" s="139"/>
      <c r="BQ12" s="86"/>
      <c r="BR12" s="86"/>
      <c r="BS12" s="86"/>
      <c r="BT12" s="86"/>
      <c r="BU12" s="86"/>
      <c r="BV12" s="86"/>
      <c r="BW12" s="86"/>
      <c r="BX12" s="86"/>
      <c r="BY12" s="86"/>
      <c r="BZ12" s="86"/>
      <c r="CA12" s="86"/>
      <c r="CB12" s="86"/>
      <c r="CC12" s="86"/>
      <c r="CD12" s="161"/>
    </row>
    <row r="13" spans="1:82" x14ac:dyDescent="0.2">
      <c r="B13" s="13"/>
      <c r="C13" s="13"/>
      <c r="D13" s="13"/>
      <c r="E13" s="13"/>
      <c r="F13" s="13"/>
      <c r="G13" s="13"/>
      <c r="H13" s="13"/>
      <c r="I13" s="13"/>
      <c r="J13" s="13"/>
      <c r="K13" s="13"/>
      <c r="L13" s="13"/>
      <c r="M13" s="13"/>
      <c r="N13" s="13"/>
      <c r="O13" s="13"/>
      <c r="P13" s="38"/>
      <c r="Q13" s="13"/>
      <c r="R13" s="13"/>
      <c r="S13" s="13"/>
      <c r="T13" s="13"/>
      <c r="U13" s="13"/>
      <c r="V13" s="13"/>
      <c r="W13" s="13"/>
      <c r="X13" s="13"/>
      <c r="Y13" s="13"/>
      <c r="Z13" s="13"/>
      <c r="AA13" s="13"/>
      <c r="AB13" s="13"/>
      <c r="AC13" s="13"/>
      <c r="AD13" s="13"/>
      <c r="AE13" s="13"/>
      <c r="AF13" s="38"/>
      <c r="AG13" s="13"/>
      <c r="AH13" s="13"/>
      <c r="AI13" s="13"/>
      <c r="AJ13" s="13"/>
      <c r="AK13" s="13"/>
      <c r="AL13" s="13"/>
      <c r="AM13" s="13"/>
      <c r="AN13" s="13"/>
      <c r="AO13" s="13"/>
      <c r="AP13" s="13"/>
      <c r="AQ13" s="13"/>
      <c r="AR13" s="13"/>
      <c r="AS13" s="13"/>
      <c r="AT13" s="13"/>
      <c r="AU13" s="13"/>
      <c r="AV13" s="38"/>
      <c r="AW13" s="39"/>
      <c r="AX13" s="39"/>
      <c r="AY13" s="39"/>
      <c r="AZ13" s="39"/>
      <c r="BA13" s="39"/>
      <c r="BB13" s="39"/>
      <c r="BC13" s="39"/>
      <c r="BD13" s="39"/>
      <c r="BE13" s="39"/>
      <c r="BF13" s="39"/>
      <c r="BG13" s="39"/>
      <c r="BH13" s="39"/>
      <c r="BI13" s="13"/>
      <c r="BJ13" s="13"/>
      <c r="BK13" s="13"/>
      <c r="BL13" s="38"/>
      <c r="BM13" s="39"/>
      <c r="BN13" s="131"/>
      <c r="BO13" s="139"/>
      <c r="BP13" s="139"/>
      <c r="BQ13" s="86"/>
      <c r="BR13" s="86"/>
      <c r="BS13" s="86"/>
      <c r="BT13" s="86"/>
      <c r="BU13" s="86"/>
      <c r="BV13" s="86"/>
      <c r="BW13" s="86"/>
      <c r="BX13" s="86"/>
      <c r="BY13" s="86"/>
      <c r="BZ13" s="86"/>
      <c r="CA13" s="86"/>
      <c r="CB13" s="86"/>
      <c r="CC13" s="86"/>
      <c r="CD13" s="161"/>
    </row>
    <row r="14" spans="1:82" x14ac:dyDescent="0.2">
      <c r="A14" s="141"/>
      <c r="B14" s="141"/>
      <c r="C14" s="141"/>
      <c r="D14" s="141"/>
      <c r="E14" s="141"/>
      <c r="F14" s="141"/>
      <c r="G14" s="141"/>
      <c r="H14" s="141"/>
      <c r="I14" s="141"/>
      <c r="J14" s="141"/>
      <c r="K14" s="141"/>
      <c r="L14" s="141"/>
      <c r="M14" s="141"/>
      <c r="N14" s="141"/>
      <c r="O14" s="141"/>
      <c r="P14" s="150"/>
      <c r="Q14" s="141"/>
      <c r="R14" s="141"/>
      <c r="S14" s="141"/>
      <c r="T14" s="141"/>
      <c r="U14" s="141"/>
      <c r="V14" s="141"/>
      <c r="W14" s="141"/>
      <c r="X14" s="141"/>
      <c r="Y14" s="141"/>
      <c r="Z14" s="141"/>
      <c r="AA14" s="141"/>
      <c r="AB14" s="141"/>
      <c r="AC14" s="141"/>
      <c r="AD14" s="141"/>
      <c r="AE14" s="141"/>
      <c r="AF14" s="150"/>
      <c r="AG14" s="141"/>
      <c r="AH14" s="141"/>
      <c r="AI14" s="141"/>
      <c r="AJ14" s="141"/>
      <c r="AK14" s="141"/>
      <c r="AL14" s="141"/>
      <c r="AM14" s="141"/>
      <c r="AN14" s="141"/>
      <c r="AO14" s="141"/>
      <c r="AP14" s="141"/>
      <c r="AQ14" s="141"/>
      <c r="AR14" s="141"/>
      <c r="AS14" s="141"/>
      <c r="AT14" s="141"/>
      <c r="AU14" s="141"/>
      <c r="AV14" s="150"/>
      <c r="AW14" s="142"/>
      <c r="AX14" s="142"/>
      <c r="AY14" s="142"/>
      <c r="AZ14" s="142"/>
      <c r="BA14" s="142"/>
      <c r="BB14" s="142"/>
      <c r="BC14" s="142"/>
      <c r="BD14" s="142"/>
      <c r="BE14" s="142"/>
      <c r="BF14" s="142"/>
      <c r="BG14" s="142"/>
      <c r="BH14" s="142"/>
      <c r="BI14" s="141"/>
      <c r="BJ14" s="141"/>
      <c r="BK14" s="141"/>
      <c r="BL14" s="150"/>
      <c r="BM14" s="142"/>
      <c r="BN14" s="143"/>
      <c r="BO14" s="144"/>
      <c r="BP14" s="144"/>
      <c r="BQ14" s="145"/>
      <c r="BR14" s="145"/>
      <c r="BS14" s="145"/>
      <c r="BT14" s="145"/>
      <c r="BU14" s="145"/>
      <c r="BV14" s="145"/>
      <c r="BW14" s="145"/>
      <c r="BX14" s="145"/>
      <c r="BY14" s="145"/>
      <c r="BZ14" s="145"/>
      <c r="CA14" s="145"/>
      <c r="CB14" s="145"/>
      <c r="CC14" s="145"/>
      <c r="CD14" s="162"/>
    </row>
    <row r="15" spans="1:82" x14ac:dyDescent="0.2">
      <c r="A15" s="116"/>
      <c r="B15" s="117"/>
      <c r="C15" s="117"/>
      <c r="D15" s="117"/>
      <c r="E15" s="117"/>
      <c r="F15" s="117"/>
      <c r="G15" s="117"/>
      <c r="H15" s="117"/>
      <c r="I15" s="117"/>
      <c r="J15" s="117"/>
      <c r="K15" s="117"/>
      <c r="L15" s="117"/>
      <c r="M15" s="113"/>
      <c r="N15" s="113"/>
      <c r="O15" s="113"/>
      <c r="P15" s="114" t="s">
        <v>98</v>
      </c>
      <c r="Q15" s="116"/>
      <c r="R15" s="117"/>
      <c r="S15" s="117"/>
      <c r="T15" s="117"/>
      <c r="U15" s="117"/>
      <c r="V15" s="117"/>
      <c r="W15" s="117"/>
      <c r="X15" s="117"/>
      <c r="Y15" s="117"/>
      <c r="Z15" s="117"/>
      <c r="AA15" s="117"/>
      <c r="AB15" s="117"/>
      <c r="AC15" s="113"/>
      <c r="AD15" s="113"/>
      <c r="AE15" s="113"/>
      <c r="AF15" s="114" t="s">
        <v>98</v>
      </c>
      <c r="AG15" s="116"/>
      <c r="AH15" s="117"/>
      <c r="AI15" s="117"/>
      <c r="AJ15" s="117"/>
      <c r="AK15" s="117"/>
      <c r="AL15" s="117"/>
      <c r="AM15" s="117"/>
      <c r="AN15" s="117"/>
      <c r="AO15" s="117"/>
      <c r="AP15" s="117"/>
      <c r="AQ15" s="117"/>
      <c r="AR15" s="117"/>
      <c r="AS15" s="113"/>
      <c r="AT15" s="113"/>
      <c r="AU15" s="113"/>
      <c r="AV15" s="114" t="s">
        <v>99</v>
      </c>
      <c r="AW15" s="116"/>
      <c r="AX15" s="117"/>
      <c r="AY15" s="117"/>
      <c r="AZ15" s="117"/>
      <c r="BA15" s="117"/>
      <c r="BB15" s="117"/>
      <c r="BC15" s="117"/>
      <c r="BD15" s="117"/>
      <c r="BE15" s="117"/>
      <c r="BF15" s="117"/>
      <c r="BG15" s="117"/>
      <c r="BH15" s="117"/>
      <c r="BI15" s="113"/>
      <c r="BJ15" s="113"/>
      <c r="BK15" s="113"/>
      <c r="BL15" s="120" t="s">
        <v>99</v>
      </c>
      <c r="BM15" s="116"/>
      <c r="BN15" s="116"/>
      <c r="BO15" s="117" t="s">
        <v>571</v>
      </c>
      <c r="BP15" s="117"/>
      <c r="BQ15" s="117"/>
      <c r="BR15" s="117"/>
      <c r="BS15" s="117"/>
      <c r="BT15" s="117"/>
      <c r="BU15" s="117"/>
      <c r="BV15" s="117"/>
      <c r="BW15" s="117"/>
      <c r="BX15" s="117"/>
      <c r="BY15" s="117"/>
      <c r="BZ15" s="117"/>
      <c r="CA15" s="113"/>
      <c r="CB15" s="113"/>
      <c r="CC15" s="113"/>
      <c r="CD15" s="120" t="s">
        <v>99</v>
      </c>
    </row>
    <row r="16" spans="1:82" x14ac:dyDescent="0.2">
      <c r="A16" s="7"/>
      <c r="B16" s="7"/>
      <c r="C16" s="7"/>
      <c r="D16" s="7"/>
      <c r="CD16" s="94"/>
    </row>
    <row r="17" spans="2:82" x14ac:dyDescent="0.2">
      <c r="B17" s="64" t="s">
        <v>238</v>
      </c>
      <c r="C17" s="262" t="s">
        <v>35</v>
      </c>
      <c r="D17" s="262" t="s">
        <v>121</v>
      </c>
      <c r="E17" s="262" t="s">
        <v>123</v>
      </c>
      <c r="F17" s="262" t="s">
        <v>36</v>
      </c>
      <c r="G17" s="262" t="s">
        <v>37</v>
      </c>
      <c r="H17" s="262" t="s">
        <v>38</v>
      </c>
      <c r="I17" s="262" t="s">
        <v>39</v>
      </c>
      <c r="J17" s="262" t="s">
        <v>125</v>
      </c>
      <c r="K17" s="262" t="s">
        <v>126</v>
      </c>
      <c r="L17" s="262" t="s">
        <v>127</v>
      </c>
      <c r="M17" s="263">
        <v>100000</v>
      </c>
      <c r="N17" s="264" t="s">
        <v>228</v>
      </c>
      <c r="O17" s="264" t="s">
        <v>228</v>
      </c>
      <c r="P17" s="264" t="s">
        <v>77</v>
      </c>
      <c r="R17" s="64" t="s">
        <v>238</v>
      </c>
      <c r="S17" s="262" t="s">
        <v>35</v>
      </c>
      <c r="T17" s="262" t="s">
        <v>121</v>
      </c>
      <c r="U17" s="262" t="s">
        <v>123</v>
      </c>
      <c r="V17" s="262" t="s">
        <v>36</v>
      </c>
      <c r="W17" s="262" t="s">
        <v>37</v>
      </c>
      <c r="X17" s="262" t="s">
        <v>38</v>
      </c>
      <c r="Y17" s="262" t="s">
        <v>39</v>
      </c>
      <c r="Z17" s="262" t="s">
        <v>125</v>
      </c>
      <c r="AA17" s="262" t="s">
        <v>126</v>
      </c>
      <c r="AB17" s="262" t="s">
        <v>127</v>
      </c>
      <c r="AC17" s="263">
        <v>100000</v>
      </c>
      <c r="AD17" s="264" t="s">
        <v>228</v>
      </c>
      <c r="AE17" s="264" t="s">
        <v>228</v>
      </c>
      <c r="AF17" s="264" t="s">
        <v>77</v>
      </c>
      <c r="AH17" s="64" t="s">
        <v>238</v>
      </c>
      <c r="AI17" s="262" t="s">
        <v>35</v>
      </c>
      <c r="AJ17" s="262" t="s">
        <v>121</v>
      </c>
      <c r="AK17" s="262" t="s">
        <v>123</v>
      </c>
      <c r="AL17" s="262" t="s">
        <v>36</v>
      </c>
      <c r="AM17" s="262" t="s">
        <v>37</v>
      </c>
      <c r="AN17" s="262" t="s">
        <v>38</v>
      </c>
      <c r="AO17" s="262" t="s">
        <v>39</v>
      </c>
      <c r="AP17" s="262" t="s">
        <v>125</v>
      </c>
      <c r="AQ17" s="262" t="s">
        <v>126</v>
      </c>
      <c r="AR17" s="262" t="s">
        <v>127</v>
      </c>
      <c r="AS17" s="263">
        <v>100000</v>
      </c>
      <c r="AT17" s="264" t="s">
        <v>228</v>
      </c>
      <c r="AU17" s="264" t="s">
        <v>228</v>
      </c>
      <c r="AV17" s="264" t="s">
        <v>77</v>
      </c>
      <c r="AX17" s="64" t="s">
        <v>238</v>
      </c>
      <c r="AY17" s="262" t="s">
        <v>35</v>
      </c>
      <c r="AZ17" s="262" t="s">
        <v>121</v>
      </c>
      <c r="BA17" s="262" t="s">
        <v>123</v>
      </c>
      <c r="BB17" s="262" t="s">
        <v>36</v>
      </c>
      <c r="BC17" s="262" t="s">
        <v>37</v>
      </c>
      <c r="BD17" s="262" t="s">
        <v>38</v>
      </c>
      <c r="BE17" s="262" t="s">
        <v>39</v>
      </c>
      <c r="BF17" s="262" t="s">
        <v>125</v>
      </c>
      <c r="BG17" s="262" t="s">
        <v>126</v>
      </c>
      <c r="BH17" s="262" t="s">
        <v>127</v>
      </c>
      <c r="BI17" s="263">
        <v>100000</v>
      </c>
      <c r="BJ17" s="264" t="s">
        <v>228</v>
      </c>
      <c r="BK17" s="264" t="s">
        <v>228</v>
      </c>
      <c r="BL17" s="264" t="s">
        <v>77</v>
      </c>
      <c r="BO17" s="64" t="s">
        <v>88</v>
      </c>
      <c r="BP17" s="64" t="s">
        <v>238</v>
      </c>
      <c r="BQ17" s="262" t="s">
        <v>35</v>
      </c>
      <c r="BR17" s="262" t="s">
        <v>121</v>
      </c>
      <c r="BS17" s="262" t="s">
        <v>123</v>
      </c>
      <c r="BT17" s="262" t="s">
        <v>36</v>
      </c>
      <c r="BU17" s="262" t="s">
        <v>37</v>
      </c>
      <c r="BV17" s="262" t="s">
        <v>38</v>
      </c>
      <c r="BW17" s="262" t="s">
        <v>39</v>
      </c>
      <c r="BX17" s="262" t="s">
        <v>125</v>
      </c>
      <c r="BY17" s="262" t="s">
        <v>126</v>
      </c>
      <c r="BZ17" s="262" t="s">
        <v>127</v>
      </c>
      <c r="CA17" s="263">
        <v>100000</v>
      </c>
      <c r="CB17" s="264" t="s">
        <v>228</v>
      </c>
      <c r="CC17" s="264" t="s">
        <v>228</v>
      </c>
      <c r="CD17" s="264" t="s">
        <v>77</v>
      </c>
    </row>
    <row r="18" spans="2:82" x14ac:dyDescent="0.2">
      <c r="B18" s="65"/>
      <c r="C18" s="261" t="s">
        <v>120</v>
      </c>
      <c r="D18" s="261" t="s">
        <v>40</v>
      </c>
      <c r="E18" s="261" t="s">
        <v>40</v>
      </c>
      <c r="F18" s="261" t="s">
        <v>40</v>
      </c>
      <c r="G18" s="261" t="s">
        <v>40</v>
      </c>
      <c r="H18" s="261" t="s">
        <v>40</v>
      </c>
      <c r="I18" s="261" t="s">
        <v>40</v>
      </c>
      <c r="J18" s="261" t="s">
        <v>40</v>
      </c>
      <c r="K18" s="261" t="s">
        <v>40</v>
      </c>
      <c r="L18" s="261" t="s">
        <v>40</v>
      </c>
      <c r="M18" s="261" t="s">
        <v>43</v>
      </c>
      <c r="N18" s="12" t="s">
        <v>230</v>
      </c>
      <c r="O18" s="12" t="s">
        <v>138</v>
      </c>
      <c r="P18" s="12" t="s">
        <v>137</v>
      </c>
      <c r="R18" s="65"/>
      <c r="S18" s="261" t="s">
        <v>120</v>
      </c>
      <c r="T18" s="261" t="s">
        <v>40</v>
      </c>
      <c r="U18" s="261" t="s">
        <v>40</v>
      </c>
      <c r="V18" s="261" t="s">
        <v>40</v>
      </c>
      <c r="W18" s="261" t="s">
        <v>40</v>
      </c>
      <c r="X18" s="261" t="s">
        <v>40</v>
      </c>
      <c r="Y18" s="261" t="s">
        <v>40</v>
      </c>
      <c r="Z18" s="261" t="s">
        <v>40</v>
      </c>
      <c r="AA18" s="261" t="s">
        <v>40</v>
      </c>
      <c r="AB18" s="261" t="s">
        <v>40</v>
      </c>
      <c r="AC18" s="261" t="s">
        <v>43</v>
      </c>
      <c r="AD18" s="12" t="s">
        <v>230</v>
      </c>
      <c r="AE18" s="12" t="s">
        <v>138</v>
      </c>
      <c r="AF18" s="12" t="s">
        <v>137</v>
      </c>
      <c r="AH18" s="65"/>
      <c r="AI18" s="261" t="s">
        <v>120</v>
      </c>
      <c r="AJ18" s="261" t="s">
        <v>40</v>
      </c>
      <c r="AK18" s="261" t="s">
        <v>40</v>
      </c>
      <c r="AL18" s="261" t="s">
        <v>40</v>
      </c>
      <c r="AM18" s="261" t="s">
        <v>40</v>
      </c>
      <c r="AN18" s="261" t="s">
        <v>40</v>
      </c>
      <c r="AO18" s="261" t="s">
        <v>40</v>
      </c>
      <c r="AP18" s="261" t="s">
        <v>40</v>
      </c>
      <c r="AQ18" s="261" t="s">
        <v>40</v>
      </c>
      <c r="AR18" s="261" t="s">
        <v>40</v>
      </c>
      <c r="AS18" s="261" t="s">
        <v>43</v>
      </c>
      <c r="AT18" s="12" t="s">
        <v>230</v>
      </c>
      <c r="AU18" s="12" t="s">
        <v>138</v>
      </c>
      <c r="AV18" s="12" t="s">
        <v>137</v>
      </c>
      <c r="AX18" s="65"/>
      <c r="AY18" s="261" t="s">
        <v>120</v>
      </c>
      <c r="AZ18" s="261" t="s">
        <v>40</v>
      </c>
      <c r="BA18" s="261" t="s">
        <v>40</v>
      </c>
      <c r="BB18" s="261" t="s">
        <v>40</v>
      </c>
      <c r="BC18" s="261" t="s">
        <v>40</v>
      </c>
      <c r="BD18" s="261" t="s">
        <v>40</v>
      </c>
      <c r="BE18" s="261" t="s">
        <v>40</v>
      </c>
      <c r="BF18" s="261" t="s">
        <v>40</v>
      </c>
      <c r="BG18" s="261" t="s">
        <v>40</v>
      </c>
      <c r="BH18" s="261" t="s">
        <v>40</v>
      </c>
      <c r="BI18" s="261" t="s">
        <v>43</v>
      </c>
      <c r="BJ18" s="12" t="s">
        <v>230</v>
      </c>
      <c r="BK18" s="12" t="s">
        <v>138</v>
      </c>
      <c r="BL18" s="12" t="s">
        <v>137</v>
      </c>
      <c r="BO18" s="65" t="s">
        <v>89</v>
      </c>
      <c r="BP18" s="65"/>
      <c r="BQ18" s="261" t="s">
        <v>120</v>
      </c>
      <c r="BR18" s="261" t="s">
        <v>40</v>
      </c>
      <c r="BS18" s="261" t="s">
        <v>40</v>
      </c>
      <c r="BT18" s="261" t="s">
        <v>40</v>
      </c>
      <c r="BU18" s="261" t="s">
        <v>40</v>
      </c>
      <c r="BV18" s="261" t="s">
        <v>40</v>
      </c>
      <c r="BW18" s="261" t="s">
        <v>40</v>
      </c>
      <c r="BX18" s="261" t="s">
        <v>40</v>
      </c>
      <c r="BY18" s="261" t="s">
        <v>40</v>
      </c>
      <c r="BZ18" s="261" t="s">
        <v>40</v>
      </c>
      <c r="CA18" s="261" t="s">
        <v>43</v>
      </c>
      <c r="CB18" s="12" t="s">
        <v>230</v>
      </c>
      <c r="CC18" s="12" t="s">
        <v>138</v>
      </c>
      <c r="CD18" s="12" t="s">
        <v>137</v>
      </c>
    </row>
    <row r="19" spans="2:82" x14ac:dyDescent="0.2">
      <c r="B19" s="66"/>
      <c r="C19" s="265" t="s">
        <v>43</v>
      </c>
      <c r="D19" s="265" t="s">
        <v>122</v>
      </c>
      <c r="E19" s="265" t="s">
        <v>124</v>
      </c>
      <c r="F19" s="265" t="s">
        <v>44</v>
      </c>
      <c r="G19" s="265" t="s">
        <v>45</v>
      </c>
      <c r="H19" s="265" t="s">
        <v>46</v>
      </c>
      <c r="I19" s="265" t="s">
        <v>42</v>
      </c>
      <c r="J19" s="265" t="s">
        <v>128</v>
      </c>
      <c r="K19" s="265" t="s">
        <v>129</v>
      </c>
      <c r="L19" s="265" t="s">
        <v>130</v>
      </c>
      <c r="M19" s="265" t="s">
        <v>131</v>
      </c>
      <c r="N19" s="266" t="s">
        <v>138</v>
      </c>
      <c r="O19" s="266" t="s">
        <v>131</v>
      </c>
      <c r="P19" s="266" t="s">
        <v>41</v>
      </c>
      <c r="R19" s="66"/>
      <c r="S19" s="265" t="s">
        <v>43</v>
      </c>
      <c r="T19" s="265" t="s">
        <v>122</v>
      </c>
      <c r="U19" s="265" t="s">
        <v>124</v>
      </c>
      <c r="V19" s="265" t="s">
        <v>44</v>
      </c>
      <c r="W19" s="265" t="s">
        <v>45</v>
      </c>
      <c r="X19" s="265" t="s">
        <v>46</v>
      </c>
      <c r="Y19" s="265" t="s">
        <v>42</v>
      </c>
      <c r="Z19" s="265" t="s">
        <v>128</v>
      </c>
      <c r="AA19" s="265" t="s">
        <v>129</v>
      </c>
      <c r="AB19" s="265" t="s">
        <v>130</v>
      </c>
      <c r="AC19" s="265" t="s">
        <v>131</v>
      </c>
      <c r="AD19" s="266" t="s">
        <v>138</v>
      </c>
      <c r="AE19" s="266" t="s">
        <v>131</v>
      </c>
      <c r="AF19" s="266" t="s">
        <v>41</v>
      </c>
      <c r="AH19" s="66"/>
      <c r="AI19" s="265" t="s">
        <v>43</v>
      </c>
      <c r="AJ19" s="265" t="s">
        <v>122</v>
      </c>
      <c r="AK19" s="265" t="s">
        <v>124</v>
      </c>
      <c r="AL19" s="265" t="s">
        <v>44</v>
      </c>
      <c r="AM19" s="265" t="s">
        <v>45</v>
      </c>
      <c r="AN19" s="265" t="s">
        <v>46</v>
      </c>
      <c r="AO19" s="265" t="s">
        <v>42</v>
      </c>
      <c r="AP19" s="265" t="s">
        <v>128</v>
      </c>
      <c r="AQ19" s="265" t="s">
        <v>129</v>
      </c>
      <c r="AR19" s="265" t="s">
        <v>130</v>
      </c>
      <c r="AS19" s="265" t="s">
        <v>131</v>
      </c>
      <c r="AT19" s="266" t="s">
        <v>138</v>
      </c>
      <c r="AU19" s="266" t="s">
        <v>131</v>
      </c>
      <c r="AV19" s="266" t="s">
        <v>41</v>
      </c>
      <c r="AX19" s="66"/>
      <c r="AY19" s="265" t="s">
        <v>43</v>
      </c>
      <c r="AZ19" s="265" t="s">
        <v>122</v>
      </c>
      <c r="BA19" s="265" t="s">
        <v>124</v>
      </c>
      <c r="BB19" s="265" t="s">
        <v>44</v>
      </c>
      <c r="BC19" s="265" t="s">
        <v>45</v>
      </c>
      <c r="BD19" s="265" t="s">
        <v>46</v>
      </c>
      <c r="BE19" s="265" t="s">
        <v>42</v>
      </c>
      <c r="BF19" s="265" t="s">
        <v>128</v>
      </c>
      <c r="BG19" s="265" t="s">
        <v>129</v>
      </c>
      <c r="BH19" s="265" t="s">
        <v>130</v>
      </c>
      <c r="BI19" s="265" t="s">
        <v>131</v>
      </c>
      <c r="BJ19" s="266" t="s">
        <v>138</v>
      </c>
      <c r="BK19" s="266" t="s">
        <v>131</v>
      </c>
      <c r="BL19" s="266" t="s">
        <v>41</v>
      </c>
      <c r="BO19" s="66"/>
      <c r="BP19" s="66"/>
      <c r="BQ19" s="265" t="s">
        <v>43</v>
      </c>
      <c r="BR19" s="265" t="s">
        <v>122</v>
      </c>
      <c r="BS19" s="265" t="s">
        <v>124</v>
      </c>
      <c r="BT19" s="265" t="s">
        <v>44</v>
      </c>
      <c r="BU19" s="265" t="s">
        <v>45</v>
      </c>
      <c r="BV19" s="265" t="s">
        <v>46</v>
      </c>
      <c r="BW19" s="265" t="s">
        <v>42</v>
      </c>
      <c r="BX19" s="265" t="s">
        <v>128</v>
      </c>
      <c r="BY19" s="265" t="s">
        <v>129</v>
      </c>
      <c r="BZ19" s="265" t="s">
        <v>130</v>
      </c>
      <c r="CA19" s="265" t="s">
        <v>131</v>
      </c>
      <c r="CB19" s="266" t="s">
        <v>138</v>
      </c>
      <c r="CC19" s="266" t="s">
        <v>131</v>
      </c>
      <c r="CD19" s="266" t="s">
        <v>41</v>
      </c>
    </row>
    <row r="20" spans="2:82" s="465" customFormat="1" ht="15.75" customHeight="1" x14ac:dyDescent="0.25">
      <c r="B20" s="606" t="s">
        <v>90</v>
      </c>
      <c r="C20" s="607">
        <v>507.23559999999998</v>
      </c>
      <c r="D20" s="607">
        <v>354.49740000000003</v>
      </c>
      <c r="E20" s="607">
        <v>272.6474</v>
      </c>
      <c r="F20" s="607">
        <v>263.50650000000002</v>
      </c>
      <c r="G20" s="607">
        <v>281.15100000000001</v>
      </c>
      <c r="H20" s="607">
        <v>276.37869999999998</v>
      </c>
      <c r="I20" s="607">
        <v>272.05279999999999</v>
      </c>
      <c r="J20" s="607">
        <v>264.84800000000001</v>
      </c>
      <c r="K20" s="607">
        <v>298.2645</v>
      </c>
      <c r="L20" s="607">
        <v>375.38279999999997</v>
      </c>
      <c r="M20" s="607">
        <v>343.97129999999999</v>
      </c>
      <c r="N20" s="608">
        <v>274.85480000000001</v>
      </c>
      <c r="O20" s="608">
        <v>318.10149999999999</v>
      </c>
      <c r="P20" s="609">
        <v>296.82339999999999</v>
      </c>
      <c r="R20" s="606" t="s">
        <v>90</v>
      </c>
      <c r="S20" s="607">
        <v>409.3175</v>
      </c>
      <c r="T20" s="607">
        <v>280.46870000000001</v>
      </c>
      <c r="U20" s="607">
        <v>213.739</v>
      </c>
      <c r="V20" s="607">
        <v>202.51669999999999</v>
      </c>
      <c r="W20" s="607">
        <v>215.7843</v>
      </c>
      <c r="X20" s="607">
        <v>201.4683</v>
      </c>
      <c r="Y20" s="607">
        <v>198.2576</v>
      </c>
      <c r="Z20" s="607">
        <v>182.51179999999999</v>
      </c>
      <c r="AA20" s="607">
        <v>187.38319999999999</v>
      </c>
      <c r="AB20" s="607">
        <v>223.31630000000001</v>
      </c>
      <c r="AC20" s="607">
        <v>123.7758</v>
      </c>
      <c r="AD20" s="608">
        <v>207.8141</v>
      </c>
      <c r="AE20" s="608">
        <v>173.81370000000001</v>
      </c>
      <c r="AF20" s="609">
        <v>190.54239999999999</v>
      </c>
      <c r="AH20" s="606" t="s">
        <v>90</v>
      </c>
      <c r="AI20" s="645">
        <v>57.844799999999999</v>
      </c>
      <c r="AJ20" s="645">
        <v>55.413400000000003</v>
      </c>
      <c r="AK20" s="645">
        <v>52.8857</v>
      </c>
      <c r="AL20" s="645">
        <v>50.012500000000003</v>
      </c>
      <c r="AM20" s="645">
        <v>43.949100000000001</v>
      </c>
      <c r="AN20" s="645">
        <v>42.450899999999997</v>
      </c>
      <c r="AO20" s="645">
        <v>42.7239</v>
      </c>
      <c r="AP20" s="645">
        <v>40.778300000000002</v>
      </c>
      <c r="AQ20" s="645">
        <v>33.769799999999996</v>
      </c>
      <c r="AR20" s="645">
        <v>29.7212</v>
      </c>
      <c r="AS20" s="645">
        <v>15.374499999999999</v>
      </c>
      <c r="AT20" s="646">
        <v>46.677199999999999</v>
      </c>
      <c r="AU20" s="646">
        <v>28.305499999999999</v>
      </c>
      <c r="AV20" s="640">
        <v>36.675600000000003</v>
      </c>
      <c r="AX20" s="606" t="s">
        <v>90</v>
      </c>
      <c r="AY20" s="645">
        <v>18.094100000000001</v>
      </c>
      <c r="AZ20" s="645">
        <v>16.845700000000001</v>
      </c>
      <c r="BA20" s="645">
        <v>16.474699999999999</v>
      </c>
      <c r="BB20" s="645">
        <v>16.890699999999999</v>
      </c>
      <c r="BC20" s="645">
        <v>16.668800000000001</v>
      </c>
      <c r="BD20" s="645">
        <v>17.772300000000001</v>
      </c>
      <c r="BE20" s="645">
        <v>17.7212</v>
      </c>
      <c r="BF20" s="645">
        <v>17.154699999999998</v>
      </c>
      <c r="BG20" s="645">
        <v>15.3637</v>
      </c>
      <c r="BH20" s="645">
        <v>13.7454</v>
      </c>
      <c r="BI20" s="645">
        <v>11.9008</v>
      </c>
      <c r="BJ20" s="646">
        <v>17.140799999999999</v>
      </c>
      <c r="BK20" s="646">
        <v>14.242599999999999</v>
      </c>
      <c r="BL20" s="640">
        <v>15.563000000000001</v>
      </c>
      <c r="BO20" s="648" t="s">
        <v>90</v>
      </c>
      <c r="BP20" s="606" t="s">
        <v>90</v>
      </c>
      <c r="BQ20" s="645">
        <v>4.7568000000000001</v>
      </c>
      <c r="BR20" s="645">
        <v>6.8582000000000001</v>
      </c>
      <c r="BS20" s="645">
        <v>9.0335000000000001</v>
      </c>
      <c r="BT20" s="645">
        <v>9.9513999999999996</v>
      </c>
      <c r="BU20" s="645">
        <v>16.132400000000001</v>
      </c>
      <c r="BV20" s="645">
        <v>12.672599999999999</v>
      </c>
      <c r="BW20" s="645">
        <v>12.429600000000001</v>
      </c>
      <c r="BX20" s="645">
        <v>10.978899999999999</v>
      </c>
      <c r="BY20" s="645">
        <v>13.691000000000001</v>
      </c>
      <c r="BZ20" s="645">
        <v>16.023700000000002</v>
      </c>
      <c r="CA20" s="645">
        <v>8.7090999999999994</v>
      </c>
      <c r="CB20" s="646">
        <v>11.790699999999999</v>
      </c>
      <c r="CC20" s="646">
        <v>12.0928</v>
      </c>
      <c r="CD20" s="640">
        <v>11.9552</v>
      </c>
    </row>
    <row r="21" spans="2:82" s="465" customFormat="1" ht="15.75" customHeight="1" x14ac:dyDescent="0.25">
      <c r="B21" s="610" t="s">
        <v>239</v>
      </c>
      <c r="C21" s="611">
        <v>507.23559999999998</v>
      </c>
      <c r="D21" s="611">
        <v>354.49740000000003</v>
      </c>
      <c r="E21" s="611">
        <v>272.44479999999999</v>
      </c>
      <c r="F21" s="611">
        <v>263.40750000000003</v>
      </c>
      <c r="G21" s="611">
        <v>280.57760000000002</v>
      </c>
      <c r="H21" s="611">
        <v>275.154</v>
      </c>
      <c r="I21" s="611">
        <v>260.52199999999999</v>
      </c>
      <c r="J21" s="611">
        <v>258.78649999999999</v>
      </c>
      <c r="K21" s="611">
        <v>298.68200000000002</v>
      </c>
      <c r="L21" s="611">
        <v>378.61110000000002</v>
      </c>
      <c r="M21" s="611">
        <v>343.98750000000001</v>
      </c>
      <c r="N21" s="612">
        <v>271.72890000000001</v>
      </c>
      <c r="O21" s="612">
        <v>317.2645</v>
      </c>
      <c r="P21" s="613">
        <v>294.36099999999999</v>
      </c>
      <c r="R21" s="610" t="s">
        <v>239</v>
      </c>
      <c r="S21" s="611">
        <v>409.3175</v>
      </c>
      <c r="T21" s="611">
        <v>280.46870000000001</v>
      </c>
      <c r="U21" s="611">
        <v>213.52080000000001</v>
      </c>
      <c r="V21" s="611">
        <v>202.31960000000001</v>
      </c>
      <c r="W21" s="611">
        <v>215.07</v>
      </c>
      <c r="X21" s="611">
        <v>200.12350000000001</v>
      </c>
      <c r="Y21" s="611">
        <v>187.8614</v>
      </c>
      <c r="Z21" s="611">
        <v>174.11959999999999</v>
      </c>
      <c r="AA21" s="611">
        <v>185.99019999999999</v>
      </c>
      <c r="AB21" s="611">
        <v>215.40010000000001</v>
      </c>
      <c r="AC21" s="611">
        <v>121.1996</v>
      </c>
      <c r="AD21" s="612">
        <v>204.95140000000001</v>
      </c>
      <c r="AE21" s="612">
        <v>168.63630000000001</v>
      </c>
      <c r="AF21" s="613">
        <v>186.90209999999999</v>
      </c>
      <c r="AH21" s="610" t="s">
        <v>239</v>
      </c>
      <c r="AI21" s="633">
        <v>57.844799999999999</v>
      </c>
      <c r="AJ21" s="633">
        <v>55.413400000000003</v>
      </c>
      <c r="AK21" s="633">
        <v>52.860799999999998</v>
      </c>
      <c r="AL21" s="633">
        <v>49.953299999999999</v>
      </c>
      <c r="AM21" s="633">
        <v>43.835999999999999</v>
      </c>
      <c r="AN21" s="633">
        <v>42.036299999999997</v>
      </c>
      <c r="AO21" s="633">
        <v>41.112699999999997</v>
      </c>
      <c r="AP21" s="633">
        <v>38.238700000000001</v>
      </c>
      <c r="AQ21" s="633">
        <v>32.814599999999999</v>
      </c>
      <c r="AR21" s="633">
        <v>26.331800000000001</v>
      </c>
      <c r="AS21" s="633">
        <v>14.541700000000001</v>
      </c>
      <c r="AT21" s="641">
        <v>46.282800000000002</v>
      </c>
      <c r="AU21" s="641">
        <v>26.441299999999998</v>
      </c>
      <c r="AV21" s="634">
        <v>35.6539</v>
      </c>
      <c r="AX21" s="610" t="s">
        <v>239</v>
      </c>
      <c r="AY21" s="633">
        <v>18.094100000000001</v>
      </c>
      <c r="AZ21" s="633">
        <v>16.845700000000001</v>
      </c>
      <c r="BA21" s="633">
        <v>16.468900000000001</v>
      </c>
      <c r="BB21" s="633">
        <v>16.8843</v>
      </c>
      <c r="BC21" s="633">
        <v>16.684799999999999</v>
      </c>
      <c r="BD21" s="633">
        <v>17.8459</v>
      </c>
      <c r="BE21" s="633">
        <v>18.035799999999998</v>
      </c>
      <c r="BF21" s="633">
        <v>17.386500000000002</v>
      </c>
      <c r="BG21" s="633">
        <v>15.5497</v>
      </c>
      <c r="BH21" s="633">
        <v>13.553900000000001</v>
      </c>
      <c r="BI21" s="633">
        <v>11.840999999999999</v>
      </c>
      <c r="BJ21" s="641">
        <v>17.213699999999999</v>
      </c>
      <c r="BK21" s="641">
        <v>14.2494</v>
      </c>
      <c r="BL21" s="634">
        <v>15.6258</v>
      </c>
      <c r="BO21" s="478" t="s">
        <v>91</v>
      </c>
      <c r="BP21" s="610" t="s">
        <v>239</v>
      </c>
      <c r="BQ21" s="633">
        <v>4.7568000000000001</v>
      </c>
      <c r="BR21" s="633">
        <v>6.8582000000000001</v>
      </c>
      <c r="BS21" s="633">
        <v>9.0424000000000007</v>
      </c>
      <c r="BT21" s="633">
        <v>9.9710000000000001</v>
      </c>
      <c r="BU21" s="633">
        <v>16.131799999999998</v>
      </c>
      <c r="BV21" s="633">
        <v>12.849299999999999</v>
      </c>
      <c r="BW21" s="633">
        <v>12.9611</v>
      </c>
      <c r="BX21" s="633">
        <v>11.6579</v>
      </c>
      <c r="BY21" s="633">
        <v>13.906000000000001</v>
      </c>
      <c r="BZ21" s="633">
        <v>17.006499999999999</v>
      </c>
      <c r="CA21" s="633">
        <v>8.8510000000000009</v>
      </c>
      <c r="CB21" s="641">
        <v>11.9284</v>
      </c>
      <c r="CC21" s="641">
        <v>12.4625</v>
      </c>
      <c r="CD21" s="634">
        <v>12.214499999999999</v>
      </c>
    </row>
    <row r="22" spans="2:82" s="465" customFormat="1" ht="15.75" customHeight="1" x14ac:dyDescent="0.25">
      <c r="B22" s="614" t="s">
        <v>501</v>
      </c>
      <c r="C22" s="615"/>
      <c r="D22" s="615"/>
      <c r="E22" s="615"/>
      <c r="F22" s="615"/>
      <c r="G22" s="615"/>
      <c r="H22" s="615"/>
      <c r="I22" s="615"/>
      <c r="J22" s="615"/>
      <c r="K22" s="615"/>
      <c r="L22" s="615"/>
      <c r="M22" s="615"/>
      <c r="N22" s="616"/>
      <c r="O22" s="616"/>
      <c r="P22" s="617"/>
      <c r="R22" s="614" t="s">
        <v>501</v>
      </c>
      <c r="S22" s="615"/>
      <c r="T22" s="615"/>
      <c r="U22" s="615"/>
      <c r="V22" s="615"/>
      <c r="W22" s="615"/>
      <c r="X22" s="615"/>
      <c r="Y22" s="615"/>
      <c r="Z22" s="615"/>
      <c r="AA22" s="615"/>
      <c r="AB22" s="615"/>
      <c r="AC22" s="615"/>
      <c r="AD22" s="616"/>
      <c r="AE22" s="616"/>
      <c r="AF22" s="617"/>
      <c r="AH22" s="614" t="s">
        <v>501</v>
      </c>
      <c r="AI22" s="635"/>
      <c r="AJ22" s="635"/>
      <c r="AK22" s="635"/>
      <c r="AL22" s="635"/>
      <c r="AM22" s="635"/>
      <c r="AN22" s="635"/>
      <c r="AO22" s="635"/>
      <c r="AP22" s="635"/>
      <c r="AQ22" s="635"/>
      <c r="AR22" s="635"/>
      <c r="AS22" s="635"/>
      <c r="AT22" s="642"/>
      <c r="AU22" s="642"/>
      <c r="AV22" s="636"/>
      <c r="AX22" s="614" t="s">
        <v>501</v>
      </c>
      <c r="AY22" s="635"/>
      <c r="AZ22" s="635"/>
      <c r="BA22" s="635"/>
      <c r="BB22" s="635"/>
      <c r="BC22" s="635"/>
      <c r="BD22" s="635"/>
      <c r="BE22" s="635"/>
      <c r="BF22" s="635"/>
      <c r="BG22" s="635"/>
      <c r="BH22" s="635"/>
      <c r="BI22" s="635"/>
      <c r="BJ22" s="642"/>
      <c r="BK22" s="642"/>
      <c r="BL22" s="636"/>
      <c r="BO22" s="618" t="s">
        <v>47</v>
      </c>
      <c r="BP22" s="614" t="s">
        <v>501</v>
      </c>
      <c r="BQ22" s="635"/>
      <c r="BR22" s="635"/>
      <c r="BS22" s="635"/>
      <c r="BT22" s="635"/>
      <c r="BU22" s="635"/>
      <c r="BV22" s="635"/>
      <c r="BW22" s="635"/>
      <c r="BX22" s="635"/>
      <c r="BY22" s="635"/>
      <c r="BZ22" s="635"/>
      <c r="CA22" s="635"/>
      <c r="CB22" s="642"/>
      <c r="CC22" s="642"/>
      <c r="CD22" s="636"/>
    </row>
    <row r="23" spans="2:82" s="571" customFormat="1" ht="15.75" customHeight="1" x14ac:dyDescent="0.25">
      <c r="B23" s="618" t="s">
        <v>763</v>
      </c>
      <c r="C23" s="619">
        <v>782.77850000000001</v>
      </c>
      <c r="D23" s="619">
        <v>528.3528</v>
      </c>
      <c r="E23" s="619">
        <v>430.46109999999999</v>
      </c>
      <c r="F23" s="619">
        <v>330.68650000000002</v>
      </c>
      <c r="G23" s="619">
        <v>386.85309999999998</v>
      </c>
      <c r="H23" s="619">
        <v>306.0686</v>
      </c>
      <c r="I23" s="619">
        <v>299.03480000000002</v>
      </c>
      <c r="J23" s="619">
        <v>255.48480000000001</v>
      </c>
      <c r="K23" s="619">
        <v>284.43770000000001</v>
      </c>
      <c r="L23" s="619">
        <v>234.01009999999999</v>
      </c>
      <c r="M23" s="619">
        <v>185.20230000000001</v>
      </c>
      <c r="N23" s="620">
        <v>340.74029999999999</v>
      </c>
      <c r="O23" s="620">
        <v>236.26689999999999</v>
      </c>
      <c r="P23" s="621">
        <v>296.97019999999998</v>
      </c>
      <c r="R23" s="618" t="s">
        <v>763</v>
      </c>
      <c r="S23" s="619">
        <v>670.70399999999995</v>
      </c>
      <c r="T23" s="619">
        <v>442.74369999999999</v>
      </c>
      <c r="U23" s="619">
        <v>318.01150000000001</v>
      </c>
      <c r="V23" s="619">
        <v>240.06360000000001</v>
      </c>
      <c r="W23" s="619">
        <v>319.23739999999998</v>
      </c>
      <c r="X23" s="619">
        <v>234.2458</v>
      </c>
      <c r="Y23" s="619">
        <v>208.136</v>
      </c>
      <c r="Z23" s="619">
        <v>167.85849999999999</v>
      </c>
      <c r="AA23" s="619">
        <v>160.76900000000001</v>
      </c>
      <c r="AB23" s="619">
        <v>155.44820000000001</v>
      </c>
      <c r="AC23" s="619">
        <v>96.277000000000001</v>
      </c>
      <c r="AD23" s="620">
        <v>255.2749</v>
      </c>
      <c r="AE23" s="620">
        <v>137.91810000000001</v>
      </c>
      <c r="AF23" s="621">
        <v>206.10720000000001</v>
      </c>
      <c r="AH23" s="618" t="s">
        <v>763</v>
      </c>
      <c r="AI23" s="637">
        <v>58.568399999999997</v>
      </c>
      <c r="AJ23" s="637">
        <v>56.481999999999999</v>
      </c>
      <c r="AK23" s="637">
        <v>50.200099999999999</v>
      </c>
      <c r="AL23" s="637">
        <v>45.555599999999998</v>
      </c>
      <c r="AM23" s="637">
        <v>32.4953</v>
      </c>
      <c r="AN23" s="637">
        <v>42.013599999999997</v>
      </c>
      <c r="AO23" s="637">
        <v>39.003700000000002</v>
      </c>
      <c r="AP23" s="637">
        <v>35.295200000000001</v>
      </c>
      <c r="AQ23" s="637">
        <v>27.179400000000001</v>
      </c>
      <c r="AR23" s="637">
        <v>34.829700000000003</v>
      </c>
      <c r="AS23" s="637">
        <v>21.131599999999999</v>
      </c>
      <c r="AT23" s="643">
        <v>41.519599999999997</v>
      </c>
      <c r="AU23" s="643">
        <v>28.138500000000001</v>
      </c>
      <c r="AV23" s="638">
        <v>37.059399999999997</v>
      </c>
      <c r="AX23" s="618" t="s">
        <v>763</v>
      </c>
      <c r="AY23" s="637">
        <v>18.5623</v>
      </c>
      <c r="AZ23" s="637">
        <v>19.1449</v>
      </c>
      <c r="BA23" s="637">
        <v>15.687900000000001</v>
      </c>
      <c r="BB23" s="637">
        <v>16.471599999999999</v>
      </c>
      <c r="BC23" s="637">
        <v>14.678000000000001</v>
      </c>
      <c r="BD23" s="637">
        <v>18.2501</v>
      </c>
      <c r="BE23" s="637">
        <v>16.169599999999999</v>
      </c>
      <c r="BF23" s="637">
        <v>17.203399999999998</v>
      </c>
      <c r="BG23" s="637">
        <v>16.536000000000001</v>
      </c>
      <c r="BH23" s="637">
        <v>19.573499999999999</v>
      </c>
      <c r="BI23" s="637">
        <v>15.1005</v>
      </c>
      <c r="BJ23" s="643">
        <v>16.2056</v>
      </c>
      <c r="BK23" s="643">
        <v>16.507400000000001</v>
      </c>
      <c r="BL23" s="638">
        <v>16.3062</v>
      </c>
      <c r="BO23" s="622" t="s">
        <v>48</v>
      </c>
      <c r="BP23" s="618" t="s">
        <v>763</v>
      </c>
      <c r="BQ23" s="637">
        <v>8.5517000000000003</v>
      </c>
      <c r="BR23" s="637">
        <v>8.1700999999999997</v>
      </c>
      <c r="BS23" s="637">
        <v>7.9889000000000001</v>
      </c>
      <c r="BT23" s="637">
        <v>10.5684</v>
      </c>
      <c r="BU23" s="637">
        <v>35.348300000000002</v>
      </c>
      <c r="BV23" s="637">
        <v>16.27</v>
      </c>
      <c r="BW23" s="637">
        <v>14.4293</v>
      </c>
      <c r="BX23" s="637">
        <v>13.2034</v>
      </c>
      <c r="BY23" s="637">
        <v>12.8063</v>
      </c>
      <c r="BZ23" s="637">
        <v>12.024699999999999</v>
      </c>
      <c r="CA23" s="637">
        <v>15.752700000000001</v>
      </c>
      <c r="CB23" s="643">
        <v>17.192499999999999</v>
      </c>
      <c r="CC23" s="643">
        <v>13.7279</v>
      </c>
      <c r="CD23" s="638">
        <v>16.037700000000001</v>
      </c>
    </row>
    <row r="24" spans="2:82" s="465" customFormat="1" ht="15.75" customHeight="1" x14ac:dyDescent="0.25">
      <c r="B24" s="622" t="s">
        <v>764</v>
      </c>
      <c r="C24" s="623">
        <v>336.67939999999999</v>
      </c>
      <c r="D24" s="623">
        <v>267.56830000000002</v>
      </c>
      <c r="E24" s="623">
        <v>237.964</v>
      </c>
      <c r="F24" s="623">
        <v>252.71260000000001</v>
      </c>
      <c r="G24" s="623">
        <v>295.06920000000002</v>
      </c>
      <c r="H24" s="623">
        <v>296.8347</v>
      </c>
      <c r="I24" s="623">
        <v>202.46700000000001</v>
      </c>
      <c r="J24" s="623">
        <v>274.7663</v>
      </c>
      <c r="K24" s="623">
        <v>378.92099999999999</v>
      </c>
      <c r="L24" s="623" t="s">
        <v>102</v>
      </c>
      <c r="M24" s="623">
        <v>141.60329999999999</v>
      </c>
      <c r="N24" s="624">
        <v>253.50409999999999</v>
      </c>
      <c r="O24" s="624">
        <v>268.3032</v>
      </c>
      <c r="P24" s="609">
        <v>257.41969999999998</v>
      </c>
      <c r="R24" s="622" t="s">
        <v>764</v>
      </c>
      <c r="S24" s="623">
        <v>230.60669999999999</v>
      </c>
      <c r="T24" s="623">
        <v>208.01859999999999</v>
      </c>
      <c r="U24" s="623">
        <v>179.66050000000001</v>
      </c>
      <c r="V24" s="623">
        <v>188.6754</v>
      </c>
      <c r="W24" s="623">
        <v>214.4246</v>
      </c>
      <c r="X24" s="623">
        <v>232.78360000000001</v>
      </c>
      <c r="Y24" s="623">
        <v>157.0419</v>
      </c>
      <c r="Z24" s="623">
        <v>153.41380000000001</v>
      </c>
      <c r="AA24" s="623">
        <v>195.2602</v>
      </c>
      <c r="AB24" s="623" t="s">
        <v>102</v>
      </c>
      <c r="AC24" s="623">
        <v>128.27019999999999</v>
      </c>
      <c r="AD24" s="624">
        <v>190.68510000000001</v>
      </c>
      <c r="AE24" s="624">
        <v>161.4556</v>
      </c>
      <c r="AF24" s="609">
        <v>182.95150000000001</v>
      </c>
      <c r="AH24" s="622" t="s">
        <v>764</v>
      </c>
      <c r="AI24" s="639">
        <v>45.093499999999999</v>
      </c>
      <c r="AJ24" s="639">
        <v>52.241599999999998</v>
      </c>
      <c r="AK24" s="639">
        <v>49.881</v>
      </c>
      <c r="AL24" s="639">
        <v>48.351300000000002</v>
      </c>
      <c r="AM24" s="639">
        <v>47.8003</v>
      </c>
      <c r="AN24" s="639">
        <v>42.122300000000003</v>
      </c>
      <c r="AO24" s="639">
        <v>46.121000000000002</v>
      </c>
      <c r="AP24" s="639">
        <v>37.373600000000003</v>
      </c>
      <c r="AQ24" s="639">
        <v>29.157699999999998</v>
      </c>
      <c r="AR24" s="639" t="s">
        <v>102</v>
      </c>
      <c r="AS24" s="639">
        <v>29.021100000000001</v>
      </c>
      <c r="AT24" s="644">
        <v>47.890799999999999</v>
      </c>
      <c r="AU24" s="644">
        <v>30.874500000000001</v>
      </c>
      <c r="AV24" s="640">
        <v>43.1982</v>
      </c>
      <c r="AX24" s="622" t="s">
        <v>764</v>
      </c>
      <c r="AY24" s="639">
        <v>18.105499999999999</v>
      </c>
      <c r="AZ24" s="639">
        <v>17.079899999999999</v>
      </c>
      <c r="BA24" s="639">
        <v>17.408300000000001</v>
      </c>
      <c r="BB24" s="639">
        <v>16.737500000000001</v>
      </c>
      <c r="BC24" s="639">
        <v>16.506</v>
      </c>
      <c r="BD24" s="639">
        <v>19.030799999999999</v>
      </c>
      <c r="BE24" s="639">
        <v>20.820399999999999</v>
      </c>
      <c r="BF24" s="639">
        <v>14.7285</v>
      </c>
      <c r="BG24" s="639">
        <v>12.3218</v>
      </c>
      <c r="BH24" s="639" t="s">
        <v>102</v>
      </c>
      <c r="BI24" s="639">
        <v>23.461200000000002</v>
      </c>
      <c r="BJ24" s="644">
        <v>17.555099999999999</v>
      </c>
      <c r="BK24" s="644">
        <v>15.0382</v>
      </c>
      <c r="BL24" s="640">
        <v>16.861000000000001</v>
      </c>
      <c r="BO24" s="618" t="s">
        <v>49</v>
      </c>
      <c r="BP24" s="622" t="s">
        <v>764</v>
      </c>
      <c r="BQ24" s="639">
        <v>5.2954999999999997</v>
      </c>
      <c r="BR24" s="639">
        <v>8.4225999999999992</v>
      </c>
      <c r="BS24" s="639">
        <v>8.2096999999999998</v>
      </c>
      <c r="BT24" s="639">
        <v>9.5713000000000008</v>
      </c>
      <c r="BU24" s="639">
        <v>8.3629999999999995</v>
      </c>
      <c r="BV24" s="639">
        <v>17.268799999999999</v>
      </c>
      <c r="BW24" s="639">
        <v>10.6228</v>
      </c>
      <c r="BX24" s="639">
        <v>3.7322000000000002</v>
      </c>
      <c r="BY24" s="639">
        <v>10.0511</v>
      </c>
      <c r="BZ24" s="639" t="s">
        <v>102</v>
      </c>
      <c r="CA24" s="639">
        <v>38.101900000000001</v>
      </c>
      <c r="CB24" s="644">
        <v>9.7737999999999996</v>
      </c>
      <c r="CC24" s="644">
        <v>14.2639</v>
      </c>
      <c r="CD24" s="640">
        <v>11.0121</v>
      </c>
    </row>
    <row r="25" spans="2:82" s="571" customFormat="1" ht="15.75" customHeight="1" x14ac:dyDescent="0.25">
      <c r="B25" s="618" t="s">
        <v>51</v>
      </c>
      <c r="C25" s="619">
        <v>733.46669999999995</v>
      </c>
      <c r="D25" s="619">
        <v>593.31110000000001</v>
      </c>
      <c r="E25" s="619">
        <v>355.49169999999998</v>
      </c>
      <c r="F25" s="619">
        <v>267.34949999999998</v>
      </c>
      <c r="G25" s="619">
        <v>253.50720000000001</v>
      </c>
      <c r="H25" s="619">
        <v>280.4796</v>
      </c>
      <c r="I25" s="619">
        <v>261.89089999999999</v>
      </c>
      <c r="J25" s="619">
        <v>307.44889999999998</v>
      </c>
      <c r="K25" s="619">
        <v>335.96140000000003</v>
      </c>
      <c r="L25" s="619">
        <v>275.29840000000002</v>
      </c>
      <c r="M25" s="619">
        <v>156.78389999999999</v>
      </c>
      <c r="N25" s="620">
        <v>267.87709999999998</v>
      </c>
      <c r="O25" s="620">
        <v>259.92309999999998</v>
      </c>
      <c r="P25" s="621">
        <v>265.18380000000002</v>
      </c>
      <c r="R25" s="618" t="s">
        <v>51</v>
      </c>
      <c r="S25" s="619">
        <v>730.58209999999997</v>
      </c>
      <c r="T25" s="619">
        <v>565.93610000000001</v>
      </c>
      <c r="U25" s="619">
        <v>268.44940000000003</v>
      </c>
      <c r="V25" s="619">
        <v>208.43199999999999</v>
      </c>
      <c r="W25" s="619">
        <v>195.03630000000001</v>
      </c>
      <c r="X25" s="619">
        <v>174.66069999999999</v>
      </c>
      <c r="Y25" s="619">
        <v>176.7011</v>
      </c>
      <c r="Z25" s="619">
        <v>161.1215</v>
      </c>
      <c r="AA25" s="619">
        <v>167.65199999999999</v>
      </c>
      <c r="AB25" s="619">
        <v>145.81649999999999</v>
      </c>
      <c r="AC25" s="619">
        <v>86.766199999999998</v>
      </c>
      <c r="AD25" s="620">
        <v>192.4178</v>
      </c>
      <c r="AE25" s="620">
        <v>136.4633</v>
      </c>
      <c r="AF25" s="621">
        <v>173.471</v>
      </c>
      <c r="AH25" s="618" t="s">
        <v>51</v>
      </c>
      <c r="AI25" s="637">
        <v>88.824799999999996</v>
      </c>
      <c r="AJ25" s="637">
        <v>62.339700000000001</v>
      </c>
      <c r="AK25" s="637">
        <v>47.727499999999999</v>
      </c>
      <c r="AL25" s="637">
        <v>49.313400000000001</v>
      </c>
      <c r="AM25" s="637">
        <v>45.813600000000001</v>
      </c>
      <c r="AN25" s="637">
        <v>34.965499999999999</v>
      </c>
      <c r="AO25" s="637">
        <v>36.886800000000001</v>
      </c>
      <c r="AP25" s="637">
        <v>26.427199999999999</v>
      </c>
      <c r="AQ25" s="637">
        <v>29.6937</v>
      </c>
      <c r="AR25" s="637">
        <v>30.127400000000002</v>
      </c>
      <c r="AS25" s="637">
        <v>23.255600000000001</v>
      </c>
      <c r="AT25" s="643">
        <v>42.406700000000001</v>
      </c>
      <c r="AU25" s="643">
        <v>27.150400000000001</v>
      </c>
      <c r="AV25" s="638">
        <v>37.343200000000003</v>
      </c>
      <c r="AX25" s="618" t="s">
        <v>51</v>
      </c>
      <c r="AY25" s="637">
        <v>9.9633000000000003</v>
      </c>
      <c r="AZ25" s="637">
        <v>18.6295</v>
      </c>
      <c r="BA25" s="637">
        <v>16.079699999999999</v>
      </c>
      <c r="BB25" s="637">
        <v>18.328499999999998</v>
      </c>
      <c r="BC25" s="637">
        <v>20.396999999999998</v>
      </c>
      <c r="BD25" s="637">
        <v>17.924399999999999</v>
      </c>
      <c r="BE25" s="637">
        <v>19.647400000000001</v>
      </c>
      <c r="BF25" s="637">
        <v>15.6907</v>
      </c>
      <c r="BG25" s="637">
        <v>13.258599999999999</v>
      </c>
      <c r="BH25" s="637">
        <v>16.0806</v>
      </c>
      <c r="BI25" s="637">
        <v>16.254999999999999</v>
      </c>
      <c r="BJ25" s="643">
        <v>18.976099999999999</v>
      </c>
      <c r="BK25" s="643">
        <v>15.323700000000001</v>
      </c>
      <c r="BL25" s="638">
        <v>17.7639</v>
      </c>
      <c r="BO25" s="622" t="s">
        <v>50</v>
      </c>
      <c r="BP25" s="618" t="s">
        <v>51</v>
      </c>
      <c r="BQ25" s="637">
        <v>0.81869999999999998</v>
      </c>
      <c r="BR25" s="637">
        <v>14.4169</v>
      </c>
      <c r="BS25" s="637">
        <v>11.707800000000001</v>
      </c>
      <c r="BT25" s="637">
        <v>10.320499999999999</v>
      </c>
      <c r="BU25" s="637">
        <v>10.724600000000001</v>
      </c>
      <c r="BV25" s="637">
        <v>9.3821999999999992</v>
      </c>
      <c r="BW25" s="637">
        <v>10.937099999999999</v>
      </c>
      <c r="BX25" s="637">
        <v>10.288</v>
      </c>
      <c r="BY25" s="637">
        <v>6.9499000000000004</v>
      </c>
      <c r="BZ25" s="637">
        <v>6.7587000000000002</v>
      </c>
      <c r="CA25" s="637">
        <v>15.8307</v>
      </c>
      <c r="CB25" s="643">
        <v>10.447900000000001</v>
      </c>
      <c r="CC25" s="643">
        <v>10.0274</v>
      </c>
      <c r="CD25" s="638">
        <v>10.308299999999999</v>
      </c>
    </row>
    <row r="26" spans="2:82" s="465" customFormat="1" ht="15.75" customHeight="1" x14ac:dyDescent="0.25">
      <c r="B26" s="622" t="s">
        <v>765</v>
      </c>
      <c r="C26" s="623">
        <v>250.75360000000001</v>
      </c>
      <c r="D26" s="623">
        <v>241.41390000000001</v>
      </c>
      <c r="E26" s="623">
        <v>205.89830000000001</v>
      </c>
      <c r="F26" s="623">
        <v>199.11060000000001</v>
      </c>
      <c r="G26" s="623">
        <v>244.7945</v>
      </c>
      <c r="H26" s="623">
        <v>218.95750000000001</v>
      </c>
      <c r="I26" s="623">
        <v>213.09630000000001</v>
      </c>
      <c r="J26" s="623">
        <v>218.10429999999999</v>
      </c>
      <c r="K26" s="623">
        <v>349.358</v>
      </c>
      <c r="L26" s="623">
        <v>245.74680000000001</v>
      </c>
      <c r="M26" s="623">
        <v>235.4734</v>
      </c>
      <c r="N26" s="624">
        <v>213.45</v>
      </c>
      <c r="O26" s="624">
        <v>266.77100000000002</v>
      </c>
      <c r="P26" s="609">
        <v>232.22919999999999</v>
      </c>
      <c r="R26" s="622" t="s">
        <v>765</v>
      </c>
      <c r="S26" s="623">
        <v>250.4111</v>
      </c>
      <c r="T26" s="623">
        <v>201.23699999999999</v>
      </c>
      <c r="U26" s="623">
        <v>165.81460000000001</v>
      </c>
      <c r="V26" s="623">
        <v>158.44640000000001</v>
      </c>
      <c r="W26" s="623">
        <v>202.78039999999999</v>
      </c>
      <c r="X26" s="623">
        <v>158.58930000000001</v>
      </c>
      <c r="Y26" s="623">
        <v>148.1489</v>
      </c>
      <c r="Z26" s="623">
        <v>152.672</v>
      </c>
      <c r="AA26" s="623">
        <v>199.15369999999999</v>
      </c>
      <c r="AB26" s="623">
        <v>169.66990000000001</v>
      </c>
      <c r="AC26" s="623">
        <v>109.98099999999999</v>
      </c>
      <c r="AD26" s="624">
        <v>166.1568</v>
      </c>
      <c r="AE26" s="624">
        <v>156.7552</v>
      </c>
      <c r="AF26" s="609">
        <v>162.84559999999999</v>
      </c>
      <c r="AH26" s="622" t="s">
        <v>765</v>
      </c>
      <c r="AI26" s="639">
        <v>71.078100000000006</v>
      </c>
      <c r="AJ26" s="639">
        <v>60.249299999999998</v>
      </c>
      <c r="AK26" s="639">
        <v>54.547400000000003</v>
      </c>
      <c r="AL26" s="639">
        <v>53.403199999999998</v>
      </c>
      <c r="AM26" s="639">
        <v>48.683399999999999</v>
      </c>
      <c r="AN26" s="639">
        <v>43.9407</v>
      </c>
      <c r="AO26" s="639">
        <v>43.584899999999998</v>
      </c>
      <c r="AP26" s="639">
        <v>42.554299999999998</v>
      </c>
      <c r="AQ26" s="639">
        <v>24.681699999999999</v>
      </c>
      <c r="AR26" s="639">
        <v>28.648099999999999</v>
      </c>
      <c r="AS26" s="639">
        <v>23.118500000000001</v>
      </c>
      <c r="AT26" s="644">
        <v>49.9101</v>
      </c>
      <c r="AU26" s="644">
        <v>29.3843</v>
      </c>
      <c r="AV26" s="640">
        <v>41.605800000000002</v>
      </c>
      <c r="AX26" s="622" t="s">
        <v>765</v>
      </c>
      <c r="AY26" s="639">
        <v>16.240400000000001</v>
      </c>
      <c r="AZ26" s="639">
        <v>15.505599999999999</v>
      </c>
      <c r="BA26" s="639">
        <v>18.631900000000002</v>
      </c>
      <c r="BB26" s="639">
        <v>17.068000000000001</v>
      </c>
      <c r="BC26" s="639">
        <v>15.926399999999999</v>
      </c>
      <c r="BD26" s="639">
        <v>18.875900000000001</v>
      </c>
      <c r="BE26" s="639">
        <v>15.8856</v>
      </c>
      <c r="BF26" s="639">
        <v>14.388199999999999</v>
      </c>
      <c r="BG26" s="639">
        <v>12.4377</v>
      </c>
      <c r="BH26" s="639">
        <v>16.1557</v>
      </c>
      <c r="BI26" s="639">
        <v>13.5594</v>
      </c>
      <c r="BJ26" s="644">
        <v>16.984500000000001</v>
      </c>
      <c r="BK26" s="644">
        <v>13.4847</v>
      </c>
      <c r="BL26" s="640">
        <v>15.5685</v>
      </c>
      <c r="BO26" s="618" t="s">
        <v>51</v>
      </c>
      <c r="BP26" s="622" t="s">
        <v>765</v>
      </c>
      <c r="BQ26" s="639">
        <v>12.5449</v>
      </c>
      <c r="BR26" s="639">
        <v>7.6026999999999996</v>
      </c>
      <c r="BS26" s="639">
        <v>7.3529999999999998</v>
      </c>
      <c r="BT26" s="639">
        <v>9.1059000000000001</v>
      </c>
      <c r="BU26" s="639">
        <v>18.2272</v>
      </c>
      <c r="BV26" s="639">
        <v>9.6126000000000005</v>
      </c>
      <c r="BW26" s="639">
        <v>10.051600000000001</v>
      </c>
      <c r="BX26" s="639">
        <v>13.0571</v>
      </c>
      <c r="BY26" s="639">
        <v>19.886199999999999</v>
      </c>
      <c r="BZ26" s="639">
        <v>24.238800000000001</v>
      </c>
      <c r="CA26" s="639">
        <v>10.0284</v>
      </c>
      <c r="CB26" s="644">
        <v>10.9489</v>
      </c>
      <c r="CC26" s="644">
        <v>15.891299999999999</v>
      </c>
      <c r="CD26" s="640">
        <v>12.948499999999999</v>
      </c>
    </row>
    <row r="27" spans="2:82" s="571" customFormat="1" ht="15.75" customHeight="1" x14ac:dyDescent="0.25">
      <c r="B27" s="618" t="s">
        <v>54</v>
      </c>
      <c r="C27" s="619">
        <v>2140.1241</v>
      </c>
      <c r="D27" s="619">
        <v>1727.5155999999999</v>
      </c>
      <c r="E27" s="619">
        <v>1123.52</v>
      </c>
      <c r="F27" s="619">
        <v>741.80259999999998</v>
      </c>
      <c r="G27" s="619">
        <v>516.4701</v>
      </c>
      <c r="H27" s="619">
        <v>982.2509</v>
      </c>
      <c r="I27" s="619">
        <v>329.38659999999999</v>
      </c>
      <c r="J27" s="619">
        <v>787.38199999999995</v>
      </c>
      <c r="K27" s="619">
        <v>604.03420000000006</v>
      </c>
      <c r="L27" s="619">
        <v>505.49700000000001</v>
      </c>
      <c r="M27" s="619" t="s">
        <v>102</v>
      </c>
      <c r="N27" s="620">
        <v>757.90800000000002</v>
      </c>
      <c r="O27" s="620">
        <v>565.13059999999996</v>
      </c>
      <c r="P27" s="621">
        <v>683.87739999999997</v>
      </c>
      <c r="R27" s="618" t="s">
        <v>54</v>
      </c>
      <c r="S27" s="619">
        <v>2007.0411999999999</v>
      </c>
      <c r="T27" s="619">
        <v>1413.7713000000001</v>
      </c>
      <c r="U27" s="619">
        <v>989.03</v>
      </c>
      <c r="V27" s="619">
        <v>574.25480000000005</v>
      </c>
      <c r="W27" s="619">
        <v>447.0018</v>
      </c>
      <c r="X27" s="619">
        <v>528.71069999999997</v>
      </c>
      <c r="Y27" s="619">
        <v>195.98159999999999</v>
      </c>
      <c r="Z27" s="619">
        <v>523.49339999999995</v>
      </c>
      <c r="AA27" s="619">
        <v>603.97349999999994</v>
      </c>
      <c r="AB27" s="619">
        <v>363.38979999999998</v>
      </c>
      <c r="AC27" s="619" t="s">
        <v>102</v>
      </c>
      <c r="AD27" s="620">
        <v>585.74670000000003</v>
      </c>
      <c r="AE27" s="620">
        <v>464.589</v>
      </c>
      <c r="AF27" s="621">
        <v>539.21960000000001</v>
      </c>
      <c r="AH27" s="618" t="s">
        <v>54</v>
      </c>
      <c r="AI27" s="637">
        <v>76.857500000000002</v>
      </c>
      <c r="AJ27" s="637">
        <v>62.781300000000002</v>
      </c>
      <c r="AK27" s="637">
        <v>72.063500000000005</v>
      </c>
      <c r="AL27" s="637">
        <v>54.826700000000002</v>
      </c>
      <c r="AM27" s="637">
        <v>70.590599999999995</v>
      </c>
      <c r="AN27" s="637">
        <v>46.555199999999999</v>
      </c>
      <c r="AO27" s="637">
        <v>39.743899999999996</v>
      </c>
      <c r="AP27" s="637">
        <v>44.789400000000001</v>
      </c>
      <c r="AQ27" s="637">
        <v>36.471800000000002</v>
      </c>
      <c r="AR27" s="637">
        <v>56.888599999999997</v>
      </c>
      <c r="AS27" s="637" t="s">
        <v>102</v>
      </c>
      <c r="AT27" s="643">
        <v>59.914299999999997</v>
      </c>
      <c r="AU27" s="643">
        <v>47.512900000000002</v>
      </c>
      <c r="AV27" s="638">
        <v>55.978900000000003</v>
      </c>
      <c r="AX27" s="618" t="s">
        <v>54</v>
      </c>
      <c r="AY27" s="637">
        <v>15.713100000000001</v>
      </c>
      <c r="AZ27" s="637">
        <v>13.265000000000001</v>
      </c>
      <c r="BA27" s="637">
        <v>11.5245</v>
      </c>
      <c r="BB27" s="637">
        <v>11.3301</v>
      </c>
      <c r="BC27" s="637">
        <v>13.692299999999999</v>
      </c>
      <c r="BD27" s="637">
        <v>7.0496999999999996</v>
      </c>
      <c r="BE27" s="637">
        <v>14.2941</v>
      </c>
      <c r="BF27" s="637">
        <v>17.649100000000001</v>
      </c>
      <c r="BG27" s="637">
        <v>10.5044</v>
      </c>
      <c r="BH27" s="637">
        <v>5.9508000000000001</v>
      </c>
      <c r="BI27" s="637" t="s">
        <v>102</v>
      </c>
      <c r="BJ27" s="643">
        <v>12.0115</v>
      </c>
      <c r="BK27" s="643">
        <v>9.0960000000000001</v>
      </c>
      <c r="BL27" s="638">
        <v>11.0863</v>
      </c>
      <c r="BO27" s="622" t="s">
        <v>52</v>
      </c>
      <c r="BP27" s="618" t="s">
        <v>54</v>
      </c>
      <c r="BQ27" s="637">
        <v>1.2109000000000001</v>
      </c>
      <c r="BR27" s="637">
        <v>5.7920999999999996</v>
      </c>
      <c r="BS27" s="637">
        <v>4.4416000000000002</v>
      </c>
      <c r="BT27" s="637">
        <v>11.256600000000001</v>
      </c>
      <c r="BU27" s="637">
        <v>2.2665000000000002</v>
      </c>
      <c r="BV27" s="637">
        <v>0.22159999999999999</v>
      </c>
      <c r="BW27" s="637">
        <v>5.4610000000000003</v>
      </c>
      <c r="BX27" s="637">
        <v>4.0468000000000002</v>
      </c>
      <c r="BY27" s="637">
        <v>53.0137</v>
      </c>
      <c r="BZ27" s="637">
        <v>9.0482999999999993</v>
      </c>
      <c r="CA27" s="637" t="s">
        <v>102</v>
      </c>
      <c r="CB27" s="643">
        <v>5.3589000000000002</v>
      </c>
      <c r="CC27" s="643">
        <v>25.600200000000001</v>
      </c>
      <c r="CD27" s="638">
        <v>11.7822</v>
      </c>
    </row>
    <row r="28" spans="2:82" s="465" customFormat="1" ht="15.75" customHeight="1" x14ac:dyDescent="0.25">
      <c r="B28" s="622" t="s">
        <v>132</v>
      </c>
      <c r="C28" s="623">
        <v>359.82600000000002</v>
      </c>
      <c r="D28" s="623">
        <v>319.23390000000001</v>
      </c>
      <c r="E28" s="623">
        <v>258.44580000000002</v>
      </c>
      <c r="F28" s="623">
        <v>256.82619999999997</v>
      </c>
      <c r="G28" s="623">
        <v>256.72129999999999</v>
      </c>
      <c r="H28" s="623">
        <v>262.29259999999999</v>
      </c>
      <c r="I28" s="623">
        <v>266.80439999999999</v>
      </c>
      <c r="J28" s="623">
        <v>243.11930000000001</v>
      </c>
      <c r="K28" s="623">
        <v>293.62779999999998</v>
      </c>
      <c r="L28" s="623">
        <v>432.0643</v>
      </c>
      <c r="M28" s="623">
        <v>316.63010000000003</v>
      </c>
      <c r="N28" s="624">
        <v>263.68130000000002</v>
      </c>
      <c r="O28" s="624">
        <v>295.00889999999998</v>
      </c>
      <c r="P28" s="609">
        <v>275.26749999999998</v>
      </c>
      <c r="R28" s="622" t="s">
        <v>132</v>
      </c>
      <c r="S28" s="623">
        <v>286.9667</v>
      </c>
      <c r="T28" s="623">
        <v>238.96850000000001</v>
      </c>
      <c r="U28" s="623">
        <v>199.67259999999999</v>
      </c>
      <c r="V28" s="623">
        <v>205.91249999999999</v>
      </c>
      <c r="W28" s="623">
        <v>186.51859999999999</v>
      </c>
      <c r="X28" s="623">
        <v>180.6652</v>
      </c>
      <c r="Y28" s="623">
        <v>188.0677</v>
      </c>
      <c r="Z28" s="623">
        <v>172.88890000000001</v>
      </c>
      <c r="AA28" s="623">
        <v>164.96559999999999</v>
      </c>
      <c r="AB28" s="623">
        <v>213.25129999999999</v>
      </c>
      <c r="AC28" s="623">
        <v>120.0825</v>
      </c>
      <c r="AD28" s="624">
        <v>198.52520000000001</v>
      </c>
      <c r="AE28" s="624">
        <v>153.17590000000001</v>
      </c>
      <c r="AF28" s="609">
        <v>181.7533</v>
      </c>
      <c r="AH28" s="622" t="s">
        <v>132</v>
      </c>
      <c r="AI28" s="639">
        <v>53.0871</v>
      </c>
      <c r="AJ28" s="639">
        <v>52.036499999999997</v>
      </c>
      <c r="AK28" s="639">
        <v>49.743099999999998</v>
      </c>
      <c r="AL28" s="639">
        <v>49.744100000000003</v>
      </c>
      <c r="AM28" s="639">
        <v>43.280700000000003</v>
      </c>
      <c r="AN28" s="639">
        <v>41.729399999999998</v>
      </c>
      <c r="AO28" s="639">
        <v>40.837299999999999</v>
      </c>
      <c r="AP28" s="639">
        <v>41.086300000000001</v>
      </c>
      <c r="AQ28" s="639">
        <v>37.290700000000001</v>
      </c>
      <c r="AR28" s="639">
        <v>31.738099999999999</v>
      </c>
      <c r="AS28" s="639">
        <v>17.604199999999999</v>
      </c>
      <c r="AT28" s="644">
        <v>46.340400000000002</v>
      </c>
      <c r="AU28" s="644">
        <v>29.592300000000002</v>
      </c>
      <c r="AV28" s="640">
        <v>39.702100000000002</v>
      </c>
      <c r="AX28" s="622" t="s">
        <v>132</v>
      </c>
      <c r="AY28" s="639">
        <v>20.505199999999999</v>
      </c>
      <c r="AZ28" s="639">
        <v>18.094000000000001</v>
      </c>
      <c r="BA28" s="639">
        <v>16.887599999999999</v>
      </c>
      <c r="BB28" s="639">
        <v>17.385300000000001</v>
      </c>
      <c r="BC28" s="639">
        <v>16.9788</v>
      </c>
      <c r="BD28" s="639">
        <v>17.987100000000002</v>
      </c>
      <c r="BE28" s="639">
        <v>18.239100000000001</v>
      </c>
      <c r="BF28" s="639">
        <v>17.3429</v>
      </c>
      <c r="BG28" s="639">
        <v>13.1065</v>
      </c>
      <c r="BH28" s="639">
        <v>14.983599999999999</v>
      </c>
      <c r="BI28" s="639">
        <v>12.009600000000001</v>
      </c>
      <c r="BJ28" s="644">
        <v>17.587299999999999</v>
      </c>
      <c r="BK28" s="644">
        <v>13.950900000000001</v>
      </c>
      <c r="BL28" s="640">
        <v>16.146000000000001</v>
      </c>
      <c r="BO28" s="618" t="s">
        <v>53</v>
      </c>
      <c r="BP28" s="622" t="s">
        <v>132</v>
      </c>
      <c r="BQ28" s="639">
        <v>6.1593</v>
      </c>
      <c r="BR28" s="639">
        <v>4.7263999999999999</v>
      </c>
      <c r="BS28" s="639">
        <v>10.6282</v>
      </c>
      <c r="BT28" s="639">
        <v>13.0464</v>
      </c>
      <c r="BU28" s="639">
        <v>12.394600000000001</v>
      </c>
      <c r="BV28" s="639">
        <v>9.1628000000000007</v>
      </c>
      <c r="BW28" s="639">
        <v>11.412599999999999</v>
      </c>
      <c r="BX28" s="639">
        <v>12.6836</v>
      </c>
      <c r="BY28" s="639">
        <v>5.7846000000000002</v>
      </c>
      <c r="BZ28" s="639">
        <v>2.6347</v>
      </c>
      <c r="CA28" s="639">
        <v>8.3114000000000008</v>
      </c>
      <c r="CB28" s="644">
        <v>11.3622</v>
      </c>
      <c r="CC28" s="644">
        <v>8.3792000000000009</v>
      </c>
      <c r="CD28" s="640">
        <v>10.1798</v>
      </c>
    </row>
    <row r="29" spans="2:82" s="571" customFormat="1" ht="15.75" customHeight="1" x14ac:dyDescent="0.25">
      <c r="B29" s="618" t="s">
        <v>766</v>
      </c>
      <c r="C29" s="619">
        <v>315.15469999999999</v>
      </c>
      <c r="D29" s="619">
        <v>267.98129999999998</v>
      </c>
      <c r="E29" s="619">
        <v>227.83619999999999</v>
      </c>
      <c r="F29" s="619">
        <v>202.8098</v>
      </c>
      <c r="G29" s="619">
        <v>216.36330000000001</v>
      </c>
      <c r="H29" s="619">
        <v>222.8535</v>
      </c>
      <c r="I29" s="619">
        <v>193.3509</v>
      </c>
      <c r="J29" s="619">
        <v>219.86019999999999</v>
      </c>
      <c r="K29" s="619">
        <v>262.31650000000002</v>
      </c>
      <c r="L29" s="619">
        <v>277.15449999999998</v>
      </c>
      <c r="M29" s="619">
        <v>267.65629999999999</v>
      </c>
      <c r="N29" s="620">
        <v>210.17410000000001</v>
      </c>
      <c r="O29" s="620">
        <v>253.02959999999999</v>
      </c>
      <c r="P29" s="621">
        <v>228.47399999999999</v>
      </c>
      <c r="R29" s="618" t="s">
        <v>766</v>
      </c>
      <c r="S29" s="619">
        <v>243.90219999999999</v>
      </c>
      <c r="T29" s="619">
        <v>227.04769999999999</v>
      </c>
      <c r="U29" s="619">
        <v>185.0823</v>
      </c>
      <c r="V29" s="619">
        <v>165.26400000000001</v>
      </c>
      <c r="W29" s="619">
        <v>168.90690000000001</v>
      </c>
      <c r="X29" s="619">
        <v>177.3493</v>
      </c>
      <c r="Y29" s="619">
        <v>162.5427</v>
      </c>
      <c r="Z29" s="619">
        <v>163.8374</v>
      </c>
      <c r="AA29" s="619">
        <v>180.19220000000001</v>
      </c>
      <c r="AB29" s="619">
        <v>158.66380000000001</v>
      </c>
      <c r="AC29" s="619">
        <v>109.44329999999999</v>
      </c>
      <c r="AD29" s="620">
        <v>170.7988</v>
      </c>
      <c r="AE29" s="620">
        <v>160.5574</v>
      </c>
      <c r="AF29" s="621">
        <v>166.4256</v>
      </c>
      <c r="AH29" s="618" t="s">
        <v>766</v>
      </c>
      <c r="AI29" s="637">
        <v>57.636299999999999</v>
      </c>
      <c r="AJ29" s="637">
        <v>61.443199999999997</v>
      </c>
      <c r="AK29" s="637">
        <v>56.221800000000002</v>
      </c>
      <c r="AL29" s="637">
        <v>57.223199999999999</v>
      </c>
      <c r="AM29" s="637">
        <v>51.153700000000001</v>
      </c>
      <c r="AN29" s="637">
        <v>43.765799999999999</v>
      </c>
      <c r="AO29" s="637">
        <v>50.753399999999999</v>
      </c>
      <c r="AP29" s="637">
        <v>46.397199999999998</v>
      </c>
      <c r="AQ29" s="637">
        <v>37.799500000000002</v>
      </c>
      <c r="AR29" s="637">
        <v>35.9345</v>
      </c>
      <c r="AS29" s="637">
        <v>16.906400000000001</v>
      </c>
      <c r="AT29" s="643">
        <v>53.053800000000003</v>
      </c>
      <c r="AU29" s="643">
        <v>36.497399999999999</v>
      </c>
      <c r="AV29" s="638">
        <v>45.224200000000003</v>
      </c>
      <c r="AX29" s="618" t="s">
        <v>766</v>
      </c>
      <c r="AY29" s="637">
        <v>17.161100000000001</v>
      </c>
      <c r="AZ29" s="637">
        <v>18.001799999999999</v>
      </c>
      <c r="BA29" s="637">
        <v>16.638300000000001</v>
      </c>
      <c r="BB29" s="637">
        <v>18.282399999999999</v>
      </c>
      <c r="BC29" s="637">
        <v>18.982600000000001</v>
      </c>
      <c r="BD29" s="637">
        <v>19.9374</v>
      </c>
      <c r="BE29" s="637">
        <v>21.1983</v>
      </c>
      <c r="BF29" s="637">
        <v>18.898499999999999</v>
      </c>
      <c r="BG29" s="637">
        <v>17.6675</v>
      </c>
      <c r="BH29" s="637">
        <v>13.850899999999999</v>
      </c>
      <c r="BI29" s="637">
        <v>15.2303</v>
      </c>
      <c r="BJ29" s="643">
        <v>19.053599999999999</v>
      </c>
      <c r="BK29" s="643">
        <v>16.7727</v>
      </c>
      <c r="BL29" s="638">
        <v>17.974900000000002</v>
      </c>
      <c r="BO29" s="622" t="s">
        <v>54</v>
      </c>
      <c r="BP29" s="618" t="s">
        <v>766</v>
      </c>
      <c r="BQ29" s="637">
        <v>2.5939000000000001</v>
      </c>
      <c r="BR29" s="637">
        <v>5.2801999999999998</v>
      </c>
      <c r="BS29" s="637">
        <v>8.3747000000000007</v>
      </c>
      <c r="BT29" s="637">
        <v>5.9816000000000003</v>
      </c>
      <c r="BU29" s="637">
        <v>7.9301000000000004</v>
      </c>
      <c r="BV29" s="637">
        <v>15.8779</v>
      </c>
      <c r="BW29" s="637">
        <v>12.1144</v>
      </c>
      <c r="BX29" s="637">
        <v>9.2232000000000003</v>
      </c>
      <c r="BY29" s="637">
        <v>13.2256</v>
      </c>
      <c r="BZ29" s="637">
        <v>7.4621000000000004</v>
      </c>
      <c r="CA29" s="637">
        <v>8.7528000000000006</v>
      </c>
      <c r="CB29" s="643">
        <v>9.1579999999999995</v>
      </c>
      <c r="CC29" s="643">
        <v>10.1839</v>
      </c>
      <c r="CD29" s="638">
        <v>9.6432000000000002</v>
      </c>
    </row>
    <row r="30" spans="2:82" s="465" customFormat="1" ht="15.75" customHeight="1" x14ac:dyDescent="0.25">
      <c r="B30" s="622" t="s">
        <v>133</v>
      </c>
      <c r="C30" s="623">
        <v>144.22409999999999</v>
      </c>
      <c r="D30" s="623">
        <v>191.91829999999999</v>
      </c>
      <c r="E30" s="623">
        <v>152.63249999999999</v>
      </c>
      <c r="F30" s="623">
        <v>173.9127</v>
      </c>
      <c r="G30" s="623">
        <v>211.02770000000001</v>
      </c>
      <c r="H30" s="623">
        <v>274.50560000000002</v>
      </c>
      <c r="I30" s="623">
        <v>218.19630000000001</v>
      </c>
      <c r="J30" s="623">
        <v>273.8107</v>
      </c>
      <c r="K30" s="623">
        <v>288.79140000000001</v>
      </c>
      <c r="L30" s="623">
        <v>249.26259999999999</v>
      </c>
      <c r="M30" s="623">
        <v>241.74019999999999</v>
      </c>
      <c r="N30" s="624">
        <v>196.7004</v>
      </c>
      <c r="O30" s="624">
        <v>265.23039999999997</v>
      </c>
      <c r="P30" s="609">
        <v>219.77959999999999</v>
      </c>
      <c r="R30" s="622" t="s">
        <v>133</v>
      </c>
      <c r="S30" s="623">
        <v>136.75559999999999</v>
      </c>
      <c r="T30" s="623">
        <v>152.6019</v>
      </c>
      <c r="U30" s="623">
        <v>129.5737</v>
      </c>
      <c r="V30" s="623">
        <v>146.45590000000001</v>
      </c>
      <c r="W30" s="623">
        <v>176.49160000000001</v>
      </c>
      <c r="X30" s="623">
        <v>183.02209999999999</v>
      </c>
      <c r="Y30" s="623">
        <v>157.91820000000001</v>
      </c>
      <c r="Z30" s="623">
        <v>205.47739999999999</v>
      </c>
      <c r="AA30" s="623">
        <v>183.46199999999999</v>
      </c>
      <c r="AB30" s="623">
        <v>138.04040000000001</v>
      </c>
      <c r="AC30" s="623">
        <v>144.077</v>
      </c>
      <c r="AD30" s="624">
        <v>155.37719999999999</v>
      </c>
      <c r="AE30" s="624">
        <v>173.499</v>
      </c>
      <c r="AF30" s="609">
        <v>161.4802</v>
      </c>
      <c r="AH30" s="622" t="s">
        <v>133</v>
      </c>
      <c r="AI30" s="639">
        <v>62.163800000000002</v>
      </c>
      <c r="AJ30" s="639">
        <v>48.9923</v>
      </c>
      <c r="AK30" s="639">
        <v>50.3979</v>
      </c>
      <c r="AL30" s="639">
        <v>53.558399999999999</v>
      </c>
      <c r="AM30" s="639">
        <v>46.902900000000002</v>
      </c>
      <c r="AN30" s="639">
        <v>37.872599999999998</v>
      </c>
      <c r="AO30" s="639">
        <v>39.864400000000003</v>
      </c>
      <c r="AP30" s="639">
        <v>38.026899999999998</v>
      </c>
      <c r="AQ30" s="639">
        <v>35.911900000000003</v>
      </c>
      <c r="AR30" s="639">
        <v>22.854399999999998</v>
      </c>
      <c r="AS30" s="639">
        <v>26.8855</v>
      </c>
      <c r="AT30" s="644">
        <v>46.875399999999999</v>
      </c>
      <c r="AU30" s="644">
        <v>32.893700000000003</v>
      </c>
      <c r="AV30" s="640">
        <v>41.192999999999998</v>
      </c>
      <c r="AX30" s="622" t="s">
        <v>133</v>
      </c>
      <c r="AY30" s="639">
        <v>25.299499999999998</v>
      </c>
      <c r="AZ30" s="639">
        <v>17.224299999999999</v>
      </c>
      <c r="BA30" s="639">
        <v>18.5001</v>
      </c>
      <c r="BB30" s="639">
        <v>18.489100000000001</v>
      </c>
      <c r="BC30" s="639">
        <v>20.056999999999999</v>
      </c>
      <c r="BD30" s="639">
        <v>16.7502</v>
      </c>
      <c r="BE30" s="639">
        <v>17.987500000000001</v>
      </c>
      <c r="BF30" s="639">
        <v>19.447600000000001</v>
      </c>
      <c r="BG30" s="639">
        <v>17.275300000000001</v>
      </c>
      <c r="BH30" s="639">
        <v>28.927199999999999</v>
      </c>
      <c r="BI30" s="639">
        <v>13.898300000000001</v>
      </c>
      <c r="BJ30" s="644">
        <v>18.362300000000001</v>
      </c>
      <c r="BK30" s="644">
        <v>17.670999999999999</v>
      </c>
      <c r="BL30" s="640">
        <v>18.081399999999999</v>
      </c>
      <c r="BO30" s="618" t="s">
        <v>55</v>
      </c>
      <c r="BP30" s="622" t="s">
        <v>133</v>
      </c>
      <c r="BQ30" s="639">
        <v>7.3583999999999996</v>
      </c>
      <c r="BR30" s="639">
        <v>13.2974</v>
      </c>
      <c r="BS30" s="639">
        <v>15.9946</v>
      </c>
      <c r="BT30" s="639">
        <v>12.1648</v>
      </c>
      <c r="BU30" s="639">
        <v>16.674399999999999</v>
      </c>
      <c r="BV30" s="639">
        <v>12.050599999999999</v>
      </c>
      <c r="BW30" s="639">
        <v>14.522600000000001</v>
      </c>
      <c r="BX30" s="639">
        <v>17.569099999999999</v>
      </c>
      <c r="BY30" s="639">
        <v>10.340299999999999</v>
      </c>
      <c r="BZ30" s="639">
        <v>3.5979999999999999</v>
      </c>
      <c r="CA30" s="639">
        <v>18.816199999999998</v>
      </c>
      <c r="CB30" s="644">
        <v>13.754099999999999</v>
      </c>
      <c r="CC30" s="644">
        <v>14.8497</v>
      </c>
      <c r="CD30" s="640">
        <v>14.199400000000001</v>
      </c>
    </row>
    <row r="31" spans="2:82" s="571" customFormat="1" ht="15.75" customHeight="1" x14ac:dyDescent="0.25">
      <c r="B31" s="618" t="s">
        <v>767</v>
      </c>
      <c r="C31" s="619">
        <v>361.31299999999999</v>
      </c>
      <c r="D31" s="619">
        <v>265.48840000000001</v>
      </c>
      <c r="E31" s="619">
        <v>236.68299999999999</v>
      </c>
      <c r="F31" s="619">
        <v>236.88050000000001</v>
      </c>
      <c r="G31" s="619">
        <v>253.55439999999999</v>
      </c>
      <c r="H31" s="619">
        <v>278.26440000000002</v>
      </c>
      <c r="I31" s="619">
        <v>248.46209999999999</v>
      </c>
      <c r="J31" s="619">
        <v>219.60769999999999</v>
      </c>
      <c r="K31" s="619">
        <v>303.2611</v>
      </c>
      <c r="L31" s="619">
        <v>356.68189999999998</v>
      </c>
      <c r="M31" s="619">
        <v>349.70740000000001</v>
      </c>
      <c r="N31" s="620">
        <v>247.4872</v>
      </c>
      <c r="O31" s="620">
        <v>305.24939999999998</v>
      </c>
      <c r="P31" s="621">
        <v>268.01229999999998</v>
      </c>
      <c r="R31" s="618" t="s">
        <v>767</v>
      </c>
      <c r="S31" s="619">
        <v>305.48930000000001</v>
      </c>
      <c r="T31" s="619">
        <v>207.9417</v>
      </c>
      <c r="U31" s="619">
        <v>186.8578</v>
      </c>
      <c r="V31" s="619">
        <v>177.67599999999999</v>
      </c>
      <c r="W31" s="619">
        <v>171.33949999999999</v>
      </c>
      <c r="X31" s="619">
        <v>196.9247</v>
      </c>
      <c r="Y31" s="619">
        <v>179.85509999999999</v>
      </c>
      <c r="Z31" s="619">
        <v>156.24770000000001</v>
      </c>
      <c r="AA31" s="619">
        <v>170.512</v>
      </c>
      <c r="AB31" s="619">
        <v>164.81299999999999</v>
      </c>
      <c r="AC31" s="619">
        <v>109.4314</v>
      </c>
      <c r="AD31" s="620">
        <v>181.11279999999999</v>
      </c>
      <c r="AE31" s="620">
        <v>154.99969999999999</v>
      </c>
      <c r="AF31" s="621">
        <v>171.8338</v>
      </c>
      <c r="AH31" s="618" t="s">
        <v>767</v>
      </c>
      <c r="AI31" s="637">
        <v>58.346299999999999</v>
      </c>
      <c r="AJ31" s="637">
        <v>54.753100000000003</v>
      </c>
      <c r="AK31" s="637">
        <v>53.3172</v>
      </c>
      <c r="AL31" s="637">
        <v>47.360799999999998</v>
      </c>
      <c r="AM31" s="637">
        <v>40.4251</v>
      </c>
      <c r="AN31" s="637">
        <v>38.348999999999997</v>
      </c>
      <c r="AO31" s="637">
        <v>40.980699999999999</v>
      </c>
      <c r="AP31" s="637">
        <v>40.624899999999997</v>
      </c>
      <c r="AQ31" s="637">
        <v>28.786300000000001</v>
      </c>
      <c r="AR31" s="637">
        <v>20.5931</v>
      </c>
      <c r="AS31" s="637">
        <v>18.2242</v>
      </c>
      <c r="AT31" s="643">
        <v>44.625599999999999</v>
      </c>
      <c r="AU31" s="643">
        <v>26.299299999999999</v>
      </c>
      <c r="AV31" s="638">
        <v>37.208799999999997</v>
      </c>
      <c r="AX31" s="618" t="s">
        <v>767</v>
      </c>
      <c r="AY31" s="637">
        <v>20.938099999999999</v>
      </c>
      <c r="AZ31" s="637">
        <v>17.9162</v>
      </c>
      <c r="BA31" s="637">
        <v>16.9758</v>
      </c>
      <c r="BB31" s="637">
        <v>16.790500000000002</v>
      </c>
      <c r="BC31" s="637">
        <v>15.8185</v>
      </c>
      <c r="BD31" s="637">
        <v>16.644400000000001</v>
      </c>
      <c r="BE31" s="637">
        <v>18.515499999999999</v>
      </c>
      <c r="BF31" s="637">
        <v>18.920500000000001</v>
      </c>
      <c r="BG31" s="637">
        <v>14.2509</v>
      </c>
      <c r="BH31" s="637">
        <v>14.664999999999999</v>
      </c>
      <c r="BI31" s="637">
        <v>7.8033000000000001</v>
      </c>
      <c r="BJ31" s="643">
        <v>17.031700000000001</v>
      </c>
      <c r="BK31" s="643">
        <v>13.786</v>
      </c>
      <c r="BL31" s="638">
        <v>15.7182</v>
      </c>
      <c r="BO31" s="622" t="s">
        <v>92</v>
      </c>
      <c r="BP31" s="618" t="s">
        <v>767</v>
      </c>
      <c r="BQ31" s="637">
        <v>5.2652999999999999</v>
      </c>
      <c r="BR31" s="637">
        <v>5.6548999999999996</v>
      </c>
      <c r="BS31" s="637">
        <v>8.6555999999999997</v>
      </c>
      <c r="BT31" s="637">
        <v>10.8553</v>
      </c>
      <c r="BU31" s="637">
        <v>11.3315</v>
      </c>
      <c r="BV31" s="637">
        <v>15.775499999999999</v>
      </c>
      <c r="BW31" s="637">
        <v>12.8911</v>
      </c>
      <c r="BX31" s="637">
        <v>11.603199999999999</v>
      </c>
      <c r="BY31" s="637">
        <v>13.188800000000001</v>
      </c>
      <c r="BZ31" s="637">
        <v>10.9491</v>
      </c>
      <c r="CA31" s="637">
        <v>5.2648000000000001</v>
      </c>
      <c r="CB31" s="643">
        <v>11.523300000000001</v>
      </c>
      <c r="CC31" s="643">
        <v>10.6928</v>
      </c>
      <c r="CD31" s="638">
        <v>11.187200000000001</v>
      </c>
    </row>
    <row r="32" spans="2:82" s="465" customFormat="1" ht="15.75" customHeight="1" x14ac:dyDescent="0.25">
      <c r="B32" s="622" t="s">
        <v>134</v>
      </c>
      <c r="C32" s="623">
        <v>650.1155</v>
      </c>
      <c r="D32" s="623">
        <v>418.70519999999999</v>
      </c>
      <c r="E32" s="623">
        <v>312.95710000000003</v>
      </c>
      <c r="F32" s="623">
        <v>316.15249999999997</v>
      </c>
      <c r="G32" s="623">
        <v>300.25490000000002</v>
      </c>
      <c r="H32" s="623">
        <v>289.95330000000001</v>
      </c>
      <c r="I32" s="623">
        <v>332.45650000000001</v>
      </c>
      <c r="J32" s="623">
        <v>259.42529999999999</v>
      </c>
      <c r="K32" s="623">
        <v>259.4486</v>
      </c>
      <c r="L32" s="623">
        <v>476.30380000000002</v>
      </c>
      <c r="M32" s="623">
        <v>281.74540000000002</v>
      </c>
      <c r="N32" s="624">
        <v>321.58249999999998</v>
      </c>
      <c r="O32" s="624">
        <v>290.72820000000002</v>
      </c>
      <c r="P32" s="609">
        <v>308.86369999999999</v>
      </c>
      <c r="R32" s="622" t="s">
        <v>134</v>
      </c>
      <c r="S32" s="623">
        <v>492.73329999999999</v>
      </c>
      <c r="T32" s="623">
        <v>328.48500000000001</v>
      </c>
      <c r="U32" s="623">
        <v>244.02940000000001</v>
      </c>
      <c r="V32" s="623">
        <v>237.2492</v>
      </c>
      <c r="W32" s="623">
        <v>216.81290000000001</v>
      </c>
      <c r="X32" s="623">
        <v>206.21549999999999</v>
      </c>
      <c r="Y32" s="623">
        <v>209.78309999999999</v>
      </c>
      <c r="Z32" s="623">
        <v>149.0967</v>
      </c>
      <c r="AA32" s="623">
        <v>168.8278</v>
      </c>
      <c r="AB32" s="623">
        <v>215.3108</v>
      </c>
      <c r="AC32" s="623">
        <v>120.5462</v>
      </c>
      <c r="AD32" s="624">
        <v>230.07490000000001</v>
      </c>
      <c r="AE32" s="624">
        <v>148.07329999999999</v>
      </c>
      <c r="AF32" s="609">
        <v>196.27209999999999</v>
      </c>
      <c r="AH32" s="622" t="s">
        <v>134</v>
      </c>
      <c r="AI32" s="639">
        <v>54.619199999999999</v>
      </c>
      <c r="AJ32" s="639">
        <v>55.570999999999998</v>
      </c>
      <c r="AK32" s="639">
        <v>54.119700000000002</v>
      </c>
      <c r="AL32" s="639">
        <v>50.1599</v>
      </c>
      <c r="AM32" s="639">
        <v>47.740499999999997</v>
      </c>
      <c r="AN32" s="639">
        <v>44.822000000000003</v>
      </c>
      <c r="AO32" s="639">
        <v>32.861199999999997</v>
      </c>
      <c r="AP32" s="639">
        <v>30.725000000000001</v>
      </c>
      <c r="AQ32" s="639">
        <v>25.6919</v>
      </c>
      <c r="AR32" s="639">
        <v>22.9634</v>
      </c>
      <c r="AS32" s="639">
        <v>15.952299999999999</v>
      </c>
      <c r="AT32" s="644">
        <v>45.482199999999999</v>
      </c>
      <c r="AU32" s="644">
        <v>22.266200000000001</v>
      </c>
      <c r="AV32" s="640">
        <v>36.473999999999997</v>
      </c>
      <c r="AX32" s="622" t="s">
        <v>134</v>
      </c>
      <c r="AY32" s="639">
        <v>17.496400000000001</v>
      </c>
      <c r="AZ32" s="639">
        <v>15.828799999999999</v>
      </c>
      <c r="BA32" s="639">
        <v>16.126899999999999</v>
      </c>
      <c r="BB32" s="639">
        <v>15.682399999999999</v>
      </c>
      <c r="BC32" s="639">
        <v>15.170999999999999</v>
      </c>
      <c r="BD32" s="639">
        <v>16.020099999999999</v>
      </c>
      <c r="BE32" s="639">
        <v>15.884399999999999</v>
      </c>
      <c r="BF32" s="639">
        <v>16.289200000000001</v>
      </c>
      <c r="BG32" s="639">
        <v>18.333600000000001</v>
      </c>
      <c r="BH32" s="639">
        <v>12.3817</v>
      </c>
      <c r="BI32" s="639">
        <v>15.0953</v>
      </c>
      <c r="BJ32" s="644">
        <v>15.786300000000001</v>
      </c>
      <c r="BK32" s="644">
        <v>15.5761</v>
      </c>
      <c r="BL32" s="640">
        <v>15.704700000000001</v>
      </c>
      <c r="BO32" s="618" t="s">
        <v>56</v>
      </c>
      <c r="BP32" s="622" t="s">
        <v>134</v>
      </c>
      <c r="BQ32" s="639">
        <v>3.6760000000000002</v>
      </c>
      <c r="BR32" s="639">
        <v>7.0528000000000004</v>
      </c>
      <c r="BS32" s="639">
        <v>7.7286999999999999</v>
      </c>
      <c r="BT32" s="639">
        <v>9.2004000000000001</v>
      </c>
      <c r="BU32" s="639">
        <v>9.2980999999999998</v>
      </c>
      <c r="BV32" s="639">
        <v>10.2781</v>
      </c>
      <c r="BW32" s="639">
        <v>14.3552</v>
      </c>
      <c r="BX32" s="639">
        <v>10.457800000000001</v>
      </c>
      <c r="BY32" s="639">
        <v>21.046199999999999</v>
      </c>
      <c r="BZ32" s="639">
        <v>9.8594000000000008</v>
      </c>
      <c r="CA32" s="639">
        <v>11.7379</v>
      </c>
      <c r="CB32" s="644">
        <v>10.2761</v>
      </c>
      <c r="CC32" s="644">
        <v>13.089600000000001</v>
      </c>
      <c r="CD32" s="640">
        <v>11.367800000000001</v>
      </c>
    </row>
    <row r="33" spans="2:82" s="571" customFormat="1" ht="15.75" customHeight="1" x14ac:dyDescent="0.25">
      <c r="B33" s="618" t="s">
        <v>63</v>
      </c>
      <c r="C33" s="619">
        <v>241.78360000000001</v>
      </c>
      <c r="D33" s="619">
        <v>226.4735</v>
      </c>
      <c r="E33" s="619">
        <v>216.05950000000001</v>
      </c>
      <c r="F33" s="619">
        <v>229.7782</v>
      </c>
      <c r="G33" s="619">
        <v>226.95920000000001</v>
      </c>
      <c r="H33" s="619">
        <v>224.2773</v>
      </c>
      <c r="I33" s="619">
        <v>217.89250000000001</v>
      </c>
      <c r="J33" s="619">
        <v>238.69829999999999</v>
      </c>
      <c r="K33" s="619">
        <v>244.43469999999999</v>
      </c>
      <c r="L33" s="619">
        <v>326.3981</v>
      </c>
      <c r="M33" s="619">
        <v>210.06370000000001</v>
      </c>
      <c r="N33" s="620">
        <v>224.10659999999999</v>
      </c>
      <c r="O33" s="620">
        <v>244.03530000000001</v>
      </c>
      <c r="P33" s="621">
        <v>233.13919999999999</v>
      </c>
      <c r="R33" s="618" t="s">
        <v>63</v>
      </c>
      <c r="S33" s="619">
        <v>241.78360000000001</v>
      </c>
      <c r="T33" s="619">
        <v>181.08760000000001</v>
      </c>
      <c r="U33" s="619">
        <v>152.11009999999999</v>
      </c>
      <c r="V33" s="619">
        <v>172.71369999999999</v>
      </c>
      <c r="W33" s="619">
        <v>158.54650000000001</v>
      </c>
      <c r="X33" s="619">
        <v>173.5977</v>
      </c>
      <c r="Y33" s="619">
        <v>154.03489999999999</v>
      </c>
      <c r="Z33" s="619">
        <v>143.77879999999999</v>
      </c>
      <c r="AA33" s="619">
        <v>122.9633</v>
      </c>
      <c r="AB33" s="619">
        <v>117.4122</v>
      </c>
      <c r="AC33" s="619">
        <v>83.983599999999996</v>
      </c>
      <c r="AD33" s="620">
        <v>163.0478</v>
      </c>
      <c r="AE33" s="620">
        <v>113.4687</v>
      </c>
      <c r="AF33" s="621">
        <v>140.5762</v>
      </c>
      <c r="AH33" s="618" t="s">
        <v>63</v>
      </c>
      <c r="AI33" s="637">
        <v>86.262900000000002</v>
      </c>
      <c r="AJ33" s="637">
        <v>49.126800000000003</v>
      </c>
      <c r="AK33" s="637">
        <v>44.948999999999998</v>
      </c>
      <c r="AL33" s="637">
        <v>47.563000000000002</v>
      </c>
      <c r="AM33" s="637">
        <v>42.087000000000003</v>
      </c>
      <c r="AN33" s="637">
        <v>36.600900000000003</v>
      </c>
      <c r="AO33" s="637">
        <v>34.622999999999998</v>
      </c>
      <c r="AP33" s="637">
        <v>33.541200000000003</v>
      </c>
      <c r="AQ33" s="637">
        <v>20.231400000000001</v>
      </c>
      <c r="AR33" s="637">
        <v>15.921200000000001</v>
      </c>
      <c r="AS33" s="637">
        <v>13.532299999999999</v>
      </c>
      <c r="AT33" s="643">
        <v>40.618000000000002</v>
      </c>
      <c r="AU33" s="643">
        <v>20.5472</v>
      </c>
      <c r="AV33" s="638">
        <v>31.095800000000001</v>
      </c>
      <c r="AX33" s="618" t="s">
        <v>63</v>
      </c>
      <c r="AY33" s="637">
        <v>13.7371</v>
      </c>
      <c r="AZ33" s="637">
        <v>15.598599999999999</v>
      </c>
      <c r="BA33" s="637">
        <v>16.244199999999999</v>
      </c>
      <c r="BB33" s="637">
        <v>18.518699999999999</v>
      </c>
      <c r="BC33" s="637">
        <v>19.480399999999999</v>
      </c>
      <c r="BD33" s="637">
        <v>22.248699999999999</v>
      </c>
      <c r="BE33" s="637">
        <v>21.1784</v>
      </c>
      <c r="BF33" s="637">
        <v>19.2226</v>
      </c>
      <c r="BG33" s="637">
        <v>18.135400000000001</v>
      </c>
      <c r="BH33" s="637">
        <v>13.7125</v>
      </c>
      <c r="BI33" s="637">
        <v>18.4084</v>
      </c>
      <c r="BJ33" s="643">
        <v>20.027999999999999</v>
      </c>
      <c r="BK33" s="643">
        <v>17.529599999999999</v>
      </c>
      <c r="BL33" s="638">
        <v>18.842700000000001</v>
      </c>
      <c r="BO33" s="622" t="s">
        <v>57</v>
      </c>
      <c r="BP33" s="618" t="s">
        <v>63</v>
      </c>
      <c r="BQ33" s="637">
        <v>0</v>
      </c>
      <c r="BR33" s="637">
        <v>15.234299999999999</v>
      </c>
      <c r="BS33" s="637">
        <v>9.2088000000000001</v>
      </c>
      <c r="BT33" s="637">
        <v>9.0837000000000003</v>
      </c>
      <c r="BU33" s="637">
        <v>8.2894000000000005</v>
      </c>
      <c r="BV33" s="637">
        <v>18.5535</v>
      </c>
      <c r="BW33" s="637">
        <v>14.8917</v>
      </c>
      <c r="BX33" s="637">
        <v>7.4706999999999999</v>
      </c>
      <c r="BY33" s="637">
        <v>11.9383</v>
      </c>
      <c r="BZ33" s="637">
        <v>6.3384</v>
      </c>
      <c r="CA33" s="637">
        <v>8.0393000000000008</v>
      </c>
      <c r="CB33" s="643">
        <v>12.108599999999999</v>
      </c>
      <c r="CC33" s="643">
        <v>8.4200999999999997</v>
      </c>
      <c r="CD33" s="638">
        <v>10.358700000000001</v>
      </c>
    </row>
    <row r="34" spans="2:82" s="465" customFormat="1" ht="15.75" customHeight="1" x14ac:dyDescent="0.25">
      <c r="B34" s="622" t="s">
        <v>93</v>
      </c>
      <c r="C34" s="623">
        <v>1076.0155999999999</v>
      </c>
      <c r="D34" s="623">
        <v>1040.5835</v>
      </c>
      <c r="E34" s="623">
        <v>571.29600000000005</v>
      </c>
      <c r="F34" s="623">
        <v>523.09090000000003</v>
      </c>
      <c r="G34" s="623">
        <v>349.78019999999998</v>
      </c>
      <c r="H34" s="623">
        <v>311.61309999999997</v>
      </c>
      <c r="I34" s="623">
        <v>294.40949999999998</v>
      </c>
      <c r="J34" s="623">
        <v>323.40859999999998</v>
      </c>
      <c r="K34" s="623">
        <v>323.53399999999999</v>
      </c>
      <c r="L34" s="623">
        <v>375.50889999999998</v>
      </c>
      <c r="M34" s="623">
        <v>246.40190000000001</v>
      </c>
      <c r="N34" s="624">
        <v>370.1431</v>
      </c>
      <c r="O34" s="624">
        <v>298.68619999999999</v>
      </c>
      <c r="P34" s="609">
        <v>318.48469999999998</v>
      </c>
      <c r="R34" s="622" t="s">
        <v>93</v>
      </c>
      <c r="S34" s="623">
        <v>922.53189999999995</v>
      </c>
      <c r="T34" s="623">
        <v>747.10799999999995</v>
      </c>
      <c r="U34" s="623">
        <v>493.48140000000001</v>
      </c>
      <c r="V34" s="623">
        <v>387.36680000000001</v>
      </c>
      <c r="W34" s="623">
        <v>302.45940000000002</v>
      </c>
      <c r="X34" s="623">
        <v>252.22020000000001</v>
      </c>
      <c r="Y34" s="623">
        <v>242.94900000000001</v>
      </c>
      <c r="Z34" s="623">
        <v>240.6908</v>
      </c>
      <c r="AA34" s="623">
        <v>211.34909999999999</v>
      </c>
      <c r="AB34" s="623">
        <v>223.5043</v>
      </c>
      <c r="AC34" s="623">
        <v>116.47799999999999</v>
      </c>
      <c r="AD34" s="624">
        <v>298.66969999999998</v>
      </c>
      <c r="AE34" s="624">
        <v>179.119</v>
      </c>
      <c r="AF34" s="609">
        <v>212.24279999999999</v>
      </c>
      <c r="AH34" s="622" t="s">
        <v>93</v>
      </c>
      <c r="AI34" s="639">
        <v>66.236800000000002</v>
      </c>
      <c r="AJ34" s="639">
        <v>54.067</v>
      </c>
      <c r="AK34" s="639">
        <v>63.040199999999999</v>
      </c>
      <c r="AL34" s="639">
        <v>51.581600000000002</v>
      </c>
      <c r="AM34" s="639">
        <v>56.296100000000003</v>
      </c>
      <c r="AN34" s="639">
        <v>50.435600000000001</v>
      </c>
      <c r="AO34" s="639">
        <v>49.9499</v>
      </c>
      <c r="AP34" s="639">
        <v>41.055399999999999</v>
      </c>
      <c r="AQ34" s="639">
        <v>29.488499999999998</v>
      </c>
      <c r="AR34" s="639">
        <v>25.914999999999999</v>
      </c>
      <c r="AS34" s="639">
        <v>17.121300000000002</v>
      </c>
      <c r="AT34" s="644">
        <v>52.546199999999999</v>
      </c>
      <c r="AU34" s="644">
        <v>26.974900000000002</v>
      </c>
      <c r="AV34" s="640">
        <v>35.209099999999999</v>
      </c>
      <c r="AX34" s="622" t="s">
        <v>93</v>
      </c>
      <c r="AY34" s="639">
        <v>14.6625</v>
      </c>
      <c r="AZ34" s="639">
        <v>12.5684</v>
      </c>
      <c r="BA34" s="639">
        <v>13.457599999999999</v>
      </c>
      <c r="BB34" s="639">
        <v>14.332000000000001</v>
      </c>
      <c r="BC34" s="639">
        <v>16.913699999999999</v>
      </c>
      <c r="BD34" s="639">
        <v>17.124099999999999</v>
      </c>
      <c r="BE34" s="639">
        <v>16.536999999999999</v>
      </c>
      <c r="BF34" s="639">
        <v>16.179200000000002</v>
      </c>
      <c r="BG34" s="639">
        <v>15.4054</v>
      </c>
      <c r="BH34" s="639">
        <v>11.655200000000001</v>
      </c>
      <c r="BI34" s="639">
        <v>10.2761</v>
      </c>
      <c r="BJ34" s="644">
        <v>15.787800000000001</v>
      </c>
      <c r="BK34" s="644">
        <v>13.147500000000001</v>
      </c>
      <c r="BL34" s="640">
        <v>13.9977</v>
      </c>
      <c r="BO34" s="618" t="s">
        <v>58</v>
      </c>
      <c r="BP34" s="622" t="s">
        <v>93</v>
      </c>
      <c r="BQ34" s="639">
        <v>4.8365999999999998</v>
      </c>
      <c r="BR34" s="639">
        <v>5.1615000000000002</v>
      </c>
      <c r="BS34" s="639">
        <v>9.8815000000000008</v>
      </c>
      <c r="BT34" s="639">
        <v>8.1399000000000008</v>
      </c>
      <c r="BU34" s="639">
        <v>13.2614</v>
      </c>
      <c r="BV34" s="639">
        <v>13.3805</v>
      </c>
      <c r="BW34" s="639">
        <v>16.033899999999999</v>
      </c>
      <c r="BX34" s="639">
        <v>17.188500000000001</v>
      </c>
      <c r="BY34" s="639">
        <v>20.4313</v>
      </c>
      <c r="BZ34" s="639">
        <v>21.950199999999999</v>
      </c>
      <c r="CA34" s="639">
        <v>19.874199999999998</v>
      </c>
      <c r="CB34" s="644">
        <v>12.356299999999999</v>
      </c>
      <c r="CC34" s="644">
        <v>19.846599999999999</v>
      </c>
      <c r="CD34" s="640">
        <v>17.4346</v>
      </c>
    </row>
    <row r="35" spans="2:82" s="571" customFormat="1" ht="15.75" customHeight="1" x14ac:dyDescent="0.25">
      <c r="B35" s="618" t="s">
        <v>135</v>
      </c>
      <c r="C35" s="619">
        <v>579.83989999999994</v>
      </c>
      <c r="D35" s="619">
        <v>414.43209999999999</v>
      </c>
      <c r="E35" s="619">
        <v>312.76799999999997</v>
      </c>
      <c r="F35" s="619">
        <v>262.55020000000002</v>
      </c>
      <c r="G35" s="619">
        <v>297.57670000000002</v>
      </c>
      <c r="H35" s="619">
        <v>266.75720000000001</v>
      </c>
      <c r="I35" s="619">
        <v>262.39350000000002</v>
      </c>
      <c r="J35" s="619">
        <v>262.8177</v>
      </c>
      <c r="K35" s="619">
        <v>300.51909999999998</v>
      </c>
      <c r="L35" s="619">
        <v>421.54660000000001</v>
      </c>
      <c r="M35" s="619">
        <v>634.56119999999999</v>
      </c>
      <c r="N35" s="620">
        <v>271.28809999999999</v>
      </c>
      <c r="O35" s="620">
        <v>408.87729999999999</v>
      </c>
      <c r="P35" s="621">
        <v>388.11680000000001</v>
      </c>
      <c r="R35" s="618" t="s">
        <v>135</v>
      </c>
      <c r="S35" s="619">
        <v>493.83350000000002</v>
      </c>
      <c r="T35" s="619">
        <v>333.1241</v>
      </c>
      <c r="U35" s="619">
        <v>256.23989999999998</v>
      </c>
      <c r="V35" s="619">
        <v>216.95869999999999</v>
      </c>
      <c r="W35" s="619">
        <v>220.5213</v>
      </c>
      <c r="X35" s="619">
        <v>210.61279999999999</v>
      </c>
      <c r="Y35" s="619">
        <v>201.81639999999999</v>
      </c>
      <c r="Z35" s="619">
        <v>178.52789999999999</v>
      </c>
      <c r="AA35" s="619">
        <v>196.46019999999999</v>
      </c>
      <c r="AB35" s="619">
        <v>255.35849999999999</v>
      </c>
      <c r="AC35" s="619">
        <v>151.5155</v>
      </c>
      <c r="AD35" s="620">
        <v>212.3528</v>
      </c>
      <c r="AE35" s="620">
        <v>198.02520000000001</v>
      </c>
      <c r="AF35" s="621">
        <v>200.18709999999999</v>
      </c>
      <c r="AH35" s="618" t="s">
        <v>135</v>
      </c>
      <c r="AI35" s="637">
        <v>58.217300000000002</v>
      </c>
      <c r="AJ35" s="637">
        <v>56.786000000000001</v>
      </c>
      <c r="AK35" s="637">
        <v>55.517400000000002</v>
      </c>
      <c r="AL35" s="637">
        <v>58.019599999999997</v>
      </c>
      <c r="AM35" s="637">
        <v>47.621899999999997</v>
      </c>
      <c r="AN35" s="637">
        <v>51.234299999999998</v>
      </c>
      <c r="AO35" s="637">
        <v>48.142099999999999</v>
      </c>
      <c r="AP35" s="637">
        <v>40.619900000000001</v>
      </c>
      <c r="AQ35" s="637">
        <v>37.220500000000001</v>
      </c>
      <c r="AR35" s="637">
        <v>25.4361</v>
      </c>
      <c r="AS35" s="637">
        <v>10.1792</v>
      </c>
      <c r="AT35" s="643">
        <v>51.133400000000002</v>
      </c>
      <c r="AU35" s="643">
        <v>24.070699999999999</v>
      </c>
      <c r="AV35" s="638">
        <v>26.924900000000001</v>
      </c>
      <c r="AX35" s="618" t="s">
        <v>135</v>
      </c>
      <c r="AY35" s="637">
        <v>23.302099999999999</v>
      </c>
      <c r="AZ35" s="637">
        <v>16.305900000000001</v>
      </c>
      <c r="BA35" s="637">
        <v>15.443099999999999</v>
      </c>
      <c r="BB35" s="637">
        <v>17.586300000000001</v>
      </c>
      <c r="BC35" s="637">
        <v>15.2706</v>
      </c>
      <c r="BD35" s="637">
        <v>18.498999999999999</v>
      </c>
      <c r="BE35" s="637">
        <v>19.264199999999999</v>
      </c>
      <c r="BF35" s="637">
        <v>17.991900000000001</v>
      </c>
      <c r="BG35" s="637">
        <v>15.619400000000001</v>
      </c>
      <c r="BH35" s="637">
        <v>13.229200000000001</v>
      </c>
      <c r="BI35" s="637">
        <v>10.081</v>
      </c>
      <c r="BJ35" s="643">
        <v>17.906500000000001</v>
      </c>
      <c r="BK35" s="643">
        <v>13.060499999999999</v>
      </c>
      <c r="BL35" s="638">
        <v>13.5716</v>
      </c>
      <c r="BO35" s="622" t="s">
        <v>59</v>
      </c>
      <c r="BP35" s="618" t="s">
        <v>135</v>
      </c>
      <c r="BQ35" s="637">
        <v>3.6478000000000002</v>
      </c>
      <c r="BR35" s="637">
        <v>7.2889999999999997</v>
      </c>
      <c r="BS35" s="637">
        <v>10.966100000000001</v>
      </c>
      <c r="BT35" s="637">
        <v>7.0292000000000003</v>
      </c>
      <c r="BU35" s="637">
        <v>11.213200000000001</v>
      </c>
      <c r="BV35" s="637">
        <v>9.2196999999999996</v>
      </c>
      <c r="BW35" s="637">
        <v>9.5073000000000008</v>
      </c>
      <c r="BX35" s="637">
        <v>9.3165999999999993</v>
      </c>
      <c r="BY35" s="637">
        <v>12.5337</v>
      </c>
      <c r="BZ35" s="637">
        <v>21.911200000000001</v>
      </c>
      <c r="CA35" s="637">
        <v>3.617</v>
      </c>
      <c r="CB35" s="643">
        <v>9.2359000000000009</v>
      </c>
      <c r="CC35" s="643">
        <v>11.3002</v>
      </c>
      <c r="CD35" s="638">
        <v>11.0825</v>
      </c>
    </row>
    <row r="36" spans="2:82" s="474" customFormat="1" ht="15.75" customHeight="1" x14ac:dyDescent="0.25">
      <c r="B36" s="972" t="s">
        <v>804</v>
      </c>
      <c r="C36" s="985" t="s">
        <v>102</v>
      </c>
      <c r="D36" s="973" t="s">
        <v>102</v>
      </c>
      <c r="E36" s="973">
        <v>1033.0174</v>
      </c>
      <c r="F36" s="973">
        <v>325.05669999999998</v>
      </c>
      <c r="G36" s="973">
        <v>415.97800000000001</v>
      </c>
      <c r="H36" s="973">
        <v>394.22230000000002</v>
      </c>
      <c r="I36" s="973">
        <v>642.06420000000003</v>
      </c>
      <c r="J36" s="973">
        <v>365.00990000000002</v>
      </c>
      <c r="K36" s="973">
        <v>290.41120000000001</v>
      </c>
      <c r="L36" s="973">
        <v>345.35500000000002</v>
      </c>
      <c r="M36" s="973">
        <v>343.35019999999997</v>
      </c>
      <c r="N36" s="974">
        <v>579.17949999999996</v>
      </c>
      <c r="O36" s="974">
        <v>333.16390000000001</v>
      </c>
      <c r="P36" s="975">
        <v>371.93130000000002</v>
      </c>
      <c r="R36" s="972" t="s">
        <v>804</v>
      </c>
      <c r="S36" s="986" t="s">
        <v>102</v>
      </c>
      <c r="T36" s="973" t="s">
        <v>102</v>
      </c>
      <c r="U36" s="973">
        <v>1033.0174</v>
      </c>
      <c r="V36" s="973">
        <v>325.05669999999998</v>
      </c>
      <c r="W36" s="973">
        <v>383.72550000000001</v>
      </c>
      <c r="X36" s="973">
        <v>330.87450000000001</v>
      </c>
      <c r="Y36" s="973">
        <v>531.85820000000001</v>
      </c>
      <c r="Z36" s="973">
        <v>321.18689999999998</v>
      </c>
      <c r="AA36" s="973">
        <v>213.58770000000001</v>
      </c>
      <c r="AB36" s="973">
        <v>296.94850000000002</v>
      </c>
      <c r="AC36" s="973">
        <v>222.67140000000001</v>
      </c>
      <c r="AD36" s="974">
        <v>486.50869999999998</v>
      </c>
      <c r="AE36" s="974">
        <v>266.98329999999999</v>
      </c>
      <c r="AF36" s="975">
        <v>301.57639999999998</v>
      </c>
      <c r="AH36" s="972" t="s">
        <v>804</v>
      </c>
      <c r="AI36" s="986" t="s">
        <v>102</v>
      </c>
      <c r="AJ36" s="987" t="s">
        <v>102</v>
      </c>
      <c r="AK36" s="987">
        <v>77.571799999999996</v>
      </c>
      <c r="AL36" s="987">
        <v>79.824200000000005</v>
      </c>
      <c r="AM36" s="987">
        <v>61.891399999999997</v>
      </c>
      <c r="AN36" s="987">
        <v>70.2971</v>
      </c>
      <c r="AO36" s="987">
        <v>63.701999999999998</v>
      </c>
      <c r="AP36" s="987">
        <v>70.531199999999998</v>
      </c>
      <c r="AQ36" s="987">
        <v>52.250100000000003</v>
      </c>
      <c r="AR36" s="987">
        <v>64.283299999999997</v>
      </c>
      <c r="AS36" s="987">
        <v>47.4024</v>
      </c>
      <c r="AT36" s="988">
        <v>64.688599999999994</v>
      </c>
      <c r="AU36" s="988">
        <v>60.251300000000001</v>
      </c>
      <c r="AV36" s="989">
        <v>61.3401</v>
      </c>
      <c r="AX36" s="972" t="s">
        <v>804</v>
      </c>
      <c r="AY36" s="986" t="s">
        <v>102</v>
      </c>
      <c r="AZ36" s="987" t="s">
        <v>102</v>
      </c>
      <c r="BA36" s="987">
        <v>22.212800000000001</v>
      </c>
      <c r="BB36" s="987">
        <v>20.1387</v>
      </c>
      <c r="BC36" s="987">
        <v>14.13</v>
      </c>
      <c r="BD36" s="987">
        <v>12.8264</v>
      </c>
      <c r="BE36" s="987">
        <v>13.6252</v>
      </c>
      <c r="BF36" s="987">
        <v>14.438700000000001</v>
      </c>
      <c r="BG36" s="987">
        <v>11.7654</v>
      </c>
      <c r="BH36" s="987">
        <v>15.698700000000001</v>
      </c>
      <c r="BI36" s="987">
        <v>14.1996</v>
      </c>
      <c r="BJ36" s="988">
        <v>13.8104</v>
      </c>
      <c r="BK36" s="988">
        <v>14.125999999999999</v>
      </c>
      <c r="BL36" s="989">
        <v>14.0486</v>
      </c>
      <c r="BO36" s="984" t="s">
        <v>60</v>
      </c>
      <c r="BP36" s="972" t="s">
        <v>804</v>
      </c>
      <c r="BQ36" s="986" t="s">
        <v>102</v>
      </c>
      <c r="BR36" s="987" t="s">
        <v>102</v>
      </c>
      <c r="BS36" s="987">
        <v>0.2155</v>
      </c>
      <c r="BT36" s="987">
        <v>3.7100000000000001E-2</v>
      </c>
      <c r="BU36" s="987">
        <v>16.225200000000001</v>
      </c>
      <c r="BV36" s="987">
        <v>0.80740000000000001</v>
      </c>
      <c r="BW36" s="987">
        <v>5.5084999999999997</v>
      </c>
      <c r="BX36" s="987">
        <v>3.0240999999999998</v>
      </c>
      <c r="BY36" s="987">
        <v>9.5312000000000001</v>
      </c>
      <c r="BZ36" s="987">
        <v>6.0015999999999998</v>
      </c>
      <c r="CA36" s="987">
        <v>3.2505999999999999</v>
      </c>
      <c r="CB36" s="988">
        <v>5.5007000000000001</v>
      </c>
      <c r="CC36" s="988">
        <v>5.7584999999999997</v>
      </c>
      <c r="CD36" s="989">
        <v>5.6951999999999998</v>
      </c>
    </row>
    <row r="37" spans="2:82" s="465" customFormat="1" ht="15.75" customHeight="1" x14ac:dyDescent="0.25">
      <c r="B37" s="850" t="s">
        <v>808</v>
      </c>
      <c r="C37" s="619" t="s">
        <v>102</v>
      </c>
      <c r="D37" s="619" t="s">
        <v>102</v>
      </c>
      <c r="E37" s="619" t="s">
        <v>102</v>
      </c>
      <c r="F37" s="619">
        <v>303.37130000000002</v>
      </c>
      <c r="G37" s="619">
        <v>296.46699999999998</v>
      </c>
      <c r="H37" s="619">
        <v>476.1628</v>
      </c>
      <c r="I37" s="619">
        <v>333.4479</v>
      </c>
      <c r="J37" s="619">
        <v>197.9796</v>
      </c>
      <c r="K37" s="619">
        <v>231.7287</v>
      </c>
      <c r="L37" s="619">
        <v>313.1164</v>
      </c>
      <c r="M37" s="619" t="s">
        <v>102</v>
      </c>
      <c r="N37" s="620">
        <v>348.50909999999999</v>
      </c>
      <c r="O37" s="620">
        <v>233.74979999999999</v>
      </c>
      <c r="P37" s="621">
        <v>262.21929999999998</v>
      </c>
      <c r="R37" s="850" t="s">
        <v>808</v>
      </c>
      <c r="S37" s="637" t="s">
        <v>102</v>
      </c>
      <c r="T37" s="619" t="s">
        <v>102</v>
      </c>
      <c r="U37" s="619" t="s">
        <v>102</v>
      </c>
      <c r="V37" s="619">
        <v>303.37130000000002</v>
      </c>
      <c r="W37" s="619">
        <v>296.46699999999998</v>
      </c>
      <c r="X37" s="619">
        <v>266.7217</v>
      </c>
      <c r="Y37" s="619">
        <v>276.53050000000002</v>
      </c>
      <c r="Z37" s="619">
        <v>169.57730000000001</v>
      </c>
      <c r="AA37" s="619">
        <v>211.09190000000001</v>
      </c>
      <c r="AB37" s="619">
        <v>217.977</v>
      </c>
      <c r="AC37" s="619" t="s">
        <v>102</v>
      </c>
      <c r="AD37" s="620">
        <v>278.0043</v>
      </c>
      <c r="AE37" s="620">
        <v>196.8288</v>
      </c>
      <c r="AF37" s="621">
        <v>216.96690000000001</v>
      </c>
      <c r="AH37" s="850" t="s">
        <v>808</v>
      </c>
      <c r="AI37" s="637" t="s">
        <v>102</v>
      </c>
      <c r="AJ37" s="637" t="s">
        <v>102</v>
      </c>
      <c r="AK37" s="637" t="s">
        <v>102</v>
      </c>
      <c r="AL37" s="637">
        <v>83.462400000000002</v>
      </c>
      <c r="AM37" s="637">
        <v>74.160499999999999</v>
      </c>
      <c r="AN37" s="637">
        <v>46.773499999999999</v>
      </c>
      <c r="AO37" s="637">
        <v>71.649100000000004</v>
      </c>
      <c r="AP37" s="637">
        <v>62.632100000000001</v>
      </c>
      <c r="AQ37" s="637">
        <v>71.454999999999998</v>
      </c>
      <c r="AR37" s="637">
        <v>58.654899999999998</v>
      </c>
      <c r="AS37" s="637" t="s">
        <v>102</v>
      </c>
      <c r="AT37" s="643">
        <v>67.847300000000004</v>
      </c>
      <c r="AU37" s="643">
        <v>65.584599999999995</v>
      </c>
      <c r="AV37" s="638">
        <v>66.330600000000004</v>
      </c>
      <c r="AX37" s="850" t="s">
        <v>808</v>
      </c>
      <c r="AY37" s="637" t="s">
        <v>102</v>
      </c>
      <c r="AZ37" s="637" t="s">
        <v>102</v>
      </c>
      <c r="BA37" s="637" t="s">
        <v>102</v>
      </c>
      <c r="BB37" s="637">
        <v>16.529</v>
      </c>
      <c r="BC37" s="637">
        <v>13.5722</v>
      </c>
      <c r="BD37" s="637">
        <v>7.7542</v>
      </c>
      <c r="BE37" s="637">
        <v>9.67</v>
      </c>
      <c r="BF37" s="637">
        <v>14.709899999999999</v>
      </c>
      <c r="BG37" s="637">
        <v>15.614699999999999</v>
      </c>
      <c r="BH37" s="637">
        <v>10.9604</v>
      </c>
      <c r="BI37" s="637" t="s">
        <v>102</v>
      </c>
      <c r="BJ37" s="643">
        <v>9.8727999999999998</v>
      </c>
      <c r="BK37" s="643">
        <v>14.208500000000001</v>
      </c>
      <c r="BL37" s="638">
        <v>12.779</v>
      </c>
      <c r="BO37" s="618"/>
      <c r="BP37" s="850" t="s">
        <v>808</v>
      </c>
      <c r="BQ37" s="637" t="s">
        <v>102</v>
      </c>
      <c r="BR37" s="637" t="s">
        <v>102</v>
      </c>
      <c r="BS37" s="637" t="s">
        <v>102</v>
      </c>
      <c r="BT37" s="637">
        <v>8.6E-3</v>
      </c>
      <c r="BU37" s="637">
        <v>12.267300000000001</v>
      </c>
      <c r="BV37" s="637">
        <v>1.4872000000000001</v>
      </c>
      <c r="BW37" s="637">
        <v>1.6114999999999999</v>
      </c>
      <c r="BX37" s="637">
        <v>8.3118999999999996</v>
      </c>
      <c r="BY37" s="637">
        <v>4.0246000000000004</v>
      </c>
      <c r="BZ37" s="637">
        <v>0</v>
      </c>
      <c r="CA37" s="637" t="s">
        <v>102</v>
      </c>
      <c r="CB37" s="643">
        <v>2.0493999999999999</v>
      </c>
      <c r="CC37" s="643">
        <v>4.4118000000000004</v>
      </c>
      <c r="CD37" s="638">
        <v>3.6328999999999998</v>
      </c>
    </row>
    <row r="38" spans="2:82" s="465" customFormat="1" ht="15.75" customHeight="1" x14ac:dyDescent="0.25">
      <c r="B38" s="851" t="s">
        <v>809</v>
      </c>
      <c r="C38" s="623" t="s">
        <v>102</v>
      </c>
      <c r="D38" s="623" t="s">
        <v>102</v>
      </c>
      <c r="E38" s="623" t="s">
        <v>102</v>
      </c>
      <c r="F38" s="623">
        <v>314.12759999999997</v>
      </c>
      <c r="G38" s="623">
        <v>352.36090000000002</v>
      </c>
      <c r="H38" s="623">
        <v>324.9545</v>
      </c>
      <c r="I38" s="623">
        <v>480.36779999999999</v>
      </c>
      <c r="J38" s="623">
        <v>237.6833</v>
      </c>
      <c r="K38" s="623">
        <v>281.1601</v>
      </c>
      <c r="L38" s="623">
        <v>282.20940000000002</v>
      </c>
      <c r="M38" s="623" t="s">
        <v>102</v>
      </c>
      <c r="N38" s="624">
        <v>416.9939</v>
      </c>
      <c r="O38" s="624">
        <v>260.1977</v>
      </c>
      <c r="P38" s="609">
        <v>301.67189999999999</v>
      </c>
      <c r="R38" s="851" t="s">
        <v>809</v>
      </c>
      <c r="S38" s="639" t="s">
        <v>102</v>
      </c>
      <c r="T38" s="623" t="s">
        <v>102</v>
      </c>
      <c r="U38" s="623" t="s">
        <v>102</v>
      </c>
      <c r="V38" s="623">
        <v>314.12759999999997</v>
      </c>
      <c r="W38" s="623">
        <v>248.4717</v>
      </c>
      <c r="X38" s="623">
        <v>324.91140000000001</v>
      </c>
      <c r="Y38" s="623">
        <v>391.3963</v>
      </c>
      <c r="Z38" s="623">
        <v>203.37739999999999</v>
      </c>
      <c r="AA38" s="623">
        <v>118.6427</v>
      </c>
      <c r="AB38" s="623">
        <v>180.11799999999999</v>
      </c>
      <c r="AC38" s="623" t="s">
        <v>102</v>
      </c>
      <c r="AD38" s="624">
        <v>356.60700000000003</v>
      </c>
      <c r="AE38" s="624">
        <v>177.3963</v>
      </c>
      <c r="AF38" s="609">
        <v>224.79939999999999</v>
      </c>
      <c r="AH38" s="851" t="s">
        <v>809</v>
      </c>
      <c r="AI38" s="639" t="s">
        <v>102</v>
      </c>
      <c r="AJ38" s="639" t="s">
        <v>102</v>
      </c>
      <c r="AK38" s="639" t="s">
        <v>102</v>
      </c>
      <c r="AL38" s="639">
        <v>68.124200000000002</v>
      </c>
      <c r="AM38" s="639">
        <v>31.7698</v>
      </c>
      <c r="AN38" s="639">
        <v>80.224800000000002</v>
      </c>
      <c r="AO38" s="639">
        <v>55.187399999999997</v>
      </c>
      <c r="AP38" s="639">
        <v>69.193700000000007</v>
      </c>
      <c r="AQ38" s="639">
        <v>38.023400000000002</v>
      </c>
      <c r="AR38" s="639">
        <v>47.615000000000002</v>
      </c>
      <c r="AS38" s="639" t="s">
        <v>102</v>
      </c>
      <c r="AT38" s="644">
        <v>59.381300000000003</v>
      </c>
      <c r="AU38" s="644">
        <v>54.876800000000003</v>
      </c>
      <c r="AV38" s="640">
        <v>56.523699999999998</v>
      </c>
      <c r="AX38" s="851" t="s">
        <v>809</v>
      </c>
      <c r="AY38" s="639" t="s">
        <v>102</v>
      </c>
      <c r="AZ38" s="639" t="s">
        <v>102</v>
      </c>
      <c r="BA38" s="639" t="s">
        <v>102</v>
      </c>
      <c r="BB38" s="639">
        <v>31.875800000000002</v>
      </c>
      <c r="BC38" s="639">
        <v>15.349600000000001</v>
      </c>
      <c r="BD38" s="639">
        <v>19.657499999999999</v>
      </c>
      <c r="BE38" s="639">
        <v>17.0609</v>
      </c>
      <c r="BF38" s="639">
        <v>15.6105</v>
      </c>
      <c r="BG38" s="639">
        <v>4.1707000000000001</v>
      </c>
      <c r="BH38" s="639">
        <v>7.6603000000000003</v>
      </c>
      <c r="BI38" s="639" t="s">
        <v>102</v>
      </c>
      <c r="BJ38" s="644">
        <v>18.297999999999998</v>
      </c>
      <c r="BK38" s="644">
        <v>10.3467</v>
      </c>
      <c r="BL38" s="640">
        <v>13.2539</v>
      </c>
      <c r="BO38" s="618"/>
      <c r="BP38" s="851" t="s">
        <v>809</v>
      </c>
      <c r="BQ38" s="639" t="s">
        <v>102</v>
      </c>
      <c r="BR38" s="639" t="s">
        <v>102</v>
      </c>
      <c r="BS38" s="639" t="s">
        <v>102</v>
      </c>
      <c r="BT38" s="639">
        <v>0</v>
      </c>
      <c r="BU38" s="639">
        <v>23.396799999999999</v>
      </c>
      <c r="BV38" s="639">
        <v>0.1045</v>
      </c>
      <c r="BW38" s="639">
        <v>9.2302</v>
      </c>
      <c r="BX38" s="639">
        <v>0.76239999999999997</v>
      </c>
      <c r="BY38" s="639">
        <v>3.5000000000000001E-3</v>
      </c>
      <c r="BZ38" s="639">
        <v>8.5489999999999995</v>
      </c>
      <c r="CA38" s="639" t="s">
        <v>102</v>
      </c>
      <c r="CB38" s="644">
        <v>7.8391999999999999</v>
      </c>
      <c r="CC38" s="644">
        <v>2.9540999999999999</v>
      </c>
      <c r="CD38" s="640">
        <v>4.7401999999999997</v>
      </c>
    </row>
    <row r="39" spans="2:82" s="465" customFormat="1" ht="15.75" customHeight="1" x14ac:dyDescent="0.25">
      <c r="B39" s="850" t="s">
        <v>810</v>
      </c>
      <c r="C39" s="619" t="s">
        <v>102</v>
      </c>
      <c r="D39" s="619" t="s">
        <v>102</v>
      </c>
      <c r="E39" s="619">
        <v>1033.0174</v>
      </c>
      <c r="F39" s="619">
        <v>365.83839999999998</v>
      </c>
      <c r="G39" s="619">
        <v>517.14919999999995</v>
      </c>
      <c r="H39" s="619">
        <v>544.96479999999997</v>
      </c>
      <c r="I39" s="619">
        <v>657.99279999999999</v>
      </c>
      <c r="J39" s="619">
        <v>495.94929999999999</v>
      </c>
      <c r="K39" s="619">
        <v>301.56970000000001</v>
      </c>
      <c r="L39" s="619">
        <v>328.83769999999998</v>
      </c>
      <c r="M39" s="619" t="s">
        <v>102</v>
      </c>
      <c r="N39" s="620">
        <v>598.77139999999997</v>
      </c>
      <c r="O39" s="620">
        <v>340.78649999999999</v>
      </c>
      <c r="P39" s="621">
        <v>390.87279999999998</v>
      </c>
      <c r="R39" s="850" t="s">
        <v>810</v>
      </c>
      <c r="S39" s="637" t="s">
        <v>102</v>
      </c>
      <c r="T39" s="619" t="s">
        <v>102</v>
      </c>
      <c r="U39" s="619">
        <v>1033.0174</v>
      </c>
      <c r="V39" s="619">
        <v>365.83839999999998</v>
      </c>
      <c r="W39" s="619">
        <v>517.06029999999998</v>
      </c>
      <c r="X39" s="619">
        <v>544.96479999999997</v>
      </c>
      <c r="Y39" s="619">
        <v>657.6354</v>
      </c>
      <c r="Z39" s="619">
        <v>495.94929999999999</v>
      </c>
      <c r="AA39" s="619">
        <v>267.10950000000003</v>
      </c>
      <c r="AB39" s="619">
        <v>328.83769999999998</v>
      </c>
      <c r="AC39" s="619" t="s">
        <v>102</v>
      </c>
      <c r="AD39" s="620">
        <v>598.53650000000005</v>
      </c>
      <c r="AE39" s="620">
        <v>327.83580000000001</v>
      </c>
      <c r="AF39" s="621">
        <v>380.39069999999998</v>
      </c>
      <c r="AH39" s="850" t="s">
        <v>810</v>
      </c>
      <c r="AI39" s="637" t="s">
        <v>102</v>
      </c>
      <c r="AJ39" s="637" t="s">
        <v>102</v>
      </c>
      <c r="AK39" s="637">
        <v>77.571799999999996</v>
      </c>
      <c r="AL39" s="637">
        <v>90.847499999999997</v>
      </c>
      <c r="AM39" s="637">
        <v>72.187399999999997</v>
      </c>
      <c r="AN39" s="637">
        <v>95.687600000000003</v>
      </c>
      <c r="AO39" s="637">
        <v>89.573499999999996</v>
      </c>
      <c r="AP39" s="637">
        <v>90.217200000000005</v>
      </c>
      <c r="AQ39" s="637">
        <v>74.683999999999997</v>
      </c>
      <c r="AR39" s="637">
        <v>81.087800000000001</v>
      </c>
      <c r="AS39" s="637" t="s">
        <v>102</v>
      </c>
      <c r="AT39" s="643">
        <v>86.629300000000001</v>
      </c>
      <c r="AU39" s="643">
        <v>80.722800000000007</v>
      </c>
      <c r="AV39" s="638">
        <v>82.479399999999998</v>
      </c>
      <c r="AX39" s="850" t="s">
        <v>810</v>
      </c>
      <c r="AY39" s="637" t="s">
        <v>102</v>
      </c>
      <c r="AZ39" s="637" t="s">
        <v>102</v>
      </c>
      <c r="BA39" s="637">
        <v>22.212800000000001</v>
      </c>
      <c r="BB39" s="637">
        <v>9.0421999999999993</v>
      </c>
      <c r="BC39" s="637">
        <v>13.7303</v>
      </c>
      <c r="BD39" s="637">
        <v>2.8700999999999999</v>
      </c>
      <c r="BE39" s="637">
        <v>10.2569</v>
      </c>
      <c r="BF39" s="637">
        <v>5.7062999999999997</v>
      </c>
      <c r="BG39" s="637">
        <v>13.154400000000001</v>
      </c>
      <c r="BH39" s="637">
        <v>13.334199999999999</v>
      </c>
      <c r="BI39" s="637" t="s">
        <v>102</v>
      </c>
      <c r="BJ39" s="643">
        <v>10.5776</v>
      </c>
      <c r="BK39" s="643">
        <v>11.799899999999999</v>
      </c>
      <c r="BL39" s="638">
        <v>11.436400000000001</v>
      </c>
      <c r="BO39" s="618"/>
      <c r="BP39" s="850" t="s">
        <v>810</v>
      </c>
      <c r="BQ39" s="637" t="s">
        <v>102</v>
      </c>
      <c r="BR39" s="637" t="s">
        <v>102</v>
      </c>
      <c r="BS39" s="637">
        <v>0.2155</v>
      </c>
      <c r="BT39" s="637">
        <v>0.1103</v>
      </c>
      <c r="BU39" s="637">
        <v>14.065099999999999</v>
      </c>
      <c r="BV39" s="637">
        <v>1.4422999999999999</v>
      </c>
      <c r="BW39" s="637">
        <v>0.1153</v>
      </c>
      <c r="BX39" s="637">
        <v>4.0765000000000002</v>
      </c>
      <c r="BY39" s="637">
        <v>0.73460000000000003</v>
      </c>
      <c r="BZ39" s="637">
        <v>5.5780000000000003</v>
      </c>
      <c r="CA39" s="637" t="s">
        <v>102</v>
      </c>
      <c r="CB39" s="643">
        <v>2.7538</v>
      </c>
      <c r="CC39" s="643">
        <v>3.677</v>
      </c>
      <c r="CD39" s="638">
        <v>3.4024000000000001</v>
      </c>
    </row>
    <row r="40" spans="2:82" s="465" customFormat="1" ht="15.75" customHeight="1" x14ac:dyDescent="0.25">
      <c r="B40" s="851" t="s">
        <v>811</v>
      </c>
      <c r="C40" s="623" t="s">
        <v>102</v>
      </c>
      <c r="D40" s="623" t="s">
        <v>102</v>
      </c>
      <c r="E40" s="623" t="s">
        <v>102</v>
      </c>
      <c r="F40" s="623" t="s">
        <v>102</v>
      </c>
      <c r="G40" s="623" t="s">
        <v>102</v>
      </c>
      <c r="H40" s="623" t="s">
        <v>102</v>
      </c>
      <c r="I40" s="623">
        <v>1107.9301</v>
      </c>
      <c r="J40" s="623">
        <v>527.07669999999996</v>
      </c>
      <c r="K40" s="623">
        <v>275.06119999999999</v>
      </c>
      <c r="L40" s="623">
        <v>391.87490000000003</v>
      </c>
      <c r="M40" s="623">
        <v>343.35019999999997</v>
      </c>
      <c r="N40" s="624">
        <v>1107.9301</v>
      </c>
      <c r="O40" s="624">
        <v>351.38589999999999</v>
      </c>
      <c r="P40" s="609">
        <v>390.38049999999998</v>
      </c>
      <c r="R40" s="851" t="s">
        <v>811</v>
      </c>
      <c r="S40" s="639" t="s">
        <v>102</v>
      </c>
      <c r="T40" s="623" t="s">
        <v>102</v>
      </c>
      <c r="U40" s="623" t="s">
        <v>102</v>
      </c>
      <c r="V40" s="623" t="s">
        <v>102</v>
      </c>
      <c r="W40" s="623" t="s">
        <v>102</v>
      </c>
      <c r="X40" s="623" t="s">
        <v>102</v>
      </c>
      <c r="Y40" s="623">
        <v>919.52739999999994</v>
      </c>
      <c r="Z40" s="623">
        <v>445.02940000000001</v>
      </c>
      <c r="AA40" s="623">
        <v>205.30860000000001</v>
      </c>
      <c r="AB40" s="623">
        <v>334.36439999999999</v>
      </c>
      <c r="AC40" s="623">
        <v>222.67140000000001</v>
      </c>
      <c r="AD40" s="624">
        <v>919.52739999999994</v>
      </c>
      <c r="AE40" s="624">
        <v>268.94940000000003</v>
      </c>
      <c r="AF40" s="609">
        <v>302.48219999999998</v>
      </c>
      <c r="AH40" s="851" t="s">
        <v>811</v>
      </c>
      <c r="AI40" s="639" t="s">
        <v>102</v>
      </c>
      <c r="AJ40" s="639" t="s">
        <v>102</v>
      </c>
      <c r="AK40" s="639" t="s">
        <v>102</v>
      </c>
      <c r="AL40" s="639" t="s">
        <v>102</v>
      </c>
      <c r="AM40" s="639" t="s">
        <v>102</v>
      </c>
      <c r="AN40" s="639" t="s">
        <v>102</v>
      </c>
      <c r="AO40" s="639">
        <v>56.755299999999998</v>
      </c>
      <c r="AP40" s="639">
        <v>57.157800000000002</v>
      </c>
      <c r="AQ40" s="639">
        <v>41.594700000000003</v>
      </c>
      <c r="AR40" s="639">
        <v>58.6449</v>
      </c>
      <c r="AS40" s="639">
        <v>47.4024</v>
      </c>
      <c r="AT40" s="644">
        <v>56.755299999999998</v>
      </c>
      <c r="AU40" s="644">
        <v>51.206200000000003</v>
      </c>
      <c r="AV40" s="640">
        <v>52.018000000000001</v>
      </c>
      <c r="AX40" s="851" t="s">
        <v>811</v>
      </c>
      <c r="AY40" s="639" t="s">
        <v>102</v>
      </c>
      <c r="AZ40" s="639" t="s">
        <v>102</v>
      </c>
      <c r="BA40" s="639" t="s">
        <v>102</v>
      </c>
      <c r="BB40" s="639" t="s">
        <v>102</v>
      </c>
      <c r="BC40" s="639" t="s">
        <v>102</v>
      </c>
      <c r="BD40" s="639" t="s">
        <v>102</v>
      </c>
      <c r="BE40" s="639">
        <v>14.5814</v>
      </c>
      <c r="BF40" s="639">
        <v>20.117899999999999</v>
      </c>
      <c r="BG40" s="639">
        <v>12.0641</v>
      </c>
      <c r="BH40" s="639">
        <v>19.006900000000002</v>
      </c>
      <c r="BI40" s="639">
        <v>14.1996</v>
      </c>
      <c r="BJ40" s="644">
        <v>14.5814</v>
      </c>
      <c r="BK40" s="644">
        <v>16.067699999999999</v>
      </c>
      <c r="BL40" s="640">
        <v>15.850300000000001</v>
      </c>
      <c r="BO40" s="618"/>
      <c r="BP40" s="851" t="s">
        <v>811</v>
      </c>
      <c r="BQ40" s="639" t="s">
        <v>102</v>
      </c>
      <c r="BR40" s="639" t="s">
        <v>102</v>
      </c>
      <c r="BS40" s="639" t="s">
        <v>102</v>
      </c>
      <c r="BT40" s="639" t="s">
        <v>102</v>
      </c>
      <c r="BU40" s="639" t="s">
        <v>102</v>
      </c>
      <c r="BV40" s="639" t="s">
        <v>102</v>
      </c>
      <c r="BW40" s="639">
        <v>11.6584</v>
      </c>
      <c r="BX40" s="639">
        <v>7.1577999999999999</v>
      </c>
      <c r="BY40" s="639">
        <v>20.982299999999999</v>
      </c>
      <c r="BZ40" s="639">
        <v>7.6725000000000003</v>
      </c>
      <c r="CA40" s="639">
        <v>3.2505999999999999</v>
      </c>
      <c r="CB40" s="644">
        <v>11.6584</v>
      </c>
      <c r="CC40" s="644">
        <v>9.2657000000000007</v>
      </c>
      <c r="CD40" s="640">
        <v>9.6157000000000004</v>
      </c>
    </row>
    <row r="41" spans="2:82" s="465" customFormat="1" ht="15.75" customHeight="1" x14ac:dyDescent="0.25">
      <c r="B41" s="850" t="s">
        <v>812</v>
      </c>
      <c r="C41" s="619" t="s">
        <v>102</v>
      </c>
      <c r="D41" s="619" t="s">
        <v>102</v>
      </c>
      <c r="E41" s="619" t="s">
        <v>102</v>
      </c>
      <c r="F41" s="619" t="s">
        <v>102</v>
      </c>
      <c r="G41" s="619" t="s">
        <v>102</v>
      </c>
      <c r="H41" s="619" t="s">
        <v>102</v>
      </c>
      <c r="I41" s="619">
        <v>835.56050000000005</v>
      </c>
      <c r="J41" s="619">
        <v>574.87369999999999</v>
      </c>
      <c r="K41" s="619">
        <v>625.18700000000001</v>
      </c>
      <c r="L41" s="619">
        <v>281.40949999999998</v>
      </c>
      <c r="M41" s="619" t="s">
        <v>102</v>
      </c>
      <c r="N41" s="620">
        <v>835.56050000000005</v>
      </c>
      <c r="O41" s="620">
        <v>482.01150000000001</v>
      </c>
      <c r="P41" s="621">
        <v>549.28930000000003</v>
      </c>
      <c r="R41" s="850" t="s">
        <v>812</v>
      </c>
      <c r="S41" s="637" t="s">
        <v>102</v>
      </c>
      <c r="T41" s="619" t="s">
        <v>102</v>
      </c>
      <c r="U41" s="619" t="s">
        <v>102</v>
      </c>
      <c r="V41" s="619" t="s">
        <v>102</v>
      </c>
      <c r="W41" s="619" t="s">
        <v>102</v>
      </c>
      <c r="X41" s="619" t="s">
        <v>102</v>
      </c>
      <c r="Y41" s="619">
        <v>621.11630000000002</v>
      </c>
      <c r="Z41" s="619">
        <v>509.58330000000001</v>
      </c>
      <c r="AA41" s="619">
        <v>319.8621</v>
      </c>
      <c r="AB41" s="619">
        <v>281.40820000000002</v>
      </c>
      <c r="AC41" s="619" t="s">
        <v>102</v>
      </c>
      <c r="AD41" s="620">
        <v>621.11630000000002</v>
      </c>
      <c r="AE41" s="620">
        <v>402.1712</v>
      </c>
      <c r="AF41" s="621">
        <v>443.8349</v>
      </c>
      <c r="AH41" s="850" t="s">
        <v>812</v>
      </c>
      <c r="AI41" s="637" t="s">
        <v>102</v>
      </c>
      <c r="AJ41" s="637" t="s">
        <v>102</v>
      </c>
      <c r="AK41" s="637" t="s">
        <v>102</v>
      </c>
      <c r="AL41" s="637" t="s">
        <v>102</v>
      </c>
      <c r="AM41" s="637" t="s">
        <v>102</v>
      </c>
      <c r="AN41" s="637" t="s">
        <v>102</v>
      </c>
      <c r="AO41" s="637">
        <v>59.184699999999999</v>
      </c>
      <c r="AP41" s="637">
        <v>75.037899999999993</v>
      </c>
      <c r="AQ41" s="637">
        <v>41.3827</v>
      </c>
      <c r="AR41" s="637">
        <v>85.481300000000005</v>
      </c>
      <c r="AS41" s="637" t="s">
        <v>102</v>
      </c>
      <c r="AT41" s="643">
        <v>59.184699999999999</v>
      </c>
      <c r="AU41" s="643">
        <v>70.411699999999996</v>
      </c>
      <c r="AV41" s="638">
        <v>67.161900000000003</v>
      </c>
      <c r="AX41" s="850" t="s">
        <v>812</v>
      </c>
      <c r="AY41" s="637" t="s">
        <v>102</v>
      </c>
      <c r="AZ41" s="637" t="s">
        <v>102</v>
      </c>
      <c r="BA41" s="637" t="s">
        <v>102</v>
      </c>
      <c r="BB41" s="637" t="s">
        <v>102</v>
      </c>
      <c r="BC41" s="637" t="s">
        <v>102</v>
      </c>
      <c r="BD41" s="637" t="s">
        <v>102</v>
      </c>
      <c r="BE41" s="637">
        <v>14.327500000000001</v>
      </c>
      <c r="BF41" s="637">
        <v>13.3949</v>
      </c>
      <c r="BG41" s="637">
        <v>9.7286999999999999</v>
      </c>
      <c r="BH41" s="637">
        <v>14.5045</v>
      </c>
      <c r="BI41" s="637" t="s">
        <v>102</v>
      </c>
      <c r="BJ41" s="643">
        <v>14.327500000000001</v>
      </c>
      <c r="BK41" s="643">
        <v>12.885400000000001</v>
      </c>
      <c r="BL41" s="638">
        <v>13.3028</v>
      </c>
      <c r="BO41" s="618"/>
      <c r="BP41" s="850" t="s">
        <v>812</v>
      </c>
      <c r="BQ41" s="637" t="s">
        <v>102</v>
      </c>
      <c r="BR41" s="637" t="s">
        <v>102</v>
      </c>
      <c r="BS41" s="637" t="s">
        <v>102</v>
      </c>
      <c r="BT41" s="637" t="s">
        <v>102</v>
      </c>
      <c r="BU41" s="637" t="s">
        <v>102</v>
      </c>
      <c r="BV41" s="637" t="s">
        <v>102</v>
      </c>
      <c r="BW41" s="637">
        <v>0.82310000000000005</v>
      </c>
      <c r="BX41" s="637">
        <v>0.20979999999999999</v>
      </c>
      <c r="BY41" s="637">
        <v>5.1200000000000002E-2</v>
      </c>
      <c r="BZ41" s="637">
        <v>1.37E-2</v>
      </c>
      <c r="CA41" s="637" t="s">
        <v>102</v>
      </c>
      <c r="CB41" s="643">
        <v>0.82310000000000005</v>
      </c>
      <c r="CC41" s="643">
        <v>0.1389</v>
      </c>
      <c r="CD41" s="638">
        <v>0.33700000000000002</v>
      </c>
    </row>
    <row r="42" spans="2:82" s="571" customFormat="1" ht="15.75" customHeight="1" x14ac:dyDescent="0.25">
      <c r="B42" s="976" t="s">
        <v>940</v>
      </c>
      <c r="C42" s="977"/>
      <c r="D42" s="977"/>
      <c r="E42" s="977"/>
      <c r="F42" s="977"/>
      <c r="G42" s="977"/>
      <c r="H42" s="977"/>
      <c r="I42" s="977"/>
      <c r="J42" s="977"/>
      <c r="K42" s="977"/>
      <c r="L42" s="977"/>
      <c r="M42" s="977"/>
      <c r="N42" s="978"/>
      <c r="O42" s="978"/>
      <c r="P42" s="979"/>
      <c r="R42" s="976" t="s">
        <v>940</v>
      </c>
      <c r="S42" s="977"/>
      <c r="T42" s="977"/>
      <c r="U42" s="977"/>
      <c r="V42" s="977"/>
      <c r="W42" s="977"/>
      <c r="X42" s="977"/>
      <c r="Y42" s="977"/>
      <c r="Z42" s="977"/>
      <c r="AA42" s="977"/>
      <c r="AB42" s="977"/>
      <c r="AC42" s="977"/>
      <c r="AD42" s="978"/>
      <c r="AE42" s="978"/>
      <c r="AF42" s="979"/>
      <c r="AH42" s="976" t="s">
        <v>940</v>
      </c>
      <c r="AI42" s="981"/>
      <c r="AJ42" s="981"/>
      <c r="AK42" s="981"/>
      <c r="AL42" s="981"/>
      <c r="AM42" s="981"/>
      <c r="AN42" s="981"/>
      <c r="AO42" s="981"/>
      <c r="AP42" s="981"/>
      <c r="AQ42" s="981"/>
      <c r="AR42" s="981"/>
      <c r="AS42" s="981"/>
      <c r="AT42" s="982"/>
      <c r="AU42" s="982"/>
      <c r="AV42" s="983"/>
      <c r="AX42" s="976" t="s">
        <v>940</v>
      </c>
      <c r="AY42" s="981"/>
      <c r="AZ42" s="981"/>
      <c r="BA42" s="981"/>
      <c r="BB42" s="981"/>
      <c r="BC42" s="981"/>
      <c r="BD42" s="981"/>
      <c r="BE42" s="981"/>
      <c r="BF42" s="981"/>
      <c r="BG42" s="981"/>
      <c r="BH42" s="981"/>
      <c r="BI42" s="981"/>
      <c r="BJ42" s="982"/>
      <c r="BK42" s="982"/>
      <c r="BL42" s="983"/>
      <c r="BO42" s="622" t="s">
        <v>61</v>
      </c>
      <c r="BP42" s="976" t="s">
        <v>940</v>
      </c>
      <c r="BQ42" s="981"/>
      <c r="BR42" s="981"/>
      <c r="BS42" s="981"/>
      <c r="BT42" s="981"/>
      <c r="BU42" s="981"/>
      <c r="BV42" s="981"/>
      <c r="BW42" s="981"/>
      <c r="BX42" s="981"/>
      <c r="BY42" s="981"/>
      <c r="BZ42" s="981"/>
      <c r="CA42" s="981"/>
      <c r="CB42" s="982"/>
      <c r="CC42" s="982"/>
      <c r="CD42" s="983"/>
    </row>
    <row r="43" spans="2:82" s="465" customFormat="1" ht="15.75" customHeight="1" x14ac:dyDescent="0.25">
      <c r="B43" s="852" t="s">
        <v>502</v>
      </c>
      <c r="C43" s="853">
        <v>130.47800000000001</v>
      </c>
      <c r="D43" s="853">
        <v>625.91610000000003</v>
      </c>
      <c r="E43" s="853">
        <v>209.00360000000001</v>
      </c>
      <c r="F43" s="853">
        <v>242.0206</v>
      </c>
      <c r="G43" s="853">
        <v>217.88339999999999</v>
      </c>
      <c r="H43" s="853">
        <v>211.0188</v>
      </c>
      <c r="I43" s="853">
        <v>229.88820000000001</v>
      </c>
      <c r="J43" s="853">
        <v>222.39099999999999</v>
      </c>
      <c r="K43" s="853">
        <v>259.51339999999999</v>
      </c>
      <c r="L43" s="853">
        <v>365.02960000000002</v>
      </c>
      <c r="M43" s="853">
        <v>347.25529999999998</v>
      </c>
      <c r="N43" s="854">
        <v>227.54069999999999</v>
      </c>
      <c r="O43" s="854">
        <v>314.78230000000002</v>
      </c>
      <c r="P43" s="855">
        <v>301.53230000000002</v>
      </c>
      <c r="R43" s="852" t="s">
        <v>502</v>
      </c>
      <c r="S43" s="853">
        <v>95.472200000000001</v>
      </c>
      <c r="T43" s="853">
        <v>478.73390000000001</v>
      </c>
      <c r="U43" s="853">
        <v>181.60980000000001</v>
      </c>
      <c r="V43" s="853">
        <v>196.0104</v>
      </c>
      <c r="W43" s="853">
        <v>163.63659999999999</v>
      </c>
      <c r="X43" s="853">
        <v>153.4196</v>
      </c>
      <c r="Y43" s="853">
        <v>156.81899999999999</v>
      </c>
      <c r="Z43" s="853">
        <v>147.94890000000001</v>
      </c>
      <c r="AA43" s="853">
        <v>172.71680000000001</v>
      </c>
      <c r="AB43" s="853">
        <v>217.38470000000001</v>
      </c>
      <c r="AC43" s="853">
        <v>119.738</v>
      </c>
      <c r="AD43" s="854">
        <v>163.9528</v>
      </c>
      <c r="AE43" s="854">
        <v>150.97890000000001</v>
      </c>
      <c r="AF43" s="855">
        <v>152.9494</v>
      </c>
      <c r="AH43" s="852" t="s">
        <v>502</v>
      </c>
      <c r="AI43" s="887">
        <v>20.902200000000001</v>
      </c>
      <c r="AJ43" s="887">
        <v>61.094799999999999</v>
      </c>
      <c r="AK43" s="887">
        <v>54.184800000000003</v>
      </c>
      <c r="AL43" s="887">
        <v>54.537399999999998</v>
      </c>
      <c r="AM43" s="887">
        <v>42.805599999999998</v>
      </c>
      <c r="AN43" s="887">
        <v>44.681100000000001</v>
      </c>
      <c r="AO43" s="887">
        <v>37.513800000000003</v>
      </c>
      <c r="AP43" s="887">
        <v>35.998199999999997</v>
      </c>
      <c r="AQ43" s="887">
        <v>34.894300000000001</v>
      </c>
      <c r="AR43" s="887">
        <v>23.956399999999999</v>
      </c>
      <c r="AS43" s="887">
        <v>14.0701</v>
      </c>
      <c r="AT43" s="888">
        <v>42.204000000000001</v>
      </c>
      <c r="AU43" s="888">
        <v>21.759399999999999</v>
      </c>
      <c r="AV43" s="889">
        <v>24.102599999999999</v>
      </c>
      <c r="AX43" s="852" t="s">
        <v>502</v>
      </c>
      <c r="AY43" s="887">
        <v>38.832099999999997</v>
      </c>
      <c r="AZ43" s="887">
        <v>13.1015</v>
      </c>
      <c r="BA43" s="887">
        <v>16.506900000000002</v>
      </c>
      <c r="BB43" s="887">
        <v>15.5426</v>
      </c>
      <c r="BC43" s="887">
        <v>16.4068</v>
      </c>
      <c r="BD43" s="887">
        <v>17.343</v>
      </c>
      <c r="BE43" s="887">
        <v>16.331299999999999</v>
      </c>
      <c r="BF43" s="887">
        <v>17.4648</v>
      </c>
      <c r="BG43" s="887">
        <v>16.611899999999999</v>
      </c>
      <c r="BH43" s="887">
        <v>13.0456</v>
      </c>
      <c r="BI43" s="887">
        <v>11.603300000000001</v>
      </c>
      <c r="BJ43" s="888">
        <v>16.348500000000001</v>
      </c>
      <c r="BK43" s="888">
        <v>13.33</v>
      </c>
      <c r="BL43" s="889">
        <v>13.6759</v>
      </c>
      <c r="BO43" s="618" t="s">
        <v>62</v>
      </c>
      <c r="BP43" s="852" t="s">
        <v>502</v>
      </c>
      <c r="BQ43" s="887">
        <v>13.4368</v>
      </c>
      <c r="BR43" s="887">
        <v>2.2890000000000001</v>
      </c>
      <c r="BS43" s="887">
        <v>16.2014</v>
      </c>
      <c r="BT43" s="887">
        <v>10.9091</v>
      </c>
      <c r="BU43" s="887">
        <v>15.8904</v>
      </c>
      <c r="BV43" s="887">
        <v>10.680199999999999</v>
      </c>
      <c r="BW43" s="887">
        <v>14.3703</v>
      </c>
      <c r="BX43" s="887">
        <v>13.063499999999999</v>
      </c>
      <c r="BY43" s="887">
        <v>15.0479</v>
      </c>
      <c r="BZ43" s="887">
        <v>22.550599999999999</v>
      </c>
      <c r="CA43" s="887">
        <v>8.8078000000000003</v>
      </c>
      <c r="CB43" s="888">
        <v>13.501799999999999</v>
      </c>
      <c r="CC43" s="888">
        <v>12.8735</v>
      </c>
      <c r="CD43" s="889">
        <v>12.945499999999999</v>
      </c>
    </row>
    <row r="44" spans="2:82" s="571" customFormat="1" ht="15.75" customHeight="1" x14ac:dyDescent="0.25">
      <c r="B44" s="856" t="s">
        <v>472</v>
      </c>
      <c r="C44" s="857">
        <v>581.28599999999994</v>
      </c>
      <c r="D44" s="857">
        <v>369.56330000000003</v>
      </c>
      <c r="E44" s="857">
        <v>289.13780000000003</v>
      </c>
      <c r="F44" s="857">
        <v>244.2457</v>
      </c>
      <c r="G44" s="857">
        <v>256.30579999999998</v>
      </c>
      <c r="H44" s="857">
        <v>272.75880000000001</v>
      </c>
      <c r="I44" s="857">
        <v>281.68239999999997</v>
      </c>
      <c r="J44" s="857">
        <v>270.69499999999999</v>
      </c>
      <c r="K44" s="857">
        <v>330.67579999999998</v>
      </c>
      <c r="L44" s="857">
        <v>385.92250000000001</v>
      </c>
      <c r="M44" s="857">
        <v>304.31540000000001</v>
      </c>
      <c r="N44" s="858">
        <v>265.71350000000001</v>
      </c>
      <c r="O44" s="858">
        <v>325.9117</v>
      </c>
      <c r="P44" s="859">
        <v>299.0548</v>
      </c>
      <c r="R44" s="856" t="s">
        <v>472</v>
      </c>
      <c r="S44" s="857">
        <v>525.25130000000001</v>
      </c>
      <c r="T44" s="857">
        <v>291.5548</v>
      </c>
      <c r="U44" s="857">
        <v>229.49279999999999</v>
      </c>
      <c r="V44" s="857">
        <v>189.49180000000001</v>
      </c>
      <c r="W44" s="857">
        <v>198.51480000000001</v>
      </c>
      <c r="X44" s="857">
        <v>202.68960000000001</v>
      </c>
      <c r="Y44" s="857">
        <v>214.09610000000001</v>
      </c>
      <c r="Z44" s="857">
        <v>190.5489</v>
      </c>
      <c r="AA44" s="857">
        <v>200.315</v>
      </c>
      <c r="AB44" s="857">
        <v>226.94329999999999</v>
      </c>
      <c r="AC44" s="857">
        <v>172.53579999999999</v>
      </c>
      <c r="AD44" s="858">
        <v>203.8699</v>
      </c>
      <c r="AE44" s="858">
        <v>202.17930000000001</v>
      </c>
      <c r="AF44" s="859">
        <v>202.93350000000001</v>
      </c>
      <c r="AH44" s="856" t="s">
        <v>472</v>
      </c>
      <c r="AI44" s="884">
        <v>65.144400000000005</v>
      </c>
      <c r="AJ44" s="884">
        <v>55.152000000000001</v>
      </c>
      <c r="AK44" s="884">
        <v>55.569200000000002</v>
      </c>
      <c r="AL44" s="884">
        <v>52.190100000000001</v>
      </c>
      <c r="AM44" s="884">
        <v>48.116300000000003</v>
      </c>
      <c r="AN44" s="884">
        <v>45.436</v>
      </c>
      <c r="AO44" s="884">
        <v>44.649099999999997</v>
      </c>
      <c r="AP44" s="884">
        <v>42.929000000000002</v>
      </c>
      <c r="AQ44" s="884">
        <v>32.872799999999998</v>
      </c>
      <c r="AR44" s="884">
        <v>34.4681</v>
      </c>
      <c r="AS44" s="884">
        <v>33.348300000000002</v>
      </c>
      <c r="AT44" s="885">
        <v>48.254300000000001</v>
      </c>
      <c r="AU44" s="885">
        <v>35.536900000000003</v>
      </c>
      <c r="AV44" s="886">
        <v>40.578099999999999</v>
      </c>
      <c r="AX44" s="856" t="s">
        <v>472</v>
      </c>
      <c r="AY44" s="884">
        <v>14.282299999999999</v>
      </c>
      <c r="AZ44" s="884">
        <v>15.2986</v>
      </c>
      <c r="BA44" s="884">
        <v>14.962999999999999</v>
      </c>
      <c r="BB44" s="884">
        <v>16.499600000000001</v>
      </c>
      <c r="BC44" s="884">
        <v>17.742699999999999</v>
      </c>
      <c r="BD44" s="884">
        <v>16.6401</v>
      </c>
      <c r="BE44" s="884">
        <v>18.5181</v>
      </c>
      <c r="BF44" s="884">
        <v>17.308199999999999</v>
      </c>
      <c r="BG44" s="884">
        <v>14.6622</v>
      </c>
      <c r="BH44" s="884">
        <v>14.378</v>
      </c>
      <c r="BI44" s="884">
        <v>15.9991</v>
      </c>
      <c r="BJ44" s="885">
        <v>17.3047</v>
      </c>
      <c r="BK44" s="885">
        <v>15.239599999999999</v>
      </c>
      <c r="BL44" s="886">
        <v>16.058199999999999</v>
      </c>
      <c r="BO44" s="622" t="s">
        <v>63</v>
      </c>
      <c r="BP44" s="856" t="s">
        <v>472</v>
      </c>
      <c r="BQ44" s="884">
        <v>10.9335</v>
      </c>
      <c r="BR44" s="884">
        <v>8.4411000000000005</v>
      </c>
      <c r="BS44" s="884">
        <v>8.8391999999999999</v>
      </c>
      <c r="BT44" s="884">
        <v>8.8926999999999996</v>
      </c>
      <c r="BU44" s="884">
        <v>11.593299999999999</v>
      </c>
      <c r="BV44" s="884">
        <v>12.2348</v>
      </c>
      <c r="BW44" s="884">
        <v>12.839</v>
      </c>
      <c r="BX44" s="884">
        <v>10.1553</v>
      </c>
      <c r="BY44" s="884">
        <v>13.0425</v>
      </c>
      <c r="BZ44" s="884">
        <v>9.9593000000000007</v>
      </c>
      <c r="CA44" s="884">
        <v>7.3490000000000002</v>
      </c>
      <c r="CB44" s="885">
        <v>11.166499999999999</v>
      </c>
      <c r="CC44" s="885">
        <v>11.2584</v>
      </c>
      <c r="CD44" s="886">
        <v>11.222</v>
      </c>
    </row>
    <row r="45" spans="2:82" s="465" customFormat="1" ht="15.75" customHeight="1" x14ac:dyDescent="0.25">
      <c r="B45" s="865" t="s">
        <v>97</v>
      </c>
      <c r="C45" s="853">
        <v>461.73869999999999</v>
      </c>
      <c r="D45" s="853">
        <v>337.29340000000002</v>
      </c>
      <c r="E45" s="853">
        <v>264.66320000000002</v>
      </c>
      <c r="F45" s="853">
        <v>265.61579999999998</v>
      </c>
      <c r="G45" s="853">
        <v>274.22609999999997</v>
      </c>
      <c r="H45" s="853">
        <v>272.84870000000001</v>
      </c>
      <c r="I45" s="853">
        <v>281.17239999999998</v>
      </c>
      <c r="J45" s="853">
        <v>303.68990000000002</v>
      </c>
      <c r="K45" s="853">
        <v>257.82299999999998</v>
      </c>
      <c r="L45" s="866">
        <v>360.26010000000002</v>
      </c>
      <c r="M45" s="866" t="s">
        <v>102</v>
      </c>
      <c r="N45" s="854">
        <v>274.47239999999999</v>
      </c>
      <c r="O45" s="854">
        <v>300.33940000000001</v>
      </c>
      <c r="P45" s="855">
        <v>277.16930000000002</v>
      </c>
      <c r="R45" s="865" t="s">
        <v>97</v>
      </c>
      <c r="S45" s="853">
        <v>361.56400000000002</v>
      </c>
      <c r="T45" s="853">
        <v>269.49180000000001</v>
      </c>
      <c r="U45" s="853">
        <v>206.39060000000001</v>
      </c>
      <c r="V45" s="853">
        <v>202.1557</v>
      </c>
      <c r="W45" s="853">
        <v>204.4109</v>
      </c>
      <c r="X45" s="853">
        <v>197.4853</v>
      </c>
      <c r="Y45" s="853">
        <v>201.93389999999999</v>
      </c>
      <c r="Z45" s="853">
        <v>206.51609999999999</v>
      </c>
      <c r="AA45" s="853">
        <v>153.17140000000001</v>
      </c>
      <c r="AB45" s="866">
        <v>360.26010000000002</v>
      </c>
      <c r="AC45" s="866" t="s">
        <v>102</v>
      </c>
      <c r="AD45" s="854">
        <v>205.93690000000001</v>
      </c>
      <c r="AE45" s="854">
        <v>204.81819999999999</v>
      </c>
      <c r="AF45" s="855">
        <v>205.8202</v>
      </c>
      <c r="AH45" s="865" t="s">
        <v>97</v>
      </c>
      <c r="AI45" s="887">
        <v>54.686500000000002</v>
      </c>
      <c r="AJ45" s="887">
        <v>55.581299999999999</v>
      </c>
      <c r="AK45" s="887">
        <v>52.1143</v>
      </c>
      <c r="AL45" s="887">
        <v>49.336399999999998</v>
      </c>
      <c r="AM45" s="887">
        <v>46.407699999999998</v>
      </c>
      <c r="AN45" s="887">
        <v>40.209899999999998</v>
      </c>
      <c r="AO45" s="887">
        <v>42.649500000000003</v>
      </c>
      <c r="AP45" s="887">
        <v>41.194099999999999</v>
      </c>
      <c r="AQ45" s="887">
        <v>40.750799999999998</v>
      </c>
      <c r="AR45" s="890">
        <v>73.190299999999993</v>
      </c>
      <c r="AS45" s="890" t="s">
        <v>102</v>
      </c>
      <c r="AT45" s="888">
        <v>47.233699999999999</v>
      </c>
      <c r="AU45" s="888">
        <v>42.114199999999997</v>
      </c>
      <c r="AV45" s="889">
        <v>46.655299999999997</v>
      </c>
      <c r="AX45" s="865" t="s">
        <v>97</v>
      </c>
      <c r="AY45" s="887">
        <v>18.985099999999999</v>
      </c>
      <c r="AZ45" s="887">
        <v>17.197099999999999</v>
      </c>
      <c r="BA45" s="887">
        <v>16.846900000000002</v>
      </c>
      <c r="BB45" s="887">
        <v>17.146000000000001</v>
      </c>
      <c r="BC45" s="887">
        <v>17.701799999999999</v>
      </c>
      <c r="BD45" s="887">
        <v>19.127400000000002</v>
      </c>
      <c r="BE45" s="887">
        <v>17.777100000000001</v>
      </c>
      <c r="BF45" s="887">
        <v>16.1661</v>
      </c>
      <c r="BG45" s="887">
        <v>12.3797</v>
      </c>
      <c r="BH45" s="890">
        <v>15.381</v>
      </c>
      <c r="BI45" s="890" t="s">
        <v>102</v>
      </c>
      <c r="BJ45" s="888">
        <v>17.5687</v>
      </c>
      <c r="BK45" s="888">
        <v>15.8049</v>
      </c>
      <c r="BL45" s="889">
        <v>17.369399999999999</v>
      </c>
      <c r="BO45" s="618" t="s">
        <v>64</v>
      </c>
      <c r="BP45" s="865" t="s">
        <v>97</v>
      </c>
      <c r="BQ45" s="887">
        <v>4.6333000000000002</v>
      </c>
      <c r="BR45" s="887">
        <v>7.12</v>
      </c>
      <c r="BS45" s="887">
        <v>9.0211000000000006</v>
      </c>
      <c r="BT45" s="887">
        <v>9.6258999999999997</v>
      </c>
      <c r="BU45" s="887">
        <v>10.4315</v>
      </c>
      <c r="BV45" s="887">
        <v>13.041700000000001</v>
      </c>
      <c r="BW45" s="887">
        <v>11.3919</v>
      </c>
      <c r="BX45" s="887">
        <v>10.641999999999999</v>
      </c>
      <c r="BY45" s="887">
        <v>6.2789999999999999</v>
      </c>
      <c r="BZ45" s="890">
        <v>11.428699999999999</v>
      </c>
      <c r="CA45" s="890" t="s">
        <v>102</v>
      </c>
      <c r="CB45" s="888">
        <v>10.2277</v>
      </c>
      <c r="CC45" s="888">
        <v>10.2765</v>
      </c>
      <c r="CD45" s="889">
        <v>10.2332</v>
      </c>
    </row>
    <row r="46" spans="2:82" s="571" customFormat="1" ht="15.75" customHeight="1" x14ac:dyDescent="0.25">
      <c r="B46" s="860" t="s">
        <v>96</v>
      </c>
      <c r="C46" s="861">
        <v>619.7364</v>
      </c>
      <c r="D46" s="861">
        <v>392.5172</v>
      </c>
      <c r="E46" s="861">
        <v>290.23829999999998</v>
      </c>
      <c r="F46" s="861">
        <v>329.82729999999998</v>
      </c>
      <c r="G46" s="861">
        <v>649.56970000000001</v>
      </c>
      <c r="H46" s="861">
        <v>506.52390000000003</v>
      </c>
      <c r="I46" s="861">
        <v>306.1737</v>
      </c>
      <c r="J46" s="861">
        <v>286.6386</v>
      </c>
      <c r="K46" s="861" t="s">
        <v>102</v>
      </c>
      <c r="L46" s="862" t="s">
        <v>102</v>
      </c>
      <c r="M46" s="862" t="s">
        <v>102</v>
      </c>
      <c r="N46" s="863">
        <v>387.0763</v>
      </c>
      <c r="O46" s="863">
        <v>286.6386</v>
      </c>
      <c r="P46" s="864">
        <v>382.44240000000002</v>
      </c>
      <c r="R46" s="860" t="s">
        <v>96</v>
      </c>
      <c r="S46" s="861">
        <v>515.31920000000002</v>
      </c>
      <c r="T46" s="861">
        <v>302.8297</v>
      </c>
      <c r="U46" s="861">
        <v>226.31129999999999</v>
      </c>
      <c r="V46" s="861">
        <v>256.0009</v>
      </c>
      <c r="W46" s="861">
        <v>554.89459999999997</v>
      </c>
      <c r="X46" s="861">
        <v>354.36669999999998</v>
      </c>
      <c r="Y46" s="861">
        <v>248.83410000000001</v>
      </c>
      <c r="Z46" s="861">
        <v>217.18369999999999</v>
      </c>
      <c r="AA46" s="861" t="s">
        <v>102</v>
      </c>
      <c r="AB46" s="862" t="s">
        <v>102</v>
      </c>
      <c r="AC46" s="862" t="s">
        <v>102</v>
      </c>
      <c r="AD46" s="863">
        <v>305.6823</v>
      </c>
      <c r="AE46" s="863">
        <v>217.18369999999999</v>
      </c>
      <c r="AF46" s="864">
        <v>301.5992</v>
      </c>
      <c r="AH46" s="860" t="s">
        <v>96</v>
      </c>
      <c r="AI46" s="891">
        <v>62.623100000000001</v>
      </c>
      <c r="AJ46" s="891">
        <v>54.639600000000002</v>
      </c>
      <c r="AK46" s="891">
        <v>51.988700000000001</v>
      </c>
      <c r="AL46" s="891">
        <v>46.225900000000003</v>
      </c>
      <c r="AM46" s="891">
        <v>21.6554</v>
      </c>
      <c r="AN46" s="891">
        <v>39.269799999999996</v>
      </c>
      <c r="AO46" s="891">
        <v>55.460599999999999</v>
      </c>
      <c r="AP46" s="891">
        <v>41.264899999999997</v>
      </c>
      <c r="AQ46" s="891" t="s">
        <v>102</v>
      </c>
      <c r="AR46" s="892" t="s">
        <v>102</v>
      </c>
      <c r="AS46" s="892" t="s">
        <v>102</v>
      </c>
      <c r="AT46" s="893">
        <v>43.022100000000002</v>
      </c>
      <c r="AU46" s="893">
        <v>41.264899999999997</v>
      </c>
      <c r="AV46" s="894">
        <v>42.961300000000001</v>
      </c>
      <c r="AX46" s="860" t="s">
        <v>96</v>
      </c>
      <c r="AY46" s="891">
        <v>17.1722</v>
      </c>
      <c r="AZ46" s="891">
        <v>16.843800000000002</v>
      </c>
      <c r="BA46" s="891">
        <v>17.065799999999999</v>
      </c>
      <c r="BB46" s="891">
        <v>16.979399999999998</v>
      </c>
      <c r="BC46" s="891">
        <v>9.1441999999999997</v>
      </c>
      <c r="BD46" s="891">
        <v>15.959099999999999</v>
      </c>
      <c r="BE46" s="891">
        <v>17.055499999999999</v>
      </c>
      <c r="BF46" s="891">
        <v>24.555399999999999</v>
      </c>
      <c r="BG46" s="891" t="s">
        <v>102</v>
      </c>
      <c r="BH46" s="892" t="s">
        <v>102</v>
      </c>
      <c r="BI46" s="892" t="s">
        <v>102</v>
      </c>
      <c r="BJ46" s="893">
        <v>15.1927</v>
      </c>
      <c r="BK46" s="893">
        <v>24.555399999999999</v>
      </c>
      <c r="BL46" s="894">
        <v>15.516400000000001</v>
      </c>
      <c r="BO46" s="622" t="s">
        <v>65</v>
      </c>
      <c r="BP46" s="860" t="s">
        <v>96</v>
      </c>
      <c r="BQ46" s="891">
        <v>3.3559999999999999</v>
      </c>
      <c r="BR46" s="891">
        <v>5.6673</v>
      </c>
      <c r="BS46" s="891">
        <v>8.9198000000000004</v>
      </c>
      <c r="BT46" s="891">
        <v>14.4114</v>
      </c>
      <c r="BU46" s="891">
        <v>54.625300000000003</v>
      </c>
      <c r="BV46" s="891">
        <v>14.7317</v>
      </c>
      <c r="BW46" s="891">
        <v>8.7561</v>
      </c>
      <c r="BX46" s="891">
        <v>9.9488000000000003</v>
      </c>
      <c r="BY46" s="891" t="s">
        <v>102</v>
      </c>
      <c r="BZ46" s="892" t="s">
        <v>102</v>
      </c>
      <c r="CA46" s="892" t="s">
        <v>102</v>
      </c>
      <c r="CB46" s="893">
        <v>20.757300000000001</v>
      </c>
      <c r="CC46" s="893">
        <v>9.9488000000000003</v>
      </c>
      <c r="CD46" s="894">
        <v>20.383600000000001</v>
      </c>
    </row>
    <row r="47" spans="2:82" s="168" customFormat="1" x14ac:dyDescent="0.2">
      <c r="B47" s="37" t="s">
        <v>270</v>
      </c>
      <c r="C47" s="649"/>
      <c r="D47" s="649"/>
      <c r="E47" s="649"/>
      <c r="F47" s="649"/>
      <c r="G47" s="649"/>
      <c r="H47" s="649"/>
      <c r="I47" s="649"/>
      <c r="J47" s="649"/>
      <c r="K47" s="649"/>
      <c r="L47" s="649"/>
      <c r="M47" s="649"/>
      <c r="N47" s="649"/>
      <c r="O47" s="649"/>
      <c r="P47" s="650"/>
      <c r="R47" s="37" t="s">
        <v>270</v>
      </c>
      <c r="S47" s="649"/>
      <c r="T47" s="649"/>
      <c r="U47" s="649"/>
      <c r="V47" s="649"/>
      <c r="W47" s="649"/>
      <c r="X47" s="649"/>
      <c r="Y47" s="649"/>
      <c r="Z47" s="649"/>
      <c r="AA47" s="649"/>
      <c r="AB47" s="649"/>
      <c r="AC47" s="649"/>
      <c r="AD47" s="649"/>
      <c r="AE47" s="649"/>
      <c r="AF47" s="650"/>
      <c r="AH47" s="37" t="s">
        <v>270</v>
      </c>
      <c r="AI47" s="649"/>
      <c r="AJ47" s="649"/>
      <c r="AK47" s="649"/>
      <c r="AL47" s="649"/>
      <c r="AM47" s="649"/>
      <c r="AN47" s="649"/>
      <c r="AO47" s="649"/>
      <c r="AP47" s="649"/>
      <c r="AQ47" s="649"/>
      <c r="AR47" s="649"/>
      <c r="AS47" s="649"/>
      <c r="AT47" s="649"/>
      <c r="AU47" s="649"/>
      <c r="AV47" s="650"/>
      <c r="AX47" s="37" t="s">
        <v>270</v>
      </c>
      <c r="AY47" s="649"/>
      <c r="AZ47" s="649"/>
      <c r="BA47" s="649"/>
      <c r="BB47" s="649"/>
      <c r="BC47" s="649"/>
      <c r="BD47" s="649"/>
      <c r="BE47" s="649"/>
      <c r="BF47" s="649"/>
      <c r="BG47" s="649"/>
      <c r="BH47" s="649"/>
      <c r="BI47" s="649"/>
      <c r="BJ47" s="649"/>
      <c r="BK47" s="649"/>
      <c r="BL47" s="650"/>
      <c r="BO47" s="249" t="s">
        <v>66</v>
      </c>
      <c r="BP47" s="37" t="s">
        <v>270</v>
      </c>
      <c r="BQ47" s="649"/>
      <c r="BR47" s="649"/>
      <c r="BS47" s="649"/>
      <c r="BT47" s="649"/>
      <c r="BU47" s="649"/>
      <c r="BV47" s="649"/>
      <c r="BW47" s="649"/>
      <c r="BX47" s="649"/>
      <c r="BY47" s="649"/>
      <c r="BZ47" s="649"/>
      <c r="CA47" s="649"/>
      <c r="CB47" s="649"/>
      <c r="CC47" s="649"/>
      <c r="CD47" s="650"/>
    </row>
    <row r="48" spans="2:82" s="37" customFormat="1" x14ac:dyDescent="0.2">
      <c r="B48" s="37" t="s">
        <v>503</v>
      </c>
      <c r="C48" s="649"/>
      <c r="D48" s="649"/>
      <c r="E48" s="649"/>
      <c r="F48" s="649"/>
      <c r="G48" s="649"/>
      <c r="H48" s="649"/>
      <c r="I48" s="649"/>
      <c r="J48" s="649"/>
      <c r="K48" s="649"/>
      <c r="L48" s="649"/>
      <c r="M48" s="649"/>
      <c r="N48" s="649"/>
      <c r="O48" s="649"/>
      <c r="P48" s="650"/>
      <c r="R48" s="37" t="s">
        <v>503</v>
      </c>
      <c r="S48" s="649"/>
      <c r="T48" s="649"/>
      <c r="U48" s="649"/>
      <c r="V48" s="649"/>
      <c r="W48" s="649"/>
      <c r="X48" s="649"/>
      <c r="Y48" s="649"/>
      <c r="Z48" s="649"/>
      <c r="AA48" s="649"/>
      <c r="AB48" s="649"/>
      <c r="AC48" s="649"/>
      <c r="AD48" s="649"/>
      <c r="AE48" s="649"/>
      <c r="AF48" s="650"/>
      <c r="AH48" s="37" t="s">
        <v>503</v>
      </c>
      <c r="AI48" s="649"/>
      <c r="AJ48" s="649"/>
      <c r="AK48" s="649"/>
      <c r="AL48" s="649"/>
      <c r="AM48" s="649"/>
      <c r="AN48" s="649"/>
      <c r="AO48" s="649"/>
      <c r="AP48" s="649"/>
      <c r="AQ48" s="649"/>
      <c r="AR48" s="649"/>
      <c r="AS48" s="649"/>
      <c r="AT48" s="649"/>
      <c r="AU48" s="649"/>
      <c r="AV48" s="650"/>
      <c r="AX48" s="37" t="s">
        <v>503</v>
      </c>
      <c r="AY48" s="649"/>
      <c r="AZ48" s="649"/>
      <c r="BA48" s="649"/>
      <c r="BB48" s="649"/>
      <c r="BC48" s="649"/>
      <c r="BD48" s="649"/>
      <c r="BE48" s="649"/>
      <c r="BF48" s="649"/>
      <c r="BG48" s="649"/>
      <c r="BH48" s="649"/>
      <c r="BI48" s="649"/>
      <c r="BJ48" s="649"/>
      <c r="BK48" s="649"/>
      <c r="BL48" s="650"/>
      <c r="BO48" s="651" t="s">
        <v>94</v>
      </c>
      <c r="BP48" s="37" t="s">
        <v>503</v>
      </c>
      <c r="BQ48" s="649"/>
      <c r="BR48" s="649"/>
      <c r="BS48" s="649"/>
      <c r="BT48" s="649"/>
      <c r="BU48" s="649"/>
      <c r="BV48" s="649"/>
      <c r="BW48" s="649"/>
      <c r="BX48" s="649"/>
      <c r="BY48" s="649"/>
      <c r="BZ48" s="649"/>
      <c r="CA48" s="649"/>
      <c r="CB48" s="649"/>
      <c r="CC48" s="649"/>
      <c r="CD48" s="650"/>
    </row>
    <row r="49" spans="2:82" s="37" customFormat="1" x14ac:dyDescent="0.2">
      <c r="B49" s="37" t="s">
        <v>473</v>
      </c>
      <c r="C49" s="652"/>
      <c r="D49" s="652"/>
      <c r="E49" s="652"/>
      <c r="F49" s="652"/>
      <c r="G49" s="652"/>
      <c r="H49" s="652"/>
      <c r="I49" s="652"/>
      <c r="J49" s="652"/>
      <c r="K49" s="652"/>
      <c r="L49" s="652"/>
      <c r="M49" s="652"/>
      <c r="N49" s="652"/>
      <c r="O49" s="652"/>
      <c r="P49" s="653"/>
      <c r="R49" s="37" t="s">
        <v>473</v>
      </c>
      <c r="S49" s="652"/>
      <c r="T49" s="652"/>
      <c r="U49" s="652"/>
      <c r="V49" s="652"/>
      <c r="W49" s="652"/>
      <c r="X49" s="652"/>
      <c r="Y49" s="652"/>
      <c r="Z49" s="652"/>
      <c r="AA49" s="652"/>
      <c r="AB49" s="652"/>
      <c r="AC49" s="652"/>
      <c r="AD49" s="652"/>
      <c r="AE49" s="652"/>
      <c r="AF49" s="653"/>
      <c r="AH49" s="37" t="s">
        <v>473</v>
      </c>
      <c r="AI49" s="652"/>
      <c r="AJ49" s="652"/>
      <c r="AK49" s="652"/>
      <c r="AL49" s="652"/>
      <c r="AM49" s="652"/>
      <c r="AN49" s="652"/>
      <c r="AO49" s="652"/>
      <c r="AP49" s="652"/>
      <c r="AQ49" s="652"/>
      <c r="AR49" s="652"/>
      <c r="AS49" s="652"/>
      <c r="AT49" s="652"/>
      <c r="AU49" s="652"/>
      <c r="AV49" s="653"/>
      <c r="AX49" s="37" t="s">
        <v>473</v>
      </c>
      <c r="AY49" s="652"/>
      <c r="AZ49" s="652"/>
      <c r="BA49" s="652"/>
      <c r="BB49" s="652"/>
      <c r="BC49" s="652"/>
      <c r="BD49" s="652"/>
      <c r="BE49" s="652"/>
      <c r="BF49" s="652"/>
      <c r="BG49" s="652"/>
      <c r="BH49" s="652"/>
      <c r="BI49" s="652"/>
      <c r="BJ49" s="652"/>
      <c r="BK49" s="652"/>
      <c r="BL49" s="653"/>
      <c r="BO49" s="654" t="s">
        <v>95</v>
      </c>
      <c r="BP49" s="37" t="s">
        <v>473</v>
      </c>
      <c r="BQ49" s="652"/>
      <c r="BR49" s="652"/>
      <c r="BS49" s="652"/>
      <c r="BT49" s="652"/>
      <c r="BU49" s="652"/>
      <c r="BV49" s="652"/>
      <c r="BW49" s="652"/>
      <c r="BX49" s="652"/>
      <c r="BY49" s="652"/>
      <c r="BZ49" s="652"/>
      <c r="CA49" s="652"/>
      <c r="CB49" s="652"/>
      <c r="CC49" s="652"/>
      <c r="CD49" s="653"/>
    </row>
    <row r="50" spans="2:82" s="37" customFormat="1" x14ac:dyDescent="0.2">
      <c r="B50" s="625" t="s">
        <v>888</v>
      </c>
      <c r="P50" s="655"/>
      <c r="R50" s="625" t="s">
        <v>888</v>
      </c>
      <c r="AF50" s="655"/>
      <c r="AH50" s="625" t="s">
        <v>888</v>
      </c>
      <c r="AV50" s="655"/>
      <c r="AX50" s="625" t="s">
        <v>888</v>
      </c>
      <c r="BL50" s="655"/>
      <c r="BP50" s="625" t="s">
        <v>888</v>
      </c>
    </row>
  </sheetData>
  <phoneticPr fontId="2" type="noConversion"/>
  <pageMargins left="0.59055118110236227" right="0.59055118110236227" top="0.59055118110236227" bottom="0.59055118110236227" header="0.39370078740157483" footer="0.39370078740157483"/>
  <pageSetup paperSize="9" scale="65" firstPageNumber="88" fitToWidth="0" fitToHeight="0" orientation="landscape" useFirstPageNumber="1" r:id="rId1"/>
  <headerFooter alignWithMargins="0">
    <oddHeader>&amp;R&amp;12Les finances des communes en 2024</oddHeader>
    <oddFooter>&amp;L&amp;12Direction Générale des Collectivités Locales / DESL&amp;C&amp;12&amp;P&amp;R&amp;12Mise en ligne : janvier 2026</oddFooter>
  </headerFooter>
  <colBreaks count="4" manualBreakCount="4">
    <brk id="16" max="45" man="1"/>
    <brk id="32" max="45" man="1"/>
    <brk id="48" max="45" man="1"/>
    <brk id="64" max="4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CR109"/>
  <sheetViews>
    <sheetView view="pageBreakPreview" zoomScale="85" zoomScaleNormal="100" zoomScaleSheetLayoutView="85" workbookViewId="0"/>
  </sheetViews>
  <sheetFormatPr baseColWidth="10" defaultRowHeight="12.75" x14ac:dyDescent="0.2"/>
  <cols>
    <col min="1" max="1" width="3.85546875" customWidth="1"/>
    <col min="2" max="2" width="28.28515625" customWidth="1"/>
    <col min="3" max="13" width="12.5703125" customWidth="1"/>
    <col min="14" max="15" width="13.42578125" customWidth="1"/>
    <col min="16" max="16" width="11.42578125" style="94"/>
    <col min="17" max="17" width="3.85546875" customWidth="1"/>
    <col min="18" max="18" width="28.28515625" customWidth="1"/>
    <col min="19" max="29" width="12.5703125" customWidth="1"/>
    <col min="30" max="31" width="13.42578125" customWidth="1"/>
    <col min="32" max="32" width="11.42578125" style="94"/>
    <col min="33" max="33" width="3.85546875" customWidth="1"/>
    <col min="34" max="34" width="28.28515625" customWidth="1"/>
    <col min="35" max="45" width="12.5703125" customWidth="1"/>
    <col min="46" max="47" width="13.42578125" customWidth="1"/>
    <col min="48" max="48" width="11.42578125" style="94"/>
    <col min="49" max="49" width="3.85546875" customWidth="1"/>
    <col min="50" max="50" width="28.28515625" customWidth="1"/>
    <col min="51" max="61" width="12.5703125" customWidth="1"/>
    <col min="62" max="63" width="13.42578125" customWidth="1"/>
    <col min="64" max="64" width="11.42578125" style="94"/>
    <col min="65" max="65" width="3.85546875" customWidth="1"/>
    <col min="66" max="66" width="28.28515625" customWidth="1"/>
    <col min="67" max="77" width="12.5703125" customWidth="1"/>
    <col min="78" max="79" width="13.42578125" customWidth="1"/>
    <col min="80" max="80" width="11.42578125" style="94"/>
    <col min="81" max="81" width="3.85546875" customWidth="1"/>
    <col min="82" max="82" width="28.28515625" customWidth="1"/>
    <col min="83" max="93" width="12.5703125" customWidth="1"/>
    <col min="94" max="95" width="13.42578125" customWidth="1"/>
    <col min="96" max="96" width="11.42578125" style="94"/>
  </cols>
  <sheetData>
    <row r="1" spans="1:96" ht="20.25" x14ac:dyDescent="0.3">
      <c r="A1" s="169" t="s">
        <v>945</v>
      </c>
      <c r="B1" s="127"/>
      <c r="C1" s="127"/>
      <c r="D1" s="127"/>
      <c r="E1" s="127"/>
      <c r="F1" s="127"/>
      <c r="G1" s="127"/>
      <c r="H1" s="127"/>
      <c r="I1" s="127"/>
      <c r="J1" s="127"/>
      <c r="K1" s="127"/>
      <c r="L1" s="127"/>
      <c r="M1" s="127"/>
      <c r="N1" s="127"/>
      <c r="O1" s="127"/>
      <c r="P1" s="154"/>
      <c r="Q1" s="163"/>
      <c r="R1" s="127"/>
      <c r="S1" s="127"/>
      <c r="T1" s="127"/>
      <c r="U1" s="127"/>
      <c r="V1" s="127"/>
      <c r="W1" s="127"/>
      <c r="X1" s="127"/>
      <c r="Y1" s="127"/>
      <c r="Z1" s="127"/>
      <c r="AA1" s="127"/>
      <c r="AB1" s="127"/>
      <c r="AC1" s="127"/>
      <c r="AD1" s="127"/>
      <c r="AE1" s="127"/>
      <c r="AF1" s="154"/>
      <c r="AG1" s="163"/>
      <c r="AH1" s="127"/>
      <c r="AI1" s="127"/>
      <c r="AJ1" s="127"/>
      <c r="AK1" s="127"/>
      <c r="AL1" s="127"/>
      <c r="AM1" s="127"/>
      <c r="AN1" s="127"/>
      <c r="AO1" s="127"/>
      <c r="AP1" s="127"/>
      <c r="AQ1" s="127"/>
      <c r="AR1" s="127"/>
      <c r="AS1" s="127"/>
      <c r="AT1" s="127"/>
      <c r="AU1" s="127"/>
      <c r="AV1" s="147"/>
      <c r="AW1" s="163"/>
      <c r="AX1" s="127"/>
      <c r="AY1" s="127"/>
      <c r="AZ1" s="127"/>
      <c r="BA1" s="127"/>
      <c r="BB1" s="127"/>
      <c r="BC1" s="127"/>
      <c r="BD1" s="127"/>
      <c r="BE1" s="127"/>
      <c r="BF1" s="127"/>
      <c r="BG1" s="127"/>
      <c r="BH1" s="127"/>
      <c r="BI1" s="127"/>
      <c r="BJ1" s="127"/>
      <c r="BK1" s="127"/>
      <c r="BL1" s="147"/>
      <c r="BM1" s="69"/>
      <c r="BN1" s="77"/>
      <c r="BO1" s="80"/>
      <c r="BP1" s="80"/>
      <c r="BQ1" s="80"/>
      <c r="BR1" s="80"/>
      <c r="BS1" s="80"/>
      <c r="BT1" s="80"/>
      <c r="BU1" s="80"/>
      <c r="BV1" s="80"/>
      <c r="BW1" s="80"/>
      <c r="BX1" s="80"/>
      <c r="BY1" s="80"/>
      <c r="BZ1" s="80"/>
      <c r="CA1" s="80"/>
      <c r="CB1" s="98"/>
      <c r="CC1" s="163"/>
      <c r="CD1" s="104"/>
      <c r="CE1" s="104"/>
      <c r="CF1" s="104"/>
      <c r="CG1" s="104"/>
      <c r="CH1" s="104"/>
      <c r="CI1" s="104"/>
      <c r="CJ1" s="104"/>
      <c r="CK1" s="104"/>
      <c r="CL1" s="104"/>
      <c r="CM1" s="104"/>
      <c r="CN1" s="104"/>
      <c r="CO1" s="104"/>
      <c r="CP1" s="104"/>
      <c r="CQ1" s="104"/>
      <c r="CR1" s="170"/>
    </row>
    <row r="2" spans="1:96" ht="12.75" customHeight="1" x14ac:dyDescent="0.3">
      <c r="A2" s="9"/>
      <c r="B2" s="127"/>
      <c r="C2" s="127"/>
      <c r="D2" s="127"/>
      <c r="E2" s="127"/>
      <c r="F2" s="127"/>
      <c r="G2" s="127"/>
      <c r="H2" s="127"/>
      <c r="I2" s="127"/>
      <c r="J2" s="127"/>
      <c r="K2" s="127"/>
      <c r="L2" s="127"/>
      <c r="M2" s="127"/>
      <c r="N2" s="127"/>
      <c r="O2" s="127"/>
      <c r="P2" s="154"/>
      <c r="Q2" s="163"/>
      <c r="R2" s="127"/>
      <c r="S2" s="127"/>
      <c r="T2" s="127"/>
      <c r="U2" s="127"/>
      <c r="V2" s="127"/>
      <c r="W2" s="127"/>
      <c r="X2" s="127"/>
      <c r="Y2" s="127"/>
      <c r="Z2" s="127"/>
      <c r="AA2" s="127"/>
      <c r="AB2" s="127"/>
      <c r="AC2" s="127"/>
      <c r="AD2" s="127"/>
      <c r="AE2" s="127"/>
      <c r="AF2" s="154"/>
      <c r="AG2" s="163"/>
      <c r="AH2" s="127"/>
      <c r="AI2" s="127"/>
      <c r="AJ2" s="127"/>
      <c r="AK2" s="127"/>
      <c r="AL2" s="127"/>
      <c r="AM2" s="127"/>
      <c r="AN2" s="127"/>
      <c r="AO2" s="127"/>
      <c r="AP2" s="127"/>
      <c r="AQ2" s="127"/>
      <c r="AR2" s="127"/>
      <c r="AS2" s="127"/>
      <c r="AT2" s="127"/>
      <c r="AU2" s="127"/>
      <c r="AV2" s="147"/>
      <c r="AW2" s="163"/>
      <c r="AX2" s="127"/>
      <c r="AY2" s="127"/>
      <c r="AZ2" s="127"/>
      <c r="BA2" s="127"/>
      <c r="BB2" s="127"/>
      <c r="BC2" s="127"/>
      <c r="BD2" s="127"/>
      <c r="BE2" s="127"/>
      <c r="BF2" s="127"/>
      <c r="BG2" s="127"/>
      <c r="BH2" s="127"/>
      <c r="BI2" s="127"/>
      <c r="BJ2" s="127"/>
      <c r="BK2" s="127"/>
      <c r="BL2" s="147"/>
      <c r="BM2" s="69"/>
      <c r="BN2" s="77"/>
      <c r="BO2" s="80"/>
      <c r="BP2" s="80"/>
      <c r="BQ2" s="80"/>
      <c r="BR2" s="80"/>
      <c r="BS2" s="80"/>
      <c r="BT2" s="80"/>
      <c r="BU2" s="80"/>
      <c r="BV2" s="80"/>
      <c r="BW2" s="80"/>
      <c r="BX2" s="80"/>
      <c r="BY2" s="80"/>
      <c r="BZ2" s="80"/>
      <c r="CA2" s="80"/>
      <c r="CB2" s="98"/>
      <c r="CC2" s="163"/>
      <c r="CD2" s="104"/>
      <c r="CE2" s="104"/>
      <c r="CF2" s="104"/>
      <c r="CG2" s="104"/>
      <c r="CH2" s="104"/>
      <c r="CI2" s="104"/>
      <c r="CJ2" s="104"/>
      <c r="CK2" s="104"/>
      <c r="CL2" s="104"/>
      <c r="CM2" s="104"/>
      <c r="CN2" s="104"/>
      <c r="CO2" s="104"/>
      <c r="CP2" s="104"/>
      <c r="CQ2" s="104"/>
      <c r="CR2" s="170"/>
    </row>
    <row r="3" spans="1:96" ht="16.5" x14ac:dyDescent="0.25">
      <c r="A3" s="39"/>
      <c r="B3" s="39"/>
      <c r="C3" s="39"/>
      <c r="D3" s="39"/>
      <c r="E3" s="39"/>
      <c r="F3" s="39"/>
      <c r="G3" s="39"/>
      <c r="H3" s="39"/>
      <c r="I3" s="39"/>
      <c r="J3" s="39"/>
      <c r="K3" s="39"/>
      <c r="L3" s="39"/>
      <c r="M3" s="39"/>
      <c r="N3" s="39"/>
      <c r="O3" s="39"/>
      <c r="P3" s="155"/>
      <c r="Q3" s="164"/>
      <c r="R3" s="39"/>
      <c r="S3" s="39"/>
      <c r="T3" s="39"/>
      <c r="U3" s="39"/>
      <c r="V3" s="39"/>
      <c r="W3" s="39"/>
      <c r="X3" s="39"/>
      <c r="Y3" s="39"/>
      <c r="Z3" s="39"/>
      <c r="AA3" s="39"/>
      <c r="AB3" s="39"/>
      <c r="AC3" s="39"/>
      <c r="AD3" s="39"/>
      <c r="AE3" s="39"/>
      <c r="AF3" s="155"/>
      <c r="AG3" s="39"/>
      <c r="AH3" s="39"/>
      <c r="AI3" s="39"/>
      <c r="AJ3" s="39"/>
      <c r="AK3" s="39"/>
      <c r="AL3" s="39"/>
      <c r="AM3" s="39"/>
      <c r="AN3" s="39"/>
      <c r="AO3" s="39"/>
      <c r="AP3" s="39"/>
      <c r="AQ3" s="39"/>
      <c r="AR3" s="39"/>
      <c r="AS3" s="39"/>
      <c r="AT3" s="39"/>
      <c r="AU3" s="39"/>
      <c r="AV3" s="153"/>
      <c r="AW3" s="39"/>
      <c r="AX3" s="39"/>
      <c r="AY3" s="39"/>
      <c r="AZ3" s="39"/>
      <c r="BA3" s="39"/>
      <c r="BB3" s="39"/>
      <c r="BC3" s="39"/>
      <c r="BD3" s="39"/>
      <c r="BE3" s="39"/>
      <c r="BF3" s="39"/>
      <c r="BG3" s="39"/>
      <c r="BH3" s="39"/>
      <c r="BI3" s="39"/>
      <c r="BJ3" s="39"/>
      <c r="BK3" s="39"/>
      <c r="BL3" s="153"/>
      <c r="BM3" s="109" t="s">
        <v>328</v>
      </c>
      <c r="BN3" s="13"/>
      <c r="BO3" s="72"/>
      <c r="BP3" s="72"/>
      <c r="BQ3" s="72"/>
      <c r="BR3" s="72"/>
      <c r="BS3" s="72"/>
      <c r="BT3" s="72"/>
      <c r="BU3" s="72"/>
      <c r="BV3" s="72"/>
      <c r="BW3" s="72"/>
      <c r="BX3" s="72"/>
      <c r="BY3" s="72"/>
      <c r="BZ3" s="72"/>
      <c r="CA3" s="72"/>
      <c r="CB3" s="95"/>
      <c r="CC3" s="165"/>
      <c r="CR3" s="171"/>
    </row>
    <row r="4" spans="1:96" ht="16.5" x14ac:dyDescent="0.25">
      <c r="A4" s="54" t="s">
        <v>946</v>
      </c>
      <c r="B4" s="54"/>
      <c r="C4" s="54"/>
      <c r="D4" s="54"/>
      <c r="E4" s="54"/>
      <c r="F4" s="54"/>
      <c r="G4" s="54"/>
      <c r="H4" s="54"/>
      <c r="I4" s="54"/>
      <c r="J4" s="54"/>
      <c r="K4" s="54"/>
      <c r="L4" s="54"/>
      <c r="M4" s="54"/>
      <c r="N4" s="54"/>
      <c r="O4" s="54"/>
      <c r="P4" s="151"/>
      <c r="Q4" s="54" t="s">
        <v>312</v>
      </c>
      <c r="R4" s="54"/>
      <c r="S4" s="54"/>
      <c r="T4" s="54"/>
      <c r="U4" s="54"/>
      <c r="V4" s="54"/>
      <c r="W4" s="54"/>
      <c r="X4" s="54"/>
      <c r="Y4" s="54"/>
      <c r="Z4" s="54"/>
      <c r="AA4" s="54"/>
      <c r="AB4" s="54"/>
      <c r="AC4" s="54"/>
      <c r="AD4" s="54"/>
      <c r="AE4" s="54"/>
      <c r="AF4" s="151"/>
      <c r="AG4" s="54" t="s">
        <v>947</v>
      </c>
      <c r="AH4" s="54"/>
      <c r="AI4" s="54"/>
      <c r="AJ4" s="54"/>
      <c r="AK4" s="54"/>
      <c r="AL4" s="54"/>
      <c r="AM4" s="54"/>
      <c r="AN4" s="54"/>
      <c r="AO4" s="54"/>
      <c r="AP4" s="54"/>
      <c r="AQ4" s="54"/>
      <c r="AR4" s="54"/>
      <c r="AS4" s="54"/>
      <c r="AT4" s="54"/>
      <c r="AU4" s="54"/>
      <c r="AV4" s="151"/>
      <c r="AW4" s="54" t="s">
        <v>948</v>
      </c>
      <c r="AX4" s="54"/>
      <c r="AY4" s="54"/>
      <c r="AZ4" s="54"/>
      <c r="BA4" s="54"/>
      <c r="BB4" s="54"/>
      <c r="BC4" s="54"/>
      <c r="BD4" s="54"/>
      <c r="BE4" s="54"/>
      <c r="BF4" s="54"/>
      <c r="BG4" s="54"/>
      <c r="BH4" s="54"/>
      <c r="BI4" s="54"/>
      <c r="BJ4" s="54"/>
      <c r="BK4" s="54"/>
      <c r="BL4" s="151"/>
      <c r="BM4" s="54" t="s">
        <v>234</v>
      </c>
      <c r="BN4" s="82"/>
      <c r="BO4" s="81"/>
      <c r="BP4" s="81"/>
      <c r="BQ4" s="81"/>
      <c r="BR4" s="81"/>
      <c r="BS4" s="81"/>
      <c r="BT4" s="81"/>
      <c r="BU4" s="81"/>
      <c r="BV4" s="81"/>
      <c r="BW4" s="81"/>
      <c r="BX4" s="81"/>
      <c r="BY4" s="81"/>
      <c r="BZ4" s="81"/>
      <c r="CA4" s="81"/>
      <c r="CB4" s="99"/>
      <c r="CC4" s="54" t="s">
        <v>949</v>
      </c>
      <c r="CD4" s="166"/>
      <c r="CE4" s="166"/>
      <c r="CF4" s="166"/>
      <c r="CG4" s="166"/>
      <c r="CH4" s="166"/>
      <c r="CI4" s="166"/>
      <c r="CJ4" s="166"/>
      <c r="CK4" s="166"/>
      <c r="CL4" s="166"/>
      <c r="CM4" s="166"/>
      <c r="CN4" s="166"/>
      <c r="CO4" s="166"/>
      <c r="CP4" s="166"/>
      <c r="CQ4" s="166"/>
      <c r="CR4" s="172"/>
    </row>
    <row r="5" spans="1:96" ht="16.5" x14ac:dyDescent="0.25">
      <c r="A5" s="106"/>
      <c r="B5" s="106"/>
      <c r="C5" s="106"/>
      <c r="D5" s="106"/>
      <c r="E5" s="106"/>
      <c r="F5" s="106"/>
      <c r="G5" s="106"/>
      <c r="H5" s="106"/>
      <c r="I5" s="106"/>
      <c r="J5" s="106"/>
      <c r="K5" s="106"/>
      <c r="L5" s="106"/>
      <c r="M5" s="106"/>
      <c r="N5" s="106"/>
      <c r="O5" s="106"/>
      <c r="P5" s="152"/>
      <c r="Q5" s="268" t="s">
        <v>688</v>
      </c>
      <c r="R5" s="106"/>
      <c r="S5" s="106"/>
      <c r="T5" s="106"/>
      <c r="U5" s="106"/>
      <c r="V5" s="106"/>
      <c r="W5" s="106"/>
      <c r="X5" s="106"/>
      <c r="Y5" s="106"/>
      <c r="Z5" s="106"/>
      <c r="AA5" s="106"/>
      <c r="AB5" s="106"/>
      <c r="AC5" s="106"/>
      <c r="AD5" s="106"/>
      <c r="AE5" s="106"/>
      <c r="AF5" s="152"/>
      <c r="AG5" s="109"/>
      <c r="AH5" s="106"/>
      <c r="AI5" s="106"/>
      <c r="AJ5" s="106"/>
      <c r="AK5" s="106"/>
      <c r="AL5" s="106"/>
      <c r="AM5" s="106"/>
      <c r="AN5" s="106"/>
      <c r="AO5" s="106"/>
      <c r="AP5" s="106"/>
      <c r="AQ5" s="106"/>
      <c r="AR5" s="106"/>
      <c r="AS5" s="106"/>
      <c r="AT5" s="106"/>
      <c r="AU5" s="106"/>
      <c r="AV5" s="152"/>
      <c r="AW5" s="106"/>
      <c r="AX5" s="106"/>
      <c r="AY5" s="106"/>
      <c r="AZ5" s="106"/>
      <c r="BA5" s="106"/>
      <c r="BB5" s="106"/>
      <c r="BC5" s="106"/>
      <c r="BD5" s="106"/>
      <c r="BE5" s="106"/>
      <c r="BF5" s="106"/>
      <c r="BG5" s="106"/>
      <c r="BH5" s="106"/>
      <c r="BI5" s="106"/>
      <c r="BJ5" s="106"/>
      <c r="BK5" s="106"/>
      <c r="BL5" s="152"/>
      <c r="BM5" s="88" t="s">
        <v>581</v>
      </c>
      <c r="BN5" s="83"/>
      <c r="BO5" s="58"/>
      <c r="BP5" s="58"/>
      <c r="BQ5" s="58"/>
      <c r="BR5" s="58"/>
      <c r="BS5" s="58"/>
      <c r="BT5" s="58"/>
      <c r="BU5" s="58"/>
      <c r="BV5" s="58"/>
      <c r="BW5" s="58"/>
      <c r="BX5" s="58"/>
      <c r="BY5" s="58"/>
      <c r="BZ5" s="58"/>
      <c r="CA5" s="58"/>
      <c r="CB5" s="100"/>
      <c r="CC5" s="106"/>
      <c r="CD5" s="109"/>
      <c r="CE5" s="109"/>
      <c r="CF5" s="109"/>
      <c r="CG5" s="109"/>
      <c r="CH5" s="109"/>
      <c r="CI5" s="109"/>
      <c r="CJ5" s="109"/>
      <c r="CK5" s="109"/>
      <c r="CL5" s="109"/>
      <c r="CM5" s="109"/>
      <c r="CN5" s="109"/>
      <c r="CO5" s="109"/>
      <c r="CP5" s="109"/>
      <c r="CQ5" s="109"/>
      <c r="CR5" s="173"/>
    </row>
    <row r="6" spans="1:96" x14ac:dyDescent="0.2">
      <c r="A6" s="88" t="s">
        <v>573</v>
      </c>
      <c r="B6" s="39"/>
      <c r="C6" s="39"/>
      <c r="D6" s="39"/>
      <c r="E6" s="39"/>
      <c r="F6" s="39"/>
      <c r="G6" s="39"/>
      <c r="H6" s="39"/>
      <c r="I6" s="39"/>
      <c r="J6" s="39"/>
      <c r="K6" s="39"/>
      <c r="L6" s="39"/>
      <c r="M6" s="39"/>
      <c r="N6" s="39"/>
      <c r="O6" s="39"/>
      <c r="P6" s="155"/>
      <c r="Q6" s="88" t="s">
        <v>573</v>
      </c>
      <c r="R6" s="39"/>
      <c r="S6" s="39"/>
      <c r="T6" s="39"/>
      <c r="U6" s="39"/>
      <c r="V6" s="39"/>
      <c r="W6" s="39"/>
      <c r="X6" s="39"/>
      <c r="Y6" s="39"/>
      <c r="Z6" s="39"/>
      <c r="AA6" s="39"/>
      <c r="AB6" s="39"/>
      <c r="AC6" s="39"/>
      <c r="AD6" s="39"/>
      <c r="AE6" s="39"/>
      <c r="AF6" s="155"/>
      <c r="AG6" s="88" t="s">
        <v>573</v>
      </c>
      <c r="AH6" s="39"/>
      <c r="AI6" s="39"/>
      <c r="AJ6" s="39"/>
      <c r="AK6" s="39"/>
      <c r="AL6" s="39"/>
      <c r="AM6" s="39"/>
      <c r="AN6" s="39"/>
      <c r="AO6" s="39"/>
      <c r="AP6" s="39"/>
      <c r="AQ6" s="39"/>
      <c r="AR6" s="39"/>
      <c r="AS6" s="39"/>
      <c r="AT6" s="39"/>
      <c r="AU6" s="39"/>
      <c r="AV6" s="153"/>
      <c r="AW6" s="88" t="s">
        <v>573</v>
      </c>
      <c r="AX6" s="39"/>
      <c r="AY6" s="39"/>
      <c r="AZ6" s="39"/>
      <c r="BA6" s="39"/>
      <c r="BB6" s="39"/>
      <c r="BC6" s="39"/>
      <c r="BD6" s="39"/>
      <c r="BE6" s="39"/>
      <c r="BF6" s="39"/>
      <c r="BG6" s="39"/>
      <c r="BH6" s="39"/>
      <c r="BI6" s="39"/>
      <c r="BJ6" s="39"/>
      <c r="BK6" s="39"/>
      <c r="BL6" s="153"/>
      <c r="BM6" s="88" t="s">
        <v>573</v>
      </c>
      <c r="BN6" s="13"/>
      <c r="BO6" s="72"/>
      <c r="BP6" s="72"/>
      <c r="BQ6" s="72"/>
      <c r="BR6" s="72"/>
      <c r="BS6" s="72"/>
      <c r="BT6" s="72"/>
      <c r="BU6" s="72"/>
      <c r="BV6" s="72"/>
      <c r="BW6" s="72"/>
      <c r="BX6" s="72"/>
      <c r="BY6" s="72"/>
      <c r="BZ6" s="72"/>
      <c r="CA6" s="72"/>
      <c r="CB6" s="95"/>
      <c r="CC6" s="88" t="s">
        <v>573</v>
      </c>
      <c r="CE6" s="7"/>
      <c r="CF6" s="7"/>
      <c r="CG6" s="7"/>
      <c r="CH6" s="7"/>
      <c r="CI6" s="7"/>
      <c r="CJ6" s="7"/>
      <c r="CK6" s="7"/>
      <c r="CL6" s="7"/>
      <c r="CM6" s="7"/>
      <c r="CN6" s="7"/>
      <c r="CO6" s="7"/>
      <c r="CP6" s="7"/>
      <c r="CQ6" s="7"/>
      <c r="CR6" s="171"/>
    </row>
    <row r="7" spans="1:96" x14ac:dyDescent="0.2">
      <c r="A7" s="68" t="s">
        <v>579</v>
      </c>
      <c r="B7" s="39"/>
      <c r="C7" s="39"/>
      <c r="D7" s="39"/>
      <c r="E7" s="39"/>
      <c r="F7" s="39"/>
      <c r="G7" s="39"/>
      <c r="H7" s="39"/>
      <c r="I7" s="39"/>
      <c r="J7" s="39"/>
      <c r="K7" s="39"/>
      <c r="L7" s="39"/>
      <c r="M7" s="39"/>
      <c r="N7" s="39"/>
      <c r="O7" s="39"/>
      <c r="P7" s="155"/>
      <c r="Q7" s="88" t="s">
        <v>313</v>
      </c>
      <c r="R7" s="39"/>
      <c r="S7" s="39"/>
      <c r="T7" s="39"/>
      <c r="U7" s="39"/>
      <c r="V7" s="39"/>
      <c r="W7" s="39"/>
      <c r="X7" s="39"/>
      <c r="Y7" s="39"/>
      <c r="Z7" s="39"/>
      <c r="AA7" s="39"/>
      <c r="AB7" s="39"/>
      <c r="AC7" s="39"/>
      <c r="AD7" s="39"/>
      <c r="AE7" s="39"/>
      <c r="AF7" s="155"/>
      <c r="AG7" s="68" t="s">
        <v>579</v>
      </c>
      <c r="AH7" s="39"/>
      <c r="AI7" s="39"/>
      <c r="AJ7" s="39"/>
      <c r="AK7" s="39"/>
      <c r="AL7" s="39"/>
      <c r="AM7" s="39"/>
      <c r="AN7" s="39"/>
      <c r="AO7" s="39"/>
      <c r="AP7" s="39"/>
      <c r="AQ7" s="39"/>
      <c r="AR7" s="39"/>
      <c r="AS7" s="39"/>
      <c r="AT7" s="39"/>
      <c r="AU7" s="39"/>
      <c r="AV7" s="153"/>
      <c r="AW7" s="68" t="s">
        <v>579</v>
      </c>
      <c r="AX7" s="39"/>
      <c r="AY7" s="39"/>
      <c r="AZ7" s="39"/>
      <c r="BA7" s="39"/>
      <c r="BB7" s="39"/>
      <c r="BC7" s="39"/>
      <c r="BD7" s="39"/>
      <c r="BE7" s="39"/>
      <c r="BF7" s="39"/>
      <c r="BG7" s="39"/>
      <c r="BH7" s="39"/>
      <c r="BI7" s="39"/>
      <c r="BJ7" s="39"/>
      <c r="BK7" s="39"/>
      <c r="BL7" s="153"/>
      <c r="BM7" s="269" t="s">
        <v>638</v>
      </c>
      <c r="BN7" s="13"/>
      <c r="BO7" s="72"/>
      <c r="BP7" s="72"/>
      <c r="BQ7" s="72"/>
      <c r="BR7" s="72"/>
      <c r="BS7" s="72"/>
      <c r="BT7" s="72"/>
      <c r="BU7" s="72"/>
      <c r="BV7" s="72"/>
      <c r="BW7" s="72"/>
      <c r="BX7" s="72"/>
      <c r="BY7" s="72"/>
      <c r="BZ7" s="72"/>
      <c r="CA7" s="72"/>
      <c r="CB7" s="95"/>
      <c r="CC7" s="68" t="s">
        <v>314</v>
      </c>
      <c r="CR7" s="171"/>
    </row>
    <row r="8" spans="1:96" x14ac:dyDescent="0.2">
      <c r="A8" s="167"/>
      <c r="B8" s="39"/>
      <c r="C8" s="39"/>
      <c r="D8" s="39"/>
      <c r="E8" s="39"/>
      <c r="F8" s="39"/>
      <c r="G8" s="39"/>
      <c r="H8" s="39"/>
      <c r="I8" s="39"/>
      <c r="J8" s="39"/>
      <c r="K8" s="39"/>
      <c r="L8" s="39"/>
      <c r="M8" s="39"/>
      <c r="N8" s="39"/>
      <c r="O8" s="39"/>
      <c r="P8" s="155"/>
      <c r="Q8" s="88" t="s">
        <v>315</v>
      </c>
      <c r="R8" s="39"/>
      <c r="S8" s="39"/>
      <c r="T8" s="39"/>
      <c r="U8" s="39"/>
      <c r="V8" s="39"/>
      <c r="W8" s="39"/>
      <c r="X8" s="39"/>
      <c r="Y8" s="39"/>
      <c r="Z8" s="39"/>
      <c r="AA8" s="39"/>
      <c r="AB8" s="39"/>
      <c r="AC8" s="39"/>
      <c r="AD8" s="39"/>
      <c r="AE8" s="39"/>
      <c r="AF8" s="155"/>
      <c r="AG8" s="68" t="s">
        <v>840</v>
      </c>
      <c r="AH8" s="39"/>
      <c r="AI8" s="39"/>
      <c r="AJ8" s="39"/>
      <c r="AK8" s="39"/>
      <c r="AL8" s="39"/>
      <c r="AM8" s="39"/>
      <c r="AN8" s="39"/>
      <c r="AO8" s="39"/>
      <c r="AP8" s="39"/>
      <c r="AQ8" s="39"/>
      <c r="AR8" s="39"/>
      <c r="AS8" s="39"/>
      <c r="AT8" s="39"/>
      <c r="AU8" s="39"/>
      <c r="AV8" s="153"/>
      <c r="AW8" s="68" t="s">
        <v>13</v>
      </c>
      <c r="AX8" s="39"/>
      <c r="AY8" s="39"/>
      <c r="AZ8" s="39"/>
      <c r="BA8" s="39"/>
      <c r="BB8" s="39"/>
      <c r="BC8" s="39"/>
      <c r="BD8" s="39"/>
      <c r="BE8" s="39"/>
      <c r="BF8" s="39"/>
      <c r="BG8" s="39"/>
      <c r="BH8" s="39"/>
      <c r="BI8" s="39"/>
      <c r="BJ8" s="39"/>
      <c r="BK8" s="39"/>
      <c r="BL8" s="153"/>
      <c r="BM8" s="68" t="s">
        <v>639</v>
      </c>
      <c r="BN8" s="13"/>
      <c r="BO8" s="72"/>
      <c r="BP8" s="72"/>
      <c r="BQ8" s="72"/>
      <c r="BR8" s="72"/>
      <c r="BS8" s="72"/>
      <c r="BT8" s="72"/>
      <c r="BU8" s="72"/>
      <c r="BV8" s="72"/>
      <c r="BW8" s="72"/>
      <c r="BX8" s="72"/>
      <c r="BY8" s="72"/>
      <c r="BZ8" s="72"/>
      <c r="CA8" s="72"/>
      <c r="CB8" s="95"/>
      <c r="CC8" s="68" t="s">
        <v>579</v>
      </c>
      <c r="CR8" s="171"/>
    </row>
    <row r="9" spans="1:96" x14ac:dyDescent="0.2">
      <c r="A9" s="110"/>
      <c r="B9" s="110"/>
      <c r="C9" s="110"/>
      <c r="D9" s="110"/>
      <c r="E9" s="110"/>
      <c r="F9" s="110"/>
      <c r="G9" s="110"/>
      <c r="H9" s="110"/>
      <c r="I9" s="110"/>
      <c r="J9" s="110"/>
      <c r="K9" s="110"/>
      <c r="L9" s="110"/>
      <c r="M9" s="110"/>
      <c r="N9" s="110"/>
      <c r="O9" s="110"/>
      <c r="P9" s="156"/>
      <c r="Q9" s="110"/>
      <c r="R9" s="110"/>
      <c r="S9" s="110"/>
      <c r="T9" s="110"/>
      <c r="U9" s="110"/>
      <c r="V9" s="110"/>
      <c r="W9" s="110"/>
      <c r="X9" s="110"/>
      <c r="Y9" s="110"/>
      <c r="Z9" s="110"/>
      <c r="AA9" s="110"/>
      <c r="AB9" s="110"/>
      <c r="AC9" s="110"/>
      <c r="AD9" s="110"/>
      <c r="AE9" s="110"/>
      <c r="AF9" s="156"/>
      <c r="AH9" s="110"/>
      <c r="AI9" s="110"/>
      <c r="AJ9" s="110"/>
      <c r="AK9" s="110"/>
      <c r="AL9" s="110"/>
      <c r="AM9" s="110"/>
      <c r="AN9" s="110"/>
      <c r="AO9" s="110"/>
      <c r="AP9" s="110"/>
      <c r="AQ9" s="110"/>
      <c r="AR9" s="110"/>
      <c r="AS9" s="110"/>
      <c r="AT9" s="110"/>
      <c r="AU9" s="110"/>
      <c r="AV9" s="153"/>
      <c r="AW9" s="39"/>
      <c r="AX9" s="110"/>
      <c r="AY9" s="110"/>
      <c r="AZ9" s="110"/>
      <c r="BA9" s="110"/>
      <c r="BB9" s="110"/>
      <c r="BC9" s="110"/>
      <c r="BD9" s="110"/>
      <c r="BE9" s="110"/>
      <c r="BF9" s="110"/>
      <c r="BG9" s="110"/>
      <c r="BH9" s="110"/>
      <c r="BI9" s="110"/>
      <c r="BJ9" s="110"/>
      <c r="BK9" s="110"/>
      <c r="BL9" s="153"/>
      <c r="BM9" s="68" t="s">
        <v>841</v>
      </c>
      <c r="BN9" s="8"/>
      <c r="BO9" s="84"/>
      <c r="BP9" s="84"/>
      <c r="BQ9" s="84"/>
      <c r="BR9" s="84"/>
      <c r="BS9" s="84"/>
      <c r="BT9" s="84"/>
      <c r="BU9" s="84"/>
      <c r="BV9" s="84"/>
      <c r="BW9" s="84"/>
      <c r="BX9" s="84"/>
      <c r="BY9" s="84"/>
      <c r="BZ9" s="84"/>
      <c r="CA9" s="84"/>
      <c r="CB9" s="89"/>
      <c r="CR9" s="171"/>
    </row>
    <row r="10" spans="1:96" x14ac:dyDescent="0.2">
      <c r="A10" s="140" t="s">
        <v>101</v>
      </c>
      <c r="B10" s="39"/>
      <c r="C10" s="39"/>
      <c r="D10" s="39"/>
      <c r="E10" s="39"/>
      <c r="F10" s="39"/>
      <c r="G10" s="39"/>
      <c r="H10" s="39"/>
      <c r="I10" s="39"/>
      <c r="J10" s="39"/>
      <c r="K10" s="39"/>
      <c r="L10" s="39"/>
      <c r="M10" s="39"/>
      <c r="N10" s="39"/>
      <c r="O10" s="39"/>
      <c r="P10" s="155"/>
      <c r="Q10" s="140"/>
      <c r="R10" s="39"/>
      <c r="S10" s="39"/>
      <c r="T10" s="39"/>
      <c r="U10" s="39"/>
      <c r="V10" s="39"/>
      <c r="W10" s="39"/>
      <c r="X10" s="39"/>
      <c r="Y10" s="39"/>
      <c r="Z10" s="39"/>
      <c r="AA10" s="39"/>
      <c r="AB10" s="39"/>
      <c r="AC10" s="39"/>
      <c r="AD10" s="39"/>
      <c r="AE10" s="39"/>
      <c r="AF10" s="155"/>
      <c r="AH10" s="39"/>
      <c r="AI10" s="39"/>
      <c r="AJ10" s="39"/>
      <c r="AK10" s="39"/>
      <c r="AL10" s="39"/>
      <c r="AM10" s="39"/>
      <c r="AN10" s="39"/>
      <c r="AO10" s="39"/>
      <c r="AP10" s="39"/>
      <c r="AQ10" s="39"/>
      <c r="AR10" s="39"/>
      <c r="AS10" s="39"/>
      <c r="AT10" s="39"/>
      <c r="AU10" s="39"/>
      <c r="AV10" s="153"/>
      <c r="AW10" s="140" t="s">
        <v>640</v>
      </c>
      <c r="AX10" s="39"/>
      <c r="AY10" s="39"/>
      <c r="AZ10" s="39"/>
      <c r="BA10" s="39"/>
      <c r="BB10" s="39"/>
      <c r="BC10" s="39"/>
      <c r="BD10" s="39"/>
      <c r="BE10" s="39"/>
      <c r="BF10" s="39"/>
      <c r="BG10" s="39"/>
      <c r="BH10" s="39"/>
      <c r="BI10" s="39"/>
      <c r="BJ10" s="39"/>
      <c r="BK10" s="39"/>
      <c r="BL10" s="153"/>
      <c r="BM10" s="140" t="s">
        <v>506</v>
      </c>
      <c r="BN10" s="13"/>
      <c r="BO10" s="72"/>
      <c r="BP10" s="72"/>
      <c r="BQ10" s="72"/>
      <c r="BR10" s="72"/>
      <c r="BS10" s="72"/>
      <c r="BT10" s="72"/>
      <c r="BU10" s="72"/>
      <c r="BV10" s="72"/>
      <c r="BW10" s="72"/>
      <c r="BX10" s="72"/>
      <c r="BY10" s="72"/>
      <c r="BZ10" s="72"/>
      <c r="CA10" s="72"/>
      <c r="CB10" s="95"/>
      <c r="CR10" s="174"/>
    </row>
    <row r="11" spans="1:96" x14ac:dyDescent="0.2">
      <c r="A11" s="39"/>
      <c r="B11" s="39"/>
      <c r="C11" s="39"/>
      <c r="D11" s="39"/>
      <c r="E11" s="39"/>
      <c r="F11" s="39"/>
      <c r="G11" s="39"/>
      <c r="H11" s="39"/>
      <c r="I11" s="39"/>
      <c r="J11" s="39"/>
      <c r="K11" s="39"/>
      <c r="L11" s="39"/>
      <c r="M11" s="39"/>
      <c r="N11" s="39"/>
      <c r="O11" s="39"/>
      <c r="P11" s="155"/>
      <c r="Q11" s="39"/>
      <c r="R11" s="39"/>
      <c r="S11" s="39"/>
      <c r="T11" s="39"/>
      <c r="U11" s="39"/>
      <c r="V11" s="39"/>
      <c r="W11" s="39"/>
      <c r="X11" s="39"/>
      <c r="Y11" s="39"/>
      <c r="Z11" s="39"/>
      <c r="AA11" s="39"/>
      <c r="AB11" s="39"/>
      <c r="AC11" s="39"/>
      <c r="AD11" s="39"/>
      <c r="AE11" s="39"/>
      <c r="AF11" s="155"/>
      <c r="AG11" s="140"/>
      <c r="AH11" s="39"/>
      <c r="AI11" s="39"/>
      <c r="AJ11" s="39"/>
      <c r="AK11" s="39"/>
      <c r="AL11" s="39"/>
      <c r="AM11" s="39"/>
      <c r="AN11" s="39"/>
      <c r="AO11" s="39"/>
      <c r="AP11" s="39"/>
      <c r="AQ11" s="39"/>
      <c r="AR11" s="39"/>
      <c r="AS11" s="39"/>
      <c r="AT11" s="39"/>
      <c r="AU11" s="39"/>
      <c r="AV11" s="153"/>
      <c r="AW11" s="140"/>
      <c r="AX11" s="39"/>
      <c r="AY11" s="39"/>
      <c r="AZ11" s="39"/>
      <c r="BA11" s="39"/>
      <c r="BB11" s="39"/>
      <c r="BC11" s="39"/>
      <c r="BD11" s="39"/>
      <c r="BE11" s="39"/>
      <c r="BF11" s="39"/>
      <c r="BG11" s="39"/>
      <c r="BH11" s="39"/>
      <c r="BI11" s="39"/>
      <c r="BJ11" s="39"/>
      <c r="BK11" s="39"/>
      <c r="BL11" s="153"/>
      <c r="BM11" s="168" t="s">
        <v>580</v>
      </c>
      <c r="BN11" s="13"/>
      <c r="BO11" s="72"/>
      <c r="BP11" s="72"/>
      <c r="BQ11" s="72"/>
      <c r="BR11" s="72"/>
      <c r="BS11" s="72"/>
      <c r="BT11" s="72"/>
      <c r="BU11" s="72"/>
      <c r="BV11" s="72"/>
      <c r="BW11" s="72"/>
      <c r="BX11" s="72"/>
      <c r="BY11" s="72"/>
      <c r="BZ11" s="72"/>
      <c r="CA11" s="72"/>
      <c r="CB11" s="95"/>
      <c r="CR11" s="174"/>
    </row>
    <row r="12" spans="1:96" x14ac:dyDescent="0.2">
      <c r="A12" s="8" t="s">
        <v>263</v>
      </c>
      <c r="B12" s="39"/>
      <c r="C12" s="39"/>
      <c r="D12" s="39"/>
      <c r="E12" s="39"/>
      <c r="F12" s="39"/>
      <c r="G12" s="39"/>
      <c r="H12" s="39"/>
      <c r="I12" s="39"/>
      <c r="J12" s="39"/>
      <c r="K12" s="39"/>
      <c r="L12" s="39"/>
      <c r="M12" s="39"/>
      <c r="N12" s="39"/>
      <c r="O12" s="39"/>
      <c r="P12" s="155"/>
      <c r="Q12" s="39"/>
      <c r="R12" s="39"/>
      <c r="S12" s="39"/>
      <c r="T12" s="39"/>
      <c r="U12" s="39"/>
      <c r="V12" s="39"/>
      <c r="W12" s="39"/>
      <c r="X12" s="39"/>
      <c r="Y12" s="39"/>
      <c r="Z12" s="39"/>
      <c r="AA12" s="39"/>
      <c r="AB12" s="39"/>
      <c r="AC12" s="39"/>
      <c r="AD12" s="39"/>
      <c r="AE12" s="39"/>
      <c r="AF12" s="155"/>
      <c r="AG12" s="8" t="s">
        <v>255</v>
      </c>
      <c r="AH12" s="39"/>
      <c r="AI12" s="39"/>
      <c r="AJ12" s="39"/>
      <c r="AK12" s="39"/>
      <c r="AL12" s="39"/>
      <c r="AM12" s="39"/>
      <c r="AN12" s="39"/>
      <c r="AO12" s="39"/>
      <c r="AP12" s="39"/>
      <c r="AQ12" s="39"/>
      <c r="AR12" s="39"/>
      <c r="AS12" s="39"/>
      <c r="AT12" s="39"/>
      <c r="AU12" s="39"/>
      <c r="AV12" s="153"/>
      <c r="AX12" s="39"/>
      <c r="AY12" s="39"/>
      <c r="AZ12" s="39"/>
      <c r="BA12" s="39"/>
      <c r="BB12" s="39"/>
      <c r="BC12" s="39"/>
      <c r="BD12" s="39"/>
      <c r="BE12" s="39"/>
      <c r="BF12" s="39"/>
      <c r="BG12" s="39"/>
      <c r="BH12" s="39"/>
      <c r="BI12" s="39"/>
      <c r="BJ12" s="39"/>
      <c r="BK12" s="39"/>
      <c r="BL12" s="153"/>
      <c r="BM12" s="13"/>
      <c r="BN12" s="13"/>
      <c r="BO12" s="72"/>
      <c r="BP12" s="72"/>
      <c r="BQ12" s="72"/>
      <c r="BR12" s="72"/>
      <c r="BS12" s="72"/>
      <c r="BT12" s="72"/>
      <c r="BU12" s="72"/>
      <c r="BV12" s="72"/>
      <c r="BW12" s="72"/>
      <c r="BX12" s="72"/>
      <c r="BY12" s="72"/>
      <c r="BZ12" s="72"/>
      <c r="CA12" s="72"/>
      <c r="CB12" s="95"/>
      <c r="CR12" s="174"/>
    </row>
    <row r="13" spans="1:96" x14ac:dyDescent="0.2">
      <c r="A13" s="39"/>
      <c r="B13" s="39"/>
      <c r="C13" s="39"/>
      <c r="D13" s="39"/>
      <c r="E13" s="39"/>
      <c r="F13" s="39"/>
      <c r="G13" s="39"/>
      <c r="H13" s="39"/>
      <c r="I13" s="39"/>
      <c r="J13" s="39"/>
      <c r="K13" s="39"/>
      <c r="L13" s="39"/>
      <c r="M13" s="39"/>
      <c r="N13" s="39"/>
      <c r="O13" s="39"/>
      <c r="P13" s="155"/>
      <c r="Q13" s="39"/>
      <c r="R13" s="39"/>
      <c r="S13" s="39"/>
      <c r="T13" s="39"/>
      <c r="U13" s="39"/>
      <c r="V13" s="39"/>
      <c r="W13" s="39"/>
      <c r="X13" s="39"/>
      <c r="Y13" s="39"/>
      <c r="Z13" s="39"/>
      <c r="AA13" s="39"/>
      <c r="AB13" s="39"/>
      <c r="AC13" s="39"/>
      <c r="AD13" s="39"/>
      <c r="AE13" s="39"/>
      <c r="AF13" s="155"/>
      <c r="AH13" s="39"/>
      <c r="AI13" s="39"/>
      <c r="AJ13" s="39"/>
      <c r="AK13" s="39"/>
      <c r="AL13" s="39"/>
      <c r="AM13" s="39"/>
      <c r="AN13" s="39"/>
      <c r="AO13" s="39"/>
      <c r="AP13" s="39"/>
      <c r="AQ13" s="39"/>
      <c r="AR13" s="39"/>
      <c r="AS13" s="39"/>
      <c r="AT13" s="39"/>
      <c r="AU13" s="39"/>
      <c r="AV13" s="153"/>
      <c r="AX13" s="39"/>
      <c r="AY13" s="39"/>
      <c r="AZ13" s="39"/>
      <c r="BA13" s="39"/>
      <c r="BB13" s="39"/>
      <c r="BC13" s="39"/>
      <c r="BD13" s="39"/>
      <c r="BE13" s="39"/>
      <c r="BF13" s="39"/>
      <c r="BG13" s="39"/>
      <c r="BH13" s="39"/>
      <c r="BI13" s="39"/>
      <c r="BJ13" s="39"/>
      <c r="BK13" s="39"/>
      <c r="BL13" s="153"/>
      <c r="BM13" s="8" t="s">
        <v>254</v>
      </c>
      <c r="BN13" s="13"/>
      <c r="BO13" s="72"/>
      <c r="BP13" s="72"/>
      <c r="BQ13" s="72"/>
      <c r="BR13" s="72"/>
      <c r="BS13" s="72"/>
      <c r="BT13" s="72"/>
      <c r="BU13" s="72"/>
      <c r="BV13" s="72"/>
      <c r="BW13" s="72"/>
      <c r="BX13" s="72"/>
      <c r="BY13" s="72"/>
      <c r="BZ13" s="72"/>
      <c r="CA13" s="72"/>
      <c r="CB13" s="95"/>
      <c r="CR13" s="174"/>
    </row>
    <row r="14" spans="1:96" x14ac:dyDescent="0.2">
      <c r="A14" s="39"/>
      <c r="B14" s="39"/>
      <c r="C14" s="39"/>
      <c r="D14" s="39"/>
      <c r="E14" s="39"/>
      <c r="F14" s="39"/>
      <c r="G14" s="39"/>
      <c r="H14" s="39"/>
      <c r="I14" s="39"/>
      <c r="J14" s="39"/>
      <c r="K14" s="39"/>
      <c r="L14" s="39"/>
      <c r="M14" s="39"/>
      <c r="N14" s="39"/>
      <c r="O14" s="39"/>
      <c r="P14" s="155"/>
      <c r="Q14" s="39"/>
      <c r="R14" s="39"/>
      <c r="S14" s="39"/>
      <c r="T14" s="39"/>
      <c r="U14" s="39"/>
      <c r="V14" s="39"/>
      <c r="W14" s="39"/>
      <c r="X14" s="39"/>
      <c r="Y14" s="39"/>
      <c r="Z14" s="39"/>
      <c r="AA14" s="39"/>
      <c r="AB14" s="39"/>
      <c r="AC14" s="39"/>
      <c r="AD14" s="39"/>
      <c r="AE14" s="39"/>
      <c r="AF14" s="155"/>
      <c r="AG14" s="39"/>
      <c r="AH14" s="39"/>
      <c r="AI14" s="39"/>
      <c r="AJ14" s="39"/>
      <c r="AK14" s="39"/>
      <c r="AL14" s="39"/>
      <c r="AM14" s="39"/>
      <c r="AN14" s="39"/>
      <c r="AO14" s="39"/>
      <c r="AP14" s="39"/>
      <c r="AQ14" s="39"/>
      <c r="AR14" s="39"/>
      <c r="AS14" s="39"/>
      <c r="AT14" s="39"/>
      <c r="AU14" s="39"/>
      <c r="AV14" s="153"/>
      <c r="AW14" s="39"/>
      <c r="AX14" s="39"/>
      <c r="AY14" s="39"/>
      <c r="AZ14" s="39"/>
      <c r="BA14" s="39"/>
      <c r="BB14" s="39"/>
      <c r="BC14" s="39"/>
      <c r="BD14" s="39"/>
      <c r="BE14" s="39"/>
      <c r="BF14" s="39"/>
      <c r="BG14" s="39"/>
      <c r="BH14" s="39"/>
      <c r="BI14" s="39"/>
      <c r="BJ14" s="39"/>
      <c r="BK14" s="39"/>
      <c r="BL14" s="153"/>
      <c r="BM14" s="13"/>
      <c r="BN14" s="13"/>
      <c r="BO14" s="72"/>
      <c r="BP14" s="72"/>
      <c r="BQ14" s="72"/>
      <c r="BR14" s="72"/>
      <c r="BS14" s="72"/>
      <c r="BT14" s="72"/>
      <c r="BU14" s="72"/>
      <c r="BV14" s="72"/>
      <c r="BW14" s="72"/>
      <c r="BX14" s="72"/>
      <c r="BY14" s="72"/>
      <c r="BZ14" s="72"/>
      <c r="CA14" s="72"/>
      <c r="CB14" s="95"/>
      <c r="CR14" s="174"/>
    </row>
    <row r="15" spans="1:96" x14ac:dyDescent="0.2">
      <c r="A15" s="116"/>
      <c r="B15" s="117"/>
      <c r="C15" s="117"/>
      <c r="D15" s="117"/>
      <c r="E15" s="117"/>
      <c r="F15" s="117"/>
      <c r="G15" s="117"/>
      <c r="H15" s="117"/>
      <c r="I15" s="117"/>
      <c r="J15" s="117"/>
      <c r="K15" s="117"/>
      <c r="L15" s="117"/>
      <c r="M15" s="111"/>
      <c r="N15" s="111"/>
      <c r="O15" s="111"/>
      <c r="P15" s="114" t="s">
        <v>98</v>
      </c>
      <c r="Q15" s="116"/>
      <c r="R15" s="117"/>
      <c r="S15" s="117"/>
      <c r="T15" s="117"/>
      <c r="U15" s="117"/>
      <c r="V15" s="117"/>
      <c r="W15" s="117"/>
      <c r="X15" s="117"/>
      <c r="Y15" s="117"/>
      <c r="Z15" s="117"/>
      <c r="AA15" s="117"/>
      <c r="AB15" s="117"/>
      <c r="AC15" s="111"/>
      <c r="AD15" s="111"/>
      <c r="AE15" s="111"/>
      <c r="AF15" s="114" t="s">
        <v>98</v>
      </c>
      <c r="AG15" s="116"/>
      <c r="AH15" s="117"/>
      <c r="AI15" s="117"/>
      <c r="AJ15" s="117"/>
      <c r="AK15" s="117"/>
      <c r="AL15" s="117"/>
      <c r="AM15" s="117"/>
      <c r="AN15" s="117"/>
      <c r="AO15" s="117"/>
      <c r="AP15" s="117"/>
      <c r="AQ15" s="117"/>
      <c r="AR15" s="117"/>
      <c r="AS15" s="111"/>
      <c r="AT15" s="111"/>
      <c r="AU15" s="111"/>
      <c r="AV15" s="120" t="s">
        <v>99</v>
      </c>
      <c r="AW15" s="116"/>
      <c r="AX15" s="117"/>
      <c r="AY15" s="117"/>
      <c r="AZ15" s="117"/>
      <c r="BA15" s="117"/>
      <c r="BB15" s="117"/>
      <c r="BC15" s="117"/>
      <c r="BD15" s="117"/>
      <c r="BE15" s="117"/>
      <c r="BF15" s="117"/>
      <c r="BG15" s="117"/>
      <c r="BH15" s="117"/>
      <c r="BI15" s="111"/>
      <c r="BJ15" s="111"/>
      <c r="BK15" s="111"/>
      <c r="BL15" s="184" t="s">
        <v>6</v>
      </c>
      <c r="BM15" s="7"/>
      <c r="BN15" s="87"/>
      <c r="BO15" s="63"/>
      <c r="BP15" s="63"/>
      <c r="BQ15" s="63"/>
      <c r="BR15" s="63"/>
      <c r="BS15" s="63"/>
      <c r="BT15" s="63"/>
      <c r="BU15" s="63"/>
      <c r="BV15" s="63"/>
      <c r="BW15" s="63"/>
      <c r="BX15" s="63"/>
      <c r="BY15" s="63"/>
      <c r="BZ15" s="63"/>
      <c r="CA15" s="63"/>
      <c r="CB15" s="61" t="s">
        <v>99</v>
      </c>
      <c r="CC15" s="116"/>
      <c r="CD15" s="117"/>
      <c r="CE15" s="117"/>
      <c r="CF15" s="117"/>
      <c r="CG15" s="117"/>
      <c r="CH15" s="117"/>
      <c r="CI15" s="117"/>
      <c r="CJ15" s="117"/>
      <c r="CK15" s="117"/>
      <c r="CL15" s="117"/>
      <c r="CM15" s="117"/>
      <c r="CN15" s="117"/>
      <c r="CO15" s="113"/>
      <c r="CP15" s="113"/>
      <c r="CQ15" s="113"/>
      <c r="CR15" s="120" t="s">
        <v>99</v>
      </c>
    </row>
    <row r="16" spans="1:96" x14ac:dyDescent="0.2">
      <c r="A16" s="7"/>
      <c r="B16" s="7"/>
      <c r="C16" s="7"/>
      <c r="D16" s="7"/>
      <c r="BM16" s="7"/>
      <c r="BN16" s="87"/>
      <c r="BO16" s="63"/>
      <c r="BP16" s="63"/>
      <c r="BQ16" s="63"/>
      <c r="BR16" s="63"/>
      <c r="BS16" s="63"/>
      <c r="BT16" s="63"/>
      <c r="BU16" s="63"/>
      <c r="BV16" s="63"/>
      <c r="BW16" s="63"/>
      <c r="BX16" s="63"/>
      <c r="BY16" s="63"/>
      <c r="BZ16" s="63"/>
      <c r="CA16" s="63"/>
      <c r="CB16" s="62"/>
    </row>
    <row r="17" spans="2:96" x14ac:dyDescent="0.2">
      <c r="B17" s="64" t="s">
        <v>238</v>
      </c>
      <c r="C17" s="262" t="s">
        <v>35</v>
      </c>
      <c r="D17" s="262" t="s">
        <v>121</v>
      </c>
      <c r="E17" s="262" t="s">
        <v>123</v>
      </c>
      <c r="F17" s="262" t="s">
        <v>36</v>
      </c>
      <c r="G17" s="262" t="s">
        <v>37</v>
      </c>
      <c r="H17" s="262" t="s">
        <v>38</v>
      </c>
      <c r="I17" s="262" t="s">
        <v>39</v>
      </c>
      <c r="J17" s="262" t="s">
        <v>125</v>
      </c>
      <c r="K17" s="262" t="s">
        <v>126</v>
      </c>
      <c r="L17" s="262" t="s">
        <v>127</v>
      </c>
      <c r="M17" s="263">
        <v>100000</v>
      </c>
      <c r="N17" s="264" t="s">
        <v>228</v>
      </c>
      <c r="O17" s="264" t="s">
        <v>228</v>
      </c>
      <c r="P17" s="264" t="s">
        <v>77</v>
      </c>
      <c r="R17" s="64" t="s">
        <v>238</v>
      </c>
      <c r="S17" s="262" t="s">
        <v>35</v>
      </c>
      <c r="T17" s="262" t="s">
        <v>121</v>
      </c>
      <c r="U17" s="262" t="s">
        <v>123</v>
      </c>
      <c r="V17" s="262" t="s">
        <v>36</v>
      </c>
      <c r="W17" s="262" t="s">
        <v>37</v>
      </c>
      <c r="X17" s="262" t="s">
        <v>38</v>
      </c>
      <c r="Y17" s="262" t="s">
        <v>39</v>
      </c>
      <c r="Z17" s="262" t="s">
        <v>125</v>
      </c>
      <c r="AA17" s="262" t="s">
        <v>126</v>
      </c>
      <c r="AB17" s="262" t="s">
        <v>127</v>
      </c>
      <c r="AC17" s="263">
        <v>100000</v>
      </c>
      <c r="AD17" s="264" t="s">
        <v>228</v>
      </c>
      <c r="AE17" s="264" t="s">
        <v>228</v>
      </c>
      <c r="AF17" s="264" t="s">
        <v>77</v>
      </c>
      <c r="AH17" s="64" t="s">
        <v>238</v>
      </c>
      <c r="AI17" s="262" t="s">
        <v>35</v>
      </c>
      <c r="AJ17" s="262" t="s">
        <v>121</v>
      </c>
      <c r="AK17" s="262" t="s">
        <v>123</v>
      </c>
      <c r="AL17" s="262" t="s">
        <v>36</v>
      </c>
      <c r="AM17" s="262" t="s">
        <v>37</v>
      </c>
      <c r="AN17" s="262" t="s">
        <v>38</v>
      </c>
      <c r="AO17" s="262" t="s">
        <v>39</v>
      </c>
      <c r="AP17" s="262" t="s">
        <v>125</v>
      </c>
      <c r="AQ17" s="262" t="s">
        <v>126</v>
      </c>
      <c r="AR17" s="262" t="s">
        <v>127</v>
      </c>
      <c r="AS17" s="263">
        <v>100000</v>
      </c>
      <c r="AT17" s="264" t="s">
        <v>228</v>
      </c>
      <c r="AU17" s="264" t="s">
        <v>228</v>
      </c>
      <c r="AV17" s="264" t="s">
        <v>77</v>
      </c>
      <c r="AX17" s="64" t="s">
        <v>238</v>
      </c>
      <c r="AY17" s="262" t="s">
        <v>35</v>
      </c>
      <c r="AZ17" s="262" t="s">
        <v>121</v>
      </c>
      <c r="BA17" s="262" t="s">
        <v>123</v>
      </c>
      <c r="BB17" s="262" t="s">
        <v>36</v>
      </c>
      <c r="BC17" s="262" t="s">
        <v>37</v>
      </c>
      <c r="BD17" s="262" t="s">
        <v>38</v>
      </c>
      <c r="BE17" s="262" t="s">
        <v>39</v>
      </c>
      <c r="BF17" s="262" t="s">
        <v>125</v>
      </c>
      <c r="BG17" s="262" t="s">
        <v>126</v>
      </c>
      <c r="BH17" s="262" t="s">
        <v>127</v>
      </c>
      <c r="BI17" s="263">
        <v>100000</v>
      </c>
      <c r="BJ17" s="264" t="s">
        <v>228</v>
      </c>
      <c r="BK17" s="264" t="s">
        <v>228</v>
      </c>
      <c r="BL17" s="264" t="s">
        <v>77</v>
      </c>
      <c r="BN17" s="64" t="s">
        <v>238</v>
      </c>
      <c r="BO17" s="262" t="s">
        <v>35</v>
      </c>
      <c r="BP17" s="262" t="s">
        <v>121</v>
      </c>
      <c r="BQ17" s="262" t="s">
        <v>123</v>
      </c>
      <c r="BR17" s="262" t="s">
        <v>36</v>
      </c>
      <c r="BS17" s="262" t="s">
        <v>37</v>
      </c>
      <c r="BT17" s="262" t="s">
        <v>38</v>
      </c>
      <c r="BU17" s="262" t="s">
        <v>39</v>
      </c>
      <c r="BV17" s="262" t="s">
        <v>125</v>
      </c>
      <c r="BW17" s="262" t="s">
        <v>126</v>
      </c>
      <c r="BX17" s="262" t="s">
        <v>127</v>
      </c>
      <c r="BY17" s="263">
        <v>100000</v>
      </c>
      <c r="BZ17" s="264" t="s">
        <v>228</v>
      </c>
      <c r="CA17" s="264" t="s">
        <v>228</v>
      </c>
      <c r="CB17" s="264" t="s">
        <v>77</v>
      </c>
      <c r="CD17" s="64" t="s">
        <v>238</v>
      </c>
      <c r="CE17" s="262" t="s">
        <v>35</v>
      </c>
      <c r="CF17" s="262" t="s">
        <v>121</v>
      </c>
      <c r="CG17" s="262" t="s">
        <v>123</v>
      </c>
      <c r="CH17" s="262" t="s">
        <v>36</v>
      </c>
      <c r="CI17" s="262" t="s">
        <v>37</v>
      </c>
      <c r="CJ17" s="262" t="s">
        <v>38</v>
      </c>
      <c r="CK17" s="262" t="s">
        <v>39</v>
      </c>
      <c r="CL17" s="262" t="s">
        <v>125</v>
      </c>
      <c r="CM17" s="262" t="s">
        <v>126</v>
      </c>
      <c r="CN17" s="262" t="s">
        <v>127</v>
      </c>
      <c r="CO17" s="263">
        <v>100000</v>
      </c>
      <c r="CP17" s="264" t="s">
        <v>228</v>
      </c>
      <c r="CQ17" s="264" t="s">
        <v>228</v>
      </c>
      <c r="CR17" s="264" t="s">
        <v>77</v>
      </c>
    </row>
    <row r="18" spans="2:96" x14ac:dyDescent="0.2">
      <c r="B18" s="65"/>
      <c r="C18" s="261" t="s">
        <v>120</v>
      </c>
      <c r="D18" s="261" t="s">
        <v>40</v>
      </c>
      <c r="E18" s="261" t="s">
        <v>40</v>
      </c>
      <c r="F18" s="261" t="s">
        <v>40</v>
      </c>
      <c r="G18" s="261" t="s">
        <v>40</v>
      </c>
      <c r="H18" s="261" t="s">
        <v>40</v>
      </c>
      <c r="I18" s="261" t="s">
        <v>40</v>
      </c>
      <c r="J18" s="261" t="s">
        <v>40</v>
      </c>
      <c r="K18" s="261" t="s">
        <v>40</v>
      </c>
      <c r="L18" s="261" t="s">
        <v>40</v>
      </c>
      <c r="M18" s="261" t="s">
        <v>43</v>
      </c>
      <c r="N18" s="12" t="s">
        <v>230</v>
      </c>
      <c r="O18" s="12" t="s">
        <v>138</v>
      </c>
      <c r="P18" s="12" t="s">
        <v>137</v>
      </c>
      <c r="R18" s="65"/>
      <c r="S18" s="261" t="s">
        <v>120</v>
      </c>
      <c r="T18" s="261" t="s">
        <v>40</v>
      </c>
      <c r="U18" s="261" t="s">
        <v>40</v>
      </c>
      <c r="V18" s="261" t="s">
        <v>40</v>
      </c>
      <c r="W18" s="261" t="s">
        <v>40</v>
      </c>
      <c r="X18" s="261" t="s">
        <v>40</v>
      </c>
      <c r="Y18" s="261" t="s">
        <v>40</v>
      </c>
      <c r="Z18" s="261" t="s">
        <v>40</v>
      </c>
      <c r="AA18" s="261" t="s">
        <v>40</v>
      </c>
      <c r="AB18" s="261" t="s">
        <v>40</v>
      </c>
      <c r="AC18" s="261" t="s">
        <v>43</v>
      </c>
      <c r="AD18" s="12" t="s">
        <v>230</v>
      </c>
      <c r="AE18" s="12" t="s">
        <v>138</v>
      </c>
      <c r="AF18" s="12" t="s">
        <v>137</v>
      </c>
      <c r="AH18" s="65"/>
      <c r="AI18" s="261" t="s">
        <v>120</v>
      </c>
      <c r="AJ18" s="261" t="s">
        <v>40</v>
      </c>
      <c r="AK18" s="261" t="s">
        <v>40</v>
      </c>
      <c r="AL18" s="261" t="s">
        <v>40</v>
      </c>
      <c r="AM18" s="261" t="s">
        <v>40</v>
      </c>
      <c r="AN18" s="261" t="s">
        <v>40</v>
      </c>
      <c r="AO18" s="261" t="s">
        <v>40</v>
      </c>
      <c r="AP18" s="261" t="s">
        <v>40</v>
      </c>
      <c r="AQ18" s="261" t="s">
        <v>40</v>
      </c>
      <c r="AR18" s="261" t="s">
        <v>40</v>
      </c>
      <c r="AS18" s="261" t="s">
        <v>43</v>
      </c>
      <c r="AT18" s="12" t="s">
        <v>230</v>
      </c>
      <c r="AU18" s="12" t="s">
        <v>138</v>
      </c>
      <c r="AV18" s="12" t="s">
        <v>137</v>
      </c>
      <c r="AX18" s="65"/>
      <c r="AY18" s="261" t="s">
        <v>120</v>
      </c>
      <c r="AZ18" s="261" t="s">
        <v>40</v>
      </c>
      <c r="BA18" s="261" t="s">
        <v>40</v>
      </c>
      <c r="BB18" s="261" t="s">
        <v>40</v>
      </c>
      <c r="BC18" s="261" t="s">
        <v>40</v>
      </c>
      <c r="BD18" s="261" t="s">
        <v>40</v>
      </c>
      <c r="BE18" s="261" t="s">
        <v>40</v>
      </c>
      <c r="BF18" s="261" t="s">
        <v>40</v>
      </c>
      <c r="BG18" s="261" t="s">
        <v>40</v>
      </c>
      <c r="BH18" s="261" t="s">
        <v>40</v>
      </c>
      <c r="BI18" s="261" t="s">
        <v>43</v>
      </c>
      <c r="BJ18" s="12" t="s">
        <v>230</v>
      </c>
      <c r="BK18" s="12" t="s">
        <v>138</v>
      </c>
      <c r="BL18" s="12" t="s">
        <v>137</v>
      </c>
      <c r="BN18" s="65"/>
      <c r="BO18" s="261" t="s">
        <v>120</v>
      </c>
      <c r="BP18" s="261" t="s">
        <v>40</v>
      </c>
      <c r="BQ18" s="261" t="s">
        <v>40</v>
      </c>
      <c r="BR18" s="261" t="s">
        <v>40</v>
      </c>
      <c r="BS18" s="261" t="s">
        <v>40</v>
      </c>
      <c r="BT18" s="261" t="s">
        <v>40</v>
      </c>
      <c r="BU18" s="261" t="s">
        <v>40</v>
      </c>
      <c r="BV18" s="261" t="s">
        <v>40</v>
      </c>
      <c r="BW18" s="261" t="s">
        <v>40</v>
      </c>
      <c r="BX18" s="261" t="s">
        <v>40</v>
      </c>
      <c r="BY18" s="261" t="s">
        <v>43</v>
      </c>
      <c r="BZ18" s="12" t="s">
        <v>230</v>
      </c>
      <c r="CA18" s="12" t="s">
        <v>138</v>
      </c>
      <c r="CB18" s="12" t="s">
        <v>137</v>
      </c>
      <c r="CD18" s="65"/>
      <c r="CE18" s="261" t="s">
        <v>120</v>
      </c>
      <c r="CF18" s="261" t="s">
        <v>40</v>
      </c>
      <c r="CG18" s="261" t="s">
        <v>40</v>
      </c>
      <c r="CH18" s="261" t="s">
        <v>40</v>
      </c>
      <c r="CI18" s="261" t="s">
        <v>40</v>
      </c>
      <c r="CJ18" s="261" t="s">
        <v>40</v>
      </c>
      <c r="CK18" s="261" t="s">
        <v>40</v>
      </c>
      <c r="CL18" s="261" t="s">
        <v>40</v>
      </c>
      <c r="CM18" s="261" t="s">
        <v>40</v>
      </c>
      <c r="CN18" s="261" t="s">
        <v>40</v>
      </c>
      <c r="CO18" s="261" t="s">
        <v>43</v>
      </c>
      <c r="CP18" s="12" t="s">
        <v>230</v>
      </c>
      <c r="CQ18" s="12" t="s">
        <v>138</v>
      </c>
      <c r="CR18" s="12" t="s">
        <v>137</v>
      </c>
    </row>
    <row r="19" spans="2:96" x14ac:dyDescent="0.2">
      <c r="B19" s="66"/>
      <c r="C19" s="265" t="s">
        <v>43</v>
      </c>
      <c r="D19" s="265" t="s">
        <v>122</v>
      </c>
      <c r="E19" s="265" t="s">
        <v>124</v>
      </c>
      <c r="F19" s="265" t="s">
        <v>44</v>
      </c>
      <c r="G19" s="265" t="s">
        <v>45</v>
      </c>
      <c r="H19" s="265" t="s">
        <v>46</v>
      </c>
      <c r="I19" s="265" t="s">
        <v>42</v>
      </c>
      <c r="J19" s="265" t="s">
        <v>128</v>
      </c>
      <c r="K19" s="265" t="s">
        <v>129</v>
      </c>
      <c r="L19" s="265" t="s">
        <v>130</v>
      </c>
      <c r="M19" s="265" t="s">
        <v>131</v>
      </c>
      <c r="N19" s="266" t="s">
        <v>138</v>
      </c>
      <c r="O19" s="266" t="s">
        <v>131</v>
      </c>
      <c r="P19" s="266" t="s">
        <v>41</v>
      </c>
      <c r="R19" s="66"/>
      <c r="S19" s="265" t="s">
        <v>43</v>
      </c>
      <c r="T19" s="265" t="s">
        <v>122</v>
      </c>
      <c r="U19" s="265" t="s">
        <v>124</v>
      </c>
      <c r="V19" s="265" t="s">
        <v>44</v>
      </c>
      <c r="W19" s="265" t="s">
        <v>45</v>
      </c>
      <c r="X19" s="265" t="s">
        <v>46</v>
      </c>
      <c r="Y19" s="265" t="s">
        <v>42</v>
      </c>
      <c r="Z19" s="265" t="s">
        <v>128</v>
      </c>
      <c r="AA19" s="265" t="s">
        <v>129</v>
      </c>
      <c r="AB19" s="265" t="s">
        <v>130</v>
      </c>
      <c r="AC19" s="265" t="s">
        <v>131</v>
      </c>
      <c r="AD19" s="266" t="s">
        <v>138</v>
      </c>
      <c r="AE19" s="266" t="s">
        <v>131</v>
      </c>
      <c r="AF19" s="266" t="s">
        <v>41</v>
      </c>
      <c r="AH19" s="66"/>
      <c r="AI19" s="265" t="s">
        <v>43</v>
      </c>
      <c r="AJ19" s="265" t="s">
        <v>122</v>
      </c>
      <c r="AK19" s="265" t="s">
        <v>124</v>
      </c>
      <c r="AL19" s="265" t="s">
        <v>44</v>
      </c>
      <c r="AM19" s="265" t="s">
        <v>45</v>
      </c>
      <c r="AN19" s="265" t="s">
        <v>46</v>
      </c>
      <c r="AO19" s="265" t="s">
        <v>42</v>
      </c>
      <c r="AP19" s="265" t="s">
        <v>128</v>
      </c>
      <c r="AQ19" s="265" t="s">
        <v>129</v>
      </c>
      <c r="AR19" s="265" t="s">
        <v>130</v>
      </c>
      <c r="AS19" s="265" t="s">
        <v>131</v>
      </c>
      <c r="AT19" s="266" t="s">
        <v>138</v>
      </c>
      <c r="AU19" s="266" t="s">
        <v>131</v>
      </c>
      <c r="AV19" s="266" t="s">
        <v>41</v>
      </c>
      <c r="AX19" s="66"/>
      <c r="AY19" s="265" t="s">
        <v>43</v>
      </c>
      <c r="AZ19" s="265" t="s">
        <v>122</v>
      </c>
      <c r="BA19" s="265" t="s">
        <v>124</v>
      </c>
      <c r="BB19" s="265" t="s">
        <v>44</v>
      </c>
      <c r="BC19" s="265" t="s">
        <v>45</v>
      </c>
      <c r="BD19" s="265" t="s">
        <v>46</v>
      </c>
      <c r="BE19" s="265" t="s">
        <v>42</v>
      </c>
      <c r="BF19" s="265" t="s">
        <v>128</v>
      </c>
      <c r="BG19" s="265" t="s">
        <v>129</v>
      </c>
      <c r="BH19" s="265" t="s">
        <v>130</v>
      </c>
      <c r="BI19" s="265" t="s">
        <v>131</v>
      </c>
      <c r="BJ19" s="266" t="s">
        <v>138</v>
      </c>
      <c r="BK19" s="266" t="s">
        <v>131</v>
      </c>
      <c r="BL19" s="266" t="s">
        <v>41</v>
      </c>
      <c r="BN19" s="66"/>
      <c r="BO19" s="265" t="s">
        <v>43</v>
      </c>
      <c r="BP19" s="265" t="s">
        <v>122</v>
      </c>
      <c r="BQ19" s="265" t="s">
        <v>124</v>
      </c>
      <c r="BR19" s="265" t="s">
        <v>44</v>
      </c>
      <c r="BS19" s="265" t="s">
        <v>45</v>
      </c>
      <c r="BT19" s="265" t="s">
        <v>46</v>
      </c>
      <c r="BU19" s="265" t="s">
        <v>42</v>
      </c>
      <c r="BV19" s="265" t="s">
        <v>128</v>
      </c>
      <c r="BW19" s="265" t="s">
        <v>129</v>
      </c>
      <c r="BX19" s="265" t="s">
        <v>130</v>
      </c>
      <c r="BY19" s="265" t="s">
        <v>131</v>
      </c>
      <c r="BZ19" s="266" t="s">
        <v>138</v>
      </c>
      <c r="CA19" s="266" t="s">
        <v>131</v>
      </c>
      <c r="CB19" s="266" t="s">
        <v>41</v>
      </c>
      <c r="CD19" s="66"/>
      <c r="CE19" s="265" t="s">
        <v>43</v>
      </c>
      <c r="CF19" s="265" t="s">
        <v>122</v>
      </c>
      <c r="CG19" s="265" t="s">
        <v>124</v>
      </c>
      <c r="CH19" s="265" t="s">
        <v>44</v>
      </c>
      <c r="CI19" s="265" t="s">
        <v>45</v>
      </c>
      <c r="CJ19" s="265" t="s">
        <v>46</v>
      </c>
      <c r="CK19" s="265" t="s">
        <v>42</v>
      </c>
      <c r="CL19" s="265" t="s">
        <v>128</v>
      </c>
      <c r="CM19" s="265" t="s">
        <v>129</v>
      </c>
      <c r="CN19" s="265" t="s">
        <v>130</v>
      </c>
      <c r="CO19" s="265" t="s">
        <v>131</v>
      </c>
      <c r="CP19" s="266" t="s">
        <v>138</v>
      </c>
      <c r="CQ19" s="266" t="s">
        <v>131</v>
      </c>
      <c r="CR19" s="266" t="s">
        <v>41</v>
      </c>
    </row>
    <row r="20" spans="2:96" s="465" customFormat="1" ht="15.75" customHeight="1" x14ac:dyDescent="0.25">
      <c r="B20" s="606" t="s">
        <v>90</v>
      </c>
      <c r="C20" s="607">
        <v>646.56190000000004</v>
      </c>
      <c r="D20" s="607">
        <v>582.36770000000001</v>
      </c>
      <c r="E20" s="607">
        <v>507.75020000000001</v>
      </c>
      <c r="F20" s="607">
        <v>571.03210000000001</v>
      </c>
      <c r="G20" s="607">
        <v>651.68740000000003</v>
      </c>
      <c r="H20" s="607">
        <v>720.89919999999995</v>
      </c>
      <c r="I20" s="607">
        <v>762.9248</v>
      </c>
      <c r="J20" s="607">
        <v>804.21550000000002</v>
      </c>
      <c r="K20" s="607">
        <v>986.26990000000001</v>
      </c>
      <c r="L20" s="607">
        <v>1322.4659999999999</v>
      </c>
      <c r="M20" s="607">
        <v>1894.7108000000001</v>
      </c>
      <c r="N20" s="608">
        <v>646.97810000000004</v>
      </c>
      <c r="O20" s="608">
        <v>1274.7224000000001</v>
      </c>
      <c r="P20" s="609">
        <v>965.86220000000003</v>
      </c>
      <c r="R20" s="606" t="s">
        <v>90</v>
      </c>
      <c r="S20" s="896">
        <v>137.74250000000001</v>
      </c>
      <c r="T20" s="896">
        <v>108.5145</v>
      </c>
      <c r="U20" s="896">
        <v>89.958200000000005</v>
      </c>
      <c r="V20" s="896">
        <v>90.1447</v>
      </c>
      <c r="W20" s="896">
        <v>90.798000000000002</v>
      </c>
      <c r="X20" s="896">
        <v>94.405799999999999</v>
      </c>
      <c r="Y20" s="896">
        <v>102.34910000000001</v>
      </c>
      <c r="Z20" s="896">
        <v>105.16249999999999</v>
      </c>
      <c r="AA20" s="896">
        <v>127.91079999999999</v>
      </c>
      <c r="AB20" s="896">
        <v>171.02670000000001</v>
      </c>
      <c r="AC20" s="896">
        <v>157.625</v>
      </c>
      <c r="AD20" s="897">
        <v>94.564599999999999</v>
      </c>
      <c r="AE20" s="897">
        <v>139.35560000000001</v>
      </c>
      <c r="AF20" s="898">
        <v>117.3177</v>
      </c>
      <c r="AH20" s="606" t="s">
        <v>90</v>
      </c>
      <c r="AI20" s="645">
        <v>42.093499999999999</v>
      </c>
      <c r="AJ20" s="645">
        <v>52.379199999999997</v>
      </c>
      <c r="AK20" s="645">
        <v>54.397599999999997</v>
      </c>
      <c r="AL20" s="645">
        <v>60.262599999999999</v>
      </c>
      <c r="AM20" s="645">
        <v>60.347200000000001</v>
      </c>
      <c r="AN20" s="645">
        <v>59.114800000000002</v>
      </c>
      <c r="AO20" s="645">
        <v>57.753300000000003</v>
      </c>
      <c r="AP20" s="645">
        <v>55.307099999999998</v>
      </c>
      <c r="AQ20" s="645">
        <v>61.439100000000003</v>
      </c>
      <c r="AR20" s="645">
        <v>75.924199999999999</v>
      </c>
      <c r="AS20" s="645">
        <v>96.505200000000002</v>
      </c>
      <c r="AT20" s="646">
        <v>58.572200000000002</v>
      </c>
      <c r="AU20" s="646">
        <v>74.871499999999997</v>
      </c>
      <c r="AV20" s="640">
        <v>68.581699999999998</v>
      </c>
      <c r="AX20" s="606" t="s">
        <v>90</v>
      </c>
      <c r="AY20" s="645">
        <v>1.5109999999999999</v>
      </c>
      <c r="AZ20" s="645">
        <v>2.0716000000000001</v>
      </c>
      <c r="BA20" s="645">
        <v>2.4226999999999999</v>
      </c>
      <c r="BB20" s="645">
        <v>3.0009999999999999</v>
      </c>
      <c r="BC20" s="645">
        <v>3.1783000000000001</v>
      </c>
      <c r="BD20" s="645">
        <v>3.2730999999999999</v>
      </c>
      <c r="BE20" s="645">
        <v>3.5884999999999998</v>
      </c>
      <c r="BF20" s="645">
        <v>3.9763000000000002</v>
      </c>
      <c r="BG20" s="645">
        <v>4.7511999999999999</v>
      </c>
      <c r="BH20" s="645">
        <v>5.6223000000000001</v>
      </c>
      <c r="BI20" s="645">
        <v>10.158899999999999</v>
      </c>
      <c r="BJ20" s="646">
        <v>3.1171000000000002</v>
      </c>
      <c r="BK20" s="646">
        <v>6.2168999999999999</v>
      </c>
      <c r="BL20" s="640">
        <v>4.6822999999999997</v>
      </c>
      <c r="BN20" s="606" t="s">
        <v>90</v>
      </c>
      <c r="BO20" s="645">
        <v>80.035700000000006</v>
      </c>
      <c r="BP20" s="645">
        <v>83.239500000000007</v>
      </c>
      <c r="BQ20" s="645">
        <v>85.831599999999995</v>
      </c>
      <c r="BR20" s="645">
        <v>87.831900000000005</v>
      </c>
      <c r="BS20" s="645">
        <v>87.679500000000004</v>
      </c>
      <c r="BT20" s="645">
        <v>87.913499999999999</v>
      </c>
      <c r="BU20" s="645">
        <v>89.825900000000004</v>
      </c>
      <c r="BV20" s="645">
        <v>91.597099999999998</v>
      </c>
      <c r="BW20" s="645">
        <v>93.185199999999995</v>
      </c>
      <c r="BX20" s="645">
        <v>94.034000000000006</v>
      </c>
      <c r="BY20" s="645">
        <v>96.396000000000001</v>
      </c>
      <c r="BZ20" s="646">
        <v>88.086799999999997</v>
      </c>
      <c r="CA20" s="646">
        <v>94.1404</v>
      </c>
      <c r="CB20" s="640">
        <v>91.804400000000001</v>
      </c>
      <c r="CD20" s="606" t="s">
        <v>90</v>
      </c>
      <c r="CE20" s="645">
        <v>2.4300999999999999</v>
      </c>
      <c r="CF20" s="645">
        <v>2.3028</v>
      </c>
      <c r="CG20" s="645">
        <v>2.3845999999999998</v>
      </c>
      <c r="CH20" s="645">
        <v>2.4836999999999998</v>
      </c>
      <c r="CI20" s="645">
        <v>2.5270999999999999</v>
      </c>
      <c r="CJ20" s="645">
        <v>2.4413999999999998</v>
      </c>
      <c r="CK20" s="645">
        <v>2.5150999999999999</v>
      </c>
      <c r="CL20" s="645">
        <v>2.5754000000000001</v>
      </c>
      <c r="CM20" s="645">
        <v>2.665</v>
      </c>
      <c r="CN20" s="645">
        <v>2.8041999999999998</v>
      </c>
      <c r="CO20" s="645">
        <v>2.1194999999999999</v>
      </c>
      <c r="CP20" s="646">
        <v>2.4838</v>
      </c>
      <c r="CQ20" s="646">
        <v>2.4382000000000001</v>
      </c>
      <c r="CR20" s="640">
        <v>2.4531999999999998</v>
      </c>
    </row>
    <row r="21" spans="2:96" s="465" customFormat="1" ht="15.75" customHeight="1" x14ac:dyDescent="0.25">
      <c r="B21" s="610" t="s">
        <v>239</v>
      </c>
      <c r="C21" s="611">
        <v>646.56190000000004</v>
      </c>
      <c r="D21" s="611">
        <v>582.36770000000001</v>
      </c>
      <c r="E21" s="611">
        <v>507.88549999999998</v>
      </c>
      <c r="F21" s="611">
        <v>571.39750000000004</v>
      </c>
      <c r="G21" s="611">
        <v>653.42330000000004</v>
      </c>
      <c r="H21" s="611">
        <v>723.65070000000003</v>
      </c>
      <c r="I21" s="611">
        <v>769.62699999999995</v>
      </c>
      <c r="J21" s="611">
        <v>822.13670000000002</v>
      </c>
      <c r="K21" s="611">
        <v>997.92349999999999</v>
      </c>
      <c r="L21" s="611">
        <v>1355.1303</v>
      </c>
      <c r="M21" s="611">
        <v>1916.8223</v>
      </c>
      <c r="N21" s="612">
        <v>648.46600000000001</v>
      </c>
      <c r="O21" s="612">
        <v>1299.5667000000001</v>
      </c>
      <c r="P21" s="613">
        <v>972.07569999999998</v>
      </c>
      <c r="R21" s="610" t="s">
        <v>239</v>
      </c>
      <c r="S21" s="899">
        <v>137.74250000000001</v>
      </c>
      <c r="T21" s="899">
        <v>108.5145</v>
      </c>
      <c r="U21" s="899">
        <v>89.946299999999994</v>
      </c>
      <c r="V21" s="899">
        <v>90.202399999999997</v>
      </c>
      <c r="W21" s="899">
        <v>90.940799999999996</v>
      </c>
      <c r="X21" s="899">
        <v>94.204899999999995</v>
      </c>
      <c r="Y21" s="899">
        <v>103.1232</v>
      </c>
      <c r="Z21" s="899">
        <v>107.566</v>
      </c>
      <c r="AA21" s="899">
        <v>129.4588</v>
      </c>
      <c r="AB21" s="899">
        <v>173.71639999999999</v>
      </c>
      <c r="AC21" s="899">
        <v>156.76070000000001</v>
      </c>
      <c r="AD21" s="900">
        <v>94.720100000000002</v>
      </c>
      <c r="AE21" s="900">
        <v>140.465</v>
      </c>
      <c r="AF21" s="901">
        <v>117.4562</v>
      </c>
      <c r="AH21" s="610" t="s">
        <v>239</v>
      </c>
      <c r="AI21" s="633">
        <v>42.093499999999999</v>
      </c>
      <c r="AJ21" s="633">
        <v>52.379199999999997</v>
      </c>
      <c r="AK21" s="633">
        <v>54.494500000000002</v>
      </c>
      <c r="AL21" s="633">
        <v>60.414700000000003</v>
      </c>
      <c r="AM21" s="633">
        <v>60.792900000000003</v>
      </c>
      <c r="AN21" s="633">
        <v>59.704799999999999</v>
      </c>
      <c r="AO21" s="633">
        <v>58.639200000000002</v>
      </c>
      <c r="AP21" s="633">
        <v>56.713099999999997</v>
      </c>
      <c r="AQ21" s="633">
        <v>62.335000000000001</v>
      </c>
      <c r="AR21" s="633">
        <v>77.187600000000003</v>
      </c>
      <c r="AS21" s="633">
        <v>97.288200000000003</v>
      </c>
      <c r="AT21" s="641">
        <v>59.0458</v>
      </c>
      <c r="AU21" s="641">
        <v>76.144499999999994</v>
      </c>
      <c r="AV21" s="634">
        <v>69.4011</v>
      </c>
      <c r="AX21" s="610" t="s">
        <v>239</v>
      </c>
      <c r="AY21" s="633">
        <v>1.5109999999999999</v>
      </c>
      <c r="AZ21" s="633">
        <v>2.0716000000000001</v>
      </c>
      <c r="BA21" s="633">
        <v>2.4298000000000002</v>
      </c>
      <c r="BB21" s="633">
        <v>3.0036</v>
      </c>
      <c r="BC21" s="633">
        <v>3.1869000000000001</v>
      </c>
      <c r="BD21" s="633">
        <v>3.2717000000000001</v>
      </c>
      <c r="BE21" s="633">
        <v>3.5699000000000001</v>
      </c>
      <c r="BF21" s="633">
        <v>3.9921000000000002</v>
      </c>
      <c r="BG21" s="633">
        <v>4.7492000000000001</v>
      </c>
      <c r="BH21" s="633">
        <v>5.6074999999999999</v>
      </c>
      <c r="BI21" s="633">
        <v>10.3089</v>
      </c>
      <c r="BJ21" s="641">
        <v>3.1132</v>
      </c>
      <c r="BK21" s="641">
        <v>6.274</v>
      </c>
      <c r="BL21" s="634">
        <v>4.6797000000000004</v>
      </c>
      <c r="BN21" s="610" t="s">
        <v>239</v>
      </c>
      <c r="BO21" s="633">
        <v>80.035700000000006</v>
      </c>
      <c r="BP21" s="633">
        <v>83.239500000000007</v>
      </c>
      <c r="BQ21" s="633">
        <v>85.869</v>
      </c>
      <c r="BR21" s="633">
        <v>87.819000000000003</v>
      </c>
      <c r="BS21" s="633">
        <v>87.636200000000002</v>
      </c>
      <c r="BT21" s="633">
        <v>87.762100000000004</v>
      </c>
      <c r="BU21" s="633">
        <v>89.631</v>
      </c>
      <c r="BV21" s="633">
        <v>91.458399999999997</v>
      </c>
      <c r="BW21" s="633">
        <v>93.114000000000004</v>
      </c>
      <c r="BX21" s="633">
        <v>93.849800000000002</v>
      </c>
      <c r="BY21" s="633">
        <v>96.390900000000002</v>
      </c>
      <c r="BZ21" s="641">
        <v>87.982799999999997</v>
      </c>
      <c r="CA21" s="641">
        <v>94.090100000000007</v>
      </c>
      <c r="CB21" s="634">
        <v>91.6815</v>
      </c>
      <c r="CD21" s="610" t="s">
        <v>239</v>
      </c>
      <c r="CE21" s="633">
        <v>2.4300999999999999</v>
      </c>
      <c r="CF21" s="633">
        <v>2.3028</v>
      </c>
      <c r="CG21" s="633">
        <v>2.3839999999999999</v>
      </c>
      <c r="CH21" s="633">
        <v>2.4828000000000001</v>
      </c>
      <c r="CI21" s="633">
        <v>2.5224000000000002</v>
      </c>
      <c r="CJ21" s="633">
        <v>2.4359000000000002</v>
      </c>
      <c r="CK21" s="633">
        <v>2.5222000000000002</v>
      </c>
      <c r="CL21" s="633">
        <v>2.5735000000000001</v>
      </c>
      <c r="CM21" s="633">
        <v>2.6581000000000001</v>
      </c>
      <c r="CN21" s="633">
        <v>2.7803</v>
      </c>
      <c r="CO21" s="633">
        <v>2.1013000000000002</v>
      </c>
      <c r="CP21" s="641">
        <v>2.4838</v>
      </c>
      <c r="CQ21" s="641">
        <v>2.4178999999999999</v>
      </c>
      <c r="CR21" s="634">
        <v>2.44</v>
      </c>
    </row>
    <row r="22" spans="2:96" s="465" customFormat="1" ht="15.75" customHeight="1" x14ac:dyDescent="0.25">
      <c r="B22" s="614" t="s">
        <v>501</v>
      </c>
      <c r="C22" s="615"/>
      <c r="D22" s="615"/>
      <c r="E22" s="615"/>
      <c r="F22" s="615"/>
      <c r="G22" s="615"/>
      <c r="H22" s="615"/>
      <c r="I22" s="615"/>
      <c r="J22" s="615"/>
      <c r="K22" s="615"/>
      <c r="L22" s="615"/>
      <c r="M22" s="615"/>
      <c r="N22" s="616"/>
      <c r="O22" s="616"/>
      <c r="P22" s="617"/>
      <c r="R22" s="614" t="s">
        <v>501</v>
      </c>
      <c r="S22" s="902"/>
      <c r="T22" s="902"/>
      <c r="U22" s="902"/>
      <c r="V22" s="902"/>
      <c r="W22" s="902"/>
      <c r="X22" s="902"/>
      <c r="Y22" s="902"/>
      <c r="Z22" s="902"/>
      <c r="AA22" s="902"/>
      <c r="AB22" s="902"/>
      <c r="AC22" s="902"/>
      <c r="AD22" s="903"/>
      <c r="AE22" s="903"/>
      <c r="AF22" s="904"/>
      <c r="AH22" s="614" t="s">
        <v>501</v>
      </c>
      <c r="AI22" s="635"/>
      <c r="AJ22" s="635"/>
      <c r="AK22" s="635"/>
      <c r="AL22" s="635"/>
      <c r="AM22" s="635"/>
      <c r="AN22" s="635"/>
      <c r="AO22" s="635"/>
      <c r="AP22" s="635"/>
      <c r="AQ22" s="635"/>
      <c r="AR22" s="635"/>
      <c r="AS22" s="635"/>
      <c r="AT22" s="642"/>
      <c r="AU22" s="642"/>
      <c r="AV22" s="636"/>
      <c r="AX22" s="614" t="s">
        <v>501</v>
      </c>
      <c r="AY22" s="635"/>
      <c r="AZ22" s="635"/>
      <c r="BA22" s="635"/>
      <c r="BB22" s="635"/>
      <c r="BC22" s="635"/>
      <c r="BD22" s="635"/>
      <c r="BE22" s="635"/>
      <c r="BF22" s="635"/>
      <c r="BG22" s="635"/>
      <c r="BH22" s="635"/>
      <c r="BI22" s="635"/>
      <c r="BJ22" s="642"/>
      <c r="BK22" s="642"/>
      <c r="BL22" s="636"/>
      <c r="BN22" s="614" t="s">
        <v>501</v>
      </c>
      <c r="BO22" s="635"/>
      <c r="BP22" s="635"/>
      <c r="BQ22" s="635"/>
      <c r="BR22" s="635"/>
      <c r="BS22" s="635"/>
      <c r="BT22" s="635"/>
      <c r="BU22" s="635"/>
      <c r="BV22" s="635"/>
      <c r="BW22" s="635"/>
      <c r="BX22" s="635"/>
      <c r="BY22" s="635"/>
      <c r="BZ22" s="642"/>
      <c r="CA22" s="642"/>
      <c r="CB22" s="636"/>
      <c r="CD22" s="614" t="s">
        <v>501</v>
      </c>
      <c r="CE22" s="635"/>
      <c r="CF22" s="635"/>
      <c r="CG22" s="635"/>
      <c r="CH22" s="635"/>
      <c r="CI22" s="635"/>
      <c r="CJ22" s="635"/>
      <c r="CK22" s="635"/>
      <c r="CL22" s="635"/>
      <c r="CM22" s="635"/>
      <c r="CN22" s="635"/>
      <c r="CO22" s="635"/>
      <c r="CP22" s="642"/>
      <c r="CQ22" s="642"/>
      <c r="CR22" s="636"/>
    </row>
    <row r="23" spans="2:96" s="571" customFormat="1" ht="15.75" customHeight="1" x14ac:dyDescent="0.25">
      <c r="B23" s="618" t="s">
        <v>763</v>
      </c>
      <c r="C23" s="619">
        <v>995.86450000000002</v>
      </c>
      <c r="D23" s="619">
        <v>963.02440000000001</v>
      </c>
      <c r="E23" s="619">
        <v>926.33190000000002</v>
      </c>
      <c r="F23" s="619">
        <v>787.02049999999997</v>
      </c>
      <c r="G23" s="619">
        <v>851.44269999999995</v>
      </c>
      <c r="H23" s="619">
        <v>875.54719999999998</v>
      </c>
      <c r="I23" s="619">
        <v>884.92809999999997</v>
      </c>
      <c r="J23" s="619">
        <v>793.9665</v>
      </c>
      <c r="K23" s="619">
        <v>938.56529999999998</v>
      </c>
      <c r="L23" s="619">
        <v>974.13120000000004</v>
      </c>
      <c r="M23" s="619">
        <v>854.8546</v>
      </c>
      <c r="N23" s="620">
        <v>847.45569999999998</v>
      </c>
      <c r="O23" s="620">
        <v>873.27430000000004</v>
      </c>
      <c r="P23" s="621">
        <v>858.27260000000001</v>
      </c>
      <c r="R23" s="618" t="s">
        <v>763</v>
      </c>
      <c r="S23" s="905">
        <v>217.6507</v>
      </c>
      <c r="T23" s="905">
        <v>181.72800000000001</v>
      </c>
      <c r="U23" s="905">
        <v>153.8125</v>
      </c>
      <c r="V23" s="905">
        <v>118.7244</v>
      </c>
      <c r="W23" s="905">
        <v>116.2321</v>
      </c>
      <c r="X23" s="905">
        <v>112.0513</v>
      </c>
      <c r="Y23" s="905">
        <v>115.22369999999999</v>
      </c>
      <c r="Z23" s="905">
        <v>109.05840000000001</v>
      </c>
      <c r="AA23" s="905">
        <v>105.751</v>
      </c>
      <c r="AB23" s="905">
        <v>144.23439999999999</v>
      </c>
      <c r="AC23" s="905">
        <v>112.58580000000001</v>
      </c>
      <c r="AD23" s="906">
        <v>119.94199999999999</v>
      </c>
      <c r="AE23" s="906">
        <v>111.88079999999999</v>
      </c>
      <c r="AF23" s="907">
        <v>116.5647</v>
      </c>
      <c r="AH23" s="618" t="s">
        <v>763</v>
      </c>
      <c r="AI23" s="637">
        <v>42.591799999999999</v>
      </c>
      <c r="AJ23" s="637">
        <v>58.304400000000001</v>
      </c>
      <c r="AK23" s="637">
        <v>68.138000000000005</v>
      </c>
      <c r="AL23" s="637">
        <v>72.140900000000002</v>
      </c>
      <c r="AM23" s="637">
        <v>69.777199999999993</v>
      </c>
      <c r="AN23" s="637">
        <v>67.894800000000004</v>
      </c>
      <c r="AO23" s="637">
        <v>66.323499999999996</v>
      </c>
      <c r="AP23" s="637">
        <v>55.445799999999998</v>
      </c>
      <c r="AQ23" s="637">
        <v>65.723299999999995</v>
      </c>
      <c r="AR23" s="637">
        <v>54.402000000000001</v>
      </c>
      <c r="AS23" s="637">
        <v>54.383600000000001</v>
      </c>
      <c r="AT23" s="643">
        <v>68.8035</v>
      </c>
      <c r="AU23" s="643">
        <v>57.877200000000002</v>
      </c>
      <c r="AV23" s="638">
        <v>63.678899999999999</v>
      </c>
      <c r="AX23" s="618" t="s">
        <v>763</v>
      </c>
      <c r="AY23" s="637">
        <v>1.3127</v>
      </c>
      <c r="AZ23" s="637">
        <v>2.04</v>
      </c>
      <c r="BA23" s="637">
        <v>2.8319999999999999</v>
      </c>
      <c r="BB23" s="637">
        <v>3.2176</v>
      </c>
      <c r="BC23" s="637">
        <v>3.2825000000000002</v>
      </c>
      <c r="BD23" s="637">
        <v>3.2801999999999998</v>
      </c>
      <c r="BE23" s="637">
        <v>3.6124000000000001</v>
      </c>
      <c r="BF23" s="637">
        <v>3.5678000000000001</v>
      </c>
      <c r="BG23" s="637">
        <v>4.6870000000000003</v>
      </c>
      <c r="BH23" s="637">
        <v>4.2226999999999997</v>
      </c>
      <c r="BI23" s="637">
        <v>3.6785000000000001</v>
      </c>
      <c r="BJ23" s="643">
        <v>3.2578999999999998</v>
      </c>
      <c r="BK23" s="643">
        <v>3.9676999999999998</v>
      </c>
      <c r="BL23" s="638">
        <v>3.5268999999999999</v>
      </c>
      <c r="BN23" s="618" t="s">
        <v>763</v>
      </c>
      <c r="BO23" s="637">
        <v>75.576999999999998</v>
      </c>
      <c r="BP23" s="637">
        <v>80.855199999999996</v>
      </c>
      <c r="BQ23" s="637">
        <v>85.518500000000003</v>
      </c>
      <c r="BR23" s="637">
        <v>86.547399999999996</v>
      </c>
      <c r="BS23" s="637">
        <v>86.387699999999995</v>
      </c>
      <c r="BT23" s="637">
        <v>86.2303</v>
      </c>
      <c r="BU23" s="637">
        <v>88.374799999999993</v>
      </c>
      <c r="BV23" s="637">
        <v>90.301299999999998</v>
      </c>
      <c r="BW23" s="637">
        <v>91.611800000000002</v>
      </c>
      <c r="BX23" s="637">
        <v>93.671400000000006</v>
      </c>
      <c r="BY23" s="637">
        <v>90.823499999999996</v>
      </c>
      <c r="BZ23" s="643">
        <v>86.756500000000003</v>
      </c>
      <c r="CA23" s="643">
        <v>91.163700000000006</v>
      </c>
      <c r="CB23" s="638">
        <v>88.823499999999996</v>
      </c>
      <c r="CD23" s="618" t="s">
        <v>763</v>
      </c>
      <c r="CE23" s="637">
        <v>2.8397999999999999</v>
      </c>
      <c r="CF23" s="637">
        <v>2.6105999999999998</v>
      </c>
      <c r="CG23" s="637">
        <v>2.4725000000000001</v>
      </c>
      <c r="CH23" s="637">
        <v>2.5548000000000002</v>
      </c>
      <c r="CI23" s="637">
        <v>2.4641000000000002</v>
      </c>
      <c r="CJ23" s="637">
        <v>2.2444999999999999</v>
      </c>
      <c r="CK23" s="637">
        <v>2.4946000000000002</v>
      </c>
      <c r="CL23" s="637">
        <v>2.5815000000000001</v>
      </c>
      <c r="CM23" s="637">
        <v>2.3889</v>
      </c>
      <c r="CN23" s="637">
        <v>2.6637</v>
      </c>
      <c r="CO23" s="637">
        <v>2.7783000000000002</v>
      </c>
      <c r="CP23" s="643">
        <v>2.4792000000000001</v>
      </c>
      <c r="CQ23" s="643">
        <v>2.5979999999999999</v>
      </c>
      <c r="CR23" s="638">
        <v>2.5297999999999998</v>
      </c>
    </row>
    <row r="24" spans="2:96" s="465" customFormat="1" ht="15.75" customHeight="1" x14ac:dyDescent="0.25">
      <c r="B24" s="622" t="s">
        <v>764</v>
      </c>
      <c r="C24" s="623">
        <v>610.54420000000005</v>
      </c>
      <c r="D24" s="623">
        <v>580.52819999999997</v>
      </c>
      <c r="E24" s="623">
        <v>523.18380000000002</v>
      </c>
      <c r="F24" s="623">
        <v>594.92129999999997</v>
      </c>
      <c r="G24" s="623">
        <v>633.24369999999999</v>
      </c>
      <c r="H24" s="623">
        <v>849.78200000000004</v>
      </c>
      <c r="I24" s="623">
        <v>739.05460000000005</v>
      </c>
      <c r="J24" s="623">
        <v>969.25739999999996</v>
      </c>
      <c r="K24" s="623">
        <v>1365.3078</v>
      </c>
      <c r="L24" s="623" t="s">
        <v>102</v>
      </c>
      <c r="M24" s="623">
        <v>699.00660000000005</v>
      </c>
      <c r="N24" s="624">
        <v>626.71889999999996</v>
      </c>
      <c r="O24" s="624">
        <v>1033.2573</v>
      </c>
      <c r="P24" s="609">
        <v>734.28210000000001</v>
      </c>
      <c r="R24" s="622" t="s">
        <v>764</v>
      </c>
      <c r="S24" s="908">
        <v>103.745</v>
      </c>
      <c r="T24" s="908">
        <v>102.09780000000001</v>
      </c>
      <c r="U24" s="908">
        <v>88.962599999999995</v>
      </c>
      <c r="V24" s="908">
        <v>98.813500000000005</v>
      </c>
      <c r="W24" s="908">
        <v>82.527600000000007</v>
      </c>
      <c r="X24" s="908">
        <v>110.1606</v>
      </c>
      <c r="Y24" s="908">
        <v>101.2808</v>
      </c>
      <c r="Z24" s="908">
        <v>110.2171</v>
      </c>
      <c r="AA24" s="908">
        <v>173.3047</v>
      </c>
      <c r="AB24" s="908" t="s">
        <v>102</v>
      </c>
      <c r="AC24" s="908">
        <v>102.8656</v>
      </c>
      <c r="AD24" s="909">
        <v>96.520899999999997</v>
      </c>
      <c r="AE24" s="909">
        <v>133.8038</v>
      </c>
      <c r="AF24" s="898">
        <v>106.3853</v>
      </c>
      <c r="AH24" s="622" t="s">
        <v>764</v>
      </c>
      <c r="AI24" s="639">
        <v>44.881799999999998</v>
      </c>
      <c r="AJ24" s="639">
        <v>56.3384</v>
      </c>
      <c r="AK24" s="639">
        <v>61.441200000000002</v>
      </c>
      <c r="AL24" s="639">
        <v>68.881100000000004</v>
      </c>
      <c r="AM24" s="639">
        <v>64.721199999999996</v>
      </c>
      <c r="AN24" s="639">
        <v>65.647199999999998</v>
      </c>
      <c r="AO24" s="639">
        <v>57.799399999999999</v>
      </c>
      <c r="AP24" s="639">
        <v>71.971500000000006</v>
      </c>
      <c r="AQ24" s="639">
        <v>84.492199999999997</v>
      </c>
      <c r="AR24" s="639" t="s">
        <v>102</v>
      </c>
      <c r="AS24" s="639">
        <v>50.917900000000003</v>
      </c>
      <c r="AT24" s="644">
        <v>63.386600000000001</v>
      </c>
      <c r="AU24" s="644">
        <v>70.341499999999996</v>
      </c>
      <c r="AV24" s="640">
        <v>65.809200000000004</v>
      </c>
      <c r="AX24" s="622" t="s">
        <v>764</v>
      </c>
      <c r="AY24" s="639">
        <v>1.6563000000000001</v>
      </c>
      <c r="AZ24" s="639">
        <v>2.0947</v>
      </c>
      <c r="BA24" s="639">
        <v>2.5478999999999998</v>
      </c>
      <c r="BB24" s="639">
        <v>3.2793000000000001</v>
      </c>
      <c r="BC24" s="639">
        <v>3.1339000000000001</v>
      </c>
      <c r="BD24" s="639">
        <v>4.1516999999999999</v>
      </c>
      <c r="BE24" s="639">
        <v>3.5487000000000002</v>
      </c>
      <c r="BF24" s="639">
        <v>5.8323</v>
      </c>
      <c r="BG24" s="639">
        <v>5.8802000000000003</v>
      </c>
      <c r="BH24" s="639" t="s">
        <v>102</v>
      </c>
      <c r="BI24" s="639">
        <v>2.7683</v>
      </c>
      <c r="BJ24" s="644">
        <v>3.0857999999999999</v>
      </c>
      <c r="BK24" s="644">
        <v>4.5693000000000001</v>
      </c>
      <c r="BL24" s="640">
        <v>3.5101</v>
      </c>
      <c r="BN24" s="622" t="s">
        <v>764</v>
      </c>
      <c r="BO24" s="639">
        <v>79.630399999999995</v>
      </c>
      <c r="BP24" s="639">
        <v>81.733500000000006</v>
      </c>
      <c r="BQ24" s="639">
        <v>84.9268</v>
      </c>
      <c r="BR24" s="639">
        <v>88.801400000000001</v>
      </c>
      <c r="BS24" s="639">
        <v>86.154399999999995</v>
      </c>
      <c r="BT24" s="639">
        <v>90.823899999999995</v>
      </c>
      <c r="BU24" s="639">
        <v>90.0017</v>
      </c>
      <c r="BV24" s="639">
        <v>94.198400000000007</v>
      </c>
      <c r="BW24" s="639">
        <v>94.028300000000002</v>
      </c>
      <c r="BX24" s="639" t="s">
        <v>102</v>
      </c>
      <c r="BY24" s="639">
        <v>87.200299999999999</v>
      </c>
      <c r="BZ24" s="644">
        <v>87.640299999999996</v>
      </c>
      <c r="CA24" s="644">
        <v>91.666700000000006</v>
      </c>
      <c r="CB24" s="640">
        <v>89.042699999999996</v>
      </c>
      <c r="CD24" s="622" t="s">
        <v>764</v>
      </c>
      <c r="CE24" s="639">
        <v>1.9994000000000001</v>
      </c>
      <c r="CF24" s="639">
        <v>2.2589000000000001</v>
      </c>
      <c r="CG24" s="639">
        <v>2.2313999999999998</v>
      </c>
      <c r="CH24" s="639">
        <v>2.2803</v>
      </c>
      <c r="CI24" s="639">
        <v>2.3035000000000001</v>
      </c>
      <c r="CJ24" s="639">
        <v>2.4897999999999998</v>
      </c>
      <c r="CK24" s="639">
        <v>2.3344</v>
      </c>
      <c r="CL24" s="639">
        <v>2.0510999999999999</v>
      </c>
      <c r="CM24" s="639">
        <v>2.2330000000000001</v>
      </c>
      <c r="CN24" s="639" t="s">
        <v>102</v>
      </c>
      <c r="CO24" s="639">
        <v>3.3166000000000002</v>
      </c>
      <c r="CP24" s="644">
        <v>2.2999999999999998</v>
      </c>
      <c r="CQ24" s="644">
        <v>2.4727000000000001</v>
      </c>
      <c r="CR24" s="640">
        <v>2.3643000000000001</v>
      </c>
    </row>
    <row r="25" spans="2:96" s="571" customFormat="1" ht="15.75" customHeight="1" x14ac:dyDescent="0.25">
      <c r="B25" s="618" t="s">
        <v>51</v>
      </c>
      <c r="C25" s="619">
        <v>200</v>
      </c>
      <c r="D25" s="619">
        <v>936.24570000000006</v>
      </c>
      <c r="E25" s="619">
        <v>689.53070000000002</v>
      </c>
      <c r="F25" s="619">
        <v>588.35609999999997</v>
      </c>
      <c r="G25" s="619">
        <v>699.8931</v>
      </c>
      <c r="H25" s="619">
        <v>769.18709999999999</v>
      </c>
      <c r="I25" s="619">
        <v>816.25070000000005</v>
      </c>
      <c r="J25" s="619">
        <v>941.94640000000004</v>
      </c>
      <c r="K25" s="619">
        <v>1231.9582</v>
      </c>
      <c r="L25" s="619">
        <v>916.19029999999998</v>
      </c>
      <c r="M25" s="619">
        <v>811.36829999999998</v>
      </c>
      <c r="N25" s="620">
        <v>713.33950000000004</v>
      </c>
      <c r="O25" s="620">
        <v>946.46860000000004</v>
      </c>
      <c r="P25" s="621">
        <v>792.27980000000002</v>
      </c>
      <c r="R25" s="618" t="s">
        <v>51</v>
      </c>
      <c r="S25" s="905">
        <v>64.512799999999999</v>
      </c>
      <c r="T25" s="905">
        <v>144.2388</v>
      </c>
      <c r="U25" s="905">
        <v>115.17789999999999</v>
      </c>
      <c r="V25" s="905">
        <v>90.884600000000006</v>
      </c>
      <c r="W25" s="905">
        <v>96.287700000000001</v>
      </c>
      <c r="X25" s="905">
        <v>91.672200000000004</v>
      </c>
      <c r="Y25" s="905">
        <v>109.3703</v>
      </c>
      <c r="Z25" s="905">
        <v>128.1806</v>
      </c>
      <c r="AA25" s="905">
        <v>150.61189999999999</v>
      </c>
      <c r="AB25" s="905">
        <v>128.55690000000001</v>
      </c>
      <c r="AC25" s="905">
        <v>91.4041</v>
      </c>
      <c r="AD25" s="906">
        <v>98.032899999999998</v>
      </c>
      <c r="AE25" s="906">
        <v>120.49290000000001</v>
      </c>
      <c r="AF25" s="907">
        <v>105.63809999999999</v>
      </c>
      <c r="AH25" s="618" t="s">
        <v>51</v>
      </c>
      <c r="AI25" s="637">
        <v>12.385199999999999</v>
      </c>
      <c r="AJ25" s="637">
        <v>62.122999999999998</v>
      </c>
      <c r="AK25" s="637">
        <v>66.618600000000001</v>
      </c>
      <c r="AL25" s="637">
        <v>63.271900000000002</v>
      </c>
      <c r="AM25" s="637">
        <v>67.0822</v>
      </c>
      <c r="AN25" s="637">
        <v>67.230900000000005</v>
      </c>
      <c r="AO25" s="637">
        <v>66.946100000000001</v>
      </c>
      <c r="AP25" s="637">
        <v>74.126900000000006</v>
      </c>
      <c r="AQ25" s="637">
        <v>79.701899999999995</v>
      </c>
      <c r="AR25" s="637">
        <v>63.720300000000002</v>
      </c>
      <c r="AS25" s="637">
        <v>60.259599999999999</v>
      </c>
      <c r="AT25" s="643">
        <v>66.111400000000003</v>
      </c>
      <c r="AU25" s="643">
        <v>69.219300000000004</v>
      </c>
      <c r="AV25" s="638">
        <v>67.334299999999999</v>
      </c>
      <c r="AX25" s="618" t="s">
        <v>51</v>
      </c>
      <c r="AY25" s="637">
        <v>0.41370000000000001</v>
      </c>
      <c r="AZ25" s="637">
        <v>2.2328999999999999</v>
      </c>
      <c r="BA25" s="637">
        <v>2.6758000000000002</v>
      </c>
      <c r="BB25" s="637">
        <v>2.8635999999999999</v>
      </c>
      <c r="BC25" s="637">
        <v>2.968</v>
      </c>
      <c r="BD25" s="637">
        <v>3.2536</v>
      </c>
      <c r="BE25" s="637">
        <v>3.2997999999999998</v>
      </c>
      <c r="BF25" s="637">
        <v>5.2171000000000003</v>
      </c>
      <c r="BG25" s="637">
        <v>5.6071999999999997</v>
      </c>
      <c r="BH25" s="637">
        <v>4.1646000000000001</v>
      </c>
      <c r="BI25" s="637">
        <v>6.0144000000000002</v>
      </c>
      <c r="BJ25" s="643">
        <v>3.0834000000000001</v>
      </c>
      <c r="BK25" s="643">
        <v>5.2891000000000004</v>
      </c>
      <c r="BL25" s="638">
        <v>3.7090999999999998</v>
      </c>
      <c r="BN25" s="618" t="s">
        <v>51</v>
      </c>
      <c r="BO25" s="637">
        <v>72.197000000000003</v>
      </c>
      <c r="BP25" s="637">
        <v>80.0642</v>
      </c>
      <c r="BQ25" s="637">
        <v>84.282399999999996</v>
      </c>
      <c r="BR25" s="637">
        <v>85.921999999999997</v>
      </c>
      <c r="BS25" s="637">
        <v>84.385400000000004</v>
      </c>
      <c r="BT25" s="637">
        <v>85.280299999999997</v>
      </c>
      <c r="BU25" s="637">
        <v>86.491</v>
      </c>
      <c r="BV25" s="637">
        <v>93.169799999999995</v>
      </c>
      <c r="BW25" s="637">
        <v>92.816800000000001</v>
      </c>
      <c r="BX25" s="637">
        <v>91.808300000000003</v>
      </c>
      <c r="BY25" s="637">
        <v>95.461600000000004</v>
      </c>
      <c r="BZ25" s="643">
        <v>85.579400000000007</v>
      </c>
      <c r="CA25" s="643">
        <v>93.591899999999995</v>
      </c>
      <c r="CB25" s="638">
        <v>88.732299999999995</v>
      </c>
      <c r="CD25" s="618" t="s">
        <v>51</v>
      </c>
      <c r="CE25" s="637">
        <v>0.2051</v>
      </c>
      <c r="CF25" s="637">
        <v>2.4704999999999999</v>
      </c>
      <c r="CG25" s="637">
        <v>2.5813999999999999</v>
      </c>
      <c r="CH25" s="637">
        <v>2.5131999999999999</v>
      </c>
      <c r="CI25" s="637">
        <v>2.7002999999999999</v>
      </c>
      <c r="CJ25" s="637">
        <v>2.319</v>
      </c>
      <c r="CK25" s="637">
        <v>2.4794999999999998</v>
      </c>
      <c r="CL25" s="637">
        <v>2.5076999999999998</v>
      </c>
      <c r="CM25" s="637">
        <v>2.6200999999999999</v>
      </c>
      <c r="CN25" s="637">
        <v>2.028</v>
      </c>
      <c r="CO25" s="637">
        <v>1.6998</v>
      </c>
      <c r="CP25" s="643">
        <v>2.5068000000000001</v>
      </c>
      <c r="CQ25" s="643">
        <v>2.2431000000000001</v>
      </c>
      <c r="CR25" s="638">
        <v>2.4001000000000001</v>
      </c>
    </row>
    <row r="26" spans="2:96" s="465" customFormat="1" ht="15.75" customHeight="1" x14ac:dyDescent="0.25">
      <c r="B26" s="622" t="s">
        <v>765</v>
      </c>
      <c r="C26" s="623">
        <v>214.61879999999999</v>
      </c>
      <c r="D26" s="623">
        <v>340.7715</v>
      </c>
      <c r="E26" s="623">
        <v>388.04309999999998</v>
      </c>
      <c r="F26" s="623">
        <v>459.39679999999998</v>
      </c>
      <c r="G26" s="623">
        <v>519.40970000000004</v>
      </c>
      <c r="H26" s="623">
        <v>673.84349999999995</v>
      </c>
      <c r="I26" s="623">
        <v>885.4674</v>
      </c>
      <c r="J26" s="623">
        <v>760.00670000000002</v>
      </c>
      <c r="K26" s="623">
        <v>1289.0994000000001</v>
      </c>
      <c r="L26" s="623">
        <v>1452.0836999999999</v>
      </c>
      <c r="M26" s="623">
        <v>1071.1550999999999</v>
      </c>
      <c r="N26" s="624">
        <v>559.11699999999996</v>
      </c>
      <c r="O26" s="624">
        <v>1064.8267000000001</v>
      </c>
      <c r="P26" s="609">
        <v>737.22379999999998</v>
      </c>
      <c r="R26" s="622" t="s">
        <v>765</v>
      </c>
      <c r="S26" s="908">
        <v>53.063400000000001</v>
      </c>
      <c r="T26" s="908">
        <v>64.751300000000001</v>
      </c>
      <c r="U26" s="908">
        <v>62.664700000000003</v>
      </c>
      <c r="V26" s="908">
        <v>71.668999999999997</v>
      </c>
      <c r="W26" s="908">
        <v>72.918400000000005</v>
      </c>
      <c r="X26" s="908">
        <v>78.610699999999994</v>
      </c>
      <c r="Y26" s="908">
        <v>108.71210000000001</v>
      </c>
      <c r="Z26" s="908">
        <v>92.446200000000005</v>
      </c>
      <c r="AA26" s="908">
        <v>141.5488</v>
      </c>
      <c r="AB26" s="908">
        <v>237.8296</v>
      </c>
      <c r="AC26" s="908">
        <v>161.64089999999999</v>
      </c>
      <c r="AD26" s="909">
        <v>78.0334</v>
      </c>
      <c r="AE26" s="909">
        <v>137.77029999999999</v>
      </c>
      <c r="AF26" s="898">
        <v>99.072199999999995</v>
      </c>
      <c r="AH26" s="622" t="s">
        <v>765</v>
      </c>
      <c r="AI26" s="639">
        <v>16.328199999999999</v>
      </c>
      <c r="AJ26" s="639">
        <v>33.423200000000001</v>
      </c>
      <c r="AK26" s="639">
        <v>44.721299999999999</v>
      </c>
      <c r="AL26" s="639">
        <v>51.246200000000002</v>
      </c>
      <c r="AM26" s="639">
        <v>50.574199999999998</v>
      </c>
      <c r="AN26" s="639">
        <v>59.332900000000002</v>
      </c>
      <c r="AO26" s="639">
        <v>69.8399</v>
      </c>
      <c r="AP26" s="639">
        <v>50.101399999999998</v>
      </c>
      <c r="AQ26" s="639">
        <v>79.457499999999996</v>
      </c>
      <c r="AR26" s="639">
        <v>95.408000000000001</v>
      </c>
      <c r="AS26" s="639">
        <v>68.035499999999999</v>
      </c>
      <c r="AT26" s="644">
        <v>55.237200000000001</v>
      </c>
      <c r="AU26" s="644">
        <v>67.953699999999998</v>
      </c>
      <c r="AV26" s="640">
        <v>61.0488</v>
      </c>
      <c r="AX26" s="622" t="s">
        <v>765</v>
      </c>
      <c r="AY26" s="639">
        <v>0.76849999999999996</v>
      </c>
      <c r="AZ26" s="639">
        <v>1.7699</v>
      </c>
      <c r="BA26" s="639">
        <v>2.5127000000000002</v>
      </c>
      <c r="BB26" s="639">
        <v>2.9264999999999999</v>
      </c>
      <c r="BC26" s="639">
        <v>2.7048000000000001</v>
      </c>
      <c r="BD26" s="639">
        <v>3.9068000000000001</v>
      </c>
      <c r="BE26" s="639">
        <v>4.0891000000000002</v>
      </c>
      <c r="BF26" s="639">
        <v>3.3651</v>
      </c>
      <c r="BG26" s="639">
        <v>5.7405999999999997</v>
      </c>
      <c r="BH26" s="639">
        <v>5.4936999999999996</v>
      </c>
      <c r="BI26" s="639">
        <v>4.1726999999999999</v>
      </c>
      <c r="BJ26" s="644">
        <v>3.1774</v>
      </c>
      <c r="BK26" s="644">
        <v>4.4968000000000004</v>
      </c>
      <c r="BL26" s="640">
        <v>3.7347999999999999</v>
      </c>
      <c r="BN26" s="622" t="s">
        <v>765</v>
      </c>
      <c r="BO26" s="639">
        <v>82.333500000000001</v>
      </c>
      <c r="BP26" s="639">
        <v>86.660899999999998</v>
      </c>
      <c r="BQ26" s="639">
        <v>88.404799999999994</v>
      </c>
      <c r="BR26" s="639">
        <v>89.173699999999997</v>
      </c>
      <c r="BS26" s="639">
        <v>86.957300000000004</v>
      </c>
      <c r="BT26" s="639">
        <v>90.132800000000003</v>
      </c>
      <c r="BU26" s="639">
        <v>89.622100000000003</v>
      </c>
      <c r="BV26" s="639">
        <v>89.737300000000005</v>
      </c>
      <c r="BW26" s="639">
        <v>92.647199999999998</v>
      </c>
      <c r="BX26" s="639">
        <v>94.708799999999997</v>
      </c>
      <c r="BY26" s="639">
        <v>91.691400000000002</v>
      </c>
      <c r="BZ26" s="644">
        <v>88.867999999999995</v>
      </c>
      <c r="CA26" s="644">
        <v>91.589600000000004</v>
      </c>
      <c r="CB26" s="640">
        <v>90.111800000000002</v>
      </c>
      <c r="CD26" s="622" t="s">
        <v>765</v>
      </c>
      <c r="CE26" s="639">
        <v>2.7900999999999998</v>
      </c>
      <c r="CF26" s="639">
        <v>2.4026999999999998</v>
      </c>
      <c r="CG26" s="639">
        <v>2.2223999999999999</v>
      </c>
      <c r="CH26" s="639">
        <v>2.4285000000000001</v>
      </c>
      <c r="CI26" s="639">
        <v>2.5428999999999999</v>
      </c>
      <c r="CJ26" s="639">
        <v>2.3908</v>
      </c>
      <c r="CK26" s="639">
        <v>2.3374000000000001</v>
      </c>
      <c r="CL26" s="639">
        <v>2.5066999999999999</v>
      </c>
      <c r="CM26" s="639">
        <v>2.323</v>
      </c>
      <c r="CN26" s="639">
        <v>3.2065000000000001</v>
      </c>
      <c r="CO26" s="639">
        <v>2.9573</v>
      </c>
      <c r="CP26" s="644">
        <v>2.4005000000000001</v>
      </c>
      <c r="CQ26" s="644">
        <v>2.6303000000000001</v>
      </c>
      <c r="CR26" s="640">
        <v>2.5173999999999999</v>
      </c>
    </row>
    <row r="27" spans="2:96" s="571" customFormat="1" ht="15.75" customHeight="1" x14ac:dyDescent="0.25">
      <c r="B27" s="618" t="s">
        <v>54</v>
      </c>
      <c r="C27" s="619">
        <v>1333.0814</v>
      </c>
      <c r="D27" s="619">
        <v>1545.4064000000001</v>
      </c>
      <c r="E27" s="619">
        <v>1024.1987999999999</v>
      </c>
      <c r="F27" s="619">
        <v>874.75760000000002</v>
      </c>
      <c r="G27" s="619">
        <v>866.30100000000004</v>
      </c>
      <c r="H27" s="619">
        <v>1010.5353</v>
      </c>
      <c r="I27" s="619">
        <v>570.42359999999996</v>
      </c>
      <c r="J27" s="619">
        <v>2357.9249</v>
      </c>
      <c r="K27" s="619">
        <v>967.5693</v>
      </c>
      <c r="L27" s="619">
        <v>1065.9455</v>
      </c>
      <c r="M27" s="619" t="s">
        <v>102</v>
      </c>
      <c r="N27" s="620">
        <v>888.76649999999995</v>
      </c>
      <c r="O27" s="620">
        <v>1138.6827000000001</v>
      </c>
      <c r="P27" s="621">
        <v>984.73950000000002</v>
      </c>
      <c r="R27" s="618" t="s">
        <v>54</v>
      </c>
      <c r="S27" s="905">
        <v>380.37900000000002</v>
      </c>
      <c r="T27" s="905">
        <v>210.1541</v>
      </c>
      <c r="U27" s="905">
        <v>163.2885</v>
      </c>
      <c r="V27" s="905">
        <v>109.65009999999999</v>
      </c>
      <c r="W27" s="905">
        <v>82.903499999999994</v>
      </c>
      <c r="X27" s="905">
        <v>121.8788</v>
      </c>
      <c r="Y27" s="905">
        <v>51.537700000000001</v>
      </c>
      <c r="Z27" s="905">
        <v>229.41669999999999</v>
      </c>
      <c r="AA27" s="905">
        <v>98.848799999999997</v>
      </c>
      <c r="AB27" s="905">
        <v>208.55420000000001</v>
      </c>
      <c r="AC27" s="905" t="s">
        <v>102</v>
      </c>
      <c r="AD27" s="906">
        <v>110.93989999999999</v>
      </c>
      <c r="AE27" s="906">
        <v>170.29910000000001</v>
      </c>
      <c r="AF27" s="907">
        <v>133.73500000000001</v>
      </c>
      <c r="AH27" s="618" t="s">
        <v>54</v>
      </c>
      <c r="AI27" s="637">
        <v>49.312800000000003</v>
      </c>
      <c r="AJ27" s="637">
        <v>80.863699999999994</v>
      </c>
      <c r="AK27" s="637">
        <v>66.116799999999998</v>
      </c>
      <c r="AL27" s="637">
        <v>60.0715</v>
      </c>
      <c r="AM27" s="637">
        <v>63.056199999999997</v>
      </c>
      <c r="AN27" s="637">
        <v>86.293800000000005</v>
      </c>
      <c r="AO27" s="637">
        <v>39.397300000000001</v>
      </c>
      <c r="AP27" s="637">
        <v>79.071299999999994</v>
      </c>
      <c r="AQ27" s="637">
        <v>78.294499999999999</v>
      </c>
      <c r="AR27" s="637">
        <v>71.006699999999995</v>
      </c>
      <c r="AS27" s="637" t="s">
        <v>102</v>
      </c>
      <c r="AT27" s="643">
        <v>60.305599999999998</v>
      </c>
      <c r="AU27" s="643">
        <v>74.4773</v>
      </c>
      <c r="AV27" s="638">
        <v>65.871499999999997</v>
      </c>
      <c r="AX27" s="618" t="s">
        <v>54</v>
      </c>
      <c r="AY27" s="637">
        <v>1.8745000000000001</v>
      </c>
      <c r="AZ27" s="637">
        <v>3.5444</v>
      </c>
      <c r="BA27" s="637">
        <v>3.0588000000000002</v>
      </c>
      <c r="BB27" s="637">
        <v>3.5448</v>
      </c>
      <c r="BC27" s="637">
        <v>4.3433999999999999</v>
      </c>
      <c r="BD27" s="637">
        <v>6.1475999999999997</v>
      </c>
      <c r="BE27" s="637">
        <v>2.2629999999999999</v>
      </c>
      <c r="BF27" s="637">
        <v>3.3029000000000002</v>
      </c>
      <c r="BG27" s="637">
        <v>8.5010999999999992</v>
      </c>
      <c r="BH27" s="637">
        <v>11.534599999999999</v>
      </c>
      <c r="BI27" s="637" t="s">
        <v>102</v>
      </c>
      <c r="BJ27" s="643">
        <v>3.4308999999999998</v>
      </c>
      <c r="BK27" s="643">
        <v>7.4684999999999997</v>
      </c>
      <c r="BL27" s="638">
        <v>4.5147000000000004</v>
      </c>
      <c r="BN27" s="618" t="s">
        <v>54</v>
      </c>
      <c r="BO27" s="637">
        <v>86.232200000000006</v>
      </c>
      <c r="BP27" s="637">
        <v>86.752799999999993</v>
      </c>
      <c r="BQ27" s="637">
        <v>87.462500000000006</v>
      </c>
      <c r="BR27" s="637">
        <v>88.912000000000006</v>
      </c>
      <c r="BS27" s="637">
        <v>89.975999999999999</v>
      </c>
      <c r="BT27" s="637">
        <v>93.722399999999993</v>
      </c>
      <c r="BU27" s="637">
        <v>84.5976</v>
      </c>
      <c r="BV27" s="637">
        <v>81.690200000000004</v>
      </c>
      <c r="BW27" s="637">
        <v>95.670400000000001</v>
      </c>
      <c r="BX27" s="637">
        <v>105.69329999999999</v>
      </c>
      <c r="BY27" s="637" t="s">
        <v>102</v>
      </c>
      <c r="BZ27" s="643">
        <v>88.290300000000002</v>
      </c>
      <c r="CA27" s="643">
        <v>98.802899999999994</v>
      </c>
      <c r="CB27" s="638">
        <v>92.4191</v>
      </c>
      <c r="CD27" s="618" t="s">
        <v>54</v>
      </c>
      <c r="CE27" s="637">
        <v>3.1053000000000002</v>
      </c>
      <c r="CF27" s="637">
        <v>1.48</v>
      </c>
      <c r="CG27" s="637">
        <v>2.2134999999999998</v>
      </c>
      <c r="CH27" s="637">
        <v>2.7389999999999999</v>
      </c>
      <c r="CI27" s="637">
        <v>2.1596000000000002</v>
      </c>
      <c r="CJ27" s="637">
        <v>2.8014999999999999</v>
      </c>
      <c r="CK27" s="637">
        <v>2.3325</v>
      </c>
      <c r="CL27" s="637">
        <v>2.6095000000000002</v>
      </c>
      <c r="CM27" s="637">
        <v>3.2643</v>
      </c>
      <c r="CN27" s="637">
        <v>2.8776000000000002</v>
      </c>
      <c r="CO27" s="637" t="s">
        <v>102</v>
      </c>
      <c r="CP27" s="643">
        <v>2.4073000000000002</v>
      </c>
      <c r="CQ27" s="643">
        <v>2.9508000000000001</v>
      </c>
      <c r="CR27" s="638">
        <v>2.6486000000000001</v>
      </c>
    </row>
    <row r="28" spans="2:96" s="465" customFormat="1" ht="15.75" customHeight="1" x14ac:dyDescent="0.25">
      <c r="B28" s="622" t="s">
        <v>132</v>
      </c>
      <c r="C28" s="623">
        <v>583.88930000000005</v>
      </c>
      <c r="D28" s="623">
        <v>569.51110000000006</v>
      </c>
      <c r="E28" s="623">
        <v>489.428</v>
      </c>
      <c r="F28" s="623">
        <v>528.08100000000002</v>
      </c>
      <c r="G28" s="623">
        <v>620.20839999999998</v>
      </c>
      <c r="H28" s="623">
        <v>618.64030000000002</v>
      </c>
      <c r="I28" s="623">
        <v>698.07129999999995</v>
      </c>
      <c r="J28" s="623">
        <v>656.11749999999995</v>
      </c>
      <c r="K28" s="623">
        <v>1078.8326999999999</v>
      </c>
      <c r="L28" s="623">
        <v>993.84839999999997</v>
      </c>
      <c r="M28" s="623">
        <v>1286.8098</v>
      </c>
      <c r="N28" s="624">
        <v>582.96270000000004</v>
      </c>
      <c r="O28" s="624">
        <v>1017.6601000000001</v>
      </c>
      <c r="P28" s="609">
        <v>743.73040000000003</v>
      </c>
      <c r="R28" s="622" t="s">
        <v>132</v>
      </c>
      <c r="S28" s="908">
        <v>125.84910000000001</v>
      </c>
      <c r="T28" s="908">
        <v>100.1618</v>
      </c>
      <c r="U28" s="908">
        <v>86.728800000000007</v>
      </c>
      <c r="V28" s="908">
        <v>86.276200000000003</v>
      </c>
      <c r="W28" s="908">
        <v>88.5929</v>
      </c>
      <c r="X28" s="908">
        <v>82.547700000000006</v>
      </c>
      <c r="Y28" s="908">
        <v>100.76819999999999</v>
      </c>
      <c r="Z28" s="908">
        <v>94.711200000000005</v>
      </c>
      <c r="AA28" s="908">
        <v>140.54159999999999</v>
      </c>
      <c r="AB28" s="908">
        <v>130.2535</v>
      </c>
      <c r="AC28" s="908">
        <v>161.77250000000001</v>
      </c>
      <c r="AD28" s="909">
        <v>90.288600000000002</v>
      </c>
      <c r="AE28" s="909">
        <v>133.33029999999999</v>
      </c>
      <c r="AF28" s="898">
        <v>106.2071</v>
      </c>
      <c r="AH28" s="622" t="s">
        <v>132</v>
      </c>
      <c r="AI28" s="639">
        <v>45.033299999999997</v>
      </c>
      <c r="AJ28" s="639">
        <v>56.7453</v>
      </c>
      <c r="AK28" s="639">
        <v>59.153199999999998</v>
      </c>
      <c r="AL28" s="639">
        <v>62.099899999999998</v>
      </c>
      <c r="AM28" s="639">
        <v>64.482200000000006</v>
      </c>
      <c r="AN28" s="639">
        <v>57.819600000000001</v>
      </c>
      <c r="AO28" s="639">
        <v>59.7654</v>
      </c>
      <c r="AP28" s="639">
        <v>55.5608</v>
      </c>
      <c r="AQ28" s="639">
        <v>78.296000000000006</v>
      </c>
      <c r="AR28" s="639">
        <v>61.130400000000002</v>
      </c>
      <c r="AS28" s="639">
        <v>82.394900000000007</v>
      </c>
      <c r="AT28" s="644">
        <v>60.556199999999997</v>
      </c>
      <c r="AU28" s="644">
        <v>72.622600000000006</v>
      </c>
      <c r="AV28" s="640">
        <v>66.115300000000005</v>
      </c>
      <c r="AX28" s="622" t="s">
        <v>132</v>
      </c>
      <c r="AY28" s="639">
        <v>1.486</v>
      </c>
      <c r="AZ28" s="639">
        <v>1.9148000000000001</v>
      </c>
      <c r="BA28" s="639">
        <v>2.3178999999999998</v>
      </c>
      <c r="BB28" s="639">
        <v>2.7505000000000002</v>
      </c>
      <c r="BC28" s="639">
        <v>3.2783000000000002</v>
      </c>
      <c r="BD28" s="639">
        <v>3.0301999999999998</v>
      </c>
      <c r="BE28" s="639">
        <v>3.6227</v>
      </c>
      <c r="BF28" s="639">
        <v>3.9136000000000002</v>
      </c>
      <c r="BG28" s="639">
        <v>5.9558</v>
      </c>
      <c r="BH28" s="639">
        <v>3.0024999999999999</v>
      </c>
      <c r="BI28" s="639">
        <v>6.3342999999999998</v>
      </c>
      <c r="BJ28" s="644">
        <v>2.8742999999999999</v>
      </c>
      <c r="BK28" s="644">
        <v>5.2239000000000004</v>
      </c>
      <c r="BL28" s="640">
        <v>3.7212999999999998</v>
      </c>
      <c r="BN28" s="622" t="s">
        <v>132</v>
      </c>
      <c r="BO28" s="639">
        <v>78.363299999999995</v>
      </c>
      <c r="BP28" s="639">
        <v>79.115700000000004</v>
      </c>
      <c r="BQ28" s="639">
        <v>83.533900000000003</v>
      </c>
      <c r="BR28" s="639">
        <v>86.033000000000001</v>
      </c>
      <c r="BS28" s="639">
        <v>87.815899999999999</v>
      </c>
      <c r="BT28" s="639">
        <v>86.986999999999995</v>
      </c>
      <c r="BU28" s="639">
        <v>90.428600000000003</v>
      </c>
      <c r="BV28" s="639">
        <v>92.036199999999994</v>
      </c>
      <c r="BW28" s="639">
        <v>94.858099999999993</v>
      </c>
      <c r="BX28" s="639">
        <v>85.711500000000001</v>
      </c>
      <c r="BY28" s="639">
        <v>95.193600000000004</v>
      </c>
      <c r="BZ28" s="644">
        <v>86.727900000000005</v>
      </c>
      <c r="CA28" s="644">
        <v>93.563699999999997</v>
      </c>
      <c r="CB28" s="640">
        <v>89.877200000000002</v>
      </c>
      <c r="CD28" s="622" t="s">
        <v>132</v>
      </c>
      <c r="CE28" s="639">
        <v>2.2808000000000002</v>
      </c>
      <c r="CF28" s="639">
        <v>2.149</v>
      </c>
      <c r="CG28" s="639">
        <v>2.3226</v>
      </c>
      <c r="CH28" s="639">
        <v>2.3538000000000001</v>
      </c>
      <c r="CI28" s="639">
        <v>2.4215</v>
      </c>
      <c r="CJ28" s="639">
        <v>2.2153</v>
      </c>
      <c r="CK28" s="639">
        <v>2.4491999999999998</v>
      </c>
      <c r="CL28" s="639">
        <v>2.8212000000000002</v>
      </c>
      <c r="CM28" s="639">
        <v>2.367</v>
      </c>
      <c r="CN28" s="639">
        <v>2.3801999999999999</v>
      </c>
      <c r="CO28" s="639">
        <v>2.4489000000000001</v>
      </c>
      <c r="CP28" s="644">
        <v>2.3595000000000002</v>
      </c>
      <c r="CQ28" s="644">
        <v>2.5024999999999999</v>
      </c>
      <c r="CR28" s="640">
        <v>2.4319000000000002</v>
      </c>
    </row>
    <row r="29" spans="2:96" s="571" customFormat="1" ht="15.75" customHeight="1" x14ac:dyDescent="0.25">
      <c r="B29" s="618" t="s">
        <v>766</v>
      </c>
      <c r="C29" s="619">
        <v>387.42880000000002</v>
      </c>
      <c r="D29" s="619">
        <v>391.96109999999999</v>
      </c>
      <c r="E29" s="619">
        <v>340.69560000000001</v>
      </c>
      <c r="F29" s="619">
        <v>410.06670000000003</v>
      </c>
      <c r="G29" s="619">
        <v>503.5915</v>
      </c>
      <c r="H29" s="619">
        <v>574.98950000000002</v>
      </c>
      <c r="I29" s="619">
        <v>639.57579999999996</v>
      </c>
      <c r="J29" s="619">
        <v>799.78530000000001</v>
      </c>
      <c r="K29" s="619">
        <v>893.37049999999999</v>
      </c>
      <c r="L29" s="619">
        <v>1004.1792</v>
      </c>
      <c r="M29" s="619">
        <v>1156.3145</v>
      </c>
      <c r="N29" s="620">
        <v>493.06009999999998</v>
      </c>
      <c r="O29" s="620">
        <v>925.05579999999998</v>
      </c>
      <c r="P29" s="621">
        <v>677.52769999999998</v>
      </c>
      <c r="R29" s="618" t="s">
        <v>766</v>
      </c>
      <c r="S29" s="905">
        <v>82.508700000000005</v>
      </c>
      <c r="T29" s="905">
        <v>76.834800000000001</v>
      </c>
      <c r="U29" s="905">
        <v>64.468999999999994</v>
      </c>
      <c r="V29" s="905">
        <v>68.223299999999995</v>
      </c>
      <c r="W29" s="905">
        <v>71.207400000000007</v>
      </c>
      <c r="X29" s="905">
        <v>79.108500000000006</v>
      </c>
      <c r="Y29" s="905">
        <v>88.506</v>
      </c>
      <c r="Z29" s="905">
        <v>105.1657</v>
      </c>
      <c r="AA29" s="905">
        <v>118.3879</v>
      </c>
      <c r="AB29" s="905">
        <v>143.50149999999999</v>
      </c>
      <c r="AC29" s="905">
        <v>131.185</v>
      </c>
      <c r="AD29" s="906">
        <v>74.819699999999997</v>
      </c>
      <c r="AE29" s="906">
        <v>121.2811</v>
      </c>
      <c r="AF29" s="907">
        <v>94.659300000000002</v>
      </c>
      <c r="AH29" s="618" t="s">
        <v>766</v>
      </c>
      <c r="AI29" s="637">
        <v>36.020400000000002</v>
      </c>
      <c r="AJ29" s="637">
        <v>46.960900000000002</v>
      </c>
      <c r="AK29" s="637">
        <v>46.7149</v>
      </c>
      <c r="AL29" s="637">
        <v>50.581699999999998</v>
      </c>
      <c r="AM29" s="637">
        <v>49.852400000000003</v>
      </c>
      <c r="AN29" s="637">
        <v>49.557200000000002</v>
      </c>
      <c r="AO29" s="637">
        <v>50.374699999999997</v>
      </c>
      <c r="AP29" s="637">
        <v>55.597000000000001</v>
      </c>
      <c r="AQ29" s="637">
        <v>57.2361</v>
      </c>
      <c r="AR29" s="637">
        <v>61.907299999999999</v>
      </c>
      <c r="AS29" s="637">
        <v>72.319800000000001</v>
      </c>
      <c r="AT29" s="643">
        <v>49.784300000000002</v>
      </c>
      <c r="AU29" s="643">
        <v>60.0244</v>
      </c>
      <c r="AV29" s="638">
        <v>55.282899999999998</v>
      </c>
      <c r="AX29" s="618" t="s">
        <v>766</v>
      </c>
      <c r="AY29" s="637">
        <v>1.357</v>
      </c>
      <c r="AZ29" s="637">
        <v>2.1160999999999999</v>
      </c>
      <c r="BA29" s="637">
        <v>2.3094999999999999</v>
      </c>
      <c r="BB29" s="637">
        <v>2.8921000000000001</v>
      </c>
      <c r="BC29" s="637">
        <v>3.1044</v>
      </c>
      <c r="BD29" s="637">
        <v>3.5623999999999998</v>
      </c>
      <c r="BE29" s="637">
        <v>3.7153</v>
      </c>
      <c r="BF29" s="637">
        <v>4.0400999999999998</v>
      </c>
      <c r="BG29" s="637">
        <v>4.1473000000000004</v>
      </c>
      <c r="BH29" s="637">
        <v>5.1653000000000002</v>
      </c>
      <c r="BI29" s="637">
        <v>5.2919</v>
      </c>
      <c r="BJ29" s="643">
        <v>3.1320000000000001</v>
      </c>
      <c r="BK29" s="643">
        <v>4.4863</v>
      </c>
      <c r="BL29" s="638">
        <v>3.8010000000000002</v>
      </c>
      <c r="BN29" s="618" t="s">
        <v>766</v>
      </c>
      <c r="BO29" s="637">
        <v>80.315899999999999</v>
      </c>
      <c r="BP29" s="637">
        <v>85.906199999999998</v>
      </c>
      <c r="BQ29" s="637">
        <v>87.457300000000004</v>
      </c>
      <c r="BR29" s="637">
        <v>89.529300000000006</v>
      </c>
      <c r="BS29" s="637">
        <v>89.426299999999998</v>
      </c>
      <c r="BT29" s="637">
        <v>91.345500000000001</v>
      </c>
      <c r="BU29" s="637">
        <v>91.743399999999994</v>
      </c>
      <c r="BV29" s="637">
        <v>91.859700000000004</v>
      </c>
      <c r="BW29" s="637">
        <v>92.113399999999999</v>
      </c>
      <c r="BX29" s="637">
        <v>94.922899999999998</v>
      </c>
      <c r="BY29" s="637">
        <v>92.514099999999999</v>
      </c>
      <c r="BZ29" s="643">
        <v>90.155100000000004</v>
      </c>
      <c r="CA29" s="643">
        <v>92.703500000000005</v>
      </c>
      <c r="CB29" s="638">
        <v>91.523499999999999</v>
      </c>
      <c r="CD29" s="618" t="s">
        <v>766</v>
      </c>
      <c r="CE29" s="637">
        <v>2.2524000000000002</v>
      </c>
      <c r="CF29" s="637">
        <v>2.3416000000000001</v>
      </c>
      <c r="CG29" s="637">
        <v>2.4268999999999998</v>
      </c>
      <c r="CH29" s="637">
        <v>2.6307</v>
      </c>
      <c r="CI29" s="637">
        <v>2.8294000000000001</v>
      </c>
      <c r="CJ29" s="637">
        <v>2.7320000000000002</v>
      </c>
      <c r="CK29" s="637">
        <v>2.8553000000000002</v>
      </c>
      <c r="CL29" s="637">
        <v>2.6730999999999998</v>
      </c>
      <c r="CM29" s="637">
        <v>2.6661999999999999</v>
      </c>
      <c r="CN29" s="637">
        <v>2.6110000000000002</v>
      </c>
      <c r="CO29" s="637">
        <v>2.6842000000000001</v>
      </c>
      <c r="CP29" s="643">
        <v>2.7271999999999998</v>
      </c>
      <c r="CQ29" s="643">
        <v>2.6591</v>
      </c>
      <c r="CR29" s="638">
        <v>2.6875</v>
      </c>
    </row>
    <row r="30" spans="2:96" s="465" customFormat="1" ht="15.75" customHeight="1" x14ac:dyDescent="0.25">
      <c r="B30" s="622" t="s">
        <v>133</v>
      </c>
      <c r="C30" s="623">
        <v>213.89400000000001</v>
      </c>
      <c r="D30" s="623">
        <v>294.21429999999998</v>
      </c>
      <c r="E30" s="623">
        <v>266.79570000000001</v>
      </c>
      <c r="F30" s="623">
        <v>403.98340000000002</v>
      </c>
      <c r="G30" s="623">
        <v>566.10450000000003</v>
      </c>
      <c r="H30" s="623">
        <v>742.70460000000003</v>
      </c>
      <c r="I30" s="623">
        <v>754.10090000000002</v>
      </c>
      <c r="J30" s="623">
        <v>791.87019999999995</v>
      </c>
      <c r="K30" s="623">
        <v>1068.2772</v>
      </c>
      <c r="L30" s="623">
        <v>614.73889999999994</v>
      </c>
      <c r="M30" s="623">
        <v>1037.153</v>
      </c>
      <c r="N30" s="624">
        <v>506.40969999999999</v>
      </c>
      <c r="O30" s="624">
        <v>940.89210000000003</v>
      </c>
      <c r="P30" s="609">
        <v>652.73239999999998</v>
      </c>
      <c r="R30" s="622" t="s">
        <v>133</v>
      </c>
      <c r="S30" s="908">
        <v>47.242800000000003</v>
      </c>
      <c r="T30" s="908">
        <v>61.598999999999997</v>
      </c>
      <c r="U30" s="908">
        <v>51.742400000000004</v>
      </c>
      <c r="V30" s="908">
        <v>61.341500000000003</v>
      </c>
      <c r="W30" s="908">
        <v>82.4602</v>
      </c>
      <c r="X30" s="908">
        <v>104.25020000000001</v>
      </c>
      <c r="Y30" s="908">
        <v>122.65560000000001</v>
      </c>
      <c r="Z30" s="908">
        <v>104.7283</v>
      </c>
      <c r="AA30" s="908">
        <v>123.32</v>
      </c>
      <c r="AB30" s="908">
        <v>84.335099999999997</v>
      </c>
      <c r="AC30" s="908">
        <v>141.6491</v>
      </c>
      <c r="AD30" s="909">
        <v>78.677700000000002</v>
      </c>
      <c r="AE30" s="909">
        <v>121.1872</v>
      </c>
      <c r="AF30" s="898">
        <v>92.993899999999996</v>
      </c>
      <c r="AH30" s="622" t="s">
        <v>133</v>
      </c>
      <c r="AI30" s="639">
        <v>20.610600000000002</v>
      </c>
      <c r="AJ30" s="639">
        <v>38.037100000000002</v>
      </c>
      <c r="AK30" s="639">
        <v>37.373399999999997</v>
      </c>
      <c r="AL30" s="639">
        <v>49.028399999999998</v>
      </c>
      <c r="AM30" s="639">
        <v>55.430900000000001</v>
      </c>
      <c r="AN30" s="639">
        <v>52.640700000000002</v>
      </c>
      <c r="AO30" s="639">
        <v>51.915300000000002</v>
      </c>
      <c r="AP30" s="639">
        <v>49.600499999999997</v>
      </c>
      <c r="AQ30" s="639">
        <v>68.227199999999996</v>
      </c>
      <c r="AR30" s="639">
        <v>30.664000000000001</v>
      </c>
      <c r="AS30" s="639">
        <v>70.076999999999998</v>
      </c>
      <c r="AT30" s="644">
        <v>49.907699999999998</v>
      </c>
      <c r="AU30" s="644">
        <v>59.686199999999999</v>
      </c>
      <c r="AV30" s="640">
        <v>54.219900000000003</v>
      </c>
      <c r="AX30" s="622" t="s">
        <v>133</v>
      </c>
      <c r="AY30" s="639">
        <v>0.9052</v>
      </c>
      <c r="AZ30" s="639">
        <v>1.6002000000000001</v>
      </c>
      <c r="BA30" s="639">
        <v>1.5793999999999999</v>
      </c>
      <c r="BB30" s="639">
        <v>2.2412999999999998</v>
      </c>
      <c r="BC30" s="639">
        <v>3.3631000000000002</v>
      </c>
      <c r="BD30" s="639">
        <v>2.9156</v>
      </c>
      <c r="BE30" s="639">
        <v>3.6143000000000001</v>
      </c>
      <c r="BF30" s="639">
        <v>3.5489999999999999</v>
      </c>
      <c r="BG30" s="639">
        <v>5.0426000000000002</v>
      </c>
      <c r="BH30" s="639">
        <v>2.7551999999999999</v>
      </c>
      <c r="BI30" s="639">
        <v>3.9969999999999999</v>
      </c>
      <c r="BJ30" s="644">
        <v>2.6541999999999999</v>
      </c>
      <c r="BK30" s="644">
        <v>4.0468999999999999</v>
      </c>
      <c r="BL30" s="640">
        <v>3.1865999999999999</v>
      </c>
      <c r="BN30" s="622" t="s">
        <v>133</v>
      </c>
      <c r="BO30" s="639">
        <v>81.257999999999996</v>
      </c>
      <c r="BP30" s="639">
        <v>83.377899999999997</v>
      </c>
      <c r="BQ30" s="639">
        <v>82.717200000000005</v>
      </c>
      <c r="BR30" s="639">
        <v>84.340199999999996</v>
      </c>
      <c r="BS30" s="639">
        <v>90.146600000000007</v>
      </c>
      <c r="BT30" s="639">
        <v>87.882400000000004</v>
      </c>
      <c r="BU30" s="639">
        <v>92.466499999999996</v>
      </c>
      <c r="BV30" s="639">
        <v>91.155799999999999</v>
      </c>
      <c r="BW30" s="639">
        <v>92.286199999999994</v>
      </c>
      <c r="BX30" s="639">
        <v>92.135400000000004</v>
      </c>
      <c r="BY30" s="639">
        <v>90.113699999999994</v>
      </c>
      <c r="BZ30" s="644">
        <v>87.603700000000003</v>
      </c>
      <c r="CA30" s="644">
        <v>91.218900000000005</v>
      </c>
      <c r="CB30" s="640">
        <v>89.197999999999993</v>
      </c>
      <c r="CD30" s="622" t="s">
        <v>133</v>
      </c>
      <c r="CE30" s="639">
        <v>2.5419999999999998</v>
      </c>
      <c r="CF30" s="639">
        <v>2.1442999999999999</v>
      </c>
      <c r="CG30" s="639">
        <v>2.2336</v>
      </c>
      <c r="CH30" s="639">
        <v>2.3428</v>
      </c>
      <c r="CI30" s="639">
        <v>2.2515999999999998</v>
      </c>
      <c r="CJ30" s="639">
        <v>2.3893</v>
      </c>
      <c r="CK30" s="639">
        <v>2.5535000000000001</v>
      </c>
      <c r="CL30" s="639">
        <v>2.4554999999999998</v>
      </c>
      <c r="CM30" s="639">
        <v>2.6909000000000001</v>
      </c>
      <c r="CN30" s="639">
        <v>2.3130999999999999</v>
      </c>
      <c r="CO30" s="639">
        <v>2.6756000000000002</v>
      </c>
      <c r="CP30" s="644">
        <v>2.3765999999999998</v>
      </c>
      <c r="CQ30" s="644">
        <v>2.6070000000000002</v>
      </c>
      <c r="CR30" s="640">
        <v>2.4883999999999999</v>
      </c>
    </row>
    <row r="31" spans="2:96" s="571" customFormat="1" ht="15.75" customHeight="1" x14ac:dyDescent="0.25">
      <c r="B31" s="618" t="s">
        <v>767</v>
      </c>
      <c r="C31" s="619">
        <v>578.30970000000002</v>
      </c>
      <c r="D31" s="619">
        <v>483.35250000000002</v>
      </c>
      <c r="E31" s="619">
        <v>431.19349999999997</v>
      </c>
      <c r="F31" s="619">
        <v>485.40629999999999</v>
      </c>
      <c r="G31" s="619">
        <v>617.90940000000001</v>
      </c>
      <c r="H31" s="619">
        <v>666.36189999999999</v>
      </c>
      <c r="I31" s="619">
        <v>742.67520000000002</v>
      </c>
      <c r="J31" s="619">
        <v>827.73990000000003</v>
      </c>
      <c r="K31" s="619">
        <v>1041.6736000000001</v>
      </c>
      <c r="L31" s="619">
        <v>1019.4607999999999</v>
      </c>
      <c r="M31" s="619">
        <v>1175.4577999999999</v>
      </c>
      <c r="N31" s="620">
        <v>575.25300000000004</v>
      </c>
      <c r="O31" s="620">
        <v>1012.676</v>
      </c>
      <c r="P31" s="621">
        <v>730.68560000000002</v>
      </c>
      <c r="R31" s="618" t="s">
        <v>767</v>
      </c>
      <c r="S31" s="905">
        <v>116.9978</v>
      </c>
      <c r="T31" s="905">
        <v>96.611500000000007</v>
      </c>
      <c r="U31" s="905">
        <v>81.072100000000006</v>
      </c>
      <c r="V31" s="905">
        <v>82.810699999999997</v>
      </c>
      <c r="W31" s="905">
        <v>85.224599999999995</v>
      </c>
      <c r="X31" s="905">
        <v>89.361199999999997</v>
      </c>
      <c r="Y31" s="905">
        <v>99.925799999999995</v>
      </c>
      <c r="Z31" s="905">
        <v>107.1193</v>
      </c>
      <c r="AA31" s="905">
        <v>133.7561</v>
      </c>
      <c r="AB31" s="905">
        <v>111.42749999999999</v>
      </c>
      <c r="AC31" s="905">
        <v>132.04759999999999</v>
      </c>
      <c r="AD31" s="906">
        <v>87.751900000000006</v>
      </c>
      <c r="AE31" s="906">
        <v>122.3087</v>
      </c>
      <c r="AF31" s="907">
        <v>100.0312</v>
      </c>
      <c r="AH31" s="618" t="s">
        <v>767</v>
      </c>
      <c r="AI31" s="637">
        <v>37.583500000000001</v>
      </c>
      <c r="AJ31" s="637">
        <v>42.9998</v>
      </c>
      <c r="AK31" s="637">
        <v>46.732100000000003</v>
      </c>
      <c r="AL31" s="637">
        <v>52.491799999999998</v>
      </c>
      <c r="AM31" s="637">
        <v>59.919600000000003</v>
      </c>
      <c r="AN31" s="637">
        <v>57.432099999999998</v>
      </c>
      <c r="AO31" s="637">
        <v>58.125399999999999</v>
      </c>
      <c r="AP31" s="637">
        <v>56.734499999999997</v>
      </c>
      <c r="AQ31" s="637">
        <v>69.985799999999998</v>
      </c>
      <c r="AR31" s="637">
        <v>70.530799999999999</v>
      </c>
      <c r="AS31" s="637">
        <v>76.053100000000001</v>
      </c>
      <c r="AT31" s="643">
        <v>54.8919</v>
      </c>
      <c r="AU31" s="643">
        <v>68.325000000000003</v>
      </c>
      <c r="AV31" s="638">
        <v>60.776499999999999</v>
      </c>
      <c r="AX31" s="618" t="s">
        <v>767</v>
      </c>
      <c r="AY31" s="637">
        <v>1.5509999999999999</v>
      </c>
      <c r="AZ31" s="637">
        <v>1.9348000000000001</v>
      </c>
      <c r="BA31" s="637">
        <v>2.2566000000000002</v>
      </c>
      <c r="BB31" s="637">
        <v>2.9561000000000002</v>
      </c>
      <c r="BC31" s="637">
        <v>3.4883000000000002</v>
      </c>
      <c r="BD31" s="637">
        <v>3.0432999999999999</v>
      </c>
      <c r="BE31" s="637">
        <v>3.7654000000000001</v>
      </c>
      <c r="BF31" s="637">
        <v>3.8100999999999998</v>
      </c>
      <c r="BG31" s="637">
        <v>5.0134999999999996</v>
      </c>
      <c r="BH31" s="637">
        <v>4.5609000000000002</v>
      </c>
      <c r="BI31" s="637">
        <v>5.4672999999999998</v>
      </c>
      <c r="BJ31" s="643">
        <v>3.1154000000000002</v>
      </c>
      <c r="BK31" s="643">
        <v>4.7134999999999998</v>
      </c>
      <c r="BL31" s="638">
        <v>3.7399</v>
      </c>
      <c r="BN31" s="618" t="s">
        <v>767</v>
      </c>
      <c r="BO31" s="637">
        <v>82.447199999999995</v>
      </c>
      <c r="BP31" s="637">
        <v>85.3232</v>
      </c>
      <c r="BQ31" s="637">
        <v>86.871200000000002</v>
      </c>
      <c r="BR31" s="637">
        <v>89.768699999999995</v>
      </c>
      <c r="BS31" s="637">
        <v>89.400400000000005</v>
      </c>
      <c r="BT31" s="637">
        <v>86.9435</v>
      </c>
      <c r="BU31" s="637">
        <v>90.432199999999995</v>
      </c>
      <c r="BV31" s="637">
        <v>90.397999999999996</v>
      </c>
      <c r="BW31" s="637">
        <v>92.873000000000005</v>
      </c>
      <c r="BX31" s="637">
        <v>90.4602</v>
      </c>
      <c r="BY31" s="637">
        <v>93.063000000000002</v>
      </c>
      <c r="BZ31" s="643">
        <v>89.129800000000003</v>
      </c>
      <c r="CA31" s="643">
        <v>91.817800000000005</v>
      </c>
      <c r="CB31" s="638">
        <v>90.307299999999998</v>
      </c>
      <c r="CD31" s="618" t="s">
        <v>767</v>
      </c>
      <c r="CE31" s="637">
        <v>2.3942000000000001</v>
      </c>
      <c r="CF31" s="637">
        <v>2.3132999999999999</v>
      </c>
      <c r="CG31" s="637">
        <v>2.3849999999999998</v>
      </c>
      <c r="CH31" s="637">
        <v>2.4237000000000002</v>
      </c>
      <c r="CI31" s="637">
        <v>2.5173000000000001</v>
      </c>
      <c r="CJ31" s="637">
        <v>2.5398000000000001</v>
      </c>
      <c r="CK31" s="637">
        <v>2.4601999999999999</v>
      </c>
      <c r="CL31" s="637">
        <v>2.5177999999999998</v>
      </c>
      <c r="CM31" s="637">
        <v>2.4295</v>
      </c>
      <c r="CN31" s="637">
        <v>2.2288999999999999</v>
      </c>
      <c r="CO31" s="637">
        <v>1.8768</v>
      </c>
      <c r="CP31" s="643">
        <v>2.4592000000000001</v>
      </c>
      <c r="CQ31" s="643">
        <v>2.2833999999999999</v>
      </c>
      <c r="CR31" s="638">
        <v>2.3725999999999998</v>
      </c>
    </row>
    <row r="32" spans="2:96" s="465" customFormat="1" ht="15.75" customHeight="1" x14ac:dyDescent="0.25">
      <c r="B32" s="622" t="s">
        <v>134</v>
      </c>
      <c r="C32" s="623">
        <v>768.98680000000002</v>
      </c>
      <c r="D32" s="623">
        <v>638.44640000000004</v>
      </c>
      <c r="E32" s="623">
        <v>571.92970000000003</v>
      </c>
      <c r="F32" s="623">
        <v>706.88779999999997</v>
      </c>
      <c r="G32" s="623">
        <v>681.09400000000005</v>
      </c>
      <c r="H32" s="623">
        <v>843.23789999999997</v>
      </c>
      <c r="I32" s="623">
        <v>958.33439999999996</v>
      </c>
      <c r="J32" s="623">
        <v>903.49620000000004</v>
      </c>
      <c r="K32" s="623">
        <v>1048.5551</v>
      </c>
      <c r="L32" s="623">
        <v>1373.9681</v>
      </c>
      <c r="M32" s="623">
        <v>968.39499999999998</v>
      </c>
      <c r="N32" s="624">
        <v>766.04129999999998</v>
      </c>
      <c r="O32" s="624">
        <v>1012.1988</v>
      </c>
      <c r="P32" s="609">
        <v>867.51250000000005</v>
      </c>
      <c r="R32" s="622" t="s">
        <v>134</v>
      </c>
      <c r="S32" s="908">
        <v>157.51650000000001</v>
      </c>
      <c r="T32" s="908">
        <v>117.1033</v>
      </c>
      <c r="U32" s="908">
        <v>98.925899999999999</v>
      </c>
      <c r="V32" s="908">
        <v>109.06180000000001</v>
      </c>
      <c r="W32" s="908">
        <v>98.544700000000006</v>
      </c>
      <c r="X32" s="908">
        <v>101.8082</v>
      </c>
      <c r="Y32" s="908">
        <v>123.74420000000001</v>
      </c>
      <c r="Z32" s="908">
        <v>113.5329</v>
      </c>
      <c r="AA32" s="908">
        <v>140.1816</v>
      </c>
      <c r="AB32" s="908">
        <v>151.5401</v>
      </c>
      <c r="AC32" s="908">
        <v>106.1584</v>
      </c>
      <c r="AD32" s="909">
        <v>109.8081</v>
      </c>
      <c r="AE32" s="909">
        <v>120.37560000000001</v>
      </c>
      <c r="AF32" s="898">
        <v>114.16419999999999</v>
      </c>
      <c r="AH32" s="622" t="s">
        <v>134</v>
      </c>
      <c r="AI32" s="639">
        <v>43.948799999999999</v>
      </c>
      <c r="AJ32" s="639">
        <v>51.675899999999999</v>
      </c>
      <c r="AK32" s="639">
        <v>56.170400000000001</v>
      </c>
      <c r="AL32" s="639">
        <v>68.110500000000002</v>
      </c>
      <c r="AM32" s="639">
        <v>67.133700000000005</v>
      </c>
      <c r="AN32" s="639">
        <v>73.383200000000002</v>
      </c>
      <c r="AO32" s="639">
        <v>70.718100000000007</v>
      </c>
      <c r="AP32" s="639">
        <v>65.063000000000002</v>
      </c>
      <c r="AQ32" s="639">
        <v>64.412700000000001</v>
      </c>
      <c r="AR32" s="639">
        <v>92.806700000000006</v>
      </c>
      <c r="AS32" s="639">
        <v>68.364999999999995</v>
      </c>
      <c r="AT32" s="644">
        <v>67.190899999999999</v>
      </c>
      <c r="AU32" s="644">
        <v>69.0715</v>
      </c>
      <c r="AV32" s="640">
        <v>68.082499999999996</v>
      </c>
      <c r="AX32" s="622" t="s">
        <v>134</v>
      </c>
      <c r="AY32" s="639">
        <v>1.5948</v>
      </c>
      <c r="AZ32" s="639">
        <v>2.1217000000000001</v>
      </c>
      <c r="BA32" s="639">
        <v>2.4939</v>
      </c>
      <c r="BB32" s="639">
        <v>3.5413999999999999</v>
      </c>
      <c r="BC32" s="639">
        <v>3.8386</v>
      </c>
      <c r="BD32" s="639">
        <v>4.0677000000000003</v>
      </c>
      <c r="BE32" s="639">
        <v>4.4523999999999999</v>
      </c>
      <c r="BF32" s="639">
        <v>4.8051000000000004</v>
      </c>
      <c r="BG32" s="639">
        <v>4.3356000000000003</v>
      </c>
      <c r="BH32" s="639">
        <v>6.2253999999999996</v>
      </c>
      <c r="BI32" s="639">
        <v>5.19</v>
      </c>
      <c r="BJ32" s="644">
        <v>3.6354000000000002</v>
      </c>
      <c r="BK32" s="644">
        <v>4.9812000000000003</v>
      </c>
      <c r="BL32" s="640">
        <v>4.1783999999999999</v>
      </c>
      <c r="BN32" s="622" t="s">
        <v>134</v>
      </c>
      <c r="BO32" s="639">
        <v>80.196299999999994</v>
      </c>
      <c r="BP32" s="639">
        <v>83.850700000000003</v>
      </c>
      <c r="BQ32" s="639">
        <v>85.713300000000004</v>
      </c>
      <c r="BR32" s="639">
        <v>89.257400000000004</v>
      </c>
      <c r="BS32" s="639">
        <v>90.047799999999995</v>
      </c>
      <c r="BT32" s="639">
        <v>88.458799999999997</v>
      </c>
      <c r="BU32" s="639">
        <v>90.983699999999999</v>
      </c>
      <c r="BV32" s="639">
        <v>92.525700000000001</v>
      </c>
      <c r="BW32" s="639">
        <v>91.738299999999995</v>
      </c>
      <c r="BX32" s="639">
        <v>93.191299999999998</v>
      </c>
      <c r="BY32" s="639">
        <v>92.328900000000004</v>
      </c>
      <c r="BZ32" s="644">
        <v>89.084199999999996</v>
      </c>
      <c r="CA32" s="644">
        <v>92.308000000000007</v>
      </c>
      <c r="CB32" s="640">
        <v>90.6126</v>
      </c>
      <c r="CD32" s="622" t="s">
        <v>134</v>
      </c>
      <c r="CE32" s="639">
        <v>2.5066000000000002</v>
      </c>
      <c r="CF32" s="639">
        <v>2.3809999999999998</v>
      </c>
      <c r="CG32" s="639">
        <v>2.5129999999999999</v>
      </c>
      <c r="CH32" s="639">
        <v>2.6360999999999999</v>
      </c>
      <c r="CI32" s="639">
        <v>2.6162000000000001</v>
      </c>
      <c r="CJ32" s="639">
        <v>2.5807000000000002</v>
      </c>
      <c r="CK32" s="639">
        <v>2.6000999999999999</v>
      </c>
      <c r="CL32" s="639">
        <v>2.5148999999999999</v>
      </c>
      <c r="CM32" s="639">
        <v>2.6560000000000001</v>
      </c>
      <c r="CN32" s="639">
        <v>2.2671999999999999</v>
      </c>
      <c r="CO32" s="639">
        <v>2.7122000000000002</v>
      </c>
      <c r="CP32" s="644">
        <v>2.5956999999999999</v>
      </c>
      <c r="CQ32" s="644">
        <v>2.5962000000000001</v>
      </c>
      <c r="CR32" s="640">
        <v>2.5958999999999999</v>
      </c>
    </row>
    <row r="33" spans="2:96" s="571" customFormat="1" ht="15.75" customHeight="1" x14ac:dyDescent="0.25">
      <c r="B33" s="618" t="s">
        <v>63</v>
      </c>
      <c r="C33" s="619">
        <v>177.25409999999999</v>
      </c>
      <c r="D33" s="619">
        <v>303.06939999999997</v>
      </c>
      <c r="E33" s="619">
        <v>447.38150000000002</v>
      </c>
      <c r="F33" s="619">
        <v>496.13990000000001</v>
      </c>
      <c r="G33" s="619">
        <v>624.79999999999995</v>
      </c>
      <c r="H33" s="619">
        <v>594.14459999999997</v>
      </c>
      <c r="I33" s="619">
        <v>700.41489999999999</v>
      </c>
      <c r="J33" s="619">
        <v>783.51549999999997</v>
      </c>
      <c r="K33" s="619">
        <v>567.62289999999996</v>
      </c>
      <c r="L33" s="619">
        <v>1059.2484999999999</v>
      </c>
      <c r="M33" s="619">
        <v>918.38699999999994</v>
      </c>
      <c r="N33" s="620">
        <v>602.21820000000002</v>
      </c>
      <c r="O33" s="620">
        <v>826.99710000000005</v>
      </c>
      <c r="P33" s="621">
        <v>704.09870000000001</v>
      </c>
      <c r="R33" s="618" t="s">
        <v>63</v>
      </c>
      <c r="S33" s="905">
        <v>96</v>
      </c>
      <c r="T33" s="905">
        <v>63.648099999999999</v>
      </c>
      <c r="U33" s="905">
        <v>80.290400000000005</v>
      </c>
      <c r="V33" s="905">
        <v>80.487799999999993</v>
      </c>
      <c r="W33" s="905">
        <v>83.686400000000006</v>
      </c>
      <c r="X33" s="905">
        <v>80.364699999999999</v>
      </c>
      <c r="Y33" s="905">
        <v>94.333600000000004</v>
      </c>
      <c r="Z33" s="905">
        <v>109.142</v>
      </c>
      <c r="AA33" s="905">
        <v>71.401700000000005</v>
      </c>
      <c r="AB33" s="905">
        <v>125.29300000000001</v>
      </c>
      <c r="AC33" s="905">
        <v>102.1855</v>
      </c>
      <c r="AD33" s="906">
        <v>85.449299999999994</v>
      </c>
      <c r="AE33" s="906">
        <v>100.67610000000001</v>
      </c>
      <c r="AF33" s="907">
        <v>92.350800000000007</v>
      </c>
      <c r="AH33" s="618" t="s">
        <v>63</v>
      </c>
      <c r="AI33" s="637">
        <v>17.0075</v>
      </c>
      <c r="AJ33" s="637">
        <v>31.206600000000002</v>
      </c>
      <c r="AK33" s="637">
        <v>53.583799999999997</v>
      </c>
      <c r="AL33" s="637">
        <v>57.499200000000002</v>
      </c>
      <c r="AM33" s="637">
        <v>60.729700000000001</v>
      </c>
      <c r="AN33" s="637">
        <v>52.850700000000003</v>
      </c>
      <c r="AO33" s="637">
        <v>58.026600000000002</v>
      </c>
      <c r="AP33" s="637">
        <v>56.856200000000001</v>
      </c>
      <c r="AQ33" s="637">
        <v>44.954900000000002</v>
      </c>
      <c r="AR33" s="637">
        <v>75.856999999999999</v>
      </c>
      <c r="AS33" s="637">
        <v>62.500999999999998</v>
      </c>
      <c r="AT33" s="643">
        <v>57.461399999999998</v>
      </c>
      <c r="AU33" s="643">
        <v>59.615400000000001</v>
      </c>
      <c r="AV33" s="638">
        <v>58.5884</v>
      </c>
      <c r="AX33" s="618" t="s">
        <v>63</v>
      </c>
      <c r="AY33" s="637">
        <v>1.5991</v>
      </c>
      <c r="AZ33" s="637">
        <v>1.2746999999999999</v>
      </c>
      <c r="BA33" s="637">
        <v>2.8142999999999998</v>
      </c>
      <c r="BB33" s="637">
        <v>2.6012</v>
      </c>
      <c r="BC33" s="637">
        <v>2.7286000000000001</v>
      </c>
      <c r="BD33" s="637">
        <v>2.4470000000000001</v>
      </c>
      <c r="BE33" s="637">
        <v>2.9399000000000002</v>
      </c>
      <c r="BF33" s="637">
        <v>2.9369000000000001</v>
      </c>
      <c r="BG33" s="637">
        <v>2.7408999999999999</v>
      </c>
      <c r="BH33" s="637">
        <v>5.3506</v>
      </c>
      <c r="BI33" s="637">
        <v>6.6866000000000003</v>
      </c>
      <c r="BJ33" s="643">
        <v>2.7191000000000001</v>
      </c>
      <c r="BK33" s="643">
        <v>4.2207999999999997</v>
      </c>
      <c r="BL33" s="638">
        <v>3.3544</v>
      </c>
      <c r="BN33" s="618" t="s">
        <v>63</v>
      </c>
      <c r="BO33" s="637">
        <v>98.142200000000003</v>
      </c>
      <c r="BP33" s="637">
        <v>81.237499999999997</v>
      </c>
      <c r="BQ33" s="637">
        <v>89.310299999999998</v>
      </c>
      <c r="BR33" s="637">
        <v>85.695800000000006</v>
      </c>
      <c r="BS33" s="637">
        <v>84.195400000000006</v>
      </c>
      <c r="BT33" s="637">
        <v>84.188800000000001</v>
      </c>
      <c r="BU33" s="637">
        <v>86.2363</v>
      </c>
      <c r="BV33" s="637">
        <v>86.927899999999994</v>
      </c>
      <c r="BW33" s="637">
        <v>87.937899999999999</v>
      </c>
      <c r="BX33" s="637">
        <v>92.990399999999994</v>
      </c>
      <c r="BY33" s="637">
        <v>96.070899999999995</v>
      </c>
      <c r="BZ33" s="643">
        <v>85.382300000000001</v>
      </c>
      <c r="CA33" s="643">
        <v>91.574799999999996</v>
      </c>
      <c r="CB33" s="638">
        <v>88.622200000000007</v>
      </c>
      <c r="CD33" s="618" t="s">
        <v>63</v>
      </c>
      <c r="CE33" s="637">
        <v>2.5484</v>
      </c>
      <c r="CF33" s="637">
        <v>2.5834999999999999</v>
      </c>
      <c r="CG33" s="637">
        <v>2.3062</v>
      </c>
      <c r="CH33" s="637">
        <v>2.4702000000000002</v>
      </c>
      <c r="CI33" s="637">
        <v>2.4390999999999998</v>
      </c>
      <c r="CJ33" s="637">
        <v>2.2178</v>
      </c>
      <c r="CK33" s="637">
        <v>2.5167999999999999</v>
      </c>
      <c r="CL33" s="637">
        <v>2.3895</v>
      </c>
      <c r="CM33" s="637">
        <v>2.3424</v>
      </c>
      <c r="CN33" s="637">
        <v>2.3380000000000001</v>
      </c>
      <c r="CO33" s="637">
        <v>2.3978000000000002</v>
      </c>
      <c r="CP33" s="643">
        <v>2.4376000000000002</v>
      </c>
      <c r="CQ33" s="643">
        <v>2.3746999999999998</v>
      </c>
      <c r="CR33" s="638">
        <v>2.4041000000000001</v>
      </c>
    </row>
    <row r="34" spans="2:96" s="465" customFormat="1" ht="15.75" customHeight="1" x14ac:dyDescent="0.25">
      <c r="B34" s="622" t="s">
        <v>93</v>
      </c>
      <c r="C34" s="623">
        <v>823.65830000000005</v>
      </c>
      <c r="D34" s="623">
        <v>1428.145</v>
      </c>
      <c r="E34" s="623">
        <v>958.32830000000001</v>
      </c>
      <c r="F34" s="623">
        <v>1065.6699000000001</v>
      </c>
      <c r="G34" s="623">
        <v>622.89930000000004</v>
      </c>
      <c r="H34" s="623">
        <v>737.60350000000005</v>
      </c>
      <c r="I34" s="623">
        <v>696.73199999999997</v>
      </c>
      <c r="J34" s="623">
        <v>917.51329999999996</v>
      </c>
      <c r="K34" s="623">
        <v>1110.1248000000001</v>
      </c>
      <c r="L34" s="623">
        <v>1840.7037</v>
      </c>
      <c r="M34" s="623">
        <v>1313.0034000000001</v>
      </c>
      <c r="N34" s="624">
        <v>776.90689999999995</v>
      </c>
      <c r="O34" s="624">
        <v>1259.9915000000001</v>
      </c>
      <c r="P34" s="609">
        <v>1126.1436000000001</v>
      </c>
      <c r="R34" s="622" t="s">
        <v>93</v>
      </c>
      <c r="S34" s="908">
        <v>270.26510000000002</v>
      </c>
      <c r="T34" s="908">
        <v>311.56310000000002</v>
      </c>
      <c r="U34" s="908">
        <v>215.84979999999999</v>
      </c>
      <c r="V34" s="908">
        <v>155.78129999999999</v>
      </c>
      <c r="W34" s="908">
        <v>105.6164</v>
      </c>
      <c r="X34" s="908">
        <v>105.80329999999999</v>
      </c>
      <c r="Y34" s="908">
        <v>90.766999999999996</v>
      </c>
      <c r="Z34" s="908">
        <v>116.0744</v>
      </c>
      <c r="AA34" s="908">
        <v>145.429</v>
      </c>
      <c r="AB34" s="908">
        <v>233.26349999999999</v>
      </c>
      <c r="AC34" s="908">
        <v>168.44450000000001</v>
      </c>
      <c r="AD34" s="909">
        <v>115.61960000000001</v>
      </c>
      <c r="AE34" s="909">
        <v>161.71080000000001</v>
      </c>
      <c r="AF34" s="898">
        <v>148.94030000000001</v>
      </c>
      <c r="AH34" s="622" t="s">
        <v>93</v>
      </c>
      <c r="AI34" s="639">
        <v>37.996899999999997</v>
      </c>
      <c r="AJ34" s="639">
        <v>69.098100000000002</v>
      </c>
      <c r="AK34" s="639">
        <v>49.599899999999998</v>
      </c>
      <c r="AL34" s="639">
        <v>64.016400000000004</v>
      </c>
      <c r="AM34" s="639">
        <v>45.880400000000002</v>
      </c>
      <c r="AN34" s="639">
        <v>51.1753</v>
      </c>
      <c r="AO34" s="639">
        <v>47.997199999999999</v>
      </c>
      <c r="AP34" s="639">
        <v>55.0501</v>
      </c>
      <c r="AQ34" s="639">
        <v>63.123600000000003</v>
      </c>
      <c r="AR34" s="639">
        <v>91.011899999999997</v>
      </c>
      <c r="AS34" s="639">
        <v>81.756299999999996</v>
      </c>
      <c r="AT34" s="644">
        <v>51.765300000000003</v>
      </c>
      <c r="AU34" s="644">
        <v>73.483500000000006</v>
      </c>
      <c r="AV34" s="640">
        <v>68.028000000000006</v>
      </c>
      <c r="AX34" s="622" t="s">
        <v>93</v>
      </c>
      <c r="AY34" s="639">
        <v>1.5321</v>
      </c>
      <c r="AZ34" s="639">
        <v>3.1036999999999999</v>
      </c>
      <c r="BA34" s="639">
        <v>2.3586</v>
      </c>
      <c r="BB34" s="639">
        <v>3.5783999999999998</v>
      </c>
      <c r="BC34" s="639">
        <v>2.7136999999999998</v>
      </c>
      <c r="BD34" s="639">
        <v>3.0804999999999998</v>
      </c>
      <c r="BE34" s="639">
        <v>3.2397</v>
      </c>
      <c r="BF34" s="639">
        <v>4.0544000000000002</v>
      </c>
      <c r="BG34" s="639">
        <v>5.3846999999999996</v>
      </c>
      <c r="BH34" s="639">
        <v>6.0677000000000003</v>
      </c>
      <c r="BI34" s="639">
        <v>6.9291</v>
      </c>
      <c r="BJ34" s="644">
        <v>3.1320000000000001</v>
      </c>
      <c r="BK34" s="644">
        <v>5.8185000000000002</v>
      </c>
      <c r="BL34" s="640">
        <v>4.9988999999999999</v>
      </c>
      <c r="BN34" s="622" t="s">
        <v>93</v>
      </c>
      <c r="BO34" s="639">
        <v>86.661600000000007</v>
      </c>
      <c r="BP34" s="639">
        <v>91.0334</v>
      </c>
      <c r="BQ34" s="639">
        <v>88.832700000000003</v>
      </c>
      <c r="BR34" s="639">
        <v>89.7042</v>
      </c>
      <c r="BS34" s="639">
        <v>89.246499999999997</v>
      </c>
      <c r="BT34" s="639">
        <v>88.815700000000007</v>
      </c>
      <c r="BU34" s="639">
        <v>89.783799999999999</v>
      </c>
      <c r="BV34" s="639">
        <v>91.615600000000001</v>
      </c>
      <c r="BW34" s="639">
        <v>94.508300000000006</v>
      </c>
      <c r="BX34" s="639">
        <v>93.769900000000007</v>
      </c>
      <c r="BY34" s="639">
        <v>96.6935</v>
      </c>
      <c r="BZ34" s="644">
        <v>89.480900000000005</v>
      </c>
      <c r="CA34" s="644">
        <v>94.709599999999995</v>
      </c>
      <c r="CB34" s="640">
        <v>93.396199999999993</v>
      </c>
      <c r="CD34" s="622" t="s">
        <v>93</v>
      </c>
      <c r="CE34" s="639">
        <v>2.6482999999999999</v>
      </c>
      <c r="CF34" s="639">
        <v>2.5400999999999998</v>
      </c>
      <c r="CG34" s="639">
        <v>2.4796999999999998</v>
      </c>
      <c r="CH34" s="639">
        <v>2.6225999999999998</v>
      </c>
      <c r="CI34" s="639">
        <v>2.8622999999999998</v>
      </c>
      <c r="CJ34" s="639">
        <v>2.8178000000000001</v>
      </c>
      <c r="CK34" s="639">
        <v>2.6958000000000002</v>
      </c>
      <c r="CL34" s="639">
        <v>2.7288999999999999</v>
      </c>
      <c r="CM34" s="639">
        <v>2.9961000000000002</v>
      </c>
      <c r="CN34" s="639">
        <v>2.9921000000000002</v>
      </c>
      <c r="CO34" s="639">
        <v>2.4413999999999998</v>
      </c>
      <c r="CP34" s="644">
        <v>2.7061999999999999</v>
      </c>
      <c r="CQ34" s="644">
        <v>2.7185000000000001</v>
      </c>
      <c r="CR34" s="640">
        <v>2.7161</v>
      </c>
    </row>
    <row r="35" spans="2:96" s="571" customFormat="1" ht="15.75" customHeight="1" x14ac:dyDescent="0.25">
      <c r="B35" s="618" t="s">
        <v>135</v>
      </c>
      <c r="C35" s="619">
        <v>671.1875</v>
      </c>
      <c r="D35" s="619">
        <v>518.83209999999997</v>
      </c>
      <c r="E35" s="619">
        <v>492.39159999999998</v>
      </c>
      <c r="F35" s="619">
        <v>461.65620000000001</v>
      </c>
      <c r="G35" s="619">
        <v>642.12900000000002</v>
      </c>
      <c r="H35" s="619">
        <v>654.01949999999999</v>
      </c>
      <c r="I35" s="619">
        <v>664.78340000000003</v>
      </c>
      <c r="J35" s="619">
        <v>815.10180000000003</v>
      </c>
      <c r="K35" s="619">
        <v>960.39980000000003</v>
      </c>
      <c r="L35" s="619">
        <v>1536.2275999999999</v>
      </c>
      <c r="M35" s="619">
        <v>4377.9976999999999</v>
      </c>
      <c r="N35" s="620">
        <v>604.50869999999998</v>
      </c>
      <c r="O35" s="620">
        <v>1931.268</v>
      </c>
      <c r="P35" s="621">
        <v>1731.0762</v>
      </c>
      <c r="R35" s="618" t="s">
        <v>135</v>
      </c>
      <c r="S35" s="905">
        <v>132.12459999999999</v>
      </c>
      <c r="T35" s="905">
        <v>161.55879999999999</v>
      </c>
      <c r="U35" s="905">
        <v>82.463399999999993</v>
      </c>
      <c r="V35" s="905">
        <v>69.860299999999995</v>
      </c>
      <c r="W35" s="905">
        <v>82.091700000000003</v>
      </c>
      <c r="X35" s="905">
        <v>90.562200000000004</v>
      </c>
      <c r="Y35" s="905">
        <v>85.6447</v>
      </c>
      <c r="Z35" s="905">
        <v>103.0149</v>
      </c>
      <c r="AA35" s="905">
        <v>131.84280000000001</v>
      </c>
      <c r="AB35" s="905">
        <v>195.54939999999999</v>
      </c>
      <c r="AC35" s="905">
        <v>229.2302</v>
      </c>
      <c r="AD35" s="906">
        <v>82.296400000000006</v>
      </c>
      <c r="AE35" s="906">
        <v>168.4486</v>
      </c>
      <c r="AF35" s="907">
        <v>155.44919999999999</v>
      </c>
      <c r="AH35" s="618" t="s">
        <v>135</v>
      </c>
      <c r="AI35" s="637">
        <v>31.344000000000001</v>
      </c>
      <c r="AJ35" s="637">
        <v>47.037700000000001</v>
      </c>
      <c r="AK35" s="637">
        <v>50.999200000000002</v>
      </c>
      <c r="AL35" s="637">
        <v>47.152200000000001</v>
      </c>
      <c r="AM35" s="637">
        <v>50.9726</v>
      </c>
      <c r="AN35" s="637">
        <v>49.284500000000001</v>
      </c>
      <c r="AO35" s="637">
        <v>45.893599999999999</v>
      </c>
      <c r="AP35" s="637">
        <v>52.756799999999998</v>
      </c>
      <c r="AQ35" s="637">
        <v>56.4026</v>
      </c>
      <c r="AR35" s="637">
        <v>81.476299999999995</v>
      </c>
      <c r="AS35" s="637">
        <v>134.4889</v>
      </c>
      <c r="AT35" s="643">
        <v>47.547400000000003</v>
      </c>
      <c r="AU35" s="643">
        <v>91.3964</v>
      </c>
      <c r="AV35" s="638">
        <v>87.161000000000001</v>
      </c>
      <c r="AX35" s="618" t="s">
        <v>135</v>
      </c>
      <c r="AY35" s="637">
        <v>1.5578000000000001</v>
      </c>
      <c r="AZ35" s="637">
        <v>2.8885999999999998</v>
      </c>
      <c r="BA35" s="637">
        <v>2.9714999999999998</v>
      </c>
      <c r="BB35" s="637">
        <v>2.7955000000000001</v>
      </c>
      <c r="BC35" s="637">
        <v>2.8662000000000001</v>
      </c>
      <c r="BD35" s="637">
        <v>3.0329000000000002</v>
      </c>
      <c r="BE35" s="637">
        <v>3.1025</v>
      </c>
      <c r="BF35" s="637">
        <v>4.2865000000000002</v>
      </c>
      <c r="BG35" s="637">
        <v>4.5780000000000003</v>
      </c>
      <c r="BH35" s="637">
        <v>6.1097000000000001</v>
      </c>
      <c r="BI35" s="637">
        <v>31.3901</v>
      </c>
      <c r="BJ35" s="643">
        <v>2.9855999999999998</v>
      </c>
      <c r="BK35" s="643">
        <v>9.6295999999999999</v>
      </c>
      <c r="BL35" s="638">
        <v>8.6189999999999998</v>
      </c>
      <c r="BN35" s="618" t="s">
        <v>135</v>
      </c>
      <c r="BO35" s="637">
        <v>85.253699999999995</v>
      </c>
      <c r="BP35" s="637">
        <v>97.323800000000006</v>
      </c>
      <c r="BQ35" s="637">
        <v>90.120500000000007</v>
      </c>
      <c r="BR35" s="637">
        <v>89.169899999999998</v>
      </c>
      <c r="BS35" s="637">
        <v>87.514700000000005</v>
      </c>
      <c r="BT35" s="637">
        <v>89.308700000000002</v>
      </c>
      <c r="BU35" s="637">
        <v>89.953299999999999</v>
      </c>
      <c r="BV35" s="637">
        <v>92.918099999999995</v>
      </c>
      <c r="BW35" s="637">
        <v>93.769199999999998</v>
      </c>
      <c r="BX35" s="637">
        <v>94.547700000000006</v>
      </c>
      <c r="BY35" s="637">
        <v>100.252</v>
      </c>
      <c r="BZ35" s="643">
        <v>89.369100000000003</v>
      </c>
      <c r="CA35" s="643">
        <v>96.334599999999995</v>
      </c>
      <c r="CB35" s="638">
        <v>95.661799999999999</v>
      </c>
      <c r="CD35" s="618" t="s">
        <v>135</v>
      </c>
      <c r="CE35" s="637">
        <v>2.5377000000000001</v>
      </c>
      <c r="CF35" s="637">
        <v>2.2092000000000001</v>
      </c>
      <c r="CG35" s="637">
        <v>2.4098999999999999</v>
      </c>
      <c r="CH35" s="637">
        <v>2.2606000000000002</v>
      </c>
      <c r="CI35" s="637">
        <v>2.3452000000000002</v>
      </c>
      <c r="CJ35" s="637">
        <v>2.4641000000000002</v>
      </c>
      <c r="CK35" s="637">
        <v>2.3285</v>
      </c>
      <c r="CL35" s="637">
        <v>2.5674000000000001</v>
      </c>
      <c r="CM35" s="637">
        <v>2.8102999999999998</v>
      </c>
      <c r="CN35" s="637">
        <v>2.9443999999999999</v>
      </c>
      <c r="CO35" s="637">
        <v>1.8052999999999999</v>
      </c>
      <c r="CP35" s="643">
        <v>2.3418000000000001</v>
      </c>
      <c r="CQ35" s="643">
        <v>2.2625999999999999</v>
      </c>
      <c r="CR35" s="638">
        <v>2.2667999999999999</v>
      </c>
    </row>
    <row r="36" spans="2:96" s="474" customFormat="1" ht="15.75" customHeight="1" x14ac:dyDescent="0.25">
      <c r="B36" s="972" t="s">
        <v>804</v>
      </c>
      <c r="C36" s="985" t="s">
        <v>102</v>
      </c>
      <c r="D36" s="973" t="s">
        <v>102</v>
      </c>
      <c r="E36" s="973">
        <v>0</v>
      </c>
      <c r="F36" s="973">
        <v>343.8254</v>
      </c>
      <c r="G36" s="973">
        <v>243.52539999999999</v>
      </c>
      <c r="H36" s="973">
        <v>456.13810000000001</v>
      </c>
      <c r="I36" s="973">
        <v>547.85969999999998</v>
      </c>
      <c r="J36" s="973">
        <v>508.08100000000002</v>
      </c>
      <c r="K36" s="973">
        <v>767.0607</v>
      </c>
      <c r="L36" s="973">
        <v>1018.6389</v>
      </c>
      <c r="M36" s="973">
        <v>1045.8947000000001</v>
      </c>
      <c r="N36" s="974">
        <v>502.11880000000002</v>
      </c>
      <c r="O36" s="974">
        <v>827.63980000000004</v>
      </c>
      <c r="P36" s="975">
        <v>776.34379999999999</v>
      </c>
      <c r="R36" s="972" t="s">
        <v>804</v>
      </c>
      <c r="S36" s="986" t="s">
        <v>102</v>
      </c>
      <c r="T36" s="973" t="s">
        <v>102</v>
      </c>
      <c r="U36" s="973">
        <v>134.57939999999999</v>
      </c>
      <c r="V36" s="973">
        <v>54.274500000000003</v>
      </c>
      <c r="W36" s="973">
        <v>57.215200000000003</v>
      </c>
      <c r="X36" s="973">
        <v>113.7368</v>
      </c>
      <c r="Y36" s="973">
        <v>77.509100000000004</v>
      </c>
      <c r="Z36" s="973">
        <v>65.445599999999999</v>
      </c>
      <c r="AA36" s="973">
        <v>98.792299999999997</v>
      </c>
      <c r="AB36" s="973">
        <v>146.00800000000001</v>
      </c>
      <c r="AC36" s="973">
        <v>190.80449999999999</v>
      </c>
      <c r="AD36" s="974">
        <v>79.425200000000004</v>
      </c>
      <c r="AE36" s="974">
        <v>119.3899</v>
      </c>
      <c r="AF36" s="975">
        <v>113.09220000000001</v>
      </c>
      <c r="AH36" s="972" t="s">
        <v>804</v>
      </c>
      <c r="AI36" s="986" t="s">
        <v>102</v>
      </c>
      <c r="AJ36" s="987" t="s">
        <v>102</v>
      </c>
      <c r="AK36" s="987">
        <v>0</v>
      </c>
      <c r="AL36" s="987">
        <v>16.73</v>
      </c>
      <c r="AM36" s="987">
        <v>10.7271</v>
      </c>
      <c r="AN36" s="987">
        <v>23.5654</v>
      </c>
      <c r="AO36" s="987">
        <v>34.3566</v>
      </c>
      <c r="AP36" s="987">
        <v>33.259799999999998</v>
      </c>
      <c r="AQ36" s="987">
        <v>45.453600000000002</v>
      </c>
      <c r="AR36" s="987">
        <v>63.137099999999997</v>
      </c>
      <c r="AS36" s="987">
        <v>61.614699999999999</v>
      </c>
      <c r="AT36" s="988">
        <v>29.164000000000001</v>
      </c>
      <c r="AU36" s="988">
        <v>50.85</v>
      </c>
      <c r="AV36" s="989">
        <v>47.267800000000001</v>
      </c>
      <c r="AX36" s="972" t="s">
        <v>804</v>
      </c>
      <c r="AY36" s="986" t="s">
        <v>102</v>
      </c>
      <c r="AZ36" s="987" t="s">
        <v>102</v>
      </c>
      <c r="BA36" s="987">
        <v>0</v>
      </c>
      <c r="BB36" s="987">
        <v>1.5854999999999999</v>
      </c>
      <c r="BC36" s="987">
        <v>1.1714</v>
      </c>
      <c r="BD36" s="987">
        <v>3.5055999999999998</v>
      </c>
      <c r="BE36" s="987">
        <v>4.6906999999999996</v>
      </c>
      <c r="BF36" s="987">
        <v>3.5956000000000001</v>
      </c>
      <c r="BG36" s="987">
        <v>4.8019999999999996</v>
      </c>
      <c r="BH36" s="987">
        <v>5.8127000000000004</v>
      </c>
      <c r="BI36" s="987">
        <v>5.0195999999999996</v>
      </c>
      <c r="BJ36" s="988">
        <v>3.7027999999999999</v>
      </c>
      <c r="BK36" s="988">
        <v>4.9447000000000001</v>
      </c>
      <c r="BL36" s="989">
        <v>4.7812000000000001</v>
      </c>
      <c r="BN36" s="972" t="s">
        <v>804</v>
      </c>
      <c r="BO36" s="986" t="s">
        <v>102</v>
      </c>
      <c r="BP36" s="987" t="s">
        <v>102</v>
      </c>
      <c r="BQ36" s="987">
        <v>64.799599999999998</v>
      </c>
      <c r="BR36" s="987">
        <v>91.508099999999999</v>
      </c>
      <c r="BS36" s="987">
        <v>92.491699999999994</v>
      </c>
      <c r="BT36" s="987">
        <v>97.040700000000001</v>
      </c>
      <c r="BU36" s="987">
        <v>94.973500000000001</v>
      </c>
      <c r="BV36" s="987">
        <v>93.7727</v>
      </c>
      <c r="BW36" s="987">
        <v>94.456100000000006</v>
      </c>
      <c r="BX36" s="987">
        <v>95.898799999999994</v>
      </c>
      <c r="BY36" s="987">
        <v>96.622500000000002</v>
      </c>
      <c r="BZ36" s="988">
        <v>94.544799999999995</v>
      </c>
      <c r="CA36" s="988">
        <v>95.090800000000002</v>
      </c>
      <c r="CB36" s="989">
        <v>95.000600000000006</v>
      </c>
      <c r="CD36" s="972" t="s">
        <v>804</v>
      </c>
      <c r="CE36" s="986" t="s">
        <v>102</v>
      </c>
      <c r="CF36" s="987" t="s">
        <v>102</v>
      </c>
      <c r="CG36" s="987" t="s">
        <v>102</v>
      </c>
      <c r="CH36" s="987">
        <v>3.4738000000000002</v>
      </c>
      <c r="CI36" s="987">
        <v>5.4634999999999998</v>
      </c>
      <c r="CJ36" s="987">
        <v>3.2927</v>
      </c>
      <c r="CK36" s="987">
        <v>2.1941999999999999</v>
      </c>
      <c r="CL36" s="987">
        <v>2.6261000000000001</v>
      </c>
      <c r="CM36" s="987">
        <v>2.8334999999999999</v>
      </c>
      <c r="CN36" s="987">
        <v>3.0996000000000001</v>
      </c>
      <c r="CO36" s="987">
        <v>3.3990999999999998</v>
      </c>
      <c r="CP36" s="988">
        <v>2.4859</v>
      </c>
      <c r="CQ36" s="988">
        <v>3.0116000000000001</v>
      </c>
      <c r="CR36" s="989">
        <v>2.9580000000000002</v>
      </c>
    </row>
    <row r="37" spans="2:96" s="465" customFormat="1" ht="15.75" customHeight="1" x14ac:dyDescent="0.25">
      <c r="B37" s="850" t="s">
        <v>808</v>
      </c>
      <c r="C37" s="619" t="s">
        <v>102</v>
      </c>
      <c r="D37" s="619" t="s">
        <v>102</v>
      </c>
      <c r="E37" s="619" t="s">
        <v>102</v>
      </c>
      <c r="F37" s="619">
        <v>462.24579999999997</v>
      </c>
      <c r="G37" s="619">
        <v>264.62099999999998</v>
      </c>
      <c r="H37" s="619">
        <v>624.29179999999997</v>
      </c>
      <c r="I37" s="619">
        <v>432.46030000000002</v>
      </c>
      <c r="J37" s="619">
        <v>686.49540000000002</v>
      </c>
      <c r="K37" s="619">
        <v>718.30799999999999</v>
      </c>
      <c r="L37" s="619">
        <v>1051.7226000000001</v>
      </c>
      <c r="M37" s="619" t="s">
        <v>102</v>
      </c>
      <c r="N37" s="620">
        <v>449.78269999999998</v>
      </c>
      <c r="O37" s="620">
        <v>766.33010000000002</v>
      </c>
      <c r="P37" s="621">
        <v>687.80089999999996</v>
      </c>
      <c r="R37" s="850" t="s">
        <v>808</v>
      </c>
      <c r="S37" s="637" t="s">
        <v>102</v>
      </c>
      <c r="T37" s="619" t="s">
        <v>102</v>
      </c>
      <c r="U37" s="619" t="s">
        <v>102</v>
      </c>
      <c r="V37" s="619">
        <v>70.014799999999994</v>
      </c>
      <c r="W37" s="619">
        <v>20.809100000000001</v>
      </c>
      <c r="X37" s="619">
        <v>52.191499999999998</v>
      </c>
      <c r="Y37" s="619">
        <v>72.651600000000002</v>
      </c>
      <c r="Z37" s="619">
        <v>101.0851</v>
      </c>
      <c r="AA37" s="619">
        <v>105.1815</v>
      </c>
      <c r="AB37" s="619">
        <v>133.3631</v>
      </c>
      <c r="AC37" s="619" t="s">
        <v>102</v>
      </c>
      <c r="AD37" s="620">
        <v>66.656700000000001</v>
      </c>
      <c r="AE37" s="620">
        <v>108.715</v>
      </c>
      <c r="AF37" s="621">
        <v>98.281199999999998</v>
      </c>
      <c r="AH37" s="850" t="s">
        <v>808</v>
      </c>
      <c r="AI37" s="637" t="s">
        <v>102</v>
      </c>
      <c r="AJ37" s="637" t="s">
        <v>102</v>
      </c>
      <c r="AK37" s="637" t="s">
        <v>102</v>
      </c>
      <c r="AL37" s="637">
        <v>17.445799999999998</v>
      </c>
      <c r="AM37" s="637">
        <v>13.9963</v>
      </c>
      <c r="AN37" s="637">
        <v>28.010400000000001</v>
      </c>
      <c r="AO37" s="637">
        <v>25.6569</v>
      </c>
      <c r="AP37" s="637">
        <v>35.438099999999999</v>
      </c>
      <c r="AQ37" s="637">
        <v>38.529899999999998</v>
      </c>
      <c r="AR37" s="637">
        <v>59.353099999999998</v>
      </c>
      <c r="AS37" s="637" t="s">
        <v>102</v>
      </c>
      <c r="AT37" s="643">
        <v>24.612500000000001</v>
      </c>
      <c r="AU37" s="643">
        <v>40.872799999999998</v>
      </c>
      <c r="AV37" s="638">
        <v>36.916200000000003</v>
      </c>
      <c r="AX37" s="850" t="s">
        <v>808</v>
      </c>
      <c r="AY37" s="637" t="s">
        <v>102</v>
      </c>
      <c r="AZ37" s="637" t="s">
        <v>102</v>
      </c>
      <c r="BA37" s="637" t="s">
        <v>102</v>
      </c>
      <c r="BB37" s="637">
        <v>1.1511</v>
      </c>
      <c r="BC37" s="637">
        <v>0.86160000000000003</v>
      </c>
      <c r="BD37" s="637">
        <v>2.8395999999999999</v>
      </c>
      <c r="BE37" s="637">
        <v>2.9295</v>
      </c>
      <c r="BF37" s="637">
        <v>3.6854</v>
      </c>
      <c r="BG37" s="637">
        <v>3.7559</v>
      </c>
      <c r="BH37" s="637">
        <v>17.490300000000001</v>
      </c>
      <c r="BI37" s="637" t="s">
        <v>102</v>
      </c>
      <c r="BJ37" s="643">
        <v>2.4731999999999998</v>
      </c>
      <c r="BK37" s="643">
        <v>4.6211000000000002</v>
      </c>
      <c r="BL37" s="638">
        <v>4.0503999999999998</v>
      </c>
      <c r="BN37" s="850" t="s">
        <v>808</v>
      </c>
      <c r="BO37" s="637" t="s">
        <v>102</v>
      </c>
      <c r="BP37" s="637" t="s">
        <v>102</v>
      </c>
      <c r="BQ37" s="637" t="s">
        <v>102</v>
      </c>
      <c r="BR37" s="637">
        <v>86.871899999999997</v>
      </c>
      <c r="BS37" s="637">
        <v>84.715000000000003</v>
      </c>
      <c r="BT37" s="637">
        <v>91.616</v>
      </c>
      <c r="BU37" s="637">
        <v>94.7607</v>
      </c>
      <c r="BV37" s="637">
        <v>94.233400000000003</v>
      </c>
      <c r="BW37" s="637">
        <v>93.761600000000001</v>
      </c>
      <c r="BX37" s="637">
        <v>100.736</v>
      </c>
      <c r="BY37" s="637" t="s">
        <v>102</v>
      </c>
      <c r="BZ37" s="643">
        <v>92.948599999999999</v>
      </c>
      <c r="CA37" s="643">
        <v>95.127799999999993</v>
      </c>
      <c r="CB37" s="638">
        <v>94.597499999999997</v>
      </c>
      <c r="CD37" s="850" t="s">
        <v>808</v>
      </c>
      <c r="CE37" s="637" t="s">
        <v>102</v>
      </c>
      <c r="CF37" s="637" t="s">
        <v>102</v>
      </c>
      <c r="CG37" s="637" t="s">
        <v>102</v>
      </c>
      <c r="CH37" s="637">
        <v>3.5209000000000001</v>
      </c>
      <c r="CI37" s="637">
        <v>1.0041</v>
      </c>
      <c r="CJ37" s="637">
        <v>3.0756000000000001</v>
      </c>
      <c r="CK37" s="637">
        <v>2.5217999999999998</v>
      </c>
      <c r="CL37" s="637">
        <v>3.8632</v>
      </c>
      <c r="CM37" s="637">
        <v>3.149</v>
      </c>
      <c r="CN37" s="637">
        <v>4.2958999999999996</v>
      </c>
      <c r="CO37" s="637" t="s">
        <v>102</v>
      </c>
      <c r="CP37" s="643">
        <v>2.6318000000000001</v>
      </c>
      <c r="CQ37" s="643">
        <v>3.6707000000000001</v>
      </c>
      <c r="CR37" s="638">
        <v>3.5021</v>
      </c>
    </row>
    <row r="38" spans="2:96" s="465" customFormat="1" ht="15.75" customHeight="1" x14ac:dyDescent="0.25">
      <c r="B38" s="851" t="s">
        <v>809</v>
      </c>
      <c r="C38" s="623" t="s">
        <v>102</v>
      </c>
      <c r="D38" s="623" t="s">
        <v>102</v>
      </c>
      <c r="E38" s="623" t="s">
        <v>102</v>
      </c>
      <c r="F38" s="623">
        <v>282.07010000000002</v>
      </c>
      <c r="G38" s="623">
        <v>288.65249999999997</v>
      </c>
      <c r="H38" s="623">
        <v>437.18040000000002</v>
      </c>
      <c r="I38" s="623">
        <v>442.75580000000002</v>
      </c>
      <c r="J38" s="623">
        <v>437.79969999999997</v>
      </c>
      <c r="K38" s="623">
        <v>662.78060000000005</v>
      </c>
      <c r="L38" s="623">
        <v>2446.2161000000001</v>
      </c>
      <c r="M38" s="623" t="s">
        <v>102</v>
      </c>
      <c r="N38" s="624">
        <v>416.76249999999999</v>
      </c>
      <c r="O38" s="624">
        <v>1055.3087</v>
      </c>
      <c r="P38" s="609">
        <v>886.4067</v>
      </c>
      <c r="R38" s="851" t="s">
        <v>809</v>
      </c>
      <c r="S38" s="639" t="s">
        <v>102</v>
      </c>
      <c r="T38" s="623" t="s">
        <v>102</v>
      </c>
      <c r="U38" s="623" t="s">
        <v>102</v>
      </c>
      <c r="V38" s="623">
        <v>30.1279</v>
      </c>
      <c r="W38" s="623">
        <v>8.7545999999999999</v>
      </c>
      <c r="X38" s="623">
        <v>162.18610000000001</v>
      </c>
      <c r="Y38" s="623">
        <v>51.926200000000001</v>
      </c>
      <c r="Z38" s="623">
        <v>69.3994</v>
      </c>
      <c r="AA38" s="623">
        <v>47.7089</v>
      </c>
      <c r="AB38" s="623">
        <v>302.88299999999998</v>
      </c>
      <c r="AC38" s="623" t="s">
        <v>102</v>
      </c>
      <c r="AD38" s="624">
        <v>75.550299999999993</v>
      </c>
      <c r="AE38" s="624">
        <v>130.21700000000001</v>
      </c>
      <c r="AF38" s="609">
        <v>115.75709999999999</v>
      </c>
      <c r="AH38" s="851" t="s">
        <v>809</v>
      </c>
      <c r="AI38" s="639" t="s">
        <v>102</v>
      </c>
      <c r="AJ38" s="639" t="s">
        <v>102</v>
      </c>
      <c r="AK38" s="639" t="s">
        <v>102</v>
      </c>
      <c r="AL38" s="639">
        <v>14.5898</v>
      </c>
      <c r="AM38" s="639">
        <v>11.3218</v>
      </c>
      <c r="AN38" s="639">
        <v>22.9971</v>
      </c>
      <c r="AO38" s="639">
        <v>26.048200000000001</v>
      </c>
      <c r="AP38" s="639">
        <v>27.305299999999999</v>
      </c>
      <c r="AQ38" s="639">
        <v>34.740099999999998</v>
      </c>
      <c r="AR38" s="639">
        <v>107.60290000000001</v>
      </c>
      <c r="AS38" s="639" t="s">
        <v>102</v>
      </c>
      <c r="AT38" s="644">
        <v>22.659800000000001</v>
      </c>
      <c r="AU38" s="644">
        <v>56.677399999999999</v>
      </c>
      <c r="AV38" s="640">
        <v>47.7605</v>
      </c>
      <c r="AX38" s="851" t="s">
        <v>809</v>
      </c>
      <c r="AY38" s="639" t="s">
        <v>102</v>
      </c>
      <c r="AZ38" s="639" t="s">
        <v>102</v>
      </c>
      <c r="BA38" s="639" t="s">
        <v>102</v>
      </c>
      <c r="BB38" s="639">
        <v>4.3334999999999999</v>
      </c>
      <c r="BC38" s="639">
        <v>1.6136999999999999</v>
      </c>
      <c r="BD38" s="639">
        <v>3.5470000000000002</v>
      </c>
      <c r="BE38" s="639">
        <v>2.7008999999999999</v>
      </c>
      <c r="BF38" s="639">
        <v>2.7448999999999999</v>
      </c>
      <c r="BG38" s="639">
        <v>7.1702000000000004</v>
      </c>
      <c r="BH38" s="639">
        <v>6.6108000000000002</v>
      </c>
      <c r="BI38" s="639" t="s">
        <v>102</v>
      </c>
      <c r="BJ38" s="644">
        <v>2.8311000000000002</v>
      </c>
      <c r="BK38" s="644">
        <v>5.1871</v>
      </c>
      <c r="BL38" s="640">
        <v>4.7005999999999997</v>
      </c>
      <c r="BN38" s="851" t="s">
        <v>809</v>
      </c>
      <c r="BO38" s="639" t="s">
        <v>102</v>
      </c>
      <c r="BP38" s="639" t="s">
        <v>102</v>
      </c>
      <c r="BQ38" s="639" t="s">
        <v>102</v>
      </c>
      <c r="BR38" s="639">
        <v>97.932500000000005</v>
      </c>
      <c r="BS38" s="639">
        <v>92.497</v>
      </c>
      <c r="BT38" s="639">
        <v>98.942300000000003</v>
      </c>
      <c r="BU38" s="639">
        <v>89.615300000000005</v>
      </c>
      <c r="BV38" s="639">
        <v>92.841300000000004</v>
      </c>
      <c r="BW38" s="639">
        <v>95.740099999999998</v>
      </c>
      <c r="BX38" s="639">
        <v>92.311800000000005</v>
      </c>
      <c r="BY38" s="639" t="s">
        <v>102</v>
      </c>
      <c r="BZ38" s="644">
        <v>93.106899999999996</v>
      </c>
      <c r="CA38" s="644">
        <v>93.340100000000007</v>
      </c>
      <c r="CB38" s="640">
        <v>93.278999999999996</v>
      </c>
      <c r="CD38" s="851" t="s">
        <v>809</v>
      </c>
      <c r="CE38" s="639" t="s">
        <v>102</v>
      </c>
      <c r="CF38" s="639" t="s">
        <v>102</v>
      </c>
      <c r="CG38" s="639" t="s">
        <v>102</v>
      </c>
      <c r="CH38" s="639">
        <v>1.7761</v>
      </c>
      <c r="CI38" s="639">
        <v>0.112</v>
      </c>
      <c r="CJ38" s="639">
        <v>3.4805999999999999</v>
      </c>
      <c r="CK38" s="639">
        <v>3.0186000000000002</v>
      </c>
      <c r="CL38" s="639">
        <v>2.4325999999999999</v>
      </c>
      <c r="CM38" s="639">
        <v>1.4691000000000001</v>
      </c>
      <c r="CN38" s="639">
        <v>3.6821999999999999</v>
      </c>
      <c r="CO38" s="639" t="s">
        <v>102</v>
      </c>
      <c r="CP38" s="644">
        <v>2.9178000000000002</v>
      </c>
      <c r="CQ38" s="644">
        <v>3.1101000000000001</v>
      </c>
      <c r="CR38" s="640">
        <v>3.0861000000000001</v>
      </c>
    </row>
    <row r="39" spans="2:96" s="465" customFormat="1" ht="15.75" customHeight="1" x14ac:dyDescent="0.25">
      <c r="B39" s="850" t="s">
        <v>810</v>
      </c>
      <c r="C39" s="619" t="s">
        <v>102</v>
      </c>
      <c r="D39" s="619" t="s">
        <v>102</v>
      </c>
      <c r="E39" s="619">
        <v>0</v>
      </c>
      <c r="F39" s="619">
        <v>296.42189999999999</v>
      </c>
      <c r="G39" s="619">
        <v>202.9682</v>
      </c>
      <c r="H39" s="619">
        <v>85.808099999999996</v>
      </c>
      <c r="I39" s="619">
        <v>71.479799999999997</v>
      </c>
      <c r="J39" s="619">
        <v>140.95590000000001</v>
      </c>
      <c r="K39" s="619">
        <v>384.90960000000001</v>
      </c>
      <c r="L39" s="619">
        <v>366.09789999999998</v>
      </c>
      <c r="M39" s="619" t="s">
        <v>102</v>
      </c>
      <c r="N39" s="620">
        <v>119.1922</v>
      </c>
      <c r="O39" s="620">
        <v>343.26319999999998</v>
      </c>
      <c r="P39" s="621">
        <v>299.7611</v>
      </c>
      <c r="R39" s="850" t="s">
        <v>810</v>
      </c>
      <c r="S39" s="637" t="s">
        <v>102</v>
      </c>
      <c r="T39" s="619" t="s">
        <v>102</v>
      </c>
      <c r="U39" s="619">
        <v>134.57939999999999</v>
      </c>
      <c r="V39" s="619">
        <v>70.980999999999995</v>
      </c>
      <c r="W39" s="619">
        <v>107.5081</v>
      </c>
      <c r="X39" s="619">
        <v>20.253299999999999</v>
      </c>
      <c r="Y39" s="619">
        <v>17.584900000000001</v>
      </c>
      <c r="Z39" s="619">
        <v>28.140799999999999</v>
      </c>
      <c r="AA39" s="619">
        <v>45.197400000000002</v>
      </c>
      <c r="AB39" s="619">
        <v>47.369199999999999</v>
      </c>
      <c r="AC39" s="619" t="s">
        <v>102</v>
      </c>
      <c r="AD39" s="620">
        <v>43.18</v>
      </c>
      <c r="AE39" s="620">
        <v>43.999000000000002</v>
      </c>
      <c r="AF39" s="621">
        <v>43.84</v>
      </c>
      <c r="AH39" s="850" t="s">
        <v>810</v>
      </c>
      <c r="AI39" s="637" t="s">
        <v>102</v>
      </c>
      <c r="AJ39" s="637" t="s">
        <v>102</v>
      </c>
      <c r="AK39" s="637">
        <v>0</v>
      </c>
      <c r="AL39" s="637">
        <v>19.179400000000001</v>
      </c>
      <c r="AM39" s="637">
        <v>8.9446999999999992</v>
      </c>
      <c r="AN39" s="637">
        <v>6.6082000000000001</v>
      </c>
      <c r="AO39" s="637">
        <v>5.6093999999999999</v>
      </c>
      <c r="AP39" s="637">
        <v>10.7202</v>
      </c>
      <c r="AQ39" s="637">
        <v>25.533899999999999</v>
      </c>
      <c r="AR39" s="637">
        <v>24.6616</v>
      </c>
      <c r="AS39" s="637" t="s">
        <v>102</v>
      </c>
      <c r="AT39" s="643">
        <v>7.5324999999999998</v>
      </c>
      <c r="AU39" s="643">
        <v>23.341999999999999</v>
      </c>
      <c r="AV39" s="638">
        <v>20.087399999999999</v>
      </c>
      <c r="AX39" s="850" t="s">
        <v>810</v>
      </c>
      <c r="AY39" s="637" t="s">
        <v>102</v>
      </c>
      <c r="AZ39" s="637" t="s">
        <v>102</v>
      </c>
      <c r="BA39" s="637">
        <v>0</v>
      </c>
      <c r="BB39" s="637">
        <v>1.3298000000000001</v>
      </c>
      <c r="BC39" s="637">
        <v>1.1357999999999999</v>
      </c>
      <c r="BD39" s="637">
        <v>-1.004</v>
      </c>
      <c r="BE39" s="637">
        <v>1.1700999999999999</v>
      </c>
      <c r="BF39" s="637">
        <v>1.9513</v>
      </c>
      <c r="BG39" s="637">
        <v>2.6459000000000001</v>
      </c>
      <c r="BH39" s="637">
        <v>4.9537000000000004</v>
      </c>
      <c r="BI39" s="637" t="s">
        <v>102</v>
      </c>
      <c r="BJ39" s="643">
        <v>0.98299999999999998</v>
      </c>
      <c r="BK39" s="643">
        <v>3.4127999999999998</v>
      </c>
      <c r="BL39" s="638">
        <v>2.8658999999999999</v>
      </c>
      <c r="BN39" s="850" t="s">
        <v>810</v>
      </c>
      <c r="BO39" s="637" t="s">
        <v>102</v>
      </c>
      <c r="BP39" s="637" t="s">
        <v>102</v>
      </c>
      <c r="BQ39" s="637">
        <v>64.799599999999998</v>
      </c>
      <c r="BR39" s="637">
        <v>89.072299999999998</v>
      </c>
      <c r="BS39" s="637">
        <v>95.663200000000003</v>
      </c>
      <c r="BT39" s="637">
        <v>107.9782</v>
      </c>
      <c r="BU39" s="637">
        <v>96.525300000000001</v>
      </c>
      <c r="BV39" s="637">
        <v>96.433499999999995</v>
      </c>
      <c r="BW39" s="637">
        <v>92.023300000000006</v>
      </c>
      <c r="BX39" s="637">
        <v>97.307100000000005</v>
      </c>
      <c r="BY39" s="637" t="s">
        <v>102</v>
      </c>
      <c r="BZ39" s="643">
        <v>94.557500000000005</v>
      </c>
      <c r="CA39" s="643">
        <v>95.1678</v>
      </c>
      <c r="CB39" s="638">
        <v>95.042199999999994</v>
      </c>
      <c r="CD39" s="850" t="s">
        <v>810</v>
      </c>
      <c r="CE39" s="637" t="s">
        <v>102</v>
      </c>
      <c r="CF39" s="637" t="s">
        <v>102</v>
      </c>
      <c r="CG39" s="637" t="s">
        <v>102</v>
      </c>
      <c r="CH39" s="637">
        <v>5.7211999999999996</v>
      </c>
      <c r="CI39" s="637">
        <v>13.4092</v>
      </c>
      <c r="CJ39" s="637">
        <v>2.4733999999999998</v>
      </c>
      <c r="CK39" s="637">
        <v>1.0802</v>
      </c>
      <c r="CL39" s="637">
        <v>1.9852000000000001</v>
      </c>
      <c r="CM39" s="637">
        <v>3.1229</v>
      </c>
      <c r="CN39" s="637">
        <v>3.6714000000000002</v>
      </c>
      <c r="CO39" s="637" t="s">
        <v>102</v>
      </c>
      <c r="CP39" s="643">
        <v>6.7465000000000002</v>
      </c>
      <c r="CQ39" s="643">
        <v>3.3483000000000001</v>
      </c>
      <c r="CR39" s="638">
        <v>3.6105999999999998</v>
      </c>
    </row>
    <row r="40" spans="2:96" s="465" customFormat="1" ht="15.75" customHeight="1" x14ac:dyDescent="0.25">
      <c r="B40" s="851" t="s">
        <v>811</v>
      </c>
      <c r="C40" s="623" t="s">
        <v>102</v>
      </c>
      <c r="D40" s="623" t="s">
        <v>102</v>
      </c>
      <c r="E40" s="623" t="s">
        <v>102</v>
      </c>
      <c r="F40" s="623" t="s">
        <v>102</v>
      </c>
      <c r="G40" s="623" t="s">
        <v>102</v>
      </c>
      <c r="H40" s="623" t="s">
        <v>102</v>
      </c>
      <c r="I40" s="623">
        <v>1101.2017000000001</v>
      </c>
      <c r="J40" s="623">
        <v>788.01350000000002</v>
      </c>
      <c r="K40" s="623">
        <v>1008.8976</v>
      </c>
      <c r="L40" s="623">
        <v>1047.5228</v>
      </c>
      <c r="M40" s="623">
        <v>1045.8947000000001</v>
      </c>
      <c r="N40" s="624">
        <v>1101.2017000000001</v>
      </c>
      <c r="O40" s="624">
        <v>1019.7279</v>
      </c>
      <c r="P40" s="609">
        <v>1023.9272999999999</v>
      </c>
      <c r="R40" s="851" t="s">
        <v>811</v>
      </c>
      <c r="S40" s="639" t="s">
        <v>102</v>
      </c>
      <c r="T40" s="623" t="s">
        <v>102</v>
      </c>
      <c r="U40" s="623" t="s">
        <v>102</v>
      </c>
      <c r="V40" s="623" t="s">
        <v>102</v>
      </c>
      <c r="W40" s="623" t="s">
        <v>102</v>
      </c>
      <c r="X40" s="623" t="s">
        <v>102</v>
      </c>
      <c r="Y40" s="623">
        <v>202.6671</v>
      </c>
      <c r="Z40" s="623">
        <v>83.136700000000005</v>
      </c>
      <c r="AA40" s="623">
        <v>138.43889999999999</v>
      </c>
      <c r="AB40" s="623">
        <v>170.41650000000001</v>
      </c>
      <c r="AC40" s="623">
        <v>190.80449999999999</v>
      </c>
      <c r="AD40" s="624">
        <v>202.6671</v>
      </c>
      <c r="AE40" s="624">
        <v>162.18639999999999</v>
      </c>
      <c r="AF40" s="609">
        <v>164.27289999999999</v>
      </c>
      <c r="AH40" s="851" t="s">
        <v>811</v>
      </c>
      <c r="AI40" s="639" t="s">
        <v>102</v>
      </c>
      <c r="AJ40" s="639" t="s">
        <v>102</v>
      </c>
      <c r="AK40" s="639" t="s">
        <v>102</v>
      </c>
      <c r="AL40" s="639" t="s">
        <v>102</v>
      </c>
      <c r="AM40" s="639" t="s">
        <v>102</v>
      </c>
      <c r="AN40" s="639" t="s">
        <v>102</v>
      </c>
      <c r="AO40" s="639">
        <v>52.846299999999999</v>
      </c>
      <c r="AP40" s="639">
        <v>48.318899999999999</v>
      </c>
      <c r="AQ40" s="639">
        <v>59.256399999999999</v>
      </c>
      <c r="AR40" s="639">
        <v>63.710700000000003</v>
      </c>
      <c r="AS40" s="639">
        <v>61.614699999999999</v>
      </c>
      <c r="AT40" s="644">
        <v>52.846299999999999</v>
      </c>
      <c r="AU40" s="644">
        <v>60.808700000000002</v>
      </c>
      <c r="AV40" s="640">
        <v>60.305</v>
      </c>
      <c r="AX40" s="851" t="s">
        <v>811</v>
      </c>
      <c r="AY40" s="639" t="s">
        <v>102</v>
      </c>
      <c r="AZ40" s="639" t="s">
        <v>102</v>
      </c>
      <c r="BA40" s="639" t="s">
        <v>102</v>
      </c>
      <c r="BB40" s="639" t="s">
        <v>102</v>
      </c>
      <c r="BC40" s="639" t="s">
        <v>102</v>
      </c>
      <c r="BD40" s="639" t="s">
        <v>102</v>
      </c>
      <c r="BE40" s="639">
        <v>11.725199999999999</v>
      </c>
      <c r="BF40" s="639">
        <v>5.4256000000000002</v>
      </c>
      <c r="BG40" s="639">
        <v>6.2939999999999996</v>
      </c>
      <c r="BH40" s="639">
        <v>4.5209999999999999</v>
      </c>
      <c r="BI40" s="639">
        <v>5.0195999999999996</v>
      </c>
      <c r="BJ40" s="644">
        <v>11.725199999999999</v>
      </c>
      <c r="BK40" s="644">
        <v>5.1395</v>
      </c>
      <c r="BL40" s="640">
        <v>5.3045999999999998</v>
      </c>
      <c r="BN40" s="851" t="s">
        <v>811</v>
      </c>
      <c r="BO40" s="639" t="s">
        <v>102</v>
      </c>
      <c r="BP40" s="639" t="s">
        <v>102</v>
      </c>
      <c r="BQ40" s="639" t="s">
        <v>102</v>
      </c>
      <c r="BR40" s="639" t="s">
        <v>102</v>
      </c>
      <c r="BS40" s="639" t="s">
        <v>102</v>
      </c>
      <c r="BT40" s="639" t="s">
        <v>102</v>
      </c>
      <c r="BU40" s="639">
        <v>99.354799999999997</v>
      </c>
      <c r="BV40" s="639">
        <v>94.481499999999997</v>
      </c>
      <c r="BW40" s="639">
        <v>96.284000000000006</v>
      </c>
      <c r="BX40" s="639">
        <v>94.403199999999998</v>
      </c>
      <c r="BY40" s="639">
        <v>96.622500000000002</v>
      </c>
      <c r="BZ40" s="644">
        <v>99.354799999999997</v>
      </c>
      <c r="CA40" s="644">
        <v>95.664599999999993</v>
      </c>
      <c r="CB40" s="640">
        <v>95.898099999999999</v>
      </c>
      <c r="CD40" s="851" t="s">
        <v>811</v>
      </c>
      <c r="CE40" s="639" t="s">
        <v>102</v>
      </c>
      <c r="CF40" s="639" t="s">
        <v>102</v>
      </c>
      <c r="CG40" s="639" t="s">
        <v>102</v>
      </c>
      <c r="CH40" s="639" t="s">
        <v>102</v>
      </c>
      <c r="CI40" s="639" t="s">
        <v>102</v>
      </c>
      <c r="CJ40" s="639" t="s">
        <v>102</v>
      </c>
      <c r="CK40" s="639">
        <v>2.3330000000000002</v>
      </c>
      <c r="CL40" s="639">
        <v>1.8067</v>
      </c>
      <c r="CM40" s="639">
        <v>3.0024999999999999</v>
      </c>
      <c r="CN40" s="639">
        <v>2.5678999999999998</v>
      </c>
      <c r="CO40" s="639">
        <v>3.3990999999999998</v>
      </c>
      <c r="CP40" s="644">
        <v>2.3330000000000002</v>
      </c>
      <c r="CQ40" s="644">
        <v>2.9232999999999998</v>
      </c>
      <c r="CR40" s="640">
        <v>2.8906000000000001</v>
      </c>
    </row>
    <row r="41" spans="2:96" s="465" customFormat="1" ht="15.75" customHeight="1" x14ac:dyDescent="0.25">
      <c r="B41" s="850" t="s">
        <v>812</v>
      </c>
      <c r="C41" s="619" t="s">
        <v>102</v>
      </c>
      <c r="D41" s="619" t="s">
        <v>102</v>
      </c>
      <c r="E41" s="619" t="s">
        <v>102</v>
      </c>
      <c r="F41" s="619" t="s">
        <v>102</v>
      </c>
      <c r="G41" s="619" t="s">
        <v>102</v>
      </c>
      <c r="H41" s="619" t="s">
        <v>102</v>
      </c>
      <c r="I41" s="619">
        <v>653.21079999999995</v>
      </c>
      <c r="J41" s="619">
        <v>382.16210000000001</v>
      </c>
      <c r="K41" s="619">
        <v>401.39699999999999</v>
      </c>
      <c r="L41" s="619">
        <v>426.84429999999998</v>
      </c>
      <c r="M41" s="619" t="s">
        <v>102</v>
      </c>
      <c r="N41" s="620">
        <v>653.21079999999995</v>
      </c>
      <c r="O41" s="620">
        <v>400.43920000000003</v>
      </c>
      <c r="P41" s="621">
        <v>448.53980000000001</v>
      </c>
      <c r="R41" s="850" t="s">
        <v>812</v>
      </c>
      <c r="S41" s="637" t="s">
        <v>102</v>
      </c>
      <c r="T41" s="619" t="s">
        <v>102</v>
      </c>
      <c r="U41" s="619" t="s">
        <v>102</v>
      </c>
      <c r="V41" s="619" t="s">
        <v>102</v>
      </c>
      <c r="W41" s="619" t="s">
        <v>102</v>
      </c>
      <c r="X41" s="619" t="s">
        <v>102</v>
      </c>
      <c r="Y41" s="619">
        <v>40.312899999999999</v>
      </c>
      <c r="Z41" s="619">
        <v>26.421600000000002</v>
      </c>
      <c r="AA41" s="619">
        <v>21.0762</v>
      </c>
      <c r="AB41" s="619">
        <v>53.425899999999999</v>
      </c>
      <c r="AC41" s="619" t="s">
        <v>102</v>
      </c>
      <c r="AD41" s="620">
        <v>40.312899999999999</v>
      </c>
      <c r="AE41" s="620">
        <v>34.8566</v>
      </c>
      <c r="AF41" s="621">
        <v>35.8949</v>
      </c>
      <c r="AH41" s="850" t="s">
        <v>812</v>
      </c>
      <c r="AI41" s="637" t="s">
        <v>102</v>
      </c>
      <c r="AJ41" s="637" t="s">
        <v>102</v>
      </c>
      <c r="AK41" s="637" t="s">
        <v>102</v>
      </c>
      <c r="AL41" s="637" t="s">
        <v>102</v>
      </c>
      <c r="AM41" s="637" t="s">
        <v>102</v>
      </c>
      <c r="AN41" s="637" t="s">
        <v>102</v>
      </c>
      <c r="AO41" s="637">
        <v>58.4071</v>
      </c>
      <c r="AP41" s="637">
        <v>37.163200000000003</v>
      </c>
      <c r="AQ41" s="637">
        <v>42.776400000000002</v>
      </c>
      <c r="AR41" s="637">
        <v>47.49</v>
      </c>
      <c r="AS41" s="637" t="s">
        <v>102</v>
      </c>
      <c r="AT41" s="643">
        <v>58.4071</v>
      </c>
      <c r="AU41" s="643">
        <v>41.278599999999997</v>
      </c>
      <c r="AV41" s="638">
        <v>44.930100000000003</v>
      </c>
      <c r="AX41" s="850" t="s">
        <v>812</v>
      </c>
      <c r="AY41" s="637" t="s">
        <v>102</v>
      </c>
      <c r="AZ41" s="637" t="s">
        <v>102</v>
      </c>
      <c r="BA41" s="637" t="s">
        <v>102</v>
      </c>
      <c r="BB41" s="637" t="s">
        <v>102</v>
      </c>
      <c r="BC41" s="637" t="s">
        <v>102</v>
      </c>
      <c r="BD41" s="637" t="s">
        <v>102</v>
      </c>
      <c r="BE41" s="637">
        <v>8.3917999999999999</v>
      </c>
      <c r="BF41" s="637">
        <v>4.1919000000000004</v>
      </c>
      <c r="BG41" s="637">
        <v>2.0657000000000001</v>
      </c>
      <c r="BH41" s="637" t="s">
        <v>102</v>
      </c>
      <c r="BI41" s="637" t="s">
        <v>102</v>
      </c>
      <c r="BJ41" s="643">
        <v>8.3917999999999999</v>
      </c>
      <c r="BK41" s="643">
        <v>5.3209999999999997</v>
      </c>
      <c r="BL41" s="638">
        <v>5.9215</v>
      </c>
      <c r="BN41" s="850" t="s">
        <v>812</v>
      </c>
      <c r="BO41" s="637" t="s">
        <v>102</v>
      </c>
      <c r="BP41" s="637" t="s">
        <v>102</v>
      </c>
      <c r="BQ41" s="637" t="s">
        <v>102</v>
      </c>
      <c r="BR41" s="637" t="s">
        <v>102</v>
      </c>
      <c r="BS41" s="637" t="s">
        <v>102</v>
      </c>
      <c r="BT41" s="637" t="s">
        <v>102</v>
      </c>
      <c r="BU41" s="637">
        <v>95.988600000000005</v>
      </c>
      <c r="BV41" s="637">
        <v>93.139099999999999</v>
      </c>
      <c r="BW41" s="637">
        <v>81.132099999999994</v>
      </c>
      <c r="BX41" s="637">
        <v>105.2821</v>
      </c>
      <c r="BY41" s="637" t="s">
        <v>102</v>
      </c>
      <c r="BZ41" s="643">
        <v>95.988600000000005</v>
      </c>
      <c r="CA41" s="643">
        <v>95.209000000000003</v>
      </c>
      <c r="CB41" s="638">
        <v>95.375200000000007</v>
      </c>
      <c r="CD41" s="850" t="s">
        <v>812</v>
      </c>
      <c r="CE41" s="637" t="s">
        <v>102</v>
      </c>
      <c r="CF41" s="637" t="s">
        <v>102</v>
      </c>
      <c r="CG41" s="637" t="s">
        <v>102</v>
      </c>
      <c r="CH41" s="637" t="s">
        <v>102</v>
      </c>
      <c r="CI41" s="637" t="s">
        <v>102</v>
      </c>
      <c r="CJ41" s="637" t="s">
        <v>102</v>
      </c>
      <c r="CK41" s="637">
        <v>1.1231</v>
      </c>
      <c r="CL41" s="637">
        <v>1.5194000000000001</v>
      </c>
      <c r="CM41" s="637">
        <v>0.94989999999999997</v>
      </c>
      <c r="CN41" s="637">
        <v>1.7544</v>
      </c>
      <c r="CO41" s="637" t="s">
        <v>102</v>
      </c>
      <c r="CP41" s="643">
        <v>1.1231</v>
      </c>
      <c r="CQ41" s="643">
        <v>1.5175000000000001</v>
      </c>
      <c r="CR41" s="638">
        <v>1.4081999999999999</v>
      </c>
    </row>
    <row r="42" spans="2:96" s="571" customFormat="1" ht="15.75" customHeight="1" x14ac:dyDescent="0.25">
      <c r="B42" s="976" t="s">
        <v>940</v>
      </c>
      <c r="C42" s="977"/>
      <c r="D42" s="977"/>
      <c r="E42" s="977"/>
      <c r="F42" s="977"/>
      <c r="G42" s="977"/>
      <c r="H42" s="977"/>
      <c r="I42" s="977"/>
      <c r="J42" s="977"/>
      <c r="K42" s="977"/>
      <c r="L42" s="977"/>
      <c r="M42" s="977"/>
      <c r="N42" s="978"/>
      <c r="O42" s="978"/>
      <c r="P42" s="979"/>
      <c r="R42" s="976" t="s">
        <v>940</v>
      </c>
      <c r="S42" s="977"/>
      <c r="T42" s="977"/>
      <c r="U42" s="977"/>
      <c r="V42" s="977"/>
      <c r="W42" s="977"/>
      <c r="X42" s="977"/>
      <c r="Y42" s="977"/>
      <c r="Z42" s="977"/>
      <c r="AA42" s="977"/>
      <c r="AB42" s="977"/>
      <c r="AC42" s="977"/>
      <c r="AD42" s="978"/>
      <c r="AE42" s="978"/>
      <c r="AF42" s="979"/>
      <c r="AH42" s="976" t="s">
        <v>940</v>
      </c>
      <c r="AI42" s="981"/>
      <c r="AJ42" s="981"/>
      <c r="AK42" s="981"/>
      <c r="AL42" s="981"/>
      <c r="AM42" s="981"/>
      <c r="AN42" s="981"/>
      <c r="AO42" s="981"/>
      <c r="AP42" s="981"/>
      <c r="AQ42" s="981"/>
      <c r="AR42" s="981"/>
      <c r="AS42" s="981"/>
      <c r="AT42" s="982"/>
      <c r="AU42" s="982"/>
      <c r="AV42" s="983"/>
      <c r="AX42" s="976" t="s">
        <v>940</v>
      </c>
      <c r="AY42" s="981"/>
      <c r="AZ42" s="981"/>
      <c r="BA42" s="981"/>
      <c r="BB42" s="981"/>
      <c r="BC42" s="981"/>
      <c r="BD42" s="981"/>
      <c r="BE42" s="981"/>
      <c r="BF42" s="981"/>
      <c r="BG42" s="981"/>
      <c r="BH42" s="981"/>
      <c r="BI42" s="981"/>
      <c r="BJ42" s="982"/>
      <c r="BK42" s="982"/>
      <c r="BL42" s="983"/>
      <c r="BN42" s="976" t="s">
        <v>940</v>
      </c>
      <c r="BO42" s="981"/>
      <c r="BP42" s="981"/>
      <c r="BQ42" s="981"/>
      <c r="BR42" s="981"/>
      <c r="BS42" s="981"/>
      <c r="BT42" s="981"/>
      <c r="BU42" s="981"/>
      <c r="BV42" s="981"/>
      <c r="BW42" s="981"/>
      <c r="BX42" s="981"/>
      <c r="BY42" s="981"/>
      <c r="BZ42" s="982"/>
      <c r="CA42" s="982"/>
      <c r="CB42" s="983"/>
      <c r="CD42" s="976" t="s">
        <v>940</v>
      </c>
      <c r="CE42" s="981"/>
      <c r="CF42" s="981"/>
      <c r="CG42" s="981"/>
      <c r="CH42" s="981"/>
      <c r="CI42" s="981"/>
      <c r="CJ42" s="981"/>
      <c r="CK42" s="981"/>
      <c r="CL42" s="981"/>
      <c r="CM42" s="981"/>
      <c r="CN42" s="981"/>
      <c r="CO42" s="981"/>
      <c r="CP42" s="982"/>
      <c r="CQ42" s="982"/>
      <c r="CR42" s="983"/>
    </row>
    <row r="43" spans="2:96" s="465" customFormat="1" ht="15.75" customHeight="1" x14ac:dyDescent="0.25">
      <c r="B43" s="852" t="s">
        <v>502</v>
      </c>
      <c r="C43" s="853">
        <v>96.866</v>
      </c>
      <c r="D43" s="853">
        <v>431.42570000000001</v>
      </c>
      <c r="E43" s="853">
        <v>324.05790000000002</v>
      </c>
      <c r="F43" s="853">
        <v>470.16629999999998</v>
      </c>
      <c r="G43" s="853">
        <v>488.69549999999998</v>
      </c>
      <c r="H43" s="853">
        <v>531.76049999999998</v>
      </c>
      <c r="I43" s="853">
        <v>651.46939999999995</v>
      </c>
      <c r="J43" s="853">
        <v>686.07560000000001</v>
      </c>
      <c r="K43" s="853">
        <v>851.48350000000005</v>
      </c>
      <c r="L43" s="853">
        <v>1375.259</v>
      </c>
      <c r="M43" s="853">
        <v>1967.89</v>
      </c>
      <c r="N43" s="854">
        <v>578.22299999999996</v>
      </c>
      <c r="O43" s="854">
        <v>1461.3601000000001</v>
      </c>
      <c r="P43" s="855">
        <v>1327.2312999999999</v>
      </c>
      <c r="R43" s="852" t="s">
        <v>502</v>
      </c>
      <c r="S43" s="853">
        <v>26.206199999999999</v>
      </c>
      <c r="T43" s="853">
        <v>352.31139999999999</v>
      </c>
      <c r="U43" s="853">
        <v>120.92310000000001</v>
      </c>
      <c r="V43" s="853">
        <v>72.290499999999994</v>
      </c>
      <c r="W43" s="853">
        <v>69.122</v>
      </c>
      <c r="X43" s="853">
        <v>64.331299999999999</v>
      </c>
      <c r="Y43" s="853">
        <v>86.660200000000003</v>
      </c>
      <c r="Z43" s="853">
        <v>87.811800000000005</v>
      </c>
      <c r="AA43" s="853">
        <v>116.7641</v>
      </c>
      <c r="AB43" s="853">
        <v>175.92789999999999</v>
      </c>
      <c r="AC43" s="853">
        <v>158.3083</v>
      </c>
      <c r="AD43" s="854">
        <v>79.669799999999995</v>
      </c>
      <c r="AE43" s="854">
        <v>143.10839999999999</v>
      </c>
      <c r="AF43" s="855">
        <v>133.4735</v>
      </c>
      <c r="AH43" s="852" t="s">
        <v>502</v>
      </c>
      <c r="AI43" s="887">
        <v>10.5364</v>
      </c>
      <c r="AJ43" s="887">
        <v>34.044800000000002</v>
      </c>
      <c r="AK43" s="887">
        <v>41.032200000000003</v>
      </c>
      <c r="AL43" s="887">
        <v>52.945599999999999</v>
      </c>
      <c r="AM43" s="887">
        <v>48.432299999999998</v>
      </c>
      <c r="AN43" s="887">
        <v>46.275399999999998</v>
      </c>
      <c r="AO43" s="887">
        <v>50.463500000000003</v>
      </c>
      <c r="AP43" s="887">
        <v>47.862200000000001</v>
      </c>
      <c r="AQ43" s="887">
        <v>51.964599999999997</v>
      </c>
      <c r="AR43" s="887">
        <v>76.289299999999997</v>
      </c>
      <c r="AS43" s="887">
        <v>98.956900000000005</v>
      </c>
      <c r="AT43" s="888">
        <v>49.722000000000001</v>
      </c>
      <c r="AU43" s="888">
        <v>80.609399999999994</v>
      </c>
      <c r="AV43" s="889">
        <v>77.426900000000003</v>
      </c>
      <c r="AX43" s="852" t="s">
        <v>502</v>
      </c>
      <c r="AY43" s="887">
        <v>0.3448</v>
      </c>
      <c r="AZ43" s="887">
        <v>1.2193000000000001</v>
      </c>
      <c r="BA43" s="887">
        <v>1.6193</v>
      </c>
      <c r="BB43" s="887">
        <v>2.9807999999999999</v>
      </c>
      <c r="BC43" s="887">
        <v>2.7625000000000002</v>
      </c>
      <c r="BD43" s="887">
        <v>2.9266999999999999</v>
      </c>
      <c r="BE43" s="887">
        <v>3.5379999999999998</v>
      </c>
      <c r="BF43" s="887">
        <v>3.8096999999999999</v>
      </c>
      <c r="BG43" s="887">
        <v>4.3582999999999998</v>
      </c>
      <c r="BH43" s="887">
        <v>5.7484999999999999</v>
      </c>
      <c r="BI43" s="887">
        <v>10.8482</v>
      </c>
      <c r="BJ43" s="888">
        <v>3.2212000000000001</v>
      </c>
      <c r="BK43" s="888">
        <v>7.5460000000000003</v>
      </c>
      <c r="BL43" s="889">
        <v>6.9303999999999997</v>
      </c>
      <c r="BN43" s="852" t="s">
        <v>502</v>
      </c>
      <c r="BO43" s="887">
        <v>72.084500000000006</v>
      </c>
      <c r="BP43" s="887">
        <v>99.006</v>
      </c>
      <c r="BQ43" s="887">
        <v>88.778199999999998</v>
      </c>
      <c r="BR43" s="887">
        <v>88.997100000000003</v>
      </c>
      <c r="BS43" s="887">
        <v>88.057900000000004</v>
      </c>
      <c r="BT43" s="887">
        <v>88.473200000000006</v>
      </c>
      <c r="BU43" s="887">
        <v>91.021699999999996</v>
      </c>
      <c r="BV43" s="887">
        <v>92.182199999999995</v>
      </c>
      <c r="BW43" s="887">
        <v>93.649199999999993</v>
      </c>
      <c r="BX43" s="887">
        <v>94.132000000000005</v>
      </c>
      <c r="BY43" s="887">
        <v>96.692300000000003</v>
      </c>
      <c r="BZ43" s="888">
        <v>90.034599999999998</v>
      </c>
      <c r="CA43" s="888">
        <v>95.230699999999999</v>
      </c>
      <c r="CB43" s="889">
        <v>94.695300000000003</v>
      </c>
      <c r="CD43" s="852" t="s">
        <v>502</v>
      </c>
      <c r="CE43" s="887">
        <v>1.9992000000000001</v>
      </c>
      <c r="CF43" s="887">
        <v>2.57</v>
      </c>
      <c r="CG43" s="887">
        <v>2.8744999999999998</v>
      </c>
      <c r="CH43" s="887">
        <v>2.5503999999999998</v>
      </c>
      <c r="CI43" s="887">
        <v>2.4456000000000002</v>
      </c>
      <c r="CJ43" s="887">
        <v>2.4365000000000001</v>
      </c>
      <c r="CK43" s="887">
        <v>2.5015999999999998</v>
      </c>
      <c r="CL43" s="887">
        <v>2.4836</v>
      </c>
      <c r="CM43" s="887">
        <v>2.7993000000000001</v>
      </c>
      <c r="CN43" s="887">
        <v>2.9441000000000002</v>
      </c>
      <c r="CO43" s="887">
        <v>2.0861000000000001</v>
      </c>
      <c r="CP43" s="888">
        <v>2.4943</v>
      </c>
      <c r="CQ43" s="888">
        <v>2.3336999999999999</v>
      </c>
      <c r="CR43" s="889">
        <v>2.3443999999999998</v>
      </c>
    </row>
    <row r="44" spans="2:96" s="571" customFormat="1" ht="15.75" customHeight="1" x14ac:dyDescent="0.25">
      <c r="B44" s="856" t="s">
        <v>472</v>
      </c>
      <c r="C44" s="857">
        <v>532.44380000000001</v>
      </c>
      <c r="D44" s="857">
        <v>568.50419999999997</v>
      </c>
      <c r="E44" s="857">
        <v>484.52379999999999</v>
      </c>
      <c r="F44" s="857">
        <v>506.6377</v>
      </c>
      <c r="G44" s="857">
        <v>601.53719999999998</v>
      </c>
      <c r="H44" s="857">
        <v>677.04920000000004</v>
      </c>
      <c r="I44" s="857">
        <v>735.05359999999996</v>
      </c>
      <c r="J44" s="857">
        <v>814.30089999999996</v>
      </c>
      <c r="K44" s="857">
        <v>1093.1681000000001</v>
      </c>
      <c r="L44" s="857">
        <v>1286.4342999999999</v>
      </c>
      <c r="M44" s="857">
        <v>1011.0151</v>
      </c>
      <c r="N44" s="858">
        <v>618.36059999999998</v>
      </c>
      <c r="O44" s="858">
        <v>1058.8680999999999</v>
      </c>
      <c r="P44" s="859">
        <v>862.33929999999998</v>
      </c>
      <c r="R44" s="856" t="s">
        <v>472</v>
      </c>
      <c r="S44" s="857">
        <v>154.7073</v>
      </c>
      <c r="T44" s="857">
        <v>116.8639</v>
      </c>
      <c r="U44" s="857">
        <v>87.713700000000003</v>
      </c>
      <c r="V44" s="857">
        <v>82.469899999999996</v>
      </c>
      <c r="W44" s="857">
        <v>85.231300000000005</v>
      </c>
      <c r="X44" s="857">
        <v>91.740399999999994</v>
      </c>
      <c r="Y44" s="857">
        <v>100.5325</v>
      </c>
      <c r="Z44" s="857">
        <v>106.7663</v>
      </c>
      <c r="AA44" s="857">
        <v>137.0676</v>
      </c>
      <c r="AB44" s="857">
        <v>168.53870000000001</v>
      </c>
      <c r="AC44" s="857">
        <v>149.37459999999999</v>
      </c>
      <c r="AD44" s="858">
        <v>90.4285</v>
      </c>
      <c r="AE44" s="858">
        <v>136.9967</v>
      </c>
      <c r="AF44" s="859">
        <v>116.22069999999999</v>
      </c>
      <c r="AH44" s="856" t="s">
        <v>472</v>
      </c>
      <c r="AI44" s="884">
        <v>33.983899999999998</v>
      </c>
      <c r="AJ44" s="884">
        <v>54.593000000000004</v>
      </c>
      <c r="AK44" s="884">
        <v>56.955199999999998</v>
      </c>
      <c r="AL44" s="884">
        <v>57.651299999999999</v>
      </c>
      <c r="AM44" s="884">
        <v>58.437600000000003</v>
      </c>
      <c r="AN44" s="884">
        <v>57.984200000000001</v>
      </c>
      <c r="AO44" s="884">
        <v>55.615600000000001</v>
      </c>
      <c r="AP44" s="884">
        <v>55.086399999999998</v>
      </c>
      <c r="AQ44" s="884">
        <v>69.117699999999999</v>
      </c>
      <c r="AR44" s="884">
        <v>76.17</v>
      </c>
      <c r="AS44" s="884">
        <v>60.988100000000003</v>
      </c>
      <c r="AT44" s="885">
        <v>57.005200000000002</v>
      </c>
      <c r="AU44" s="885">
        <v>66.874300000000005</v>
      </c>
      <c r="AV44" s="886">
        <v>63.364800000000002</v>
      </c>
      <c r="AX44" s="856" t="s">
        <v>472</v>
      </c>
      <c r="AY44" s="884">
        <v>1.4060999999999999</v>
      </c>
      <c r="AZ44" s="884">
        <v>2.3020999999999998</v>
      </c>
      <c r="BA44" s="884">
        <v>2.5710999999999999</v>
      </c>
      <c r="BB44" s="884">
        <v>2.8513000000000002</v>
      </c>
      <c r="BC44" s="884">
        <v>3.0777999999999999</v>
      </c>
      <c r="BD44" s="884">
        <v>3.3071999999999999</v>
      </c>
      <c r="BE44" s="884">
        <v>3.4948000000000001</v>
      </c>
      <c r="BF44" s="884">
        <v>3.8369</v>
      </c>
      <c r="BG44" s="884">
        <v>4.9866000000000001</v>
      </c>
      <c r="BH44" s="884">
        <v>5.5042999999999997</v>
      </c>
      <c r="BI44" s="884">
        <v>4.0739999999999998</v>
      </c>
      <c r="BJ44" s="885">
        <v>3.15</v>
      </c>
      <c r="BK44" s="885">
        <v>4.7609000000000004</v>
      </c>
      <c r="BL44" s="886">
        <v>4.0914999999999999</v>
      </c>
      <c r="BN44" s="856" t="s">
        <v>472</v>
      </c>
      <c r="BO44" s="884">
        <v>84.918400000000005</v>
      </c>
      <c r="BP44" s="884">
        <v>86.278700000000001</v>
      </c>
      <c r="BQ44" s="884">
        <v>86.712000000000003</v>
      </c>
      <c r="BR44" s="884">
        <v>87.638900000000007</v>
      </c>
      <c r="BS44" s="884">
        <v>87.581900000000005</v>
      </c>
      <c r="BT44" s="884">
        <v>88.570499999999996</v>
      </c>
      <c r="BU44" s="884">
        <v>89.833399999999997</v>
      </c>
      <c r="BV44" s="884">
        <v>91.149000000000001</v>
      </c>
      <c r="BW44" s="884">
        <v>92.717699999999994</v>
      </c>
      <c r="BX44" s="884">
        <v>93.921599999999998</v>
      </c>
      <c r="BY44" s="884">
        <v>92.104399999999998</v>
      </c>
      <c r="BZ44" s="885">
        <v>88.527199999999993</v>
      </c>
      <c r="CA44" s="885">
        <v>92.586600000000004</v>
      </c>
      <c r="CB44" s="886">
        <v>91.143100000000004</v>
      </c>
      <c r="CD44" s="856" t="s">
        <v>472</v>
      </c>
      <c r="CE44" s="884">
        <v>2.1322999999999999</v>
      </c>
      <c r="CF44" s="884">
        <v>2.1909999999999998</v>
      </c>
      <c r="CG44" s="884">
        <v>2.4056000000000002</v>
      </c>
      <c r="CH44" s="884">
        <v>2.4554</v>
      </c>
      <c r="CI44" s="884">
        <v>2.5560999999999998</v>
      </c>
      <c r="CJ44" s="884">
        <v>2.4708999999999999</v>
      </c>
      <c r="CK44" s="884">
        <v>2.5436000000000001</v>
      </c>
      <c r="CL44" s="884">
        <v>2.5554999999999999</v>
      </c>
      <c r="CM44" s="884">
        <v>2.5720000000000001</v>
      </c>
      <c r="CN44" s="884">
        <v>2.6539000000000001</v>
      </c>
      <c r="CO44" s="884">
        <v>2.9043999999999999</v>
      </c>
      <c r="CP44" s="885">
        <v>2.5049999999999999</v>
      </c>
      <c r="CQ44" s="885">
        <v>2.6103000000000001</v>
      </c>
      <c r="CR44" s="886">
        <v>2.5766</v>
      </c>
    </row>
    <row r="45" spans="2:96" s="465" customFormat="1" ht="15.75" customHeight="1" x14ac:dyDescent="0.25">
      <c r="B45" s="865" t="s">
        <v>97</v>
      </c>
      <c r="C45" s="853">
        <v>676.4298</v>
      </c>
      <c r="D45" s="853">
        <v>575.35860000000002</v>
      </c>
      <c r="E45" s="853">
        <v>506.1721</v>
      </c>
      <c r="F45" s="853">
        <v>592.9058</v>
      </c>
      <c r="G45" s="853">
        <v>683.96960000000001</v>
      </c>
      <c r="H45" s="853">
        <v>770.75620000000004</v>
      </c>
      <c r="I45" s="853">
        <v>838.73659999999995</v>
      </c>
      <c r="J45" s="853">
        <v>924.20069999999998</v>
      </c>
      <c r="K45" s="853">
        <v>1011.6246</v>
      </c>
      <c r="L45" s="866">
        <v>330.0727</v>
      </c>
      <c r="M45" s="866" t="s">
        <v>102</v>
      </c>
      <c r="N45" s="854">
        <v>662.30460000000005</v>
      </c>
      <c r="O45" s="854">
        <v>918.42840000000001</v>
      </c>
      <c r="P45" s="855">
        <v>689.00850000000003</v>
      </c>
      <c r="R45" s="865" t="s">
        <v>97</v>
      </c>
      <c r="S45" s="853">
        <v>136.11969999999999</v>
      </c>
      <c r="T45" s="853">
        <v>106.3322</v>
      </c>
      <c r="U45" s="853">
        <v>88.439400000000006</v>
      </c>
      <c r="V45" s="853">
        <v>92.6036</v>
      </c>
      <c r="W45" s="853">
        <v>94.974000000000004</v>
      </c>
      <c r="X45" s="853">
        <v>100.88939999999999</v>
      </c>
      <c r="Y45" s="853">
        <v>111.13290000000001</v>
      </c>
      <c r="Z45" s="853">
        <v>122.70489999999999</v>
      </c>
      <c r="AA45" s="853">
        <v>121.01049999999999</v>
      </c>
      <c r="AB45" s="866">
        <v>27.1418</v>
      </c>
      <c r="AC45" s="866" t="s">
        <v>102</v>
      </c>
      <c r="AD45" s="854">
        <v>97.546599999999998</v>
      </c>
      <c r="AE45" s="854">
        <v>120.1397</v>
      </c>
      <c r="AF45" s="855">
        <v>99.902199999999993</v>
      </c>
      <c r="AH45" s="865" t="s">
        <v>97</v>
      </c>
      <c r="AI45" s="887">
        <v>44.202599999999997</v>
      </c>
      <c r="AJ45" s="887">
        <v>51.6312</v>
      </c>
      <c r="AK45" s="887">
        <v>54.474400000000003</v>
      </c>
      <c r="AL45" s="887">
        <v>63.022199999999998</v>
      </c>
      <c r="AM45" s="887">
        <v>63.573799999999999</v>
      </c>
      <c r="AN45" s="887">
        <v>63.178100000000001</v>
      </c>
      <c r="AO45" s="887">
        <v>64.308700000000002</v>
      </c>
      <c r="AP45" s="887">
        <v>64.702500000000001</v>
      </c>
      <c r="AQ45" s="887">
        <v>66.504800000000003</v>
      </c>
      <c r="AR45" s="890">
        <v>25.6875</v>
      </c>
      <c r="AS45" s="890" t="s">
        <v>102</v>
      </c>
      <c r="AT45" s="888">
        <v>61.945700000000002</v>
      </c>
      <c r="AU45" s="888">
        <v>64.027299999999997</v>
      </c>
      <c r="AV45" s="889">
        <v>62.226799999999997</v>
      </c>
      <c r="AX45" s="865" t="s">
        <v>97</v>
      </c>
      <c r="AY45" s="887">
        <v>1.5873999999999999</v>
      </c>
      <c r="AZ45" s="887">
        <v>2.0769000000000002</v>
      </c>
      <c r="BA45" s="887">
        <v>2.5203000000000002</v>
      </c>
      <c r="BB45" s="887">
        <v>3.2031999999999998</v>
      </c>
      <c r="BC45" s="887">
        <v>3.3037999999999998</v>
      </c>
      <c r="BD45" s="887">
        <v>3.3877000000000002</v>
      </c>
      <c r="BE45" s="887">
        <v>3.7871000000000001</v>
      </c>
      <c r="BF45" s="887">
        <v>4.4005999999999998</v>
      </c>
      <c r="BG45" s="887">
        <v>6.5544000000000002</v>
      </c>
      <c r="BH45" s="890">
        <v>3.8972000000000002</v>
      </c>
      <c r="BI45" s="890" t="s">
        <v>102</v>
      </c>
      <c r="BJ45" s="888">
        <v>3.2017000000000002</v>
      </c>
      <c r="BK45" s="888">
        <v>4.5670000000000002</v>
      </c>
      <c r="BL45" s="889">
        <v>3.3405</v>
      </c>
      <c r="BN45" s="865" t="s">
        <v>97</v>
      </c>
      <c r="BO45" s="887">
        <v>79.919899999999998</v>
      </c>
      <c r="BP45" s="887">
        <v>83.450999999999993</v>
      </c>
      <c r="BQ45" s="887">
        <v>86.576800000000006</v>
      </c>
      <c r="BR45" s="887">
        <v>88.511600000000001</v>
      </c>
      <c r="BS45" s="887">
        <v>87.731200000000001</v>
      </c>
      <c r="BT45" s="887">
        <v>87.678600000000003</v>
      </c>
      <c r="BU45" s="887">
        <v>89.524299999999997</v>
      </c>
      <c r="BV45" s="887">
        <v>91.742099999999994</v>
      </c>
      <c r="BW45" s="887">
        <v>95.645600000000002</v>
      </c>
      <c r="BX45" s="890">
        <v>94.701099999999997</v>
      </c>
      <c r="BY45" s="890" t="s">
        <v>102</v>
      </c>
      <c r="BZ45" s="888">
        <v>88.024600000000007</v>
      </c>
      <c r="CA45" s="888">
        <v>92.238399999999999</v>
      </c>
      <c r="CB45" s="889">
        <v>88.593699999999998</v>
      </c>
      <c r="CD45" s="865" t="s">
        <v>97</v>
      </c>
      <c r="CE45" s="887">
        <v>2.4041000000000001</v>
      </c>
      <c r="CF45" s="887">
        <v>2.3180999999999998</v>
      </c>
      <c r="CG45" s="887">
        <v>2.3372000000000002</v>
      </c>
      <c r="CH45" s="887">
        <v>2.4611000000000001</v>
      </c>
      <c r="CI45" s="887">
        <v>2.5381</v>
      </c>
      <c r="CJ45" s="887">
        <v>2.4594</v>
      </c>
      <c r="CK45" s="887">
        <v>2.4845000000000002</v>
      </c>
      <c r="CL45" s="887">
        <v>2.6814</v>
      </c>
      <c r="CM45" s="887">
        <v>2.9491999999999998</v>
      </c>
      <c r="CN45" s="890">
        <v>3.1922000000000001</v>
      </c>
      <c r="CO45" s="890" t="s">
        <v>102</v>
      </c>
      <c r="CP45" s="888">
        <v>2.4645999999999999</v>
      </c>
      <c r="CQ45" s="888">
        <v>2.7166999999999999</v>
      </c>
      <c r="CR45" s="889">
        <v>2.4996</v>
      </c>
    </row>
    <row r="46" spans="2:96" s="571" customFormat="1" ht="15.75" customHeight="1" x14ac:dyDescent="0.25">
      <c r="B46" s="860" t="s">
        <v>96</v>
      </c>
      <c r="C46" s="861">
        <v>604.22580000000005</v>
      </c>
      <c r="D46" s="861">
        <v>620.01220000000001</v>
      </c>
      <c r="E46" s="861">
        <v>558.76139999999998</v>
      </c>
      <c r="F46" s="861">
        <v>699.07140000000004</v>
      </c>
      <c r="G46" s="861">
        <v>975.28779999999995</v>
      </c>
      <c r="H46" s="861">
        <v>1072.3409999999999</v>
      </c>
      <c r="I46" s="861">
        <v>951.23170000000005</v>
      </c>
      <c r="J46" s="861">
        <v>872.29280000000006</v>
      </c>
      <c r="K46" s="861" t="s">
        <v>102</v>
      </c>
      <c r="L46" s="862" t="s">
        <v>102</v>
      </c>
      <c r="M46" s="862" t="s">
        <v>102</v>
      </c>
      <c r="N46" s="863">
        <v>762.351</v>
      </c>
      <c r="O46" s="863">
        <v>872.29280000000006</v>
      </c>
      <c r="P46" s="864">
        <v>767.42340000000002</v>
      </c>
      <c r="R46" s="860" t="s">
        <v>96</v>
      </c>
      <c r="S46" s="861">
        <v>139.34469999999999</v>
      </c>
      <c r="T46" s="861">
        <v>100.5029</v>
      </c>
      <c r="U46" s="861">
        <v>96.036299999999997</v>
      </c>
      <c r="V46" s="861">
        <v>109.9385</v>
      </c>
      <c r="W46" s="861">
        <v>126.9122</v>
      </c>
      <c r="X46" s="861">
        <v>131.3091</v>
      </c>
      <c r="Y46" s="861">
        <v>129.1131</v>
      </c>
      <c r="Z46" s="861">
        <v>112.5067</v>
      </c>
      <c r="AA46" s="861" t="s">
        <v>102</v>
      </c>
      <c r="AB46" s="862" t="s">
        <v>102</v>
      </c>
      <c r="AC46" s="862" t="s">
        <v>102</v>
      </c>
      <c r="AD46" s="863">
        <v>113.59</v>
      </c>
      <c r="AE46" s="863">
        <v>112.5067</v>
      </c>
      <c r="AF46" s="864">
        <v>113.54</v>
      </c>
      <c r="AH46" s="860" t="s">
        <v>96</v>
      </c>
      <c r="AI46" s="891">
        <v>38.894599999999997</v>
      </c>
      <c r="AJ46" s="891">
        <v>54.757199999999997</v>
      </c>
      <c r="AK46" s="891">
        <v>52.354500000000002</v>
      </c>
      <c r="AL46" s="891">
        <v>54.502600000000001</v>
      </c>
      <c r="AM46" s="891">
        <v>60.155200000000001</v>
      </c>
      <c r="AN46" s="891">
        <v>59.910899999999998</v>
      </c>
      <c r="AO46" s="891">
        <v>56.406599999999997</v>
      </c>
      <c r="AP46" s="891">
        <v>58.274099999999997</v>
      </c>
      <c r="AQ46" s="891" t="s">
        <v>102</v>
      </c>
      <c r="AR46" s="892" t="s">
        <v>102</v>
      </c>
      <c r="AS46" s="892" t="s">
        <v>102</v>
      </c>
      <c r="AT46" s="893">
        <v>55.546100000000003</v>
      </c>
      <c r="AU46" s="893">
        <v>58.274099999999997</v>
      </c>
      <c r="AV46" s="894">
        <v>55.6828</v>
      </c>
      <c r="AX46" s="860" t="s">
        <v>96</v>
      </c>
      <c r="AY46" s="891">
        <v>1.3451</v>
      </c>
      <c r="AZ46" s="891">
        <v>2.0057999999999998</v>
      </c>
      <c r="BA46" s="891">
        <v>2.0177</v>
      </c>
      <c r="BB46" s="891">
        <v>2.3807</v>
      </c>
      <c r="BC46" s="891">
        <v>3.1939000000000002</v>
      </c>
      <c r="BD46" s="891">
        <v>2.9047000000000001</v>
      </c>
      <c r="BE46" s="891">
        <v>2.9432999999999998</v>
      </c>
      <c r="BF46" s="891">
        <v>4.5407000000000002</v>
      </c>
      <c r="BG46" s="891" t="s">
        <v>102</v>
      </c>
      <c r="BH46" s="892" t="s">
        <v>102</v>
      </c>
      <c r="BI46" s="892" t="s">
        <v>102</v>
      </c>
      <c r="BJ46" s="893">
        <v>2.4855999999999998</v>
      </c>
      <c r="BK46" s="893">
        <v>4.5407000000000002</v>
      </c>
      <c r="BL46" s="894">
        <v>2.5459999999999998</v>
      </c>
      <c r="BN46" s="860" t="s">
        <v>96</v>
      </c>
      <c r="BO46" s="891">
        <v>79.048199999999994</v>
      </c>
      <c r="BP46" s="891">
        <v>80.301599999999993</v>
      </c>
      <c r="BQ46" s="891">
        <v>81.689700000000002</v>
      </c>
      <c r="BR46" s="891">
        <v>84.110299999999995</v>
      </c>
      <c r="BS46" s="891">
        <v>87.358999999999995</v>
      </c>
      <c r="BT46" s="891">
        <v>85.248699999999999</v>
      </c>
      <c r="BU46" s="891">
        <v>86.541300000000007</v>
      </c>
      <c r="BV46" s="891">
        <v>92.585499999999996</v>
      </c>
      <c r="BW46" s="891" t="s">
        <v>102</v>
      </c>
      <c r="BX46" s="892" t="s">
        <v>102</v>
      </c>
      <c r="BY46" s="892" t="s">
        <v>102</v>
      </c>
      <c r="BZ46" s="893">
        <v>84.370500000000007</v>
      </c>
      <c r="CA46" s="893">
        <v>92.585499999999996</v>
      </c>
      <c r="CB46" s="894">
        <v>84.782200000000003</v>
      </c>
      <c r="CD46" s="860" t="s">
        <v>96</v>
      </c>
      <c r="CE46" s="891">
        <v>2.5861999999999998</v>
      </c>
      <c r="CF46" s="891">
        <v>2.2989999999999999</v>
      </c>
      <c r="CG46" s="891">
        <v>2.5190000000000001</v>
      </c>
      <c r="CH46" s="891">
        <v>2.6776</v>
      </c>
      <c r="CI46" s="891">
        <v>2.3872</v>
      </c>
      <c r="CJ46" s="891">
        <v>2.1850999999999998</v>
      </c>
      <c r="CK46" s="891">
        <v>2.6808999999999998</v>
      </c>
      <c r="CL46" s="891">
        <v>2.7829999999999999</v>
      </c>
      <c r="CM46" s="891" t="s">
        <v>102</v>
      </c>
      <c r="CN46" s="892" t="s">
        <v>102</v>
      </c>
      <c r="CO46" s="892" t="s">
        <v>102</v>
      </c>
      <c r="CP46" s="893">
        <v>2.5236999999999998</v>
      </c>
      <c r="CQ46" s="893">
        <v>2.7829999999999999</v>
      </c>
      <c r="CR46" s="894">
        <v>2.5373000000000001</v>
      </c>
    </row>
    <row r="47" spans="2:96" s="168" customFormat="1" x14ac:dyDescent="0.2">
      <c r="B47" s="37" t="s">
        <v>270</v>
      </c>
      <c r="C47" s="649"/>
      <c r="D47" s="649"/>
      <c r="E47" s="649"/>
      <c r="F47" s="649"/>
      <c r="G47" s="649"/>
      <c r="H47" s="649"/>
      <c r="I47" s="649"/>
      <c r="J47" s="649"/>
      <c r="K47" s="649"/>
      <c r="L47" s="649"/>
      <c r="M47" s="649"/>
      <c r="N47" s="649"/>
      <c r="O47" s="649"/>
      <c r="P47" s="650"/>
      <c r="R47" s="37" t="s">
        <v>270</v>
      </c>
      <c r="S47" s="649"/>
      <c r="T47" s="649"/>
      <c r="U47" s="649"/>
      <c r="V47" s="649"/>
      <c r="W47" s="649"/>
      <c r="X47" s="649"/>
      <c r="Y47" s="649"/>
      <c r="Z47" s="649"/>
      <c r="AA47" s="649"/>
      <c r="AB47" s="649"/>
      <c r="AC47" s="649"/>
      <c r="AD47" s="649"/>
      <c r="AE47" s="649"/>
      <c r="AF47" s="650"/>
      <c r="AH47" s="37" t="s">
        <v>270</v>
      </c>
      <c r="AI47" s="649"/>
      <c r="AJ47" s="649"/>
      <c r="AK47" s="649"/>
      <c r="AL47" s="649"/>
      <c r="AM47" s="649"/>
      <c r="AN47" s="649"/>
      <c r="AO47" s="649"/>
      <c r="AP47" s="649"/>
      <c r="AQ47" s="649"/>
      <c r="AR47" s="649"/>
      <c r="AS47" s="649"/>
      <c r="AT47" s="649"/>
      <c r="AU47" s="649"/>
      <c r="AV47" s="650"/>
      <c r="AX47" s="37" t="s">
        <v>270</v>
      </c>
      <c r="AY47" s="649"/>
      <c r="AZ47" s="649"/>
      <c r="BA47" s="649"/>
      <c r="BB47" s="649"/>
      <c r="BC47" s="649"/>
      <c r="BD47" s="649"/>
      <c r="BE47" s="649"/>
      <c r="BF47" s="649"/>
      <c r="BG47" s="649"/>
      <c r="BH47" s="649"/>
      <c r="BI47" s="649"/>
      <c r="BJ47" s="649"/>
      <c r="BK47" s="649"/>
      <c r="BL47" s="650"/>
      <c r="BN47" s="37" t="s">
        <v>270</v>
      </c>
      <c r="BO47" s="649"/>
      <c r="BP47" s="649"/>
      <c r="BQ47" s="649"/>
      <c r="BR47" s="649"/>
      <c r="BS47" s="649"/>
      <c r="BT47" s="649"/>
      <c r="BU47" s="649"/>
      <c r="BV47" s="649"/>
      <c r="BW47" s="649"/>
      <c r="BX47" s="649"/>
      <c r="BY47" s="649"/>
      <c r="BZ47" s="649"/>
      <c r="CA47" s="649"/>
      <c r="CB47" s="650"/>
      <c r="CD47" s="37" t="s">
        <v>270</v>
      </c>
      <c r="CE47" s="649"/>
      <c r="CF47" s="649"/>
      <c r="CG47" s="649"/>
      <c r="CH47" s="649"/>
      <c r="CI47" s="649"/>
      <c r="CJ47" s="649"/>
      <c r="CK47" s="649"/>
      <c r="CL47" s="649"/>
      <c r="CM47" s="649"/>
      <c r="CN47" s="649"/>
      <c r="CO47" s="649"/>
      <c r="CP47" s="649"/>
      <c r="CQ47" s="649"/>
      <c r="CR47" s="650"/>
    </row>
    <row r="48" spans="2:96" s="37" customFormat="1" x14ac:dyDescent="0.2">
      <c r="B48" s="37" t="s">
        <v>503</v>
      </c>
      <c r="C48" s="649"/>
      <c r="D48" s="649"/>
      <c r="E48" s="649"/>
      <c r="F48" s="649"/>
      <c r="G48" s="649"/>
      <c r="H48" s="649"/>
      <c r="I48" s="649"/>
      <c r="J48" s="649"/>
      <c r="K48" s="649"/>
      <c r="L48" s="649"/>
      <c r="M48" s="649"/>
      <c r="N48" s="649"/>
      <c r="O48" s="649"/>
      <c r="P48" s="650"/>
      <c r="R48" s="37" t="s">
        <v>503</v>
      </c>
      <c r="S48" s="649"/>
      <c r="T48" s="649"/>
      <c r="U48" s="649"/>
      <c r="V48" s="649"/>
      <c r="W48" s="649"/>
      <c r="X48" s="649"/>
      <c r="Y48" s="649"/>
      <c r="Z48" s="649"/>
      <c r="AA48" s="649"/>
      <c r="AB48" s="649"/>
      <c r="AC48" s="649"/>
      <c r="AD48" s="649"/>
      <c r="AE48" s="649"/>
      <c r="AF48" s="650"/>
      <c r="AH48" s="37" t="s">
        <v>503</v>
      </c>
      <c r="AI48" s="649"/>
      <c r="AJ48" s="649"/>
      <c r="AK48" s="649"/>
      <c r="AL48" s="649"/>
      <c r="AM48" s="649"/>
      <c r="AN48" s="649"/>
      <c r="AO48" s="649"/>
      <c r="AP48" s="649"/>
      <c r="AQ48" s="649"/>
      <c r="AR48" s="649"/>
      <c r="AS48" s="649"/>
      <c r="AT48" s="649"/>
      <c r="AU48" s="649"/>
      <c r="AV48" s="650"/>
      <c r="AX48" s="37" t="s">
        <v>503</v>
      </c>
      <c r="AY48" s="649"/>
      <c r="AZ48" s="649"/>
      <c r="BA48" s="649"/>
      <c r="BB48" s="649"/>
      <c r="BC48" s="649"/>
      <c r="BD48" s="649"/>
      <c r="BE48" s="649"/>
      <c r="BF48" s="649"/>
      <c r="BG48" s="649"/>
      <c r="BH48" s="649"/>
      <c r="BI48" s="649"/>
      <c r="BJ48" s="649"/>
      <c r="BK48" s="649"/>
      <c r="BL48" s="650"/>
      <c r="BN48" s="37" t="s">
        <v>503</v>
      </c>
      <c r="BO48" s="649"/>
      <c r="BP48" s="649"/>
      <c r="BQ48" s="649"/>
      <c r="BR48" s="649"/>
      <c r="BS48" s="649"/>
      <c r="BT48" s="649"/>
      <c r="BU48" s="649"/>
      <c r="BV48" s="649"/>
      <c r="BW48" s="649"/>
      <c r="BX48" s="649"/>
      <c r="BY48" s="649"/>
      <c r="BZ48" s="649"/>
      <c r="CA48" s="649"/>
      <c r="CB48" s="650"/>
      <c r="CD48" s="37" t="s">
        <v>503</v>
      </c>
      <c r="CE48" s="649"/>
      <c r="CF48" s="649"/>
      <c r="CG48" s="649"/>
      <c r="CH48" s="649"/>
      <c r="CI48" s="649"/>
      <c r="CJ48" s="649"/>
      <c r="CK48" s="649"/>
      <c r="CL48" s="649"/>
      <c r="CM48" s="649"/>
      <c r="CN48" s="649"/>
      <c r="CO48" s="649"/>
      <c r="CP48" s="649"/>
      <c r="CQ48" s="649"/>
      <c r="CR48" s="650"/>
    </row>
    <row r="49" spans="2:96" s="37" customFormat="1" x14ac:dyDescent="0.2">
      <c r="B49" s="37" t="s">
        <v>473</v>
      </c>
      <c r="C49" s="652"/>
      <c r="D49" s="652"/>
      <c r="E49" s="652"/>
      <c r="F49" s="652"/>
      <c r="G49" s="652"/>
      <c r="H49" s="652"/>
      <c r="I49" s="652"/>
      <c r="J49" s="652"/>
      <c r="K49" s="652"/>
      <c r="L49" s="652"/>
      <c r="M49" s="652"/>
      <c r="N49" s="652"/>
      <c r="O49" s="652"/>
      <c r="P49" s="653"/>
      <c r="R49" s="37" t="s">
        <v>473</v>
      </c>
      <c r="S49" s="652"/>
      <c r="T49" s="652"/>
      <c r="U49" s="652"/>
      <c r="V49" s="652"/>
      <c r="W49" s="652"/>
      <c r="X49" s="652"/>
      <c r="Y49" s="652"/>
      <c r="Z49" s="652"/>
      <c r="AA49" s="652"/>
      <c r="AB49" s="652"/>
      <c r="AC49" s="652"/>
      <c r="AD49" s="652"/>
      <c r="AE49" s="652"/>
      <c r="AF49" s="653"/>
      <c r="AH49" s="37" t="s">
        <v>473</v>
      </c>
      <c r="AI49" s="652"/>
      <c r="AJ49" s="652"/>
      <c r="AK49" s="652"/>
      <c r="AL49" s="652"/>
      <c r="AM49" s="652"/>
      <c r="AN49" s="652"/>
      <c r="AO49" s="652"/>
      <c r="AP49" s="652"/>
      <c r="AQ49" s="652"/>
      <c r="AR49" s="652"/>
      <c r="AS49" s="652"/>
      <c r="AT49" s="652"/>
      <c r="AU49" s="652"/>
      <c r="AV49" s="653"/>
      <c r="AX49" s="37" t="s">
        <v>473</v>
      </c>
      <c r="AY49" s="652"/>
      <c r="AZ49" s="652"/>
      <c r="BA49" s="652"/>
      <c r="BB49" s="652"/>
      <c r="BC49" s="652"/>
      <c r="BD49" s="652"/>
      <c r="BE49" s="652"/>
      <c r="BF49" s="652"/>
      <c r="BG49" s="652"/>
      <c r="BH49" s="652"/>
      <c r="BI49" s="652"/>
      <c r="BJ49" s="652"/>
      <c r="BK49" s="652"/>
      <c r="BL49" s="653"/>
      <c r="BN49" s="37" t="s">
        <v>473</v>
      </c>
      <c r="BO49" s="652"/>
      <c r="BP49" s="652"/>
      <c r="BQ49" s="652"/>
      <c r="BR49" s="652"/>
      <c r="BS49" s="652"/>
      <c r="BT49" s="652"/>
      <c r="BU49" s="652"/>
      <c r="BV49" s="652"/>
      <c r="BW49" s="652"/>
      <c r="BX49" s="652"/>
      <c r="BY49" s="652"/>
      <c r="BZ49" s="652"/>
      <c r="CA49" s="652"/>
      <c r="CB49" s="653"/>
      <c r="CD49" s="37" t="s">
        <v>473</v>
      </c>
      <c r="CE49" s="652"/>
      <c r="CF49" s="652"/>
      <c r="CG49" s="652"/>
      <c r="CH49" s="652"/>
      <c r="CI49" s="652"/>
      <c r="CJ49" s="652"/>
      <c r="CK49" s="652"/>
      <c r="CL49" s="652"/>
      <c r="CM49" s="652"/>
      <c r="CN49" s="652"/>
      <c r="CO49" s="652"/>
      <c r="CP49" s="652"/>
      <c r="CQ49" s="652"/>
      <c r="CR49" s="653"/>
    </row>
    <row r="50" spans="2:96" s="37" customFormat="1" x14ac:dyDescent="0.2">
      <c r="B50" s="625" t="s">
        <v>888</v>
      </c>
      <c r="P50" s="655"/>
      <c r="R50" s="625" t="s">
        <v>888</v>
      </c>
      <c r="AF50" s="655"/>
      <c r="AH50" s="625" t="s">
        <v>888</v>
      </c>
      <c r="AV50" s="655"/>
      <c r="AX50" s="625" t="s">
        <v>888</v>
      </c>
      <c r="BL50" s="655"/>
      <c r="BN50" s="625" t="s">
        <v>888</v>
      </c>
      <c r="BO50" s="652"/>
      <c r="BP50" s="652"/>
      <c r="BQ50" s="652"/>
      <c r="BR50" s="652"/>
      <c r="BS50" s="652"/>
      <c r="BT50" s="652"/>
      <c r="BU50" s="652"/>
      <c r="BV50" s="652"/>
      <c r="BW50" s="652"/>
      <c r="BX50" s="652"/>
      <c r="BY50" s="652"/>
      <c r="BZ50" s="652"/>
      <c r="CA50" s="652"/>
      <c r="CB50" s="653"/>
      <c r="CD50" s="625" t="s">
        <v>888</v>
      </c>
      <c r="CR50" s="655"/>
    </row>
    <row r="51" spans="2:96" x14ac:dyDescent="0.2">
      <c r="BO51" s="53"/>
      <c r="BP51" s="53"/>
      <c r="BQ51" s="53"/>
      <c r="BR51" s="53"/>
      <c r="BS51" s="53"/>
      <c r="BT51" s="53"/>
      <c r="BU51" s="53"/>
      <c r="BV51" s="53"/>
      <c r="BW51" s="53"/>
      <c r="BX51" s="53"/>
      <c r="BY51" s="53"/>
      <c r="BZ51" s="53"/>
      <c r="CA51" s="53"/>
      <c r="CB51" s="90"/>
    </row>
    <row r="52" spans="2:96" x14ac:dyDescent="0.2">
      <c r="AV52"/>
    </row>
    <row r="53" spans="2:96" x14ac:dyDescent="0.2">
      <c r="AV53"/>
    </row>
    <row r="54" spans="2:96" x14ac:dyDescent="0.2">
      <c r="AV54"/>
    </row>
    <row r="55" spans="2:96" x14ac:dyDescent="0.2">
      <c r="AV55"/>
    </row>
    <row r="56" spans="2:96" x14ac:dyDescent="0.2">
      <c r="AV56"/>
    </row>
    <row r="57" spans="2:96" x14ac:dyDescent="0.2">
      <c r="AV57"/>
    </row>
    <row r="58" spans="2:96" x14ac:dyDescent="0.2">
      <c r="AV58"/>
    </row>
    <row r="59" spans="2:96" x14ac:dyDescent="0.2">
      <c r="AV59"/>
    </row>
    <row r="60" spans="2:96" x14ac:dyDescent="0.2">
      <c r="AV60"/>
    </row>
    <row r="61" spans="2:96" x14ac:dyDescent="0.2">
      <c r="AV61"/>
    </row>
    <row r="62" spans="2:96" x14ac:dyDescent="0.2">
      <c r="AV62"/>
    </row>
    <row r="63" spans="2:96" x14ac:dyDescent="0.2">
      <c r="AV63"/>
    </row>
    <row r="64" spans="2:96" x14ac:dyDescent="0.2">
      <c r="AV64"/>
    </row>
    <row r="65" spans="48:48" x14ac:dyDescent="0.2">
      <c r="AV65"/>
    </row>
    <row r="66" spans="48:48" x14ac:dyDescent="0.2">
      <c r="AV66"/>
    </row>
    <row r="67" spans="48:48" x14ac:dyDescent="0.2">
      <c r="AV67"/>
    </row>
    <row r="68" spans="48:48" x14ac:dyDescent="0.2">
      <c r="AV68"/>
    </row>
    <row r="69" spans="48:48" x14ac:dyDescent="0.2">
      <c r="AV69"/>
    </row>
    <row r="70" spans="48:48" x14ac:dyDescent="0.2">
      <c r="AV70"/>
    </row>
    <row r="71" spans="48:48" x14ac:dyDescent="0.2">
      <c r="AV71"/>
    </row>
    <row r="72" spans="48:48" x14ac:dyDescent="0.2">
      <c r="AV72"/>
    </row>
    <row r="73" spans="48:48" x14ac:dyDescent="0.2">
      <c r="AV73"/>
    </row>
    <row r="74" spans="48:48" x14ac:dyDescent="0.2">
      <c r="AV74"/>
    </row>
    <row r="75" spans="48:48" x14ac:dyDescent="0.2">
      <c r="AV75"/>
    </row>
    <row r="76" spans="48:48" x14ac:dyDescent="0.2">
      <c r="AV76"/>
    </row>
    <row r="77" spans="48:48" x14ac:dyDescent="0.2">
      <c r="AV77"/>
    </row>
    <row r="78" spans="48:48" x14ac:dyDescent="0.2">
      <c r="AV78"/>
    </row>
    <row r="79" spans="48:48" x14ac:dyDescent="0.2">
      <c r="AV79"/>
    </row>
    <row r="80" spans="48:48" x14ac:dyDescent="0.2">
      <c r="AV80"/>
    </row>
    <row r="81" spans="48:48" x14ac:dyDescent="0.2">
      <c r="AV81"/>
    </row>
    <row r="82" spans="48:48" x14ac:dyDescent="0.2">
      <c r="AV82"/>
    </row>
    <row r="83" spans="48:48" x14ac:dyDescent="0.2">
      <c r="AV83"/>
    </row>
    <row r="84" spans="48:48" x14ac:dyDescent="0.2">
      <c r="AV84"/>
    </row>
    <row r="85" spans="48:48" x14ac:dyDescent="0.2">
      <c r="AV85"/>
    </row>
    <row r="86" spans="48:48" x14ac:dyDescent="0.2">
      <c r="AV86"/>
    </row>
    <row r="87" spans="48:48" x14ac:dyDescent="0.2">
      <c r="AV87"/>
    </row>
    <row r="88" spans="48:48" x14ac:dyDescent="0.2">
      <c r="AV88"/>
    </row>
    <row r="89" spans="48:48" x14ac:dyDescent="0.2">
      <c r="AV89"/>
    </row>
    <row r="90" spans="48:48" x14ac:dyDescent="0.2">
      <c r="AV90"/>
    </row>
    <row r="91" spans="48:48" x14ac:dyDescent="0.2">
      <c r="AV91"/>
    </row>
    <row r="92" spans="48:48" x14ac:dyDescent="0.2">
      <c r="AV92"/>
    </row>
    <row r="93" spans="48:48" x14ac:dyDescent="0.2">
      <c r="AV93"/>
    </row>
    <row r="94" spans="48:48" x14ac:dyDescent="0.2">
      <c r="AV94"/>
    </row>
    <row r="95" spans="48:48" x14ac:dyDescent="0.2">
      <c r="AV95"/>
    </row>
    <row r="96" spans="48:48" x14ac:dyDescent="0.2">
      <c r="AV96"/>
    </row>
    <row r="97" spans="48:48" x14ac:dyDescent="0.2">
      <c r="AV97"/>
    </row>
    <row r="98" spans="48:48" x14ac:dyDescent="0.2">
      <c r="AV98"/>
    </row>
    <row r="99" spans="48:48" x14ac:dyDescent="0.2">
      <c r="AV99"/>
    </row>
    <row r="100" spans="48:48" x14ac:dyDescent="0.2">
      <c r="AV100"/>
    </row>
    <row r="101" spans="48:48" x14ac:dyDescent="0.2">
      <c r="AV101"/>
    </row>
    <row r="102" spans="48:48" x14ac:dyDescent="0.2">
      <c r="AV102"/>
    </row>
    <row r="103" spans="48:48" x14ac:dyDescent="0.2">
      <c r="AV103"/>
    </row>
    <row r="104" spans="48:48" x14ac:dyDescent="0.2">
      <c r="AV104"/>
    </row>
    <row r="105" spans="48:48" x14ac:dyDescent="0.2">
      <c r="AV105"/>
    </row>
    <row r="106" spans="48:48" x14ac:dyDescent="0.2">
      <c r="AV106"/>
    </row>
    <row r="107" spans="48:48" x14ac:dyDescent="0.2">
      <c r="AV107"/>
    </row>
    <row r="108" spans="48:48" x14ac:dyDescent="0.2">
      <c r="AV108"/>
    </row>
    <row r="109" spans="48:48" x14ac:dyDescent="0.2">
      <c r="AV109"/>
    </row>
  </sheetData>
  <pageMargins left="0.59055118110236227" right="0.59055118110236227" top="0.78740157480314965" bottom="0.78740157480314965" header="0.39370078740157483" footer="0.39370078740157483"/>
  <pageSetup paperSize="9" scale="64" firstPageNumber="93" fitToWidth="6" fitToHeight="0" orientation="landscape" useFirstPageNumber="1" r:id="rId1"/>
  <headerFooter alignWithMargins="0">
    <oddHeader>&amp;R&amp;12Les finances des communes en 2024</oddHeader>
    <oddFooter>&amp;L&amp;12Direction Générale des Collectivités Locales / DESL&amp;C&amp;12&amp;P&amp;R&amp;12Mise en ligne : janvier 2026</oddFooter>
  </headerFooter>
  <colBreaks count="5" manualBreakCount="5">
    <brk id="16" max="45" man="1"/>
    <brk id="32" max="45" man="1"/>
    <brk id="48" max="45" man="1"/>
    <brk id="64" max="45" man="1"/>
    <brk id="80" max="4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M215"/>
  <sheetViews>
    <sheetView view="pageBreakPreview" zoomScale="60" zoomScaleNormal="100" workbookViewId="0">
      <selection activeCell="J1" sqref="J1"/>
    </sheetView>
  </sheetViews>
  <sheetFormatPr baseColWidth="10" defaultRowHeight="12.75" x14ac:dyDescent="0.2"/>
  <cols>
    <col min="1" max="1" width="81.42578125" customWidth="1"/>
    <col min="2" max="7" width="17.28515625" customWidth="1"/>
    <col min="8" max="8" width="19.140625" customWidth="1"/>
    <col min="9" max="9" width="17.28515625" customWidth="1"/>
    <col min="10" max="10" width="18.28515625" customWidth="1"/>
    <col min="12" max="12" width="12.5703125" bestFit="1" customWidth="1"/>
  </cols>
  <sheetData>
    <row r="1" spans="1:11" ht="18" x14ac:dyDescent="0.25">
      <c r="A1" s="10" t="s">
        <v>950</v>
      </c>
    </row>
    <row r="2" spans="1:11" ht="12.75" customHeight="1" x14ac:dyDescent="0.25">
      <c r="A2" s="10"/>
    </row>
    <row r="3" spans="1:11" ht="15.75" customHeight="1" x14ac:dyDescent="0.25">
      <c r="A3" s="108" t="s">
        <v>755</v>
      </c>
    </row>
    <row r="4" spans="1:11" ht="13.5" thickBot="1" x14ac:dyDescent="0.25">
      <c r="A4" s="231"/>
      <c r="J4" s="652" t="s">
        <v>522</v>
      </c>
    </row>
    <row r="5" spans="1:11" ht="12.75" customHeight="1" x14ac:dyDescent="0.2">
      <c r="A5" s="230" t="s">
        <v>799</v>
      </c>
      <c r="B5" s="760" t="s">
        <v>38</v>
      </c>
      <c r="C5" s="760" t="s">
        <v>39</v>
      </c>
      <c r="D5" s="760" t="s">
        <v>125</v>
      </c>
      <c r="E5" s="760" t="s">
        <v>126</v>
      </c>
      <c r="F5" s="760" t="s">
        <v>127</v>
      </c>
      <c r="G5" s="761">
        <v>100000</v>
      </c>
      <c r="H5" s="762" t="s">
        <v>229</v>
      </c>
      <c r="I5" s="762" t="s">
        <v>228</v>
      </c>
      <c r="J5" s="762" t="s">
        <v>220</v>
      </c>
    </row>
    <row r="6" spans="1:11" ht="12.75" customHeight="1" x14ac:dyDescent="0.2">
      <c r="A6" s="229"/>
      <c r="B6" s="763" t="s">
        <v>40</v>
      </c>
      <c r="C6" s="763" t="s">
        <v>40</v>
      </c>
      <c r="D6" s="763" t="s">
        <v>40</v>
      </c>
      <c r="E6" s="763" t="s">
        <v>40</v>
      </c>
      <c r="F6" s="763" t="s">
        <v>40</v>
      </c>
      <c r="G6" s="763" t="s">
        <v>43</v>
      </c>
      <c r="H6" s="764" t="s">
        <v>523</v>
      </c>
      <c r="I6" s="764" t="s">
        <v>138</v>
      </c>
      <c r="J6" s="764" t="s">
        <v>142</v>
      </c>
    </row>
    <row r="7" spans="1:11" ht="12.75" customHeight="1" thickBot="1" x14ac:dyDescent="0.25">
      <c r="A7" s="232"/>
      <c r="B7" s="765" t="s">
        <v>46</v>
      </c>
      <c r="C7" s="765" t="s">
        <v>42</v>
      </c>
      <c r="D7" s="765" t="s">
        <v>128</v>
      </c>
      <c r="E7" s="765" t="s">
        <v>129</v>
      </c>
      <c r="F7" s="765" t="s">
        <v>130</v>
      </c>
      <c r="G7" s="765" t="s">
        <v>131</v>
      </c>
      <c r="H7" s="766" t="s">
        <v>138</v>
      </c>
      <c r="I7" s="766" t="s">
        <v>131</v>
      </c>
      <c r="J7" s="766" t="s">
        <v>610</v>
      </c>
    </row>
    <row r="8" spans="1:11" ht="12.75" customHeight="1" x14ac:dyDescent="0.2"/>
    <row r="9" spans="1:11" s="8" customFormat="1" ht="14.25" customHeight="1" x14ac:dyDescent="0.2">
      <c r="A9" s="767" t="s">
        <v>709</v>
      </c>
      <c r="B9" s="768">
        <v>1927.92713</v>
      </c>
      <c r="C9" s="768">
        <v>3778.5501064</v>
      </c>
      <c r="D9" s="768">
        <v>3330.6187637490002</v>
      </c>
      <c r="E9" s="768">
        <v>4972.2763149090006</v>
      </c>
      <c r="F9" s="768">
        <v>2771.0409190289997</v>
      </c>
      <c r="G9" s="768">
        <v>4013.9782727199999</v>
      </c>
      <c r="H9" s="769">
        <f>SUM(B9:C9)</f>
        <v>5706.4772364</v>
      </c>
      <c r="I9" s="769">
        <f>SUM(D9:G9)</f>
        <v>15087.914270407</v>
      </c>
      <c r="J9" s="769">
        <f>SUM(H9:I9)</f>
        <v>20794.391506806998</v>
      </c>
      <c r="K9" s="813"/>
    </row>
    <row r="10" spans="1:11" ht="14.25" customHeight="1" x14ac:dyDescent="0.2">
      <c r="A10" s="770" t="s">
        <v>710</v>
      </c>
      <c r="B10" s="771">
        <v>231.528968349</v>
      </c>
      <c r="C10" s="771">
        <v>190.96036088899999</v>
      </c>
      <c r="D10" s="771">
        <v>139.96467205899998</v>
      </c>
      <c r="E10" s="771">
        <v>125.46175624999999</v>
      </c>
      <c r="F10" s="771">
        <v>39.923496748999995</v>
      </c>
      <c r="G10" s="771">
        <v>73.765331319000012</v>
      </c>
      <c r="H10" s="316">
        <f t="shared" ref="H10:H67" si="0">SUM(B10:C10)</f>
        <v>422.48932923799998</v>
      </c>
      <c r="I10" s="316">
        <f t="shared" ref="I10:I67" si="1">SUM(D10:G10)</f>
        <v>379.11525637699992</v>
      </c>
      <c r="J10" s="316">
        <f t="shared" ref="J10:J67" si="2">SUM(H10:I10)</f>
        <v>801.60458561499991</v>
      </c>
    </row>
    <row r="11" spans="1:11" ht="14.25" customHeight="1" x14ac:dyDescent="0.2">
      <c r="A11" s="772" t="s">
        <v>524</v>
      </c>
      <c r="B11" s="773">
        <v>1649.0982881700002</v>
      </c>
      <c r="C11" s="773">
        <v>3490.1220043000003</v>
      </c>
      <c r="D11" s="773">
        <v>3077.4485049089999</v>
      </c>
      <c r="E11" s="773">
        <v>4700.19656631</v>
      </c>
      <c r="F11" s="773">
        <v>2645.6597914699996</v>
      </c>
      <c r="G11" s="773">
        <v>3773.7232464099998</v>
      </c>
      <c r="H11" s="774">
        <f t="shared" si="0"/>
        <v>5139.2202924700005</v>
      </c>
      <c r="I11" s="774">
        <f t="shared" si="1"/>
        <v>14197.028109098999</v>
      </c>
      <c r="J11" s="774">
        <f t="shared" si="2"/>
        <v>19336.248401568999</v>
      </c>
    </row>
    <row r="12" spans="1:11" ht="14.25" customHeight="1" x14ac:dyDescent="0.2">
      <c r="A12" s="770" t="s">
        <v>711</v>
      </c>
      <c r="B12" s="771">
        <v>46.909498770000006</v>
      </c>
      <c r="C12" s="771">
        <v>94.290645680000011</v>
      </c>
      <c r="D12" s="771">
        <v>111.086741539</v>
      </c>
      <c r="E12" s="771">
        <v>138.23954677900002</v>
      </c>
      <c r="F12" s="771">
        <v>80.647479039000004</v>
      </c>
      <c r="G12" s="771">
        <v>143.02986162900001</v>
      </c>
      <c r="H12" s="316">
        <f t="shared" si="0"/>
        <v>141.20014445000001</v>
      </c>
      <c r="I12" s="316">
        <f t="shared" si="1"/>
        <v>473.00362898600008</v>
      </c>
      <c r="J12" s="316">
        <f t="shared" si="2"/>
        <v>614.20377343600012</v>
      </c>
    </row>
    <row r="13" spans="1:11" s="8" customFormat="1" ht="14.25" customHeight="1" x14ac:dyDescent="0.2">
      <c r="A13" s="772" t="s">
        <v>712</v>
      </c>
      <c r="B13" s="773">
        <v>0.39037471000000001</v>
      </c>
      <c r="C13" s="773">
        <v>3.1770955299999999</v>
      </c>
      <c r="D13" s="773">
        <v>2.1188452390000001</v>
      </c>
      <c r="E13" s="773">
        <v>8.3784455700000002</v>
      </c>
      <c r="F13" s="773">
        <v>4.810151769</v>
      </c>
      <c r="G13" s="773">
        <v>23.459833360000001</v>
      </c>
      <c r="H13" s="774">
        <f t="shared" si="0"/>
        <v>3.56747024</v>
      </c>
      <c r="I13" s="774">
        <f t="shared" si="1"/>
        <v>38.767275937999997</v>
      </c>
      <c r="J13" s="774">
        <f t="shared" si="2"/>
        <v>42.334746177999996</v>
      </c>
    </row>
    <row r="14" spans="1:11" s="68" customFormat="1" ht="14.25" customHeight="1" x14ac:dyDescent="0.2">
      <c r="A14" s="779" t="s">
        <v>525</v>
      </c>
      <c r="B14" s="780">
        <v>137.68196078</v>
      </c>
      <c r="C14" s="780">
        <v>364.91308362000001</v>
      </c>
      <c r="D14" s="780">
        <v>409.17290560000004</v>
      </c>
      <c r="E14" s="780">
        <v>711.00277512000002</v>
      </c>
      <c r="F14" s="780">
        <v>493.70803138000002</v>
      </c>
      <c r="G14" s="780">
        <v>1178.9095896489998</v>
      </c>
      <c r="H14" s="781">
        <f t="shared" si="0"/>
        <v>502.59504440000001</v>
      </c>
      <c r="I14" s="781">
        <f t="shared" si="1"/>
        <v>2792.7933017489995</v>
      </c>
      <c r="J14" s="781">
        <f t="shared" si="2"/>
        <v>3295.3883461489995</v>
      </c>
    </row>
    <row r="15" spans="1:11" ht="14.25" customHeight="1" x14ac:dyDescent="0.2">
      <c r="A15" s="772" t="s">
        <v>713</v>
      </c>
      <c r="B15" s="773">
        <v>4.9152952399999998</v>
      </c>
      <c r="C15" s="773">
        <v>8.1623562599999993</v>
      </c>
      <c r="D15" s="773">
        <v>12.861879839</v>
      </c>
      <c r="E15" s="773">
        <v>37.863583499000001</v>
      </c>
      <c r="F15" s="773">
        <v>37.487545099000002</v>
      </c>
      <c r="G15" s="773">
        <v>84.405319480000003</v>
      </c>
      <c r="H15" s="774">
        <f t="shared" si="0"/>
        <v>13.077651499999998</v>
      </c>
      <c r="I15" s="774">
        <f t="shared" si="1"/>
        <v>172.61832791699999</v>
      </c>
      <c r="J15" s="774">
        <f t="shared" si="2"/>
        <v>185.69597941699999</v>
      </c>
    </row>
    <row r="16" spans="1:11" ht="14.25" customHeight="1" x14ac:dyDescent="0.2">
      <c r="A16" s="770" t="s">
        <v>714</v>
      </c>
      <c r="B16" s="771">
        <v>85.250146268999998</v>
      </c>
      <c r="C16" s="771">
        <v>244.126901379</v>
      </c>
      <c r="D16" s="771">
        <v>294.85687056</v>
      </c>
      <c r="E16" s="771">
        <v>488.57707113999999</v>
      </c>
      <c r="F16" s="771">
        <v>295.88223527999997</v>
      </c>
      <c r="G16" s="771">
        <v>531.59558497</v>
      </c>
      <c r="H16" s="316">
        <f t="shared" si="0"/>
        <v>329.37704764800003</v>
      </c>
      <c r="I16" s="316">
        <f t="shared" si="1"/>
        <v>1610.9117619499998</v>
      </c>
      <c r="J16" s="316">
        <f t="shared" si="2"/>
        <v>1940.2888095979997</v>
      </c>
    </row>
    <row r="17" spans="1:13" ht="14.25" customHeight="1" x14ac:dyDescent="0.2">
      <c r="A17" s="778" t="s">
        <v>715</v>
      </c>
      <c r="B17" s="773">
        <v>35.609405059000004</v>
      </c>
      <c r="C17" s="773">
        <v>76.867498870000006</v>
      </c>
      <c r="D17" s="773">
        <v>81.352434988999988</v>
      </c>
      <c r="E17" s="773">
        <v>135.60129788899999</v>
      </c>
      <c r="F17" s="773">
        <v>122.72712183900001</v>
      </c>
      <c r="G17" s="773">
        <v>340.82294568999998</v>
      </c>
      <c r="H17" s="774">
        <f t="shared" si="0"/>
        <v>112.476903929</v>
      </c>
      <c r="I17" s="774">
        <f t="shared" si="1"/>
        <v>680.50380040699997</v>
      </c>
      <c r="J17" s="774">
        <f t="shared" si="2"/>
        <v>792.98070433599992</v>
      </c>
    </row>
    <row r="18" spans="1:13" s="8" customFormat="1" ht="14.25" customHeight="1" x14ac:dyDescent="0.2">
      <c r="A18" s="770" t="s">
        <v>526</v>
      </c>
      <c r="B18" s="771">
        <v>7.9003133800000001</v>
      </c>
      <c r="C18" s="771">
        <v>23.754858550000002</v>
      </c>
      <c r="D18" s="771">
        <v>10.40057925</v>
      </c>
      <c r="E18" s="771">
        <v>28.145157309999998</v>
      </c>
      <c r="F18" s="771">
        <v>21.921787980000001</v>
      </c>
      <c r="G18" s="771">
        <v>33.530720518999999</v>
      </c>
      <c r="H18" s="316">
        <f t="shared" si="0"/>
        <v>31.655171930000002</v>
      </c>
      <c r="I18" s="316">
        <f t="shared" si="1"/>
        <v>93.998245058999998</v>
      </c>
      <c r="J18" s="316">
        <f t="shared" si="2"/>
        <v>125.65341698899999</v>
      </c>
    </row>
    <row r="19" spans="1:13" s="8" customFormat="1" ht="14.25" customHeight="1" x14ac:dyDescent="0.2">
      <c r="A19" s="772" t="s">
        <v>716</v>
      </c>
      <c r="B19" s="773">
        <v>4.0068008300000004</v>
      </c>
      <c r="C19" s="773">
        <v>12.001468559000001</v>
      </c>
      <c r="D19" s="773">
        <v>9.701140959</v>
      </c>
      <c r="E19" s="773">
        <v>20.815665280000001</v>
      </c>
      <c r="F19" s="773">
        <v>15.68934118</v>
      </c>
      <c r="G19" s="773">
        <v>188.55501899000001</v>
      </c>
      <c r="H19" s="774">
        <f t="shared" si="0"/>
        <v>16.008269389000002</v>
      </c>
      <c r="I19" s="774">
        <f t="shared" si="1"/>
        <v>234.761166409</v>
      </c>
      <c r="J19" s="774">
        <f t="shared" si="2"/>
        <v>250.76943579799999</v>
      </c>
    </row>
    <row r="20" spans="1:13" s="68" customFormat="1" ht="14.25" customHeight="1" x14ac:dyDescent="0.2">
      <c r="A20" s="779" t="s">
        <v>527</v>
      </c>
      <c r="B20" s="780">
        <v>637.08680652999999</v>
      </c>
      <c r="C20" s="780">
        <v>1523.0827028189999</v>
      </c>
      <c r="D20" s="780">
        <v>1578.8489404899999</v>
      </c>
      <c r="E20" s="780">
        <v>2602.2008378600003</v>
      </c>
      <c r="F20" s="780">
        <v>1566.24543008</v>
      </c>
      <c r="G20" s="780">
        <v>2829.3164747690003</v>
      </c>
      <c r="H20" s="781">
        <f t="shared" si="0"/>
        <v>2160.1695093489998</v>
      </c>
      <c r="I20" s="781">
        <f t="shared" si="1"/>
        <v>8576.6116831990003</v>
      </c>
      <c r="J20" s="781">
        <f t="shared" si="2"/>
        <v>10736.781192548</v>
      </c>
    </row>
    <row r="21" spans="1:13" ht="14.25" customHeight="1" x14ac:dyDescent="0.2">
      <c r="A21" s="778" t="s">
        <v>717</v>
      </c>
      <c r="B21" s="773">
        <v>42.396833299000001</v>
      </c>
      <c r="C21" s="773">
        <v>105.987034669</v>
      </c>
      <c r="D21" s="773">
        <v>192.14866409000001</v>
      </c>
      <c r="E21" s="773">
        <v>440.573633309</v>
      </c>
      <c r="F21" s="773">
        <v>266.14574656899998</v>
      </c>
      <c r="G21" s="773">
        <v>355.07469861000004</v>
      </c>
      <c r="H21" s="774">
        <f t="shared" si="0"/>
        <v>148.383867968</v>
      </c>
      <c r="I21" s="774">
        <f t="shared" si="1"/>
        <v>1253.942742578</v>
      </c>
      <c r="J21" s="774">
        <f t="shared" si="2"/>
        <v>1402.326610546</v>
      </c>
    </row>
    <row r="22" spans="1:13" ht="14.25" customHeight="1" x14ac:dyDescent="0.2">
      <c r="A22" s="770" t="s">
        <v>528</v>
      </c>
      <c r="B22" s="771">
        <v>324.57711007900002</v>
      </c>
      <c r="C22" s="771">
        <v>787.35986078899998</v>
      </c>
      <c r="D22" s="771">
        <v>788.92563937</v>
      </c>
      <c r="E22" s="771">
        <v>1239.4570296289999</v>
      </c>
      <c r="F22" s="771">
        <v>776.089414229</v>
      </c>
      <c r="G22" s="771">
        <v>1616.8671290990001</v>
      </c>
      <c r="H22" s="316">
        <f t="shared" si="0"/>
        <v>1111.9369708680001</v>
      </c>
      <c r="I22" s="316">
        <f t="shared" si="1"/>
        <v>4421.3392123270005</v>
      </c>
      <c r="J22" s="316">
        <f t="shared" si="2"/>
        <v>5533.2761831950011</v>
      </c>
    </row>
    <row r="23" spans="1:13" ht="14.25" customHeight="1" x14ac:dyDescent="0.2">
      <c r="A23" s="772" t="s">
        <v>529</v>
      </c>
      <c r="B23" s="773">
        <v>1.3890257500000001</v>
      </c>
      <c r="C23" s="773">
        <v>3.7789121099999998</v>
      </c>
      <c r="D23" s="773">
        <v>3.2241200699999997</v>
      </c>
      <c r="E23" s="773">
        <v>2.9587403800000001</v>
      </c>
      <c r="F23" s="773">
        <v>1.2849508799999998</v>
      </c>
      <c r="G23" s="773">
        <v>76.387385730000005</v>
      </c>
      <c r="H23" s="774">
        <f t="shared" si="0"/>
        <v>5.1679378600000003</v>
      </c>
      <c r="I23" s="774">
        <f t="shared" si="1"/>
        <v>83.855197060000009</v>
      </c>
      <c r="J23" s="774">
        <f t="shared" si="2"/>
        <v>89.023134920000004</v>
      </c>
      <c r="K23" s="8"/>
      <c r="L23" s="8"/>
      <c r="M23" s="8"/>
    </row>
    <row r="24" spans="1:13" ht="14.25" customHeight="1" x14ac:dyDescent="0.2">
      <c r="A24" s="770" t="s">
        <v>718</v>
      </c>
      <c r="B24" s="771">
        <v>11.001909679999999</v>
      </c>
      <c r="C24" s="771">
        <v>19.301196480000002</v>
      </c>
      <c r="D24" s="771">
        <v>7.6883913699999997</v>
      </c>
      <c r="E24" s="771">
        <v>9.8664230489999998</v>
      </c>
      <c r="F24" s="771">
        <v>21.15988377</v>
      </c>
      <c r="G24" s="771">
        <v>90.849472239999997</v>
      </c>
      <c r="H24" s="316">
        <f t="shared" si="0"/>
        <v>30.303106159999999</v>
      </c>
      <c r="I24" s="316">
        <f t="shared" si="1"/>
        <v>129.564170429</v>
      </c>
      <c r="J24" s="316">
        <f t="shared" si="2"/>
        <v>159.867276589</v>
      </c>
      <c r="K24" s="68"/>
      <c r="L24" s="68"/>
      <c r="M24" s="68"/>
    </row>
    <row r="25" spans="1:13" s="8" customFormat="1" ht="14.25" customHeight="1" x14ac:dyDescent="0.2">
      <c r="A25" s="772" t="s">
        <v>719</v>
      </c>
      <c r="B25" s="773">
        <v>231.47372147999999</v>
      </c>
      <c r="C25" s="773">
        <v>524.35136099900001</v>
      </c>
      <c r="D25" s="773">
        <v>514.68836716999999</v>
      </c>
      <c r="E25" s="773">
        <v>770.29329719899999</v>
      </c>
      <c r="F25" s="773">
        <v>427.44213840899999</v>
      </c>
      <c r="G25" s="773">
        <v>547.37970268900006</v>
      </c>
      <c r="H25" s="774">
        <f t="shared" si="0"/>
        <v>755.825082479</v>
      </c>
      <c r="I25" s="774">
        <f t="shared" si="1"/>
        <v>2259.8035054670004</v>
      </c>
      <c r="J25" s="774">
        <f t="shared" si="2"/>
        <v>3015.6285879460002</v>
      </c>
      <c r="K25"/>
      <c r="L25"/>
      <c r="M25"/>
    </row>
    <row r="26" spans="1:13" s="8" customFormat="1" ht="14.25" customHeight="1" x14ac:dyDescent="0.2">
      <c r="A26" s="782" t="s">
        <v>530</v>
      </c>
      <c r="B26" s="783">
        <v>26.248206239000002</v>
      </c>
      <c r="C26" s="783">
        <v>82.304337769</v>
      </c>
      <c r="D26" s="783">
        <v>72.173758419999999</v>
      </c>
      <c r="E26" s="783">
        <v>139.05171428900002</v>
      </c>
      <c r="F26" s="783">
        <v>74.12329622</v>
      </c>
      <c r="G26" s="783">
        <v>142.7580864</v>
      </c>
      <c r="H26" s="385">
        <f t="shared" si="0"/>
        <v>108.552544008</v>
      </c>
      <c r="I26" s="385">
        <f t="shared" si="1"/>
        <v>428.10685532900004</v>
      </c>
      <c r="J26" s="385">
        <f t="shared" si="2"/>
        <v>536.65939933700008</v>
      </c>
      <c r="K26"/>
      <c r="L26"/>
      <c r="M26"/>
    </row>
    <row r="27" spans="1:13" s="68" customFormat="1" ht="14.25" customHeight="1" x14ac:dyDescent="0.2">
      <c r="A27" s="775" t="s">
        <v>720</v>
      </c>
      <c r="B27" s="776">
        <v>502.40576418900002</v>
      </c>
      <c r="C27" s="776">
        <v>1419.321646349</v>
      </c>
      <c r="D27" s="776">
        <v>1709.7680597900001</v>
      </c>
      <c r="E27" s="776">
        <v>2963.2040902899998</v>
      </c>
      <c r="F27" s="776">
        <v>1829.255913209</v>
      </c>
      <c r="G27" s="776">
        <v>3017.2911570589999</v>
      </c>
      <c r="H27" s="777">
        <f t="shared" si="0"/>
        <v>1921.7274105380002</v>
      </c>
      <c r="I27" s="777">
        <f t="shared" si="1"/>
        <v>9519.5192203480001</v>
      </c>
      <c r="J27" s="777">
        <f t="shared" si="2"/>
        <v>11441.246630886</v>
      </c>
      <c r="K27"/>
      <c r="L27"/>
      <c r="M27"/>
    </row>
    <row r="28" spans="1:13" ht="14.25" customHeight="1" x14ac:dyDescent="0.2">
      <c r="A28" s="782" t="s">
        <v>721</v>
      </c>
      <c r="B28" s="783">
        <v>33.16600699</v>
      </c>
      <c r="C28" s="783">
        <v>119.23725265</v>
      </c>
      <c r="D28" s="783">
        <v>225.54722425899999</v>
      </c>
      <c r="E28" s="783">
        <v>437.60903864900001</v>
      </c>
      <c r="F28" s="783">
        <v>236.82122962</v>
      </c>
      <c r="G28" s="783">
        <v>427.54574947000003</v>
      </c>
      <c r="H28" s="385">
        <f t="shared" si="0"/>
        <v>152.40325963999999</v>
      </c>
      <c r="I28" s="385">
        <f t="shared" si="1"/>
        <v>1327.5232419980002</v>
      </c>
      <c r="J28" s="385">
        <f t="shared" si="2"/>
        <v>1479.9265016380002</v>
      </c>
      <c r="K28" s="8"/>
      <c r="L28" s="8"/>
      <c r="M28" s="8"/>
    </row>
    <row r="29" spans="1:13" s="8" customFormat="1" ht="14.25" customHeight="1" x14ac:dyDescent="0.2">
      <c r="A29" s="772" t="s">
        <v>531</v>
      </c>
      <c r="B29" s="773">
        <v>153.964732279</v>
      </c>
      <c r="C29" s="773">
        <v>488.68513468000003</v>
      </c>
      <c r="D29" s="773">
        <v>606.4045970599999</v>
      </c>
      <c r="E29" s="773">
        <v>999.15274386900001</v>
      </c>
      <c r="F29" s="773">
        <v>630.045256709</v>
      </c>
      <c r="G29" s="773">
        <v>1495.4547278599998</v>
      </c>
      <c r="H29" s="774">
        <f t="shared" si="0"/>
        <v>642.64986695900006</v>
      </c>
      <c r="I29" s="774">
        <f t="shared" si="1"/>
        <v>3731.057325498</v>
      </c>
      <c r="J29" s="774">
        <f t="shared" si="2"/>
        <v>4373.707192457</v>
      </c>
    </row>
    <row r="30" spans="1:13" s="8" customFormat="1" ht="14.25" customHeight="1" x14ac:dyDescent="0.2">
      <c r="A30" s="770" t="s">
        <v>722</v>
      </c>
      <c r="B30" s="771">
        <v>78.510150809999999</v>
      </c>
      <c r="C30" s="771">
        <v>294.94907932000001</v>
      </c>
      <c r="D30" s="771">
        <v>399.44655385000004</v>
      </c>
      <c r="E30" s="771">
        <v>649.32649791999995</v>
      </c>
      <c r="F30" s="771">
        <v>387.45853267000001</v>
      </c>
      <c r="G30" s="771">
        <v>891.21254628999998</v>
      </c>
      <c r="H30" s="316">
        <f t="shared" si="0"/>
        <v>373.45923013000004</v>
      </c>
      <c r="I30" s="316">
        <f t="shared" si="1"/>
        <v>2327.4441307299999</v>
      </c>
      <c r="J30" s="316">
        <f t="shared" si="2"/>
        <v>2700.9033608599998</v>
      </c>
    </row>
    <row r="31" spans="1:13" s="68" customFormat="1" ht="14.25" customHeight="1" x14ac:dyDescent="0.2">
      <c r="A31" s="772" t="s">
        <v>820</v>
      </c>
      <c r="B31" s="773">
        <v>75.454581469999994</v>
      </c>
      <c r="C31" s="773">
        <v>193.73605536000002</v>
      </c>
      <c r="D31" s="773">
        <v>206.95804321</v>
      </c>
      <c r="E31" s="773">
        <v>349.82624594999999</v>
      </c>
      <c r="F31" s="773">
        <v>242.58672403900002</v>
      </c>
      <c r="G31" s="773">
        <v>604.24218156899997</v>
      </c>
      <c r="H31" s="774">
        <f t="shared" si="0"/>
        <v>269.19063683000002</v>
      </c>
      <c r="I31" s="774">
        <f t="shared" si="1"/>
        <v>1403.6131947680001</v>
      </c>
      <c r="J31" s="774">
        <f t="shared" si="2"/>
        <v>1672.8038315980002</v>
      </c>
    </row>
    <row r="32" spans="1:13" s="68" customFormat="1" ht="14.25" customHeight="1" x14ac:dyDescent="0.2">
      <c r="A32" s="770" t="s">
        <v>532</v>
      </c>
      <c r="B32" s="771">
        <v>142.19658659000001</v>
      </c>
      <c r="C32" s="771">
        <v>341.13670997000003</v>
      </c>
      <c r="D32" s="771">
        <v>404.49136823999999</v>
      </c>
      <c r="E32" s="771">
        <v>645.08732992</v>
      </c>
      <c r="F32" s="771">
        <v>378.33320186000003</v>
      </c>
      <c r="G32" s="771">
        <v>639.56049185899997</v>
      </c>
      <c r="H32" s="316">
        <f t="shared" si="0"/>
        <v>483.33329656000001</v>
      </c>
      <c r="I32" s="316">
        <f t="shared" si="1"/>
        <v>2067.4723918789996</v>
      </c>
      <c r="J32" s="316">
        <f t="shared" si="2"/>
        <v>2550.8056884389998</v>
      </c>
    </row>
    <row r="33" spans="1:10" s="8" customFormat="1" ht="14.25" customHeight="1" x14ac:dyDescent="0.2">
      <c r="A33" s="772" t="s">
        <v>533</v>
      </c>
      <c r="B33" s="773">
        <v>173.07843832899999</v>
      </c>
      <c r="C33" s="773">
        <v>470.26254904900003</v>
      </c>
      <c r="D33" s="773">
        <v>473.32487023000004</v>
      </c>
      <c r="E33" s="773">
        <v>881.35497785000007</v>
      </c>
      <c r="F33" s="773">
        <v>584.05622501999994</v>
      </c>
      <c r="G33" s="773">
        <v>454.73018786900002</v>
      </c>
      <c r="H33" s="774">
        <f t="shared" si="0"/>
        <v>643.34098737800002</v>
      </c>
      <c r="I33" s="774">
        <f t="shared" si="1"/>
        <v>2393.4662609689999</v>
      </c>
      <c r="J33" s="774">
        <f t="shared" si="2"/>
        <v>3036.807248347</v>
      </c>
    </row>
    <row r="34" spans="1:10" ht="14.25" customHeight="1" x14ac:dyDescent="0.2">
      <c r="A34" s="779" t="s">
        <v>724</v>
      </c>
      <c r="B34" s="780">
        <v>181.26802924900002</v>
      </c>
      <c r="C34" s="780">
        <v>689.800599089</v>
      </c>
      <c r="D34" s="780">
        <v>879.23400298000001</v>
      </c>
      <c r="E34" s="780">
        <v>1753.3856277990001</v>
      </c>
      <c r="F34" s="780">
        <v>1112.3594692700001</v>
      </c>
      <c r="G34" s="780">
        <v>3956.1537910300003</v>
      </c>
      <c r="H34" s="781">
        <f t="shared" si="0"/>
        <v>871.06862833800005</v>
      </c>
      <c r="I34" s="781">
        <f t="shared" si="1"/>
        <v>7701.1328910790007</v>
      </c>
      <c r="J34" s="781">
        <f t="shared" si="2"/>
        <v>8572.2015194170017</v>
      </c>
    </row>
    <row r="35" spans="1:10" s="8" customFormat="1" ht="14.25" customHeight="1" x14ac:dyDescent="0.2">
      <c r="A35" s="772" t="s">
        <v>725</v>
      </c>
      <c r="B35" s="773">
        <v>0.89236791000000004</v>
      </c>
      <c r="C35" s="773">
        <v>2.74180505</v>
      </c>
      <c r="D35" s="773">
        <v>1.96724783</v>
      </c>
      <c r="E35" s="773">
        <v>2.8862877689999999</v>
      </c>
      <c r="F35" s="773">
        <v>1.6974873589999999</v>
      </c>
      <c r="G35" s="773">
        <v>600.97066279000001</v>
      </c>
      <c r="H35" s="774">
        <f t="shared" si="0"/>
        <v>3.6341729599999999</v>
      </c>
      <c r="I35" s="774">
        <f t="shared" si="1"/>
        <v>607.52168574799998</v>
      </c>
      <c r="J35" s="774">
        <f t="shared" si="2"/>
        <v>611.15585870799998</v>
      </c>
    </row>
    <row r="36" spans="1:10" s="68" customFormat="1" ht="14.25" customHeight="1" x14ac:dyDescent="0.2">
      <c r="A36" s="782" t="s">
        <v>534</v>
      </c>
      <c r="B36" s="783">
        <v>13.146167239</v>
      </c>
      <c r="C36" s="783">
        <v>36.912264260000001</v>
      </c>
      <c r="D36" s="783">
        <v>30.939266978999999</v>
      </c>
      <c r="E36" s="783">
        <v>136.65161211899999</v>
      </c>
      <c r="F36" s="783">
        <v>110.412668639</v>
      </c>
      <c r="G36" s="783">
        <v>227.67656415900001</v>
      </c>
      <c r="H36" s="385">
        <f t="shared" si="0"/>
        <v>50.058431499000001</v>
      </c>
      <c r="I36" s="385">
        <f t="shared" si="1"/>
        <v>505.68011189599997</v>
      </c>
      <c r="J36" s="385">
        <f t="shared" si="2"/>
        <v>555.73854339499997</v>
      </c>
    </row>
    <row r="37" spans="1:10" ht="14.25" customHeight="1" x14ac:dyDescent="0.2">
      <c r="A37" s="784" t="s">
        <v>726</v>
      </c>
      <c r="B37" s="773">
        <v>167.22949409899999</v>
      </c>
      <c r="C37" s="773">
        <v>650.14652977900005</v>
      </c>
      <c r="D37" s="773">
        <v>846.32748816999992</v>
      </c>
      <c r="E37" s="773">
        <v>1613.84772791</v>
      </c>
      <c r="F37" s="773">
        <v>1000.24931327</v>
      </c>
      <c r="G37" s="773">
        <v>3127.5065640799999</v>
      </c>
      <c r="H37" s="774">
        <f t="shared" si="0"/>
        <v>817.37602387800007</v>
      </c>
      <c r="I37" s="774">
        <f t="shared" si="1"/>
        <v>6587.9310934299992</v>
      </c>
      <c r="J37" s="774">
        <f t="shared" si="2"/>
        <v>7405.3071173079989</v>
      </c>
    </row>
    <row r="38" spans="1:10" ht="14.25" customHeight="1" x14ac:dyDescent="0.2">
      <c r="A38" s="782" t="s">
        <v>727</v>
      </c>
      <c r="B38" s="771">
        <v>35.6936654</v>
      </c>
      <c r="C38" s="771">
        <v>184.75019618900001</v>
      </c>
      <c r="D38" s="771">
        <v>314.22557874</v>
      </c>
      <c r="E38" s="771">
        <v>539.63980602000004</v>
      </c>
      <c r="F38" s="771">
        <v>326.72762404900004</v>
      </c>
      <c r="G38" s="771">
        <v>421.00131202</v>
      </c>
      <c r="H38" s="316">
        <f t="shared" si="0"/>
        <v>220.44386158899999</v>
      </c>
      <c r="I38" s="316">
        <f t="shared" si="1"/>
        <v>1601.594320829</v>
      </c>
      <c r="J38" s="316">
        <f t="shared" si="2"/>
        <v>1822.0381824179999</v>
      </c>
    </row>
    <row r="39" spans="1:10" ht="14.25" customHeight="1" x14ac:dyDescent="0.2">
      <c r="A39" s="784" t="s">
        <v>821</v>
      </c>
      <c r="B39" s="785">
        <v>112.72038257999999</v>
      </c>
      <c r="C39" s="785">
        <v>403.71678463000001</v>
      </c>
      <c r="D39" s="785">
        <v>447.91049617000004</v>
      </c>
      <c r="E39" s="785">
        <v>924.65556642999991</v>
      </c>
      <c r="F39" s="785">
        <v>555.64118030999998</v>
      </c>
      <c r="G39" s="785">
        <v>1577.8198030399999</v>
      </c>
      <c r="H39" s="786">
        <f t="shared" si="0"/>
        <v>516.43716720999998</v>
      </c>
      <c r="I39" s="786">
        <f t="shared" si="1"/>
        <v>3506.0270459499998</v>
      </c>
      <c r="J39" s="786">
        <f t="shared" si="2"/>
        <v>4022.4642131599999</v>
      </c>
    </row>
    <row r="40" spans="1:10" s="8" customFormat="1" ht="14.25" customHeight="1" x14ac:dyDescent="0.2">
      <c r="A40" s="782" t="s">
        <v>822</v>
      </c>
      <c r="B40" s="783">
        <v>9.7792571390000003</v>
      </c>
      <c r="C40" s="783">
        <v>31.595730729</v>
      </c>
      <c r="D40" s="783">
        <v>36.169797079999995</v>
      </c>
      <c r="E40" s="783">
        <v>63.599868259000004</v>
      </c>
      <c r="F40" s="783">
        <v>51.067660509000007</v>
      </c>
      <c r="G40" s="783">
        <v>153.60301994999998</v>
      </c>
      <c r="H40" s="385">
        <f t="shared" si="0"/>
        <v>41.374987867999998</v>
      </c>
      <c r="I40" s="385">
        <f t="shared" si="1"/>
        <v>304.44034579799995</v>
      </c>
      <c r="J40" s="385">
        <f t="shared" si="2"/>
        <v>345.81533366599996</v>
      </c>
    </row>
    <row r="41" spans="1:10" ht="14.25" customHeight="1" x14ac:dyDescent="0.2">
      <c r="A41" s="784" t="s">
        <v>823</v>
      </c>
      <c r="B41" s="785">
        <v>0.14821216000000001</v>
      </c>
      <c r="C41" s="785">
        <v>0.69996863899999995</v>
      </c>
      <c r="D41" s="785">
        <v>0.43543982000000003</v>
      </c>
      <c r="E41" s="785">
        <v>2.5005918990000002</v>
      </c>
      <c r="F41" s="785">
        <v>2.7847131300000001</v>
      </c>
      <c r="G41" s="785">
        <v>316.37633567</v>
      </c>
      <c r="H41" s="786">
        <f t="shared" si="0"/>
        <v>0.84818079899999999</v>
      </c>
      <c r="I41" s="786">
        <f t="shared" si="1"/>
        <v>322.09708051900003</v>
      </c>
      <c r="J41" s="786">
        <f t="shared" si="2"/>
        <v>322.94526131800001</v>
      </c>
    </row>
    <row r="42" spans="1:10" ht="14.25" customHeight="1" x14ac:dyDescent="0.2">
      <c r="A42" s="782" t="s">
        <v>824</v>
      </c>
      <c r="B42" s="783">
        <v>8.8879768200000004</v>
      </c>
      <c r="C42" s="783">
        <v>29.383849589</v>
      </c>
      <c r="D42" s="783">
        <v>47.586176359</v>
      </c>
      <c r="E42" s="783">
        <v>83.451895299</v>
      </c>
      <c r="F42" s="783">
        <v>64.028135269000003</v>
      </c>
      <c r="G42" s="783">
        <v>658.70609339999999</v>
      </c>
      <c r="H42" s="385">
        <f t="shared" si="0"/>
        <v>38.271826408999999</v>
      </c>
      <c r="I42" s="385">
        <f t="shared" si="1"/>
        <v>853.77230032700004</v>
      </c>
      <c r="J42" s="385">
        <f t="shared" si="2"/>
        <v>892.04412673600007</v>
      </c>
    </row>
    <row r="43" spans="1:10" s="8" customFormat="1" ht="14.25" customHeight="1" x14ac:dyDescent="0.2">
      <c r="A43" s="790" t="s">
        <v>732</v>
      </c>
      <c r="B43" s="791">
        <v>427.82663252999998</v>
      </c>
      <c r="C43" s="791">
        <v>949.61570767000001</v>
      </c>
      <c r="D43" s="791">
        <v>838.98583503999998</v>
      </c>
      <c r="E43" s="791">
        <v>1152.183137839</v>
      </c>
      <c r="F43" s="791">
        <v>642.35480786899996</v>
      </c>
      <c r="G43" s="791">
        <v>888.4217302589999</v>
      </c>
      <c r="H43" s="792">
        <f t="shared" si="0"/>
        <v>1377.4423402</v>
      </c>
      <c r="I43" s="792">
        <f t="shared" si="1"/>
        <v>3521.9455110069998</v>
      </c>
      <c r="J43" s="792">
        <f t="shared" si="2"/>
        <v>4899.3878512069996</v>
      </c>
    </row>
    <row r="44" spans="1:10" s="8" customFormat="1" ht="14.25" customHeight="1" x14ac:dyDescent="0.2">
      <c r="A44" s="782" t="s">
        <v>733</v>
      </c>
      <c r="B44" s="783">
        <v>21.676702540000001</v>
      </c>
      <c r="C44" s="783">
        <v>43.070025009999995</v>
      </c>
      <c r="D44" s="783">
        <v>22.874645149999999</v>
      </c>
      <c r="E44" s="783">
        <v>39.890692350000002</v>
      </c>
      <c r="F44" s="783">
        <v>13.97321968</v>
      </c>
      <c r="G44" s="783">
        <v>53.328062959</v>
      </c>
      <c r="H44" s="385">
        <f t="shared" si="0"/>
        <v>64.746727550000003</v>
      </c>
      <c r="I44" s="385">
        <f t="shared" si="1"/>
        <v>130.06662013900001</v>
      </c>
      <c r="J44" s="385">
        <f t="shared" si="2"/>
        <v>194.81334768900001</v>
      </c>
    </row>
    <row r="45" spans="1:10" s="68" customFormat="1" ht="14.25" customHeight="1" x14ac:dyDescent="0.2">
      <c r="A45" s="784" t="s">
        <v>734</v>
      </c>
      <c r="B45" s="785">
        <v>380.00598657999996</v>
      </c>
      <c r="C45" s="785">
        <v>871.00010272999998</v>
      </c>
      <c r="D45" s="785">
        <v>790.38461596000002</v>
      </c>
      <c r="E45" s="785">
        <v>1069.129361499</v>
      </c>
      <c r="F45" s="785">
        <v>601.77474257000006</v>
      </c>
      <c r="G45" s="785">
        <v>760.69454363900002</v>
      </c>
      <c r="H45" s="786">
        <f t="shared" si="0"/>
        <v>1251.0060893099999</v>
      </c>
      <c r="I45" s="786">
        <f t="shared" si="1"/>
        <v>3221.9832636680003</v>
      </c>
      <c r="J45" s="786">
        <f t="shared" si="2"/>
        <v>4472.9893529780002</v>
      </c>
    </row>
    <row r="46" spans="1:10" s="68" customFormat="1" ht="14.25" customHeight="1" x14ac:dyDescent="0.2">
      <c r="A46" s="782" t="s">
        <v>735</v>
      </c>
      <c r="B46" s="783">
        <v>137.72982374900002</v>
      </c>
      <c r="C46" s="783">
        <v>365.76132391000004</v>
      </c>
      <c r="D46" s="783">
        <v>378.37257156999999</v>
      </c>
      <c r="E46" s="783">
        <v>519.48032563000004</v>
      </c>
      <c r="F46" s="783">
        <v>302.03879813999998</v>
      </c>
      <c r="G46" s="783">
        <v>436.41078761900002</v>
      </c>
      <c r="H46" s="385">
        <f t="shared" si="0"/>
        <v>503.49114765900003</v>
      </c>
      <c r="I46" s="385">
        <f t="shared" si="1"/>
        <v>1636.3024829590001</v>
      </c>
      <c r="J46" s="385">
        <f t="shared" si="2"/>
        <v>2139.793630618</v>
      </c>
    </row>
    <row r="47" spans="1:10" s="8" customFormat="1" ht="14.25" customHeight="1" x14ac:dyDescent="0.2">
      <c r="A47" s="784" t="s">
        <v>825</v>
      </c>
      <c r="B47" s="785">
        <v>42.876128460000004</v>
      </c>
      <c r="C47" s="785">
        <v>104.175409059</v>
      </c>
      <c r="D47" s="785">
        <v>105.22465522900001</v>
      </c>
      <c r="E47" s="785">
        <v>142.74190843</v>
      </c>
      <c r="F47" s="785">
        <v>87.989855340000005</v>
      </c>
      <c r="G47" s="785">
        <v>101.91392745900001</v>
      </c>
      <c r="H47" s="786">
        <f t="shared" si="0"/>
        <v>147.05153751900002</v>
      </c>
      <c r="I47" s="786">
        <f t="shared" si="1"/>
        <v>437.87034645799997</v>
      </c>
      <c r="J47" s="786">
        <f t="shared" si="2"/>
        <v>584.92188397699999</v>
      </c>
    </row>
    <row r="48" spans="1:10" s="68" customFormat="1" ht="14.25" customHeight="1" x14ac:dyDescent="0.2">
      <c r="A48" s="770" t="s">
        <v>826</v>
      </c>
      <c r="B48" s="771">
        <v>199.40003437000001</v>
      </c>
      <c r="C48" s="771">
        <v>401.06336975900001</v>
      </c>
      <c r="D48" s="771">
        <v>306.78738915899999</v>
      </c>
      <c r="E48" s="771">
        <v>406.90712743900002</v>
      </c>
      <c r="F48" s="771">
        <v>211.74608909</v>
      </c>
      <c r="G48" s="771">
        <v>222.36982855899998</v>
      </c>
      <c r="H48" s="316">
        <f t="shared" si="0"/>
        <v>600.46340412900008</v>
      </c>
      <c r="I48" s="316">
        <f t="shared" si="1"/>
        <v>1147.8104342470001</v>
      </c>
      <c r="J48" s="316">
        <f t="shared" si="2"/>
        <v>1748.2738383760002</v>
      </c>
    </row>
    <row r="49" spans="1:10" ht="14.25" customHeight="1" x14ac:dyDescent="0.2">
      <c r="A49" s="772" t="s">
        <v>738</v>
      </c>
      <c r="B49" s="773">
        <v>26.143943409999999</v>
      </c>
      <c r="C49" s="773">
        <v>35.545579928999999</v>
      </c>
      <c r="D49" s="773">
        <v>25.726573929000001</v>
      </c>
      <c r="E49" s="773">
        <v>43.163083989</v>
      </c>
      <c r="F49" s="773">
        <v>26.606845620000001</v>
      </c>
      <c r="G49" s="773">
        <v>74.399123658999997</v>
      </c>
      <c r="H49" s="774">
        <f t="shared" si="0"/>
        <v>61.689523338999997</v>
      </c>
      <c r="I49" s="774">
        <f t="shared" si="1"/>
        <v>169.89562719700001</v>
      </c>
      <c r="J49" s="774">
        <f t="shared" si="2"/>
        <v>231.58515053600001</v>
      </c>
    </row>
    <row r="50" spans="1:10" s="8" customFormat="1" ht="14.25" customHeight="1" x14ac:dyDescent="0.2">
      <c r="A50" s="779" t="s">
        <v>739</v>
      </c>
      <c r="B50" s="780">
        <v>63.449647759999998</v>
      </c>
      <c r="C50" s="780">
        <v>156.67411693</v>
      </c>
      <c r="D50" s="780">
        <v>195.877393759</v>
      </c>
      <c r="E50" s="780">
        <v>369.99467673000004</v>
      </c>
      <c r="F50" s="780">
        <v>269.79257252899998</v>
      </c>
      <c r="G50" s="780">
        <v>1042.8519684789999</v>
      </c>
      <c r="H50" s="781">
        <f t="shared" si="0"/>
        <v>220.12376469</v>
      </c>
      <c r="I50" s="781">
        <f t="shared" si="1"/>
        <v>1878.516611497</v>
      </c>
      <c r="J50" s="781">
        <f t="shared" si="2"/>
        <v>2098.6403761870001</v>
      </c>
    </row>
    <row r="51" spans="1:10" ht="14.25" customHeight="1" x14ac:dyDescent="0.2">
      <c r="A51" s="772" t="s">
        <v>740</v>
      </c>
      <c r="B51" s="773">
        <v>10.702099989000001</v>
      </c>
      <c r="C51" s="773">
        <v>23.108462219</v>
      </c>
      <c r="D51" s="773">
        <v>17.818388019</v>
      </c>
      <c r="E51" s="773">
        <v>47.049719549999999</v>
      </c>
      <c r="F51" s="773">
        <v>25.101917618999998</v>
      </c>
      <c r="G51" s="773">
        <v>146.68461530000002</v>
      </c>
      <c r="H51" s="774">
        <f t="shared" si="0"/>
        <v>33.810562208</v>
      </c>
      <c r="I51" s="774">
        <f t="shared" si="1"/>
        <v>236.65464048800001</v>
      </c>
      <c r="J51" s="774">
        <f t="shared" si="2"/>
        <v>270.46520269600001</v>
      </c>
    </row>
    <row r="52" spans="1:10" ht="14.25" customHeight="1" x14ac:dyDescent="0.2">
      <c r="A52" s="770" t="s">
        <v>741</v>
      </c>
      <c r="B52" s="771">
        <v>3.9245278799999999</v>
      </c>
      <c r="C52" s="771">
        <v>13.115810699999999</v>
      </c>
      <c r="D52" s="771">
        <v>17.955900960000001</v>
      </c>
      <c r="E52" s="771">
        <v>28.215923399999998</v>
      </c>
      <c r="F52" s="771">
        <v>15.198355918999999</v>
      </c>
      <c r="G52" s="771">
        <v>620.823475659</v>
      </c>
      <c r="H52" s="316">
        <f t="shared" si="0"/>
        <v>17.04033858</v>
      </c>
      <c r="I52" s="316">
        <f t="shared" si="1"/>
        <v>682.19365593800001</v>
      </c>
      <c r="J52" s="316">
        <f t="shared" si="2"/>
        <v>699.23399451800003</v>
      </c>
    </row>
    <row r="53" spans="1:10" ht="14.25" customHeight="1" x14ac:dyDescent="0.2">
      <c r="A53" s="772" t="s">
        <v>742</v>
      </c>
      <c r="B53" s="773">
        <v>28.59649611</v>
      </c>
      <c r="C53" s="773">
        <v>72.450655680000011</v>
      </c>
      <c r="D53" s="773">
        <v>128.009514059</v>
      </c>
      <c r="E53" s="773">
        <v>258.46383537999998</v>
      </c>
      <c r="F53" s="773">
        <v>209.37608187000001</v>
      </c>
      <c r="G53" s="773">
        <v>221.54789780899998</v>
      </c>
      <c r="H53" s="774">
        <f t="shared" si="0"/>
        <v>101.04715179000002</v>
      </c>
      <c r="I53" s="774">
        <f t="shared" si="1"/>
        <v>817.39732911800002</v>
      </c>
      <c r="J53" s="774">
        <f t="shared" si="2"/>
        <v>918.44448090800006</v>
      </c>
    </row>
    <row r="54" spans="1:10" s="8" customFormat="1" ht="14.25" customHeight="1" x14ac:dyDescent="0.2">
      <c r="A54" s="770" t="s">
        <v>743</v>
      </c>
      <c r="B54" s="771">
        <v>9.4553215900000005</v>
      </c>
      <c r="C54" s="771">
        <v>21.278974309999999</v>
      </c>
      <c r="D54" s="771">
        <v>12.659104569</v>
      </c>
      <c r="E54" s="771">
        <v>6.6612170400000004</v>
      </c>
      <c r="F54" s="771">
        <v>8.1110252690000006</v>
      </c>
      <c r="G54" s="771">
        <v>31.646413670000001</v>
      </c>
      <c r="H54" s="316">
        <f t="shared" si="0"/>
        <v>30.734295899999999</v>
      </c>
      <c r="I54" s="316">
        <f t="shared" si="1"/>
        <v>59.077760548000001</v>
      </c>
      <c r="J54" s="316">
        <f t="shared" si="2"/>
        <v>89.812056447999993</v>
      </c>
    </row>
    <row r="55" spans="1:10" s="68" customFormat="1" ht="14.25" customHeight="1" x14ac:dyDescent="0.2">
      <c r="A55" s="784" t="s">
        <v>744</v>
      </c>
      <c r="B55" s="785">
        <v>10.77120219</v>
      </c>
      <c r="C55" s="785">
        <v>26.72021402</v>
      </c>
      <c r="D55" s="785">
        <v>19.434486149000001</v>
      </c>
      <c r="E55" s="785">
        <v>29.603981359999999</v>
      </c>
      <c r="F55" s="785">
        <v>12.005191849999999</v>
      </c>
      <c r="G55" s="785">
        <v>22.149566039</v>
      </c>
      <c r="H55" s="786">
        <f t="shared" si="0"/>
        <v>37.491416209999997</v>
      </c>
      <c r="I55" s="786">
        <f t="shared" si="1"/>
        <v>83.19322539800001</v>
      </c>
      <c r="J55" s="786">
        <f t="shared" si="2"/>
        <v>120.68464160800001</v>
      </c>
    </row>
    <row r="56" spans="1:10" s="68" customFormat="1" ht="14.25" customHeight="1" x14ac:dyDescent="0.2">
      <c r="A56" s="787" t="s">
        <v>745</v>
      </c>
      <c r="B56" s="788">
        <v>146.117426639</v>
      </c>
      <c r="C56" s="788">
        <v>319.32946686000003</v>
      </c>
      <c r="D56" s="788">
        <v>256.77223062999997</v>
      </c>
      <c r="E56" s="788">
        <v>367.26314531999998</v>
      </c>
      <c r="F56" s="788">
        <v>219.35887211000002</v>
      </c>
      <c r="G56" s="788">
        <v>840.90624027900003</v>
      </c>
      <c r="H56" s="789">
        <f t="shared" si="0"/>
        <v>465.446893499</v>
      </c>
      <c r="I56" s="789">
        <f t="shared" si="1"/>
        <v>1684.3004883389999</v>
      </c>
      <c r="J56" s="789">
        <f t="shared" si="2"/>
        <v>2149.7473818379999</v>
      </c>
    </row>
    <row r="57" spans="1:10" ht="14.25" customHeight="1" x14ac:dyDescent="0.2">
      <c r="A57" s="784" t="s">
        <v>746</v>
      </c>
      <c r="B57" s="785">
        <v>2.3908262799999997</v>
      </c>
      <c r="C57" s="785">
        <v>6.4282808400000002</v>
      </c>
      <c r="D57" s="785">
        <v>2.2776715189999996</v>
      </c>
      <c r="E57" s="785">
        <v>2.6535701299999999</v>
      </c>
      <c r="F57" s="785">
        <v>1.23891068</v>
      </c>
      <c r="G57" s="785">
        <v>26.406629638999998</v>
      </c>
      <c r="H57" s="786">
        <f t="shared" si="0"/>
        <v>8.81910712</v>
      </c>
      <c r="I57" s="786">
        <f t="shared" si="1"/>
        <v>32.576781967999999</v>
      </c>
      <c r="J57" s="786">
        <f t="shared" si="2"/>
        <v>41.395889087999997</v>
      </c>
    </row>
    <row r="58" spans="1:10" ht="14.25" customHeight="1" x14ac:dyDescent="0.2">
      <c r="A58" s="782" t="s">
        <v>535</v>
      </c>
      <c r="B58" s="783">
        <v>5.5639125499999995</v>
      </c>
      <c r="C58" s="783">
        <v>17.83697652</v>
      </c>
      <c r="D58" s="783">
        <v>12.526060209000001</v>
      </c>
      <c r="E58" s="783">
        <v>21.12615443</v>
      </c>
      <c r="F58" s="783">
        <v>3.8608676690000001</v>
      </c>
      <c r="G58" s="783">
        <v>2.7132417599999998</v>
      </c>
      <c r="H58" s="385">
        <f t="shared" si="0"/>
        <v>23.400889069999998</v>
      </c>
      <c r="I58" s="385">
        <f t="shared" si="1"/>
        <v>40.226324068000004</v>
      </c>
      <c r="J58" s="385">
        <f t="shared" si="2"/>
        <v>63.627213138000002</v>
      </c>
    </row>
    <row r="59" spans="1:10" ht="14.25" customHeight="1" x14ac:dyDescent="0.2">
      <c r="A59" s="793" t="s">
        <v>747</v>
      </c>
      <c r="B59" s="773">
        <v>25.00749274</v>
      </c>
      <c r="C59" s="773">
        <v>42.187317310000005</v>
      </c>
      <c r="D59" s="773">
        <v>11.958122269999999</v>
      </c>
      <c r="E59" s="773">
        <v>15.799161249999999</v>
      </c>
      <c r="F59" s="773">
        <v>10.308791499</v>
      </c>
      <c r="G59" s="773">
        <v>528.91763169000001</v>
      </c>
      <c r="H59" s="774">
        <f t="shared" si="0"/>
        <v>67.194810050000001</v>
      </c>
      <c r="I59" s="774">
        <f t="shared" si="1"/>
        <v>566.98370670899999</v>
      </c>
      <c r="J59" s="774">
        <f t="shared" si="2"/>
        <v>634.17851675899999</v>
      </c>
    </row>
    <row r="60" spans="1:10" s="8" customFormat="1" ht="14.25" customHeight="1" x14ac:dyDescent="0.2">
      <c r="A60" s="770" t="s">
        <v>748</v>
      </c>
      <c r="B60" s="771">
        <v>112.71344073899999</v>
      </c>
      <c r="C60" s="771">
        <v>247.625440739</v>
      </c>
      <c r="D60" s="771">
        <v>226.241967289</v>
      </c>
      <c r="E60" s="771">
        <v>323.90589507999999</v>
      </c>
      <c r="F60" s="771">
        <v>200.87848155</v>
      </c>
      <c r="G60" s="771">
        <v>263.80903422</v>
      </c>
      <c r="H60" s="316">
        <f t="shared" si="0"/>
        <v>360.33888147799996</v>
      </c>
      <c r="I60" s="316">
        <f t="shared" si="1"/>
        <v>1014.8353781390001</v>
      </c>
      <c r="J60" s="316">
        <f t="shared" si="2"/>
        <v>1375.1742596170002</v>
      </c>
    </row>
    <row r="61" spans="1:10" s="8" customFormat="1" ht="14.25" customHeight="1" x14ac:dyDescent="0.2">
      <c r="A61" s="772" t="s">
        <v>749</v>
      </c>
      <c r="B61" s="773">
        <v>0.44175433000000003</v>
      </c>
      <c r="C61" s="773">
        <v>5.2514514500000002</v>
      </c>
      <c r="D61" s="773">
        <v>3.7684093399999998</v>
      </c>
      <c r="E61" s="773">
        <v>3.7783644300000003</v>
      </c>
      <c r="F61" s="773">
        <v>3.0718207099999999</v>
      </c>
      <c r="G61" s="773">
        <v>19.05970297</v>
      </c>
      <c r="H61" s="774">
        <f t="shared" si="0"/>
        <v>5.6932057800000004</v>
      </c>
      <c r="I61" s="774">
        <f t="shared" si="1"/>
        <v>29.678297449999999</v>
      </c>
      <c r="J61" s="774">
        <f t="shared" si="2"/>
        <v>35.371503230000002</v>
      </c>
    </row>
    <row r="62" spans="1:10" s="68" customFormat="1" ht="14.25" customHeight="1" x14ac:dyDescent="0.2">
      <c r="A62" s="779" t="s">
        <v>750</v>
      </c>
      <c r="B62" s="780">
        <v>44.856581908999999</v>
      </c>
      <c r="C62" s="780">
        <v>81.700890099999995</v>
      </c>
      <c r="D62" s="780">
        <v>83.402687510000007</v>
      </c>
      <c r="E62" s="780">
        <v>124.12178657999999</v>
      </c>
      <c r="F62" s="780">
        <v>98.491449169000006</v>
      </c>
      <c r="G62" s="780">
        <v>179.68220678999998</v>
      </c>
      <c r="H62" s="781">
        <f t="shared" si="0"/>
        <v>126.55747200899999</v>
      </c>
      <c r="I62" s="781">
        <f t="shared" si="1"/>
        <v>485.69813004900004</v>
      </c>
      <c r="J62" s="781">
        <f t="shared" si="2"/>
        <v>612.25560205800002</v>
      </c>
    </row>
    <row r="63" spans="1:10" s="8" customFormat="1" ht="14.25" customHeight="1" x14ac:dyDescent="0.2">
      <c r="A63" s="784" t="s">
        <v>751</v>
      </c>
      <c r="B63" s="785">
        <v>12.165555678999999</v>
      </c>
      <c r="C63" s="785">
        <v>34.716984520000004</v>
      </c>
      <c r="D63" s="785">
        <v>30.98108379</v>
      </c>
      <c r="E63" s="785">
        <v>54.909571619999994</v>
      </c>
      <c r="F63" s="785">
        <v>48.225895878999999</v>
      </c>
      <c r="G63" s="785">
        <v>106.78335719899999</v>
      </c>
      <c r="H63" s="786">
        <f t="shared" si="0"/>
        <v>46.882540199000005</v>
      </c>
      <c r="I63" s="786">
        <f t="shared" si="1"/>
        <v>240.89990848799999</v>
      </c>
      <c r="J63" s="786">
        <f t="shared" si="2"/>
        <v>287.782448687</v>
      </c>
    </row>
    <row r="64" spans="1:10" s="68" customFormat="1" ht="14.25" customHeight="1" x14ac:dyDescent="0.2">
      <c r="A64" s="782" t="s">
        <v>536</v>
      </c>
      <c r="B64" s="783">
        <v>1.49943293</v>
      </c>
      <c r="C64" s="783">
        <v>2.6317665099999998</v>
      </c>
      <c r="D64" s="783">
        <v>6.1988254000000005</v>
      </c>
      <c r="E64" s="783">
        <v>14.145704139000001</v>
      </c>
      <c r="F64" s="783">
        <v>11.082098029999999</v>
      </c>
      <c r="G64" s="783">
        <v>8.1491471490000009</v>
      </c>
      <c r="H64" s="385">
        <f t="shared" si="0"/>
        <v>4.1311994399999996</v>
      </c>
      <c r="I64" s="385">
        <f t="shared" si="1"/>
        <v>39.575774717999998</v>
      </c>
      <c r="J64" s="385">
        <f t="shared" si="2"/>
        <v>43.706974157999994</v>
      </c>
    </row>
    <row r="65" spans="1:13" ht="14.25" customHeight="1" x14ac:dyDescent="0.2">
      <c r="A65" s="784" t="s">
        <v>752</v>
      </c>
      <c r="B65" s="785">
        <v>2.0355450090000002</v>
      </c>
      <c r="C65" s="785">
        <v>4.4908616690000001</v>
      </c>
      <c r="D65" s="785">
        <v>2.5508990090000001</v>
      </c>
      <c r="E65" s="785">
        <v>1.860351949</v>
      </c>
      <c r="F65" s="785">
        <v>0.90274299000000002</v>
      </c>
      <c r="G65" s="785">
        <v>3.5251069100000003</v>
      </c>
      <c r="H65" s="786">
        <f t="shared" si="0"/>
        <v>6.5264066780000007</v>
      </c>
      <c r="I65" s="786">
        <f t="shared" si="1"/>
        <v>8.8391008580000001</v>
      </c>
      <c r="J65" s="786">
        <f t="shared" si="2"/>
        <v>15.365507536000001</v>
      </c>
    </row>
    <row r="66" spans="1:13" ht="14.25" customHeight="1" x14ac:dyDescent="0.2">
      <c r="A66" s="782" t="s">
        <v>753</v>
      </c>
      <c r="B66" s="783">
        <v>1.9765513899999998</v>
      </c>
      <c r="C66" s="783">
        <v>9.9008275799999996</v>
      </c>
      <c r="D66" s="783">
        <v>14.988445410000001</v>
      </c>
      <c r="E66" s="783">
        <v>29.242440219999999</v>
      </c>
      <c r="F66" s="783">
        <v>25.723474719000002</v>
      </c>
      <c r="G66" s="783">
        <v>35.904156840000006</v>
      </c>
      <c r="H66" s="385">
        <f t="shared" si="0"/>
        <v>11.877378969999999</v>
      </c>
      <c r="I66" s="385">
        <f t="shared" si="1"/>
        <v>105.85851718900003</v>
      </c>
      <c r="J66" s="385">
        <f t="shared" si="2"/>
        <v>117.73589615900002</v>
      </c>
    </row>
    <row r="67" spans="1:13" s="8" customFormat="1" ht="14.25" customHeight="1" x14ac:dyDescent="0.2">
      <c r="A67" s="793" t="s">
        <v>754</v>
      </c>
      <c r="B67" s="773">
        <v>27.1794969</v>
      </c>
      <c r="C67" s="773">
        <v>29.960449818999997</v>
      </c>
      <c r="D67" s="773">
        <v>28.683433899999997</v>
      </c>
      <c r="E67" s="773">
        <v>23.963718649999997</v>
      </c>
      <c r="F67" s="773">
        <v>12.55723755</v>
      </c>
      <c r="G67" s="773">
        <v>25.32043869</v>
      </c>
      <c r="H67" s="774">
        <f t="shared" si="0"/>
        <v>57.139946718999994</v>
      </c>
      <c r="I67" s="774">
        <f t="shared" si="1"/>
        <v>90.524828790000001</v>
      </c>
      <c r="J67" s="774">
        <f t="shared" si="2"/>
        <v>147.66477550899998</v>
      </c>
    </row>
    <row r="68" spans="1:13" ht="14.25" customHeight="1" x14ac:dyDescent="0.2">
      <c r="A68" s="935" t="s">
        <v>803</v>
      </c>
      <c r="B68" s="936">
        <v>4068.6199795900002</v>
      </c>
      <c r="C68" s="936">
        <v>9282.9883198400003</v>
      </c>
      <c r="D68" s="936">
        <v>9282.6808195499998</v>
      </c>
      <c r="E68" s="936">
        <v>15015.632392450001</v>
      </c>
      <c r="F68" s="936">
        <v>9002.6074646489997</v>
      </c>
      <c r="G68" s="936">
        <v>17947.511431040002</v>
      </c>
      <c r="H68" s="995">
        <f t="shared" ref="H68:H69" si="3">SUM(B68:C68)</f>
        <v>13351.608299430001</v>
      </c>
      <c r="I68" s="995">
        <f t="shared" ref="I68:I69" si="4">SUM(D68:G68)</f>
        <v>51248.432107689005</v>
      </c>
      <c r="J68" s="995">
        <f t="shared" ref="J68:J69" si="5">SUM(H68:I68)</f>
        <v>64600.040407119006</v>
      </c>
      <c r="K68" s="1000"/>
      <c r="L68" s="999"/>
    </row>
    <row r="69" spans="1:13" ht="14.25" customHeight="1" x14ac:dyDescent="0.2">
      <c r="A69" s="968" t="s">
        <v>163</v>
      </c>
      <c r="B69" s="969">
        <v>75.225389010000001</v>
      </c>
      <c r="C69" s="969">
        <v>171.04714428900002</v>
      </c>
      <c r="D69" s="969">
        <v>163.33077430899999</v>
      </c>
      <c r="E69" s="969">
        <v>301.32370430899999</v>
      </c>
      <c r="F69" s="969">
        <v>240.00431556000001</v>
      </c>
      <c r="G69" s="969">
        <v>447.12192377999997</v>
      </c>
      <c r="H69" s="970">
        <f t="shared" si="3"/>
        <v>246.27253329900003</v>
      </c>
      <c r="I69" s="970">
        <f t="shared" si="4"/>
        <v>1151.780717958</v>
      </c>
      <c r="J69" s="970">
        <f t="shared" si="5"/>
        <v>1398.0532512570001</v>
      </c>
      <c r="M69" s="194"/>
    </row>
    <row r="70" spans="1:13" ht="15" customHeight="1" x14ac:dyDescent="0.2">
      <c r="A70" s="794" t="s">
        <v>842</v>
      </c>
      <c r="B70" s="3"/>
      <c r="C70" s="3"/>
      <c r="D70" s="245"/>
      <c r="E70" s="3"/>
      <c r="F70" s="3"/>
      <c r="G70" s="245"/>
      <c r="H70" s="3"/>
      <c r="I70" s="3"/>
      <c r="J70" s="911"/>
      <c r="K70" s="14"/>
    </row>
    <row r="71" spans="1:13" ht="15" customHeight="1" x14ac:dyDescent="0.2">
      <c r="A71" s="794" t="s">
        <v>316</v>
      </c>
      <c r="B71" s="3"/>
      <c r="C71" s="3"/>
      <c r="D71" s="245"/>
      <c r="E71" s="3"/>
      <c r="F71" s="3"/>
      <c r="G71" s="245"/>
      <c r="H71" s="3"/>
      <c r="I71" s="3"/>
      <c r="J71" s="911"/>
      <c r="K71" s="945"/>
    </row>
    <row r="72" spans="1:13" x14ac:dyDescent="0.2">
      <c r="A72" s="286" t="s">
        <v>951</v>
      </c>
      <c r="B72" s="3"/>
      <c r="C72" s="3"/>
      <c r="D72" s="245"/>
      <c r="E72" s="3"/>
      <c r="F72" s="3"/>
      <c r="G72" s="245"/>
      <c r="H72" s="3"/>
      <c r="I72" s="3"/>
      <c r="J72" s="911"/>
    </row>
    <row r="73" spans="1:13" x14ac:dyDescent="0.2">
      <c r="B73" s="3"/>
      <c r="C73" s="3"/>
      <c r="D73" s="3"/>
      <c r="E73" s="3"/>
      <c r="F73" s="3"/>
      <c r="G73" s="3"/>
      <c r="H73" s="3"/>
      <c r="I73" s="3"/>
      <c r="J73" s="3"/>
    </row>
    <row r="74" spans="1:13" ht="16.5" x14ac:dyDescent="0.25">
      <c r="A74" s="108" t="s">
        <v>756</v>
      </c>
    </row>
    <row r="75" spans="1:13" ht="13.5" thickBot="1" x14ac:dyDescent="0.25">
      <c r="A75" s="231"/>
      <c r="J75" s="652" t="s">
        <v>23</v>
      </c>
    </row>
    <row r="76" spans="1:13" x14ac:dyDescent="0.2">
      <c r="A76" s="230" t="s">
        <v>799</v>
      </c>
      <c r="B76" s="760" t="s">
        <v>38</v>
      </c>
      <c r="C76" s="760" t="s">
        <v>39</v>
      </c>
      <c r="D76" s="760" t="s">
        <v>125</v>
      </c>
      <c r="E76" s="760" t="s">
        <v>126</v>
      </c>
      <c r="F76" s="760" t="s">
        <v>127</v>
      </c>
      <c r="G76" s="761">
        <v>100000</v>
      </c>
      <c r="H76" s="762" t="s">
        <v>229</v>
      </c>
      <c r="I76" s="762" t="s">
        <v>228</v>
      </c>
      <c r="J76" s="762" t="s">
        <v>220</v>
      </c>
    </row>
    <row r="77" spans="1:13" x14ac:dyDescent="0.2">
      <c r="A77" s="229"/>
      <c r="B77" s="763" t="s">
        <v>40</v>
      </c>
      <c r="C77" s="763" t="s">
        <v>40</v>
      </c>
      <c r="D77" s="763" t="s">
        <v>40</v>
      </c>
      <c r="E77" s="763" t="s">
        <v>40</v>
      </c>
      <c r="F77" s="763" t="s">
        <v>40</v>
      </c>
      <c r="G77" s="763" t="s">
        <v>43</v>
      </c>
      <c r="H77" s="764" t="s">
        <v>523</v>
      </c>
      <c r="I77" s="764" t="s">
        <v>138</v>
      </c>
      <c r="J77" s="764" t="s">
        <v>142</v>
      </c>
    </row>
    <row r="78" spans="1:13" ht="13.5" thickBot="1" x14ac:dyDescent="0.25">
      <c r="A78" s="232"/>
      <c r="B78" s="765" t="s">
        <v>46</v>
      </c>
      <c r="C78" s="765" t="s">
        <v>42</v>
      </c>
      <c r="D78" s="765" t="s">
        <v>128</v>
      </c>
      <c r="E78" s="765" t="s">
        <v>129</v>
      </c>
      <c r="F78" s="765" t="s">
        <v>130</v>
      </c>
      <c r="G78" s="765" t="s">
        <v>131</v>
      </c>
      <c r="H78" s="766" t="s">
        <v>138</v>
      </c>
      <c r="I78" s="766" t="s">
        <v>131</v>
      </c>
      <c r="J78" s="766" t="s">
        <v>610</v>
      </c>
    </row>
    <row r="80" spans="1:13" x14ac:dyDescent="0.2">
      <c r="A80" s="767" t="s">
        <v>709</v>
      </c>
      <c r="B80" s="795">
        <f t="shared" ref="B80:J80" si="6">IF(B9="-","-",B9/B$68)</f>
        <v>0.47385283945695011</v>
      </c>
      <c r="C80" s="795">
        <f t="shared" si="6"/>
        <v>0.40704027369336671</v>
      </c>
      <c r="D80" s="795">
        <f t="shared" si="6"/>
        <v>0.3587992335936484</v>
      </c>
      <c r="E80" s="795">
        <f t="shared" si="6"/>
        <v>0.33113998697844438</v>
      </c>
      <c r="F80" s="795">
        <f t="shared" si="6"/>
        <v>0.30780425892278301</v>
      </c>
      <c r="G80" s="795">
        <f t="shared" si="6"/>
        <v>0.22365096621573247</v>
      </c>
      <c r="H80" s="796">
        <f t="shared" si="6"/>
        <v>0.42739998870724943</v>
      </c>
      <c r="I80" s="796">
        <f t="shared" si="6"/>
        <v>0.29440733403711877</v>
      </c>
      <c r="J80" s="796">
        <f t="shared" si="6"/>
        <v>0.32189440402448155</v>
      </c>
    </row>
    <row r="81" spans="1:10" x14ac:dyDescent="0.2">
      <c r="A81" s="770" t="s">
        <v>710</v>
      </c>
      <c r="B81" s="797">
        <f t="shared" ref="B81:J81" si="7">IF(B10="-","-",B10/B$68)</f>
        <v>5.6906019611183113E-2</v>
      </c>
      <c r="C81" s="797">
        <f t="shared" si="7"/>
        <v>2.0571000879196555E-2</v>
      </c>
      <c r="D81" s="797">
        <f t="shared" si="7"/>
        <v>1.5078044239571851E-2</v>
      </c>
      <c r="E81" s="797">
        <f t="shared" si="7"/>
        <v>8.3554094140639266E-3</v>
      </c>
      <c r="F81" s="797">
        <f t="shared" si="7"/>
        <v>4.4346592812992943E-3</v>
      </c>
      <c r="G81" s="797">
        <f t="shared" si="7"/>
        <v>4.1100590241956204E-3</v>
      </c>
      <c r="H81" s="351">
        <f t="shared" si="7"/>
        <v>3.1643328635999356E-2</v>
      </c>
      <c r="I81" s="351">
        <f t="shared" si="7"/>
        <v>7.3975971709799833E-3</v>
      </c>
      <c r="J81" s="351">
        <f t="shared" si="7"/>
        <v>1.2408731953775405E-2</v>
      </c>
    </row>
    <row r="82" spans="1:10" x14ac:dyDescent="0.2">
      <c r="A82" s="772" t="s">
        <v>524</v>
      </c>
      <c r="B82" s="798">
        <f t="shared" ref="B82:J82" si="8">IF(B11="-","-",B11/B$68)</f>
        <v>0.40532128742487811</v>
      </c>
      <c r="C82" s="798">
        <f t="shared" si="8"/>
        <v>0.37596966451425584</v>
      </c>
      <c r="D82" s="798">
        <f t="shared" si="8"/>
        <v>0.33152583447959022</v>
      </c>
      <c r="E82" s="798">
        <f t="shared" si="8"/>
        <v>0.313020220758288</v>
      </c>
      <c r="F82" s="798">
        <f t="shared" si="8"/>
        <v>0.2938770574923818</v>
      </c>
      <c r="G82" s="798">
        <f t="shared" si="8"/>
        <v>0.21026442918896218</v>
      </c>
      <c r="H82" s="799">
        <f t="shared" si="8"/>
        <v>0.38491395023095465</v>
      </c>
      <c r="I82" s="799">
        <f t="shared" si="8"/>
        <v>0.27702365760705805</v>
      </c>
      <c r="J82" s="799">
        <f t="shared" si="8"/>
        <v>0.29932254344903042</v>
      </c>
    </row>
    <row r="83" spans="1:10" x14ac:dyDescent="0.2">
      <c r="A83" s="770" t="s">
        <v>711</v>
      </c>
      <c r="B83" s="797">
        <f t="shared" ref="B83:J83" si="9">IF(B12="-","-",B12/B$68)</f>
        <v>1.1529584725366053E-2</v>
      </c>
      <c r="C83" s="797">
        <f t="shared" si="9"/>
        <v>1.0157359077838976E-2</v>
      </c>
      <c r="D83" s="797">
        <f t="shared" si="9"/>
        <v>1.1967096973219554E-2</v>
      </c>
      <c r="E83" s="797">
        <f t="shared" si="9"/>
        <v>9.2063752738451524E-3</v>
      </c>
      <c r="F83" s="797">
        <f t="shared" si="9"/>
        <v>8.958235639583598E-3</v>
      </c>
      <c r="G83" s="797">
        <f t="shared" si="9"/>
        <v>7.9693422778175042E-3</v>
      </c>
      <c r="H83" s="351">
        <f t="shared" si="9"/>
        <v>1.0575515794305324E-2</v>
      </c>
      <c r="I83" s="351">
        <f t="shared" si="9"/>
        <v>9.2296214641663828E-3</v>
      </c>
      <c r="J83" s="351">
        <f t="shared" si="9"/>
        <v>9.5077924033049686E-3</v>
      </c>
    </row>
    <row r="84" spans="1:10" s="8" customFormat="1" x14ac:dyDescent="0.2">
      <c r="A84" s="772" t="s">
        <v>712</v>
      </c>
      <c r="B84" s="798">
        <f t="shared" ref="B84:J84" si="10">IF(B13="-","-",B13/B$68)</f>
        <v>9.5947695277094559E-5</v>
      </c>
      <c r="C84" s="798">
        <f t="shared" si="10"/>
        <v>3.4224922196764753E-4</v>
      </c>
      <c r="D84" s="798">
        <f t="shared" si="10"/>
        <v>2.2825790094361083E-4</v>
      </c>
      <c r="E84" s="798">
        <f t="shared" si="10"/>
        <v>5.5798153224720392E-4</v>
      </c>
      <c r="F84" s="798">
        <f t="shared" si="10"/>
        <v>5.3430650929614217E-4</v>
      </c>
      <c r="G84" s="798">
        <f t="shared" si="10"/>
        <v>1.3071357246457302E-3</v>
      </c>
      <c r="H84" s="799">
        <f t="shared" si="10"/>
        <v>2.6719404584032774E-4</v>
      </c>
      <c r="I84" s="799">
        <f t="shared" si="10"/>
        <v>7.564577947777565E-4</v>
      </c>
      <c r="J84" s="799">
        <f t="shared" si="10"/>
        <v>6.5533621823144644E-4</v>
      </c>
    </row>
    <row r="85" spans="1:10" s="8" customFormat="1" x14ac:dyDescent="0.2">
      <c r="A85" s="779" t="s">
        <v>525</v>
      </c>
      <c r="B85" s="802">
        <f t="shared" ref="B85:J85" si="11">IF(B14="-","-",B14/B$68)</f>
        <v>3.3839965755139013E-2</v>
      </c>
      <c r="C85" s="802">
        <f t="shared" si="11"/>
        <v>3.9309872106603014E-2</v>
      </c>
      <c r="D85" s="802">
        <f t="shared" si="11"/>
        <v>4.40791742767081E-2</v>
      </c>
      <c r="E85" s="802">
        <f t="shared" si="11"/>
        <v>4.7350837882625493E-2</v>
      </c>
      <c r="F85" s="802">
        <f t="shared" si="11"/>
        <v>5.4840559617718387E-2</v>
      </c>
      <c r="G85" s="802">
        <f t="shared" si="11"/>
        <v>6.5686521174745716E-2</v>
      </c>
      <c r="H85" s="803">
        <f t="shared" si="11"/>
        <v>3.7643033942319631E-2</v>
      </c>
      <c r="I85" s="803">
        <f t="shared" si="11"/>
        <v>5.4495195011634037E-2</v>
      </c>
      <c r="J85" s="803">
        <f t="shared" si="11"/>
        <v>5.1012171592788098E-2</v>
      </c>
    </row>
    <row r="86" spans="1:10" x14ac:dyDescent="0.2">
      <c r="A86" s="772" t="s">
        <v>713</v>
      </c>
      <c r="B86" s="798">
        <f t="shared" ref="B86:J86" si="12">IF(B15="-","-",B15/B$68)</f>
        <v>1.2080988798799832E-3</v>
      </c>
      <c r="C86" s="798">
        <f t="shared" si="12"/>
        <v>8.7928110849337833E-4</v>
      </c>
      <c r="D86" s="798">
        <f t="shared" si="12"/>
        <v>1.3855781631435552E-3</v>
      </c>
      <c r="E86" s="798">
        <f t="shared" si="12"/>
        <v>2.5216109791045605E-3</v>
      </c>
      <c r="F86" s="798">
        <f t="shared" si="12"/>
        <v>4.1640763796715859E-3</v>
      </c>
      <c r="G86" s="798">
        <f t="shared" si="12"/>
        <v>4.7028982154050632E-3</v>
      </c>
      <c r="H86" s="799">
        <f t="shared" si="12"/>
        <v>9.7948136334693862E-4</v>
      </c>
      <c r="I86" s="799">
        <f t="shared" si="12"/>
        <v>3.3682655413589009E-3</v>
      </c>
      <c r="J86" s="799">
        <f t="shared" si="12"/>
        <v>2.8745489669467152E-3</v>
      </c>
    </row>
    <row r="87" spans="1:10" x14ac:dyDescent="0.2">
      <c r="A87" s="770" t="s">
        <v>714</v>
      </c>
      <c r="B87" s="797">
        <f t="shared" ref="B87:J87" si="13">IF(B16="-","-",B16/B$68)</f>
        <v>2.0953086475672952E-2</v>
      </c>
      <c r="C87" s="797">
        <f t="shared" si="13"/>
        <v>2.6298309657165196E-2</v>
      </c>
      <c r="D87" s="797">
        <f t="shared" si="13"/>
        <v>3.176419358715965E-2</v>
      </c>
      <c r="E87" s="797">
        <f t="shared" si="13"/>
        <v>3.2537895066321751E-2</v>
      </c>
      <c r="F87" s="797">
        <f t="shared" si="13"/>
        <v>3.2866281956850381E-2</v>
      </c>
      <c r="G87" s="797">
        <f t="shared" si="13"/>
        <v>2.9619459333543697E-2</v>
      </c>
      <c r="H87" s="351">
        <f t="shared" si="13"/>
        <v>2.4669466049424292E-2</v>
      </c>
      <c r="I87" s="351">
        <f t="shared" si="13"/>
        <v>3.1433386265651397E-2</v>
      </c>
      <c r="J87" s="351">
        <f t="shared" si="13"/>
        <v>3.0035411702067256E-2</v>
      </c>
    </row>
    <row r="88" spans="1:10" x14ac:dyDescent="0.2">
      <c r="A88" s="778" t="s">
        <v>715</v>
      </c>
      <c r="B88" s="798">
        <f t="shared" ref="B88:J88" si="14">IF(B17="-","-",B17/B$68)</f>
        <v>8.7522071949782849E-3</v>
      </c>
      <c r="C88" s="798">
        <f t="shared" si="14"/>
        <v>8.2804692003883591E-3</v>
      </c>
      <c r="D88" s="798">
        <f t="shared" si="14"/>
        <v>8.7638944579098155E-3</v>
      </c>
      <c r="E88" s="798">
        <f t="shared" si="14"/>
        <v>9.0306751220935316E-3</v>
      </c>
      <c r="F88" s="798">
        <f t="shared" si="14"/>
        <v>1.3632397316101906E-2</v>
      </c>
      <c r="G88" s="798">
        <f t="shared" si="14"/>
        <v>1.8989983485986298E-2</v>
      </c>
      <c r="H88" s="799">
        <f t="shared" si="14"/>
        <v>8.4242213676836066E-3</v>
      </c>
      <c r="I88" s="799">
        <f t="shared" si="14"/>
        <v>1.3278529165088376E-2</v>
      </c>
      <c r="J88" s="799">
        <f t="shared" si="14"/>
        <v>1.2275235423051105E-2</v>
      </c>
    </row>
    <row r="89" spans="1:10" s="8" customFormat="1" x14ac:dyDescent="0.2">
      <c r="A89" s="770" t="s">
        <v>526</v>
      </c>
      <c r="B89" s="797">
        <f t="shared" ref="B89:J89" si="15">IF(B18="-","-",B18/B$68)</f>
        <v>1.9417673362544232E-3</v>
      </c>
      <c r="C89" s="797">
        <f t="shared" si="15"/>
        <v>2.5589667606529354E-3</v>
      </c>
      <c r="D89" s="797">
        <f t="shared" si="15"/>
        <v>1.1204284034085955E-3</v>
      </c>
      <c r="E89" s="797">
        <f t="shared" si="15"/>
        <v>1.8743904069036508E-3</v>
      </c>
      <c r="F89" s="797">
        <f t="shared" si="15"/>
        <v>2.435048741831898E-3</v>
      </c>
      <c r="G89" s="797">
        <f t="shared" si="15"/>
        <v>1.8682657285293061E-3</v>
      </c>
      <c r="H89" s="351">
        <f t="shared" si="15"/>
        <v>2.3708883019996478E-3</v>
      </c>
      <c r="I89" s="351">
        <f t="shared" si="15"/>
        <v>1.8341682114582599E-3</v>
      </c>
      <c r="J89" s="351">
        <f t="shared" si="15"/>
        <v>1.9450981175416235E-3</v>
      </c>
    </row>
    <row r="90" spans="1:10" x14ac:dyDescent="0.2">
      <c r="A90" s="772" t="s">
        <v>716</v>
      </c>
      <c r="B90" s="798">
        <f t="shared" ref="B90:J90" si="16">IF(B19="-","-",B19/B$68)</f>
        <v>9.8480586786180288E-4</v>
      </c>
      <c r="C90" s="798">
        <f t="shared" si="16"/>
        <v>1.292845379687697E-3</v>
      </c>
      <c r="D90" s="798">
        <f t="shared" si="16"/>
        <v>1.0450796647632969E-3</v>
      </c>
      <c r="E90" s="798">
        <f t="shared" si="16"/>
        <v>1.3862663080688037E-3</v>
      </c>
      <c r="F90" s="798">
        <f t="shared" si="16"/>
        <v>1.7427552230404513E-3</v>
      </c>
      <c r="G90" s="798">
        <f t="shared" si="16"/>
        <v>1.0505914411281354E-2</v>
      </c>
      <c r="H90" s="799">
        <f t="shared" si="16"/>
        <v>1.1989768595655564E-3</v>
      </c>
      <c r="I90" s="799">
        <f t="shared" si="16"/>
        <v>4.5808458279405165E-3</v>
      </c>
      <c r="J90" s="799">
        <f t="shared" si="16"/>
        <v>3.8818773830111238E-3</v>
      </c>
    </row>
    <row r="91" spans="1:10" s="8" customFormat="1" x14ac:dyDescent="0.2">
      <c r="A91" s="779" t="s">
        <v>527</v>
      </c>
      <c r="B91" s="802">
        <f t="shared" ref="B91:J91" si="17">IF(B20="-","-",B20/B$68)</f>
        <v>0.15658547854700355</v>
      </c>
      <c r="C91" s="802">
        <f t="shared" si="17"/>
        <v>0.16407245709485621</v>
      </c>
      <c r="D91" s="802">
        <f t="shared" si="17"/>
        <v>0.17008544957883603</v>
      </c>
      <c r="E91" s="802">
        <f t="shared" si="17"/>
        <v>0.1732994501895512</v>
      </c>
      <c r="F91" s="802">
        <f t="shared" si="17"/>
        <v>0.1739768657280967</v>
      </c>
      <c r="G91" s="802">
        <f t="shared" si="17"/>
        <v>0.15764394331994863</v>
      </c>
      <c r="H91" s="803">
        <f t="shared" si="17"/>
        <v>0.16179095887955464</v>
      </c>
      <c r="I91" s="803">
        <f t="shared" si="17"/>
        <v>0.16735364050117385</v>
      </c>
      <c r="J91" s="803">
        <f t="shared" si="17"/>
        <v>0.16620393926819887</v>
      </c>
    </row>
    <row r="92" spans="1:10" x14ac:dyDescent="0.2">
      <c r="A92" s="778" t="s">
        <v>717</v>
      </c>
      <c r="B92" s="798">
        <f t="shared" ref="B92:J92" si="18">IF(B21="-","-",B21/B$68)</f>
        <v>1.0420445633084755E-2</v>
      </c>
      <c r="C92" s="798">
        <f t="shared" si="18"/>
        <v>1.1417340086756328E-2</v>
      </c>
      <c r="D92" s="798">
        <f t="shared" si="18"/>
        <v>2.069969525240176E-2</v>
      </c>
      <c r="E92" s="798">
        <f t="shared" si="18"/>
        <v>2.9340997554690038E-2</v>
      </c>
      <c r="F92" s="798">
        <f t="shared" si="18"/>
        <v>2.9563184623353639E-2</v>
      </c>
      <c r="G92" s="798">
        <f t="shared" si="18"/>
        <v>1.9784063098347033E-2</v>
      </c>
      <c r="H92" s="799">
        <f t="shared" si="18"/>
        <v>1.1113557605965321E-2</v>
      </c>
      <c r="I92" s="799">
        <f t="shared" si="18"/>
        <v>2.4467924012642448E-2</v>
      </c>
      <c r="J92" s="799">
        <f t="shared" si="18"/>
        <v>2.1707828690327904E-2</v>
      </c>
    </row>
    <row r="93" spans="1:10" x14ac:dyDescent="0.2">
      <c r="A93" s="770" t="s">
        <v>528</v>
      </c>
      <c r="B93" s="797">
        <f t="shared" ref="B93:J93" si="19">IF(B22="-","-",B22/B$68)</f>
        <v>7.9775725358284269E-2</v>
      </c>
      <c r="C93" s="797">
        <f t="shared" si="19"/>
        <v>8.4817499889148926E-2</v>
      </c>
      <c r="D93" s="797">
        <f t="shared" si="19"/>
        <v>8.4988986986223342E-2</v>
      </c>
      <c r="E93" s="797">
        <f t="shared" si="19"/>
        <v>8.2544444165549125E-2</v>
      </c>
      <c r="F93" s="797">
        <f t="shared" si="19"/>
        <v>8.6207181339018737E-2</v>
      </c>
      <c r="G93" s="797">
        <f t="shared" si="19"/>
        <v>9.0088652976292191E-2</v>
      </c>
      <c r="H93" s="351">
        <f t="shared" si="19"/>
        <v>8.3281125833767178E-2</v>
      </c>
      <c r="I93" s="351">
        <f t="shared" si="19"/>
        <v>8.6272672752922122E-2</v>
      </c>
      <c r="J93" s="351">
        <f t="shared" si="19"/>
        <v>8.5654376503845456E-2</v>
      </c>
    </row>
    <row r="94" spans="1:10" x14ac:dyDescent="0.2">
      <c r="A94" s="772" t="s">
        <v>529</v>
      </c>
      <c r="B94" s="798">
        <f t="shared" ref="B94:J94" si="20">IF(B23="-","-",B23/B$68)</f>
        <v>3.4139972692656684E-4</v>
      </c>
      <c r="C94" s="798">
        <f t="shared" si="20"/>
        <v>4.0707927014445842E-4</v>
      </c>
      <c r="D94" s="798">
        <f t="shared" si="20"/>
        <v>3.4732639553972046E-4</v>
      </c>
      <c r="E94" s="798">
        <f t="shared" si="20"/>
        <v>1.9704400738311108E-4</v>
      </c>
      <c r="F94" s="798">
        <f t="shared" si="20"/>
        <v>1.4273096822733661E-4</v>
      </c>
      <c r="G94" s="798">
        <f t="shared" si="20"/>
        <v>4.2561547334015876E-3</v>
      </c>
      <c r="H94" s="799">
        <f t="shared" si="20"/>
        <v>3.8706481976561781E-4</v>
      </c>
      <c r="I94" s="799">
        <f t="shared" si="20"/>
        <v>1.6362490248246811E-3</v>
      </c>
      <c r="J94" s="799">
        <f t="shared" si="20"/>
        <v>1.3780662420481945E-3</v>
      </c>
    </row>
    <row r="95" spans="1:10" x14ac:dyDescent="0.2">
      <c r="A95" s="770" t="s">
        <v>718</v>
      </c>
      <c r="B95" s="797">
        <f t="shared" ref="B95:J95" si="21">IF(B24="-","-",B24/B$68)</f>
        <v>2.7040887905949561E-3</v>
      </c>
      <c r="C95" s="797">
        <f t="shared" si="21"/>
        <v>2.0792007718838401E-3</v>
      </c>
      <c r="D95" s="797">
        <f t="shared" si="21"/>
        <v>8.2825118297805622E-4</v>
      </c>
      <c r="E95" s="797">
        <f t="shared" si="21"/>
        <v>6.5707675781680218E-4</v>
      </c>
      <c r="F95" s="797">
        <f t="shared" si="21"/>
        <v>2.3504172377935618E-3</v>
      </c>
      <c r="G95" s="797">
        <f t="shared" si="21"/>
        <v>5.0619537192703465E-3</v>
      </c>
      <c r="H95" s="351">
        <f t="shared" si="21"/>
        <v>2.26962216688859E-3</v>
      </c>
      <c r="I95" s="351">
        <f t="shared" si="21"/>
        <v>2.5281587182363961E-3</v>
      </c>
      <c r="J95" s="351">
        <f t="shared" si="21"/>
        <v>2.4747240958595813E-3</v>
      </c>
    </row>
    <row r="96" spans="1:10" s="8" customFormat="1" x14ac:dyDescent="0.2">
      <c r="A96" s="772" t="s">
        <v>719</v>
      </c>
      <c r="B96" s="798">
        <f t="shared" ref="B96:J96" si="22">IF(B25="-","-",B25/B$68)</f>
        <v>5.6892440837722547E-2</v>
      </c>
      <c r="C96" s="798">
        <f t="shared" si="22"/>
        <v>5.6485190213838125E-2</v>
      </c>
      <c r="D96" s="798">
        <f t="shared" si="22"/>
        <v>5.5446091185859685E-2</v>
      </c>
      <c r="E96" s="798">
        <f t="shared" si="22"/>
        <v>5.1299424297727922E-2</v>
      </c>
      <c r="F96" s="798">
        <f t="shared" si="22"/>
        <v>4.7479815163268969E-2</v>
      </c>
      <c r="G96" s="798">
        <f t="shared" si="22"/>
        <v>3.0498919295424632E-2</v>
      </c>
      <c r="H96" s="799">
        <f t="shared" si="22"/>
        <v>5.6609291220089737E-2</v>
      </c>
      <c r="I96" s="799">
        <f t="shared" si="22"/>
        <v>4.4095075937512496E-2</v>
      </c>
      <c r="J96" s="799">
        <f t="shared" si="22"/>
        <v>4.6681527889782463E-2</v>
      </c>
    </row>
    <row r="97" spans="1:10" x14ac:dyDescent="0.2">
      <c r="A97" s="782" t="s">
        <v>530</v>
      </c>
      <c r="B97" s="804">
        <f t="shared" ref="B97:J97" si="23">IF(B26="-","-",B26/B$68)</f>
        <v>6.4513781996531081E-3</v>
      </c>
      <c r="C97" s="804">
        <f t="shared" si="23"/>
        <v>8.866146862761385E-3</v>
      </c>
      <c r="D97" s="804">
        <f t="shared" si="23"/>
        <v>7.7750985758334836E-3</v>
      </c>
      <c r="E97" s="804">
        <f t="shared" si="23"/>
        <v>9.260463406051184E-3</v>
      </c>
      <c r="F97" s="804">
        <f t="shared" si="23"/>
        <v>8.2335363961012122E-3</v>
      </c>
      <c r="G97" s="804">
        <f t="shared" si="23"/>
        <v>7.9541994971571179E-3</v>
      </c>
      <c r="H97" s="805">
        <f t="shared" si="23"/>
        <v>8.1302972326288397E-3</v>
      </c>
      <c r="I97" s="805">
        <f t="shared" si="23"/>
        <v>8.3535600548600882E-3</v>
      </c>
      <c r="J97" s="805">
        <f t="shared" si="23"/>
        <v>8.3074158461030854E-3</v>
      </c>
    </row>
    <row r="98" spans="1:10" s="8" customFormat="1" x14ac:dyDescent="0.2">
      <c r="A98" s="775" t="s">
        <v>720</v>
      </c>
      <c r="B98" s="800">
        <f t="shared" ref="B98:J98" si="24">IF(B27="-","-",B27/B$68)</f>
        <v>0.12348308928071185</v>
      </c>
      <c r="C98" s="800">
        <f t="shared" si="24"/>
        <v>0.15289490813163742</v>
      </c>
      <c r="D98" s="800">
        <f t="shared" si="24"/>
        <v>0.18418903903160219</v>
      </c>
      <c r="E98" s="800">
        <f t="shared" si="24"/>
        <v>0.19734127826543799</v>
      </c>
      <c r="F98" s="800">
        <f t="shared" si="24"/>
        <v>0.20319178864479354</v>
      </c>
      <c r="G98" s="800">
        <f t="shared" si="24"/>
        <v>0.16811752251293355</v>
      </c>
      <c r="H98" s="801">
        <f t="shared" si="24"/>
        <v>0.14393227897646169</v>
      </c>
      <c r="I98" s="801">
        <f t="shared" si="24"/>
        <v>0.18575239922159001</v>
      </c>
      <c r="J98" s="801">
        <f t="shared" si="24"/>
        <v>0.17710897019230287</v>
      </c>
    </row>
    <row r="99" spans="1:10" x14ac:dyDescent="0.2">
      <c r="A99" s="782" t="s">
        <v>721</v>
      </c>
      <c r="B99" s="804">
        <f t="shared" ref="B99:J99" si="25">IF(B28="-","-",B28/B$68)</f>
        <v>8.15166006075165E-3</v>
      </c>
      <c r="C99" s="804">
        <f t="shared" si="25"/>
        <v>1.2844705663925165E-2</v>
      </c>
      <c r="D99" s="804">
        <f t="shared" si="25"/>
        <v>2.4297638650246506E-2</v>
      </c>
      <c r="E99" s="804">
        <f t="shared" si="25"/>
        <v>2.9143563668289713E-2</v>
      </c>
      <c r="F99" s="804">
        <f t="shared" si="25"/>
        <v>2.6305848672169486E-2</v>
      </c>
      <c r="G99" s="804">
        <f t="shared" si="25"/>
        <v>2.38220073636819E-2</v>
      </c>
      <c r="H99" s="805">
        <f t="shared" si="25"/>
        <v>1.1414599366767395E-2</v>
      </c>
      <c r="I99" s="805">
        <f t="shared" si="25"/>
        <v>2.5903684998761684E-2</v>
      </c>
      <c r="J99" s="805">
        <f t="shared" si="25"/>
        <v>2.2909064643168713E-2</v>
      </c>
    </row>
    <row r="100" spans="1:10" s="8" customFormat="1" x14ac:dyDescent="0.2">
      <c r="A100" s="772" t="s">
        <v>531</v>
      </c>
      <c r="B100" s="798">
        <f t="shared" ref="B100:J100" si="26">IF(B29="-","-",B29/B$68)</f>
        <v>3.7842003689544684E-2</v>
      </c>
      <c r="C100" s="798">
        <f t="shared" si="26"/>
        <v>5.2643084084848114E-2</v>
      </c>
      <c r="D100" s="798">
        <f t="shared" si="26"/>
        <v>6.532645136121322E-2</v>
      </c>
      <c r="E100" s="798">
        <f t="shared" si="26"/>
        <v>6.6540836759654776E-2</v>
      </c>
      <c r="F100" s="798">
        <f t="shared" si="26"/>
        <v>6.9984752660052219E-2</v>
      </c>
      <c r="G100" s="798">
        <f t="shared" si="26"/>
        <v>8.33237930286886E-2</v>
      </c>
      <c r="H100" s="799">
        <f t="shared" si="26"/>
        <v>4.8132768168943039E-2</v>
      </c>
      <c r="I100" s="799">
        <f t="shared" si="26"/>
        <v>7.2803345820568327E-2</v>
      </c>
      <c r="J100" s="799">
        <f t="shared" si="26"/>
        <v>6.7704403354754125E-2</v>
      </c>
    </row>
    <row r="101" spans="1:10" x14ac:dyDescent="0.2">
      <c r="A101" s="770" t="s">
        <v>722</v>
      </c>
      <c r="B101" s="797">
        <f t="shared" ref="B101:J101" si="27">IF(B30="-","-",B30/B$68)</f>
        <v>1.9296506236473714E-2</v>
      </c>
      <c r="C101" s="797">
        <f t="shared" si="27"/>
        <v>3.1773074483959246E-2</v>
      </c>
      <c r="D101" s="797">
        <f t="shared" si="27"/>
        <v>4.3031378716451886E-2</v>
      </c>
      <c r="E101" s="797">
        <f t="shared" si="27"/>
        <v>4.3243366709382641E-2</v>
      </c>
      <c r="F101" s="797">
        <f t="shared" si="27"/>
        <v>4.3038479039706361E-2</v>
      </c>
      <c r="G101" s="797">
        <f t="shared" si="27"/>
        <v>4.9656608366810052E-2</v>
      </c>
      <c r="H101" s="351">
        <f t="shared" si="27"/>
        <v>2.7971104435856129E-2</v>
      </c>
      <c r="I101" s="351">
        <f t="shared" si="27"/>
        <v>4.5414933394241429E-2</v>
      </c>
      <c r="J101" s="351">
        <f t="shared" si="27"/>
        <v>4.180962339711411E-2</v>
      </c>
    </row>
    <row r="102" spans="1:10" s="8" customFormat="1" x14ac:dyDescent="0.2">
      <c r="A102" s="772" t="s">
        <v>723</v>
      </c>
      <c r="B102" s="798">
        <f t="shared" ref="B102:J102" si="28">IF(B31="-","-",B31/B$68)</f>
        <v>1.854549745331675E-2</v>
      </c>
      <c r="C102" s="798">
        <f t="shared" si="28"/>
        <v>2.0870009600888868E-2</v>
      </c>
      <c r="D102" s="798">
        <f t="shared" si="28"/>
        <v>2.2295072644761344E-2</v>
      </c>
      <c r="E102" s="798">
        <f t="shared" si="28"/>
        <v>2.329747005033873E-2</v>
      </c>
      <c r="F102" s="798">
        <f t="shared" si="28"/>
        <v>2.6946273620345854E-2</v>
      </c>
      <c r="G102" s="798">
        <f t="shared" si="28"/>
        <v>3.3667184661822835E-2</v>
      </c>
      <c r="H102" s="799">
        <f t="shared" si="28"/>
        <v>2.0161663733161805E-2</v>
      </c>
      <c r="I102" s="799">
        <f t="shared" si="28"/>
        <v>2.7388412426326902E-2</v>
      </c>
      <c r="J102" s="799">
        <f t="shared" si="28"/>
        <v>2.5894779957655493E-2</v>
      </c>
    </row>
    <row r="103" spans="1:10" x14ac:dyDescent="0.2">
      <c r="A103" s="770" t="s">
        <v>532</v>
      </c>
      <c r="B103" s="797">
        <f t="shared" ref="B103:J103" si="29">IF(B32="-","-",B32/B$68)</f>
        <v>3.4949586666565335E-2</v>
      </c>
      <c r="C103" s="797">
        <f t="shared" si="29"/>
        <v>3.6748587654786558E-2</v>
      </c>
      <c r="D103" s="797">
        <f t="shared" si="29"/>
        <v>4.3574843959744022E-2</v>
      </c>
      <c r="E103" s="797">
        <f t="shared" si="29"/>
        <v>4.2961049728705125E-2</v>
      </c>
      <c r="F103" s="797">
        <f t="shared" si="29"/>
        <v>4.2024847061878506E-2</v>
      </c>
      <c r="G103" s="797">
        <f t="shared" si="29"/>
        <v>3.5635051372798564E-2</v>
      </c>
      <c r="H103" s="351">
        <f t="shared" si="29"/>
        <v>3.62003801879534E-2</v>
      </c>
      <c r="I103" s="351">
        <f t="shared" si="29"/>
        <v>4.0342158908092889E-2</v>
      </c>
      <c r="J103" s="351">
        <f t="shared" si="29"/>
        <v>3.948613146932177E-2</v>
      </c>
    </row>
    <row r="104" spans="1:10" s="8" customFormat="1" x14ac:dyDescent="0.2">
      <c r="A104" s="772" t="s">
        <v>533</v>
      </c>
      <c r="B104" s="798">
        <f t="shared" ref="B104:J104" si="30">IF(B33="-","-",B33/B$68)</f>
        <v>4.2539838863604393E-2</v>
      </c>
      <c r="C104" s="798">
        <f t="shared" si="30"/>
        <v>5.0658530728077591E-2</v>
      </c>
      <c r="D104" s="798">
        <f t="shared" si="30"/>
        <v>5.0990105060290718E-2</v>
      </c>
      <c r="E104" s="798">
        <f t="shared" si="30"/>
        <v>5.8695828108655188E-2</v>
      </c>
      <c r="F104" s="798">
        <f t="shared" si="30"/>
        <v>6.4876340250693304E-2</v>
      </c>
      <c r="G104" s="798">
        <f t="shared" si="30"/>
        <v>2.5336670747708772E-2</v>
      </c>
      <c r="H104" s="799">
        <f t="shared" si="30"/>
        <v>4.8184531252722949E-2</v>
      </c>
      <c r="I104" s="799">
        <f t="shared" si="30"/>
        <v>4.6703209494089064E-2</v>
      </c>
      <c r="J104" s="799">
        <f t="shared" si="30"/>
        <v>4.7009370724980848E-2</v>
      </c>
    </row>
    <row r="105" spans="1:10" x14ac:dyDescent="0.2">
      <c r="A105" s="779" t="s">
        <v>724</v>
      </c>
      <c r="B105" s="802">
        <f t="shared" ref="B105:J105" si="31">IF(B34="-","-",B34/B$68)</f>
        <v>4.4552705870373924E-2</v>
      </c>
      <c r="C105" s="802">
        <f t="shared" si="31"/>
        <v>7.4308032642325814E-2</v>
      </c>
      <c r="D105" s="802">
        <f t="shared" si="31"/>
        <v>9.471768124659305E-2</v>
      </c>
      <c r="E105" s="802">
        <f t="shared" si="31"/>
        <v>0.1167706815119301</v>
      </c>
      <c r="F105" s="802">
        <f t="shared" si="31"/>
        <v>0.12355969908028969</v>
      </c>
      <c r="G105" s="802">
        <f t="shared" si="31"/>
        <v>0.22042909994685284</v>
      </c>
      <c r="H105" s="803">
        <f t="shared" si="31"/>
        <v>6.5240726720180012E-2</v>
      </c>
      <c r="I105" s="803">
        <f t="shared" si="31"/>
        <v>0.1502706048625353</v>
      </c>
      <c r="J105" s="803">
        <f t="shared" si="31"/>
        <v>0.13269653494632078</v>
      </c>
    </row>
    <row r="106" spans="1:10" x14ac:dyDescent="0.2">
      <c r="A106" s="772" t="s">
        <v>725</v>
      </c>
      <c r="B106" s="798">
        <f t="shared" ref="B106:J106" si="32">IF(B35="-","-",B35/B$68)</f>
        <v>2.1932938305285643E-4</v>
      </c>
      <c r="C106" s="798">
        <f t="shared" si="32"/>
        <v>2.9535802001819789E-4</v>
      </c>
      <c r="D106" s="798">
        <f t="shared" si="32"/>
        <v>2.1192669103270613E-4</v>
      </c>
      <c r="E106" s="798">
        <f t="shared" si="32"/>
        <v>1.9221886188764531E-4</v>
      </c>
      <c r="F106" s="798">
        <f t="shared" si="32"/>
        <v>1.8855507869976678E-4</v>
      </c>
      <c r="G106" s="798">
        <f t="shared" si="32"/>
        <v>3.3484902076765279E-2</v>
      </c>
      <c r="H106" s="799">
        <f t="shared" si="32"/>
        <v>2.7218990240712406E-4</v>
      </c>
      <c r="I106" s="799">
        <f t="shared" si="32"/>
        <v>1.1854444336392706E-2</v>
      </c>
      <c r="J106" s="799">
        <f t="shared" si="32"/>
        <v>9.4606110902780462E-3</v>
      </c>
    </row>
    <row r="107" spans="1:10" s="8" customFormat="1" x14ac:dyDescent="0.2">
      <c r="A107" s="782" t="s">
        <v>534</v>
      </c>
      <c r="B107" s="804">
        <f t="shared" ref="B107:J107" si="33">IF(B36="-","-",B36/B$68)</f>
        <v>3.2311120981922611E-3</v>
      </c>
      <c r="C107" s="804">
        <f t="shared" si="33"/>
        <v>3.9763342350770314E-3</v>
      </c>
      <c r="D107" s="804">
        <f t="shared" si="33"/>
        <v>3.3330098901859962E-3</v>
      </c>
      <c r="E107" s="804">
        <f t="shared" si="33"/>
        <v>9.1006231737339079E-3</v>
      </c>
      <c r="F107" s="804">
        <f t="shared" si="33"/>
        <v>1.2264521037106537E-2</v>
      </c>
      <c r="G107" s="804">
        <f t="shared" si="33"/>
        <v>1.2685689881508373E-2</v>
      </c>
      <c r="H107" s="805">
        <f t="shared" si="33"/>
        <v>3.7492435649971144E-3</v>
      </c>
      <c r="I107" s="805">
        <f t="shared" si="33"/>
        <v>9.8672308810034953E-3</v>
      </c>
      <c r="J107" s="805">
        <f t="shared" si="33"/>
        <v>8.6027584486426563E-3</v>
      </c>
    </row>
    <row r="108" spans="1:10" x14ac:dyDescent="0.2">
      <c r="A108" s="784" t="s">
        <v>726</v>
      </c>
      <c r="B108" s="798">
        <f t="shared" ref="B108:J108" si="34">IF(B37="-","-",B37/B$68)</f>
        <v>4.1102264388883016E-2</v>
      </c>
      <c r="C108" s="798">
        <f t="shared" si="34"/>
        <v>7.0036340387230583E-2</v>
      </c>
      <c r="D108" s="798">
        <f t="shared" si="34"/>
        <v>9.1172744665266606E-2</v>
      </c>
      <c r="E108" s="798">
        <f t="shared" si="34"/>
        <v>0.10747783947624194</v>
      </c>
      <c r="F108" s="798">
        <f t="shared" si="34"/>
        <v>0.11110662296426121</v>
      </c>
      <c r="G108" s="798">
        <f t="shared" si="34"/>
        <v>0.17425850798852344</v>
      </c>
      <c r="H108" s="799">
        <f t="shared" si="34"/>
        <v>6.1219293252700875E-2</v>
      </c>
      <c r="I108" s="799">
        <f t="shared" si="34"/>
        <v>0.1285489296450415</v>
      </c>
      <c r="J108" s="799">
        <f t="shared" si="34"/>
        <v>0.11463316540730716</v>
      </c>
    </row>
    <row r="109" spans="1:10" x14ac:dyDescent="0.2">
      <c r="A109" s="782" t="s">
        <v>727</v>
      </c>
      <c r="B109" s="797">
        <f t="shared" ref="B109:J109" si="35">IF(B38="-","-",B38/B$68)</f>
        <v>8.7729170035676061E-3</v>
      </c>
      <c r="C109" s="797">
        <f t="shared" si="35"/>
        <v>1.9902017521032961E-2</v>
      </c>
      <c r="D109" s="797">
        <f t="shared" si="35"/>
        <v>3.3850736101818574E-2</v>
      </c>
      <c r="E109" s="797">
        <f t="shared" si="35"/>
        <v>3.5938533384137446E-2</v>
      </c>
      <c r="F109" s="797">
        <f t="shared" si="35"/>
        <v>3.6292554721726808E-2</v>
      </c>
      <c r="G109" s="797">
        <f t="shared" si="35"/>
        <v>2.3457364194340802E-2</v>
      </c>
      <c r="H109" s="351">
        <f t="shared" si="35"/>
        <v>1.6510659738153872E-2</v>
      </c>
      <c r="I109" s="351">
        <f t="shared" si="35"/>
        <v>3.1251576974365751E-2</v>
      </c>
      <c r="J109" s="351">
        <f t="shared" si="35"/>
        <v>2.820490778233645E-2</v>
      </c>
    </row>
    <row r="110" spans="1:10" x14ac:dyDescent="0.2">
      <c r="A110" s="784" t="s">
        <v>728</v>
      </c>
      <c r="B110" s="806">
        <f t="shared" ref="B110:J110" si="36">IF(B39="-","-",B39/B$68)</f>
        <v>2.7704819606022522E-2</v>
      </c>
      <c r="C110" s="806">
        <f t="shared" si="36"/>
        <v>4.3489959345005227E-2</v>
      </c>
      <c r="D110" s="806">
        <f t="shared" si="36"/>
        <v>4.8252278073233762E-2</v>
      </c>
      <c r="E110" s="806">
        <f t="shared" si="36"/>
        <v>6.1579528737992099E-2</v>
      </c>
      <c r="F110" s="806">
        <f t="shared" si="36"/>
        <v>6.1720027502239178E-2</v>
      </c>
      <c r="G110" s="806">
        <f t="shared" si="36"/>
        <v>8.7913012848744018E-2</v>
      </c>
      <c r="H110" s="807">
        <f t="shared" si="36"/>
        <v>3.8679772176363758E-2</v>
      </c>
      <c r="I110" s="807">
        <f t="shared" si="36"/>
        <v>6.8412376764673294E-2</v>
      </c>
      <c r="J110" s="807">
        <f t="shared" si="36"/>
        <v>6.2267208933769011E-2</v>
      </c>
    </row>
    <row r="111" spans="1:10" s="8" customFormat="1" x14ac:dyDescent="0.2">
      <c r="A111" s="782" t="s">
        <v>729</v>
      </c>
      <c r="B111" s="804">
        <f t="shared" ref="B111:J111" si="37">IF(B40="-","-",B40/B$68)</f>
        <v>2.4035808672368238E-3</v>
      </c>
      <c r="C111" s="804">
        <f t="shared" si="37"/>
        <v>3.4036163399529707E-3</v>
      </c>
      <c r="D111" s="804">
        <f t="shared" si="37"/>
        <v>3.8964818227751382E-3</v>
      </c>
      <c r="E111" s="804">
        <f t="shared" si="37"/>
        <v>4.2355770703988872E-3</v>
      </c>
      <c r="F111" s="804">
        <f t="shared" si="37"/>
        <v>5.6725410620789597E-3</v>
      </c>
      <c r="G111" s="804">
        <f t="shared" si="37"/>
        <v>8.5584578419237237E-3</v>
      </c>
      <c r="H111" s="805">
        <f t="shared" si="37"/>
        <v>3.09887670010259E-3</v>
      </c>
      <c r="I111" s="805">
        <f t="shared" si="37"/>
        <v>5.9404811674682156E-3</v>
      </c>
      <c r="J111" s="805">
        <f t="shared" si="37"/>
        <v>5.3531751913252776E-3</v>
      </c>
    </row>
    <row r="112" spans="1:10" x14ac:dyDescent="0.2">
      <c r="A112" s="784" t="s">
        <v>730</v>
      </c>
      <c r="B112" s="806">
        <f t="shared" ref="B112:J112" si="38">IF(B41="-","-",B41/B$68)</f>
        <v>3.6428115858324898E-5</v>
      </c>
      <c r="C112" s="806">
        <f t="shared" si="38"/>
        <v>7.5403373879507848E-5</v>
      </c>
      <c r="D112" s="806">
        <f t="shared" si="38"/>
        <v>4.690884330342719E-5</v>
      </c>
      <c r="E112" s="806">
        <f t="shared" si="38"/>
        <v>1.6653257309744217E-4</v>
      </c>
      <c r="F112" s="806">
        <f t="shared" si="38"/>
        <v>3.0932295348151922E-4</v>
      </c>
      <c r="G112" s="806">
        <f t="shared" si="38"/>
        <v>1.7627866508714462E-2</v>
      </c>
      <c r="H112" s="807">
        <f t="shared" si="38"/>
        <v>6.3526489092419669E-5</v>
      </c>
      <c r="I112" s="807">
        <f t="shared" si="38"/>
        <v>6.2850133608414243E-3</v>
      </c>
      <c r="J112" s="807">
        <f t="shared" si="38"/>
        <v>4.9991495250274031E-3</v>
      </c>
    </row>
    <row r="113" spans="1:10" x14ac:dyDescent="0.2">
      <c r="A113" s="782" t="s">
        <v>731</v>
      </c>
      <c r="B113" s="804">
        <f t="shared" ref="B113:J113" si="39">IF(B42="-","-",B42/B$68)</f>
        <v>2.1845187961977352E-3</v>
      </c>
      <c r="C113" s="804">
        <f t="shared" si="39"/>
        <v>3.165343807036747E-3</v>
      </c>
      <c r="D113" s="804">
        <f t="shared" si="39"/>
        <v>5.1263398240279957E-3</v>
      </c>
      <c r="E113" s="804">
        <f t="shared" si="39"/>
        <v>5.5576677104162715E-3</v>
      </c>
      <c r="F113" s="804">
        <f t="shared" si="39"/>
        <v>7.112176724401521E-3</v>
      </c>
      <c r="G113" s="804">
        <f t="shared" si="39"/>
        <v>3.6701806594800428E-2</v>
      </c>
      <c r="H113" s="805">
        <f t="shared" si="39"/>
        <v>2.8664581487635372E-3</v>
      </c>
      <c r="I113" s="805">
        <f t="shared" si="39"/>
        <v>1.6659481377556237E-2</v>
      </c>
      <c r="J113" s="805">
        <f t="shared" si="39"/>
        <v>1.3808723974694228E-2</v>
      </c>
    </row>
    <row r="114" spans="1:10" s="8" customFormat="1" x14ac:dyDescent="0.2">
      <c r="A114" s="790" t="s">
        <v>732</v>
      </c>
      <c r="B114" s="810">
        <f t="shared" ref="B114:J114" si="40">IF(B43="-","-",B43/B$68)</f>
        <v>0.10515276301944342</v>
      </c>
      <c r="C114" s="810">
        <f t="shared" si="40"/>
        <v>0.1022963376610569</v>
      </c>
      <c r="D114" s="810">
        <f t="shared" si="40"/>
        <v>9.038184672611331E-2</v>
      </c>
      <c r="E114" s="810">
        <f t="shared" si="40"/>
        <v>7.6732241954613131E-2</v>
      </c>
      <c r="F114" s="810">
        <f t="shared" si="40"/>
        <v>7.135208442569195E-2</v>
      </c>
      <c r="G114" s="810">
        <f t="shared" si="40"/>
        <v>4.9501109592413203E-2</v>
      </c>
      <c r="H114" s="811">
        <f t="shared" si="40"/>
        <v>0.1031667728193318</v>
      </c>
      <c r="I114" s="811">
        <f t="shared" si="40"/>
        <v>6.8722990463518749E-2</v>
      </c>
      <c r="J114" s="811">
        <f t="shared" si="40"/>
        <v>7.5841869762469691E-2</v>
      </c>
    </row>
    <row r="115" spans="1:10" s="68" customFormat="1" x14ac:dyDescent="0.2">
      <c r="A115" s="782" t="s">
        <v>733</v>
      </c>
      <c r="B115" s="804">
        <f t="shared" ref="B115:J115" si="41">IF(B44="-","-",B44/B$68)</f>
        <v>5.3277776368252485E-3</v>
      </c>
      <c r="C115" s="804">
        <f t="shared" si="41"/>
        <v>4.6396724337085388E-3</v>
      </c>
      <c r="D115" s="804">
        <f t="shared" si="41"/>
        <v>2.4642283403544735E-3</v>
      </c>
      <c r="E115" s="804">
        <f t="shared" si="41"/>
        <v>2.6566108777448102E-3</v>
      </c>
      <c r="F115" s="804">
        <f t="shared" si="41"/>
        <v>1.5521302839060082E-3</v>
      </c>
      <c r="G115" s="804">
        <f t="shared" si="41"/>
        <v>2.971334670207802E-3</v>
      </c>
      <c r="H115" s="805">
        <f t="shared" si="41"/>
        <v>4.8493579273715011E-3</v>
      </c>
      <c r="I115" s="805">
        <f t="shared" si="41"/>
        <v>2.5379629149568771E-3</v>
      </c>
      <c r="J115" s="805">
        <f t="shared" si="41"/>
        <v>3.0156846104314717E-3</v>
      </c>
    </row>
    <row r="116" spans="1:10" s="8" customFormat="1" x14ac:dyDescent="0.2">
      <c r="A116" s="784" t="s">
        <v>734</v>
      </c>
      <c r="B116" s="806">
        <f t="shared" ref="B116:J116" si="42">IF(B45="-","-",B45/B$68)</f>
        <v>9.3399233274741381E-2</v>
      </c>
      <c r="C116" s="806">
        <f t="shared" si="42"/>
        <v>9.3827555601730242E-2</v>
      </c>
      <c r="D116" s="806">
        <f t="shared" si="42"/>
        <v>8.5146158887138793E-2</v>
      </c>
      <c r="E116" s="806">
        <f t="shared" si="42"/>
        <v>7.1201087876696295E-2</v>
      </c>
      <c r="F116" s="806">
        <f t="shared" si="42"/>
        <v>6.684449421270669E-2</v>
      </c>
      <c r="G116" s="806">
        <f t="shared" si="42"/>
        <v>4.23844022365902E-2</v>
      </c>
      <c r="H116" s="807">
        <f t="shared" si="42"/>
        <v>9.3697033440039365E-2</v>
      </c>
      <c r="I116" s="807">
        <f t="shared" si="42"/>
        <v>6.2869889500182255E-2</v>
      </c>
      <c r="J116" s="807">
        <f t="shared" si="42"/>
        <v>6.9241277943304064E-2</v>
      </c>
    </row>
    <row r="117" spans="1:10" x14ac:dyDescent="0.2">
      <c r="A117" s="782" t="s">
        <v>735</v>
      </c>
      <c r="B117" s="804">
        <f t="shared" ref="B117:J117" si="43">IF(B46="-","-",B46/B$68)</f>
        <v>3.3851729687194632E-2</v>
      </c>
      <c r="C117" s="804">
        <f t="shared" si="43"/>
        <v>3.9401247885692076E-2</v>
      </c>
      <c r="D117" s="804">
        <f t="shared" si="43"/>
        <v>4.0761131285815613E-2</v>
      </c>
      <c r="E117" s="804">
        <f t="shared" si="43"/>
        <v>3.4595967192910207E-2</v>
      </c>
      <c r="F117" s="804">
        <f t="shared" si="43"/>
        <v>3.3550146368819395E-2</v>
      </c>
      <c r="G117" s="804">
        <f t="shared" si="43"/>
        <v>2.431594983492992E-2</v>
      </c>
      <c r="H117" s="805">
        <f t="shared" si="43"/>
        <v>3.7710149696384872E-2</v>
      </c>
      <c r="I117" s="805">
        <f t="shared" si="43"/>
        <v>3.1928830125390301E-2</v>
      </c>
      <c r="J117" s="805">
        <f t="shared" si="43"/>
        <v>3.3123719693249482E-2</v>
      </c>
    </row>
    <row r="118" spans="1:10" s="8" customFormat="1" x14ac:dyDescent="0.2">
      <c r="A118" s="784" t="s">
        <v>736</v>
      </c>
      <c r="B118" s="806">
        <f t="shared" ref="B118:J118" si="44">IF(B47="-","-",B47/B$68)</f>
        <v>1.0538248515488213E-2</v>
      </c>
      <c r="C118" s="806">
        <f t="shared" si="44"/>
        <v>1.1222184653227652E-2</v>
      </c>
      <c r="D118" s="806">
        <f t="shared" si="44"/>
        <v>1.133558906898848E-2</v>
      </c>
      <c r="E118" s="806">
        <f t="shared" si="44"/>
        <v>9.5062202309755504E-3</v>
      </c>
      <c r="F118" s="806">
        <f t="shared" si="44"/>
        <v>9.7738189391811513E-3</v>
      </c>
      <c r="G118" s="806">
        <f t="shared" si="44"/>
        <v>5.6784433792164135E-3</v>
      </c>
      <c r="H118" s="807">
        <f t="shared" si="44"/>
        <v>1.1013769593980514E-2</v>
      </c>
      <c r="I118" s="807">
        <f t="shared" si="44"/>
        <v>8.544073027207881E-3</v>
      </c>
      <c r="J118" s="807">
        <f t="shared" si="44"/>
        <v>9.0545126642450346E-3</v>
      </c>
    </row>
    <row r="119" spans="1:10" s="8" customFormat="1" x14ac:dyDescent="0.2">
      <c r="A119" s="770" t="s">
        <v>737</v>
      </c>
      <c r="B119" s="797">
        <f t="shared" ref="B119:J119" si="45">IF(B48="-","-",B48/B$68)</f>
        <v>4.900925507181278E-2</v>
      </c>
      <c r="C119" s="797">
        <f t="shared" si="45"/>
        <v>4.3204123062595072E-2</v>
      </c>
      <c r="D119" s="797">
        <f t="shared" si="45"/>
        <v>3.3049438532119245E-2</v>
      </c>
      <c r="E119" s="797">
        <f t="shared" si="45"/>
        <v>2.7098900452810545E-2</v>
      </c>
      <c r="F119" s="797">
        <f t="shared" si="45"/>
        <v>2.3520528904706135E-2</v>
      </c>
      <c r="G119" s="797">
        <f t="shared" si="45"/>
        <v>1.2390009022332426E-2</v>
      </c>
      <c r="H119" s="351">
        <f t="shared" si="45"/>
        <v>4.4973114149449302E-2</v>
      </c>
      <c r="I119" s="351">
        <f t="shared" si="45"/>
        <v>2.2396986347506025E-2</v>
      </c>
      <c r="J119" s="351">
        <f t="shared" si="45"/>
        <v>2.7063045585701186E-2</v>
      </c>
    </row>
    <row r="120" spans="1:10" x14ac:dyDescent="0.2">
      <c r="A120" s="772" t="s">
        <v>738</v>
      </c>
      <c r="B120" s="798">
        <f t="shared" ref="B120:J120" si="46">IF(B49="-","-",B49/B$68)</f>
        <v>6.4257521078767733E-3</v>
      </c>
      <c r="C120" s="798">
        <f t="shared" si="46"/>
        <v>3.8291096255104041E-3</v>
      </c>
      <c r="D120" s="798">
        <f t="shared" si="46"/>
        <v>2.771459498512323E-3</v>
      </c>
      <c r="E120" s="798">
        <f t="shared" si="46"/>
        <v>2.8745432001054312E-3</v>
      </c>
      <c r="F120" s="798">
        <f t="shared" si="46"/>
        <v>2.9554599291903446E-3</v>
      </c>
      <c r="G120" s="798">
        <f t="shared" si="46"/>
        <v>4.1453726855037749E-3</v>
      </c>
      <c r="H120" s="799">
        <f t="shared" si="46"/>
        <v>4.6203814518460378E-3</v>
      </c>
      <c r="I120" s="799">
        <f t="shared" si="46"/>
        <v>3.3151380483210898E-3</v>
      </c>
      <c r="J120" s="799">
        <f t="shared" si="46"/>
        <v>3.584907208672257E-3</v>
      </c>
    </row>
    <row r="121" spans="1:10" s="8" customFormat="1" x14ac:dyDescent="0.2">
      <c r="A121" s="779" t="s">
        <v>739</v>
      </c>
      <c r="B121" s="802">
        <f t="shared" ref="B121:J121" si="47">IF(B50="-","-",B50/B$68)</f>
        <v>1.5594881821917882E-2</v>
      </c>
      <c r="C121" s="802">
        <f t="shared" si="47"/>
        <v>1.6877551875741279E-2</v>
      </c>
      <c r="D121" s="802">
        <f t="shared" si="47"/>
        <v>2.1101381978627123E-2</v>
      </c>
      <c r="E121" s="802">
        <f t="shared" si="47"/>
        <v>2.4640632313031104E-2</v>
      </c>
      <c r="F121" s="802">
        <f t="shared" si="47"/>
        <v>2.9968270147111079E-2</v>
      </c>
      <c r="G121" s="802">
        <f t="shared" si="47"/>
        <v>5.8105658407627485E-2</v>
      </c>
      <c r="H121" s="803">
        <f t="shared" si="47"/>
        <v>1.6486685330590278E-2</v>
      </c>
      <c r="I121" s="803">
        <f t="shared" si="47"/>
        <v>3.6655104053713257E-2</v>
      </c>
      <c r="J121" s="803">
        <f t="shared" si="47"/>
        <v>3.24866728095069E-2</v>
      </c>
    </row>
    <row r="122" spans="1:10" x14ac:dyDescent="0.2">
      <c r="A122" s="772" t="s">
        <v>740</v>
      </c>
      <c r="B122" s="798">
        <f t="shared" ref="B122:J122" si="48">IF(B51="-","-",B51/B$68)</f>
        <v>2.6304004902611877E-3</v>
      </c>
      <c r="C122" s="798">
        <f t="shared" si="48"/>
        <v>2.4893344064229406E-3</v>
      </c>
      <c r="D122" s="798">
        <f t="shared" si="48"/>
        <v>1.9195303991787784E-3</v>
      </c>
      <c r="E122" s="798">
        <f t="shared" si="48"/>
        <v>3.1333824856858532E-3</v>
      </c>
      <c r="F122" s="798">
        <f t="shared" si="48"/>
        <v>2.7882941378449505E-3</v>
      </c>
      <c r="G122" s="798">
        <f t="shared" si="48"/>
        <v>8.1729779565043632E-3</v>
      </c>
      <c r="H122" s="799">
        <f t="shared" si="48"/>
        <v>2.5323213091447134E-3</v>
      </c>
      <c r="I122" s="799">
        <f t="shared" si="48"/>
        <v>4.6177927939476176E-3</v>
      </c>
      <c r="J122" s="799">
        <f t="shared" si="48"/>
        <v>4.1867652247814134E-3</v>
      </c>
    </row>
    <row r="123" spans="1:10" x14ac:dyDescent="0.2">
      <c r="A123" s="770" t="s">
        <v>741</v>
      </c>
      <c r="B123" s="797">
        <f t="shared" ref="B123:J123" si="49">IF(B52="-","-",B52/B$68)</f>
        <v>9.6458452735501718E-4</v>
      </c>
      <c r="C123" s="797">
        <f t="shared" si="49"/>
        <v>1.4128866964066222E-3</v>
      </c>
      <c r="D123" s="797">
        <f t="shared" si="49"/>
        <v>1.9343443245601604E-3</v>
      </c>
      <c r="E123" s="797">
        <f t="shared" si="49"/>
        <v>1.8791032347187206E-3</v>
      </c>
      <c r="F123" s="797">
        <f t="shared" si="49"/>
        <v>1.6882171058418534E-3</v>
      </c>
      <c r="G123" s="797">
        <f t="shared" si="49"/>
        <v>3.4591061721531674E-2</v>
      </c>
      <c r="H123" s="351">
        <f t="shared" si="49"/>
        <v>1.276276100814572E-3</v>
      </c>
      <c r="I123" s="351">
        <f t="shared" si="49"/>
        <v>1.3311502964705291E-2</v>
      </c>
      <c r="J123" s="351">
        <f t="shared" si="49"/>
        <v>1.0824048872281255E-2</v>
      </c>
    </row>
    <row r="124" spans="1:10" x14ac:dyDescent="0.2">
      <c r="A124" s="772" t="s">
        <v>742</v>
      </c>
      <c r="B124" s="798">
        <f t="shared" ref="B124:J124" si="50">IF(B53="-","-",B53/B$68)</f>
        <v>7.0285493001196204E-3</v>
      </c>
      <c r="C124" s="798">
        <f t="shared" si="50"/>
        <v>7.8046694861346926E-3</v>
      </c>
      <c r="D124" s="798">
        <f t="shared" si="50"/>
        <v>1.3790144953535692E-2</v>
      </c>
      <c r="E124" s="798">
        <f t="shared" si="50"/>
        <v>1.7212983684254151E-2</v>
      </c>
      <c r="F124" s="798">
        <f t="shared" si="50"/>
        <v>2.325727103977018E-2</v>
      </c>
      <c r="G124" s="798">
        <f t="shared" si="50"/>
        <v>1.2344212659245648E-2</v>
      </c>
      <c r="H124" s="799">
        <f t="shared" si="50"/>
        <v>7.5681632896850226E-3</v>
      </c>
      <c r="I124" s="799">
        <f t="shared" si="50"/>
        <v>1.5949704127540765E-2</v>
      </c>
      <c r="J124" s="799">
        <f t="shared" si="50"/>
        <v>1.4217397932258666E-2</v>
      </c>
    </row>
    <row r="125" spans="1:10" s="8" customFormat="1" x14ac:dyDescent="0.2">
      <c r="A125" s="770" t="s">
        <v>743</v>
      </c>
      <c r="B125" s="797">
        <f t="shared" ref="B125:J125" si="51">IF(B54="-","-",B54/B$68)</f>
        <v>2.3239628270598093E-3</v>
      </c>
      <c r="C125" s="797">
        <f t="shared" si="51"/>
        <v>2.2922547758162815E-3</v>
      </c>
      <c r="D125" s="797">
        <f t="shared" si="51"/>
        <v>1.3637336902006807E-3</v>
      </c>
      <c r="E125" s="797">
        <f t="shared" si="51"/>
        <v>4.4361881443963174E-4</v>
      </c>
      <c r="F125" s="797">
        <f t="shared" si="51"/>
        <v>9.0096400413435548E-4</v>
      </c>
      <c r="G125" s="797">
        <f t="shared" si="51"/>
        <v>1.763275860923421E-3</v>
      </c>
      <c r="H125" s="351">
        <f t="shared" si="51"/>
        <v>2.3019171331825311E-3</v>
      </c>
      <c r="I125" s="351">
        <f t="shared" si="51"/>
        <v>1.1527720579599221E-3</v>
      </c>
      <c r="J125" s="351">
        <f t="shared" si="51"/>
        <v>1.390278641963552E-3</v>
      </c>
    </row>
    <row r="126" spans="1:10" s="8" customFormat="1" x14ac:dyDescent="0.2">
      <c r="A126" s="784" t="s">
        <v>744</v>
      </c>
      <c r="B126" s="806">
        <f t="shared" ref="B126:J126" si="52">IF(B55="-","-",B55/B$68)</f>
        <v>2.6473846768764646E-3</v>
      </c>
      <c r="C126" s="806">
        <f t="shared" si="52"/>
        <v>2.8784065108530209E-3</v>
      </c>
      <c r="D126" s="806">
        <f t="shared" si="52"/>
        <v>2.0936286108286266E-3</v>
      </c>
      <c r="E126" s="806">
        <f t="shared" si="52"/>
        <v>1.9715440939327439E-3</v>
      </c>
      <c r="F126" s="806">
        <f t="shared" si="52"/>
        <v>1.3335238592975869E-3</v>
      </c>
      <c r="G126" s="806">
        <f t="shared" si="52"/>
        <v>1.2341302093109463E-3</v>
      </c>
      <c r="H126" s="807">
        <f t="shared" si="52"/>
        <v>2.8080074976136438E-3</v>
      </c>
      <c r="I126" s="807">
        <f t="shared" si="52"/>
        <v>1.6233321094230745E-3</v>
      </c>
      <c r="J126" s="807">
        <f t="shared" si="52"/>
        <v>1.8681821380826938E-3</v>
      </c>
    </row>
    <row r="127" spans="1:10" x14ac:dyDescent="0.2">
      <c r="A127" s="787" t="s">
        <v>745</v>
      </c>
      <c r="B127" s="808">
        <f t="shared" ref="B127:J127" si="53">IF(B56="-","-",B56/B$68)</f>
        <v>3.5913264785600453E-2</v>
      </c>
      <c r="C127" s="808">
        <f t="shared" si="53"/>
        <v>3.4399425686824942E-2</v>
      </c>
      <c r="D127" s="808">
        <f t="shared" si="53"/>
        <v>2.7661430530846111E-2</v>
      </c>
      <c r="E127" s="808">
        <f t="shared" si="53"/>
        <v>2.4458719800883197E-2</v>
      </c>
      <c r="F127" s="808">
        <f t="shared" si="53"/>
        <v>2.4366148693183366E-2</v>
      </c>
      <c r="G127" s="808">
        <f t="shared" si="53"/>
        <v>4.6853640044193699E-2</v>
      </c>
      <c r="H127" s="809">
        <f t="shared" si="53"/>
        <v>3.4860736104643707E-2</v>
      </c>
      <c r="I127" s="809">
        <f t="shared" si="53"/>
        <v>3.2865405224490718E-2</v>
      </c>
      <c r="J127" s="809">
        <f t="shared" si="53"/>
        <v>3.327780243309407E-2</v>
      </c>
    </row>
    <row r="128" spans="1:10" x14ac:dyDescent="0.2">
      <c r="A128" s="784" t="s">
        <v>746</v>
      </c>
      <c r="B128" s="806">
        <f t="shared" ref="B128:J128" si="54">IF(B57="-","-",B57/B$68)</f>
        <v>5.8762585151561056E-4</v>
      </c>
      <c r="C128" s="806">
        <f t="shared" si="54"/>
        <v>6.9247968633777152E-4</v>
      </c>
      <c r="D128" s="806">
        <f t="shared" si="54"/>
        <v>2.4536785905673479E-4</v>
      </c>
      <c r="E128" s="806">
        <f t="shared" si="54"/>
        <v>1.7672050438143647E-4</v>
      </c>
      <c r="F128" s="806">
        <f t="shared" si="54"/>
        <v>1.3761687209676686E-4</v>
      </c>
      <c r="G128" s="806">
        <f t="shared" si="54"/>
        <v>1.4713254113509048E-3</v>
      </c>
      <c r="H128" s="807">
        <f t="shared" si="54"/>
        <v>6.6052769990088015E-4</v>
      </c>
      <c r="I128" s="807">
        <f t="shared" si="54"/>
        <v>6.3566397308596637E-4</v>
      </c>
      <c r="J128" s="807">
        <f t="shared" si="54"/>
        <v>6.4080283583596825E-4</v>
      </c>
    </row>
    <row r="129" spans="1:11" x14ac:dyDescent="0.2">
      <c r="A129" s="782" t="s">
        <v>535</v>
      </c>
      <c r="B129" s="804">
        <f t="shared" ref="B129:J129" si="55">IF(B58="-","-",B58/B$68)</f>
        <v>1.3675183668937008E-3</v>
      </c>
      <c r="C129" s="804">
        <f t="shared" si="55"/>
        <v>1.9214692408777516E-3</v>
      </c>
      <c r="D129" s="804">
        <f t="shared" si="55"/>
        <v>1.3494011538799447E-3</v>
      </c>
      <c r="E129" s="804">
        <f t="shared" si="55"/>
        <v>1.4069440352457233E-3</v>
      </c>
      <c r="F129" s="804">
        <f t="shared" si="55"/>
        <v>4.2886104766432024E-4</v>
      </c>
      <c r="G129" s="804">
        <f t="shared" si="55"/>
        <v>1.5117648875305806E-4</v>
      </c>
      <c r="H129" s="805">
        <f t="shared" si="55"/>
        <v>1.7526644390098692E-3</v>
      </c>
      <c r="I129" s="805">
        <f t="shared" si="55"/>
        <v>7.8492789756907878E-4</v>
      </c>
      <c r="J129" s="805">
        <f t="shared" si="55"/>
        <v>9.8494076376751311E-4</v>
      </c>
    </row>
    <row r="130" spans="1:11" x14ac:dyDescent="0.2">
      <c r="A130" s="793" t="s">
        <v>747</v>
      </c>
      <c r="B130" s="798">
        <f t="shared" ref="B130:J130" si="56">IF(B59="-","-",B59/B$68)</f>
        <v>6.1464311893095593E-3</v>
      </c>
      <c r="C130" s="798">
        <f t="shared" si="56"/>
        <v>4.544583689697795E-3</v>
      </c>
      <c r="D130" s="798">
        <f t="shared" si="56"/>
        <v>1.2882186194332272E-3</v>
      </c>
      <c r="E130" s="798">
        <f t="shared" si="56"/>
        <v>1.0521808763741421E-3</v>
      </c>
      <c r="F130" s="798">
        <f t="shared" si="56"/>
        <v>1.1450895242828326E-3</v>
      </c>
      <c r="G130" s="798">
        <f t="shared" si="56"/>
        <v>2.9470249049416589E-2</v>
      </c>
      <c r="H130" s="799">
        <f t="shared" si="56"/>
        <v>5.0327128045591814E-3</v>
      </c>
      <c r="I130" s="799">
        <f t="shared" si="56"/>
        <v>1.1063435180174677E-2</v>
      </c>
      <c r="J130" s="799">
        <f t="shared" si="56"/>
        <v>9.816998762884872E-3</v>
      </c>
    </row>
    <row r="131" spans="1:11" s="8" customFormat="1" x14ac:dyDescent="0.2">
      <c r="A131" s="770" t="s">
        <v>748</v>
      </c>
      <c r="B131" s="797">
        <f t="shared" ref="B131:J131" si="57">IF(B60="-","-",B60/B$68)</f>
        <v>2.7703113415462867E-2</v>
      </c>
      <c r="C131" s="797">
        <f t="shared" si="57"/>
        <v>2.6675186072330211E-2</v>
      </c>
      <c r="D131" s="797">
        <f t="shared" si="57"/>
        <v>2.437248158016141E-2</v>
      </c>
      <c r="E131" s="797">
        <f t="shared" si="57"/>
        <v>2.1571245660147013E-2</v>
      </c>
      <c r="F131" s="797">
        <f t="shared" si="57"/>
        <v>2.2313366692794264E-2</v>
      </c>
      <c r="G131" s="797">
        <f t="shared" si="57"/>
        <v>1.4698919971921316E-2</v>
      </c>
      <c r="H131" s="351">
        <f t="shared" si="57"/>
        <v>2.698842516922724E-2</v>
      </c>
      <c r="I131" s="351">
        <f t="shared" si="57"/>
        <v>1.9802271726216195E-2</v>
      </c>
      <c r="J131" s="351">
        <f t="shared" si="57"/>
        <v>2.1287513923372938E-2</v>
      </c>
    </row>
    <row r="132" spans="1:11" s="8" customFormat="1" x14ac:dyDescent="0.2">
      <c r="A132" s="772" t="s">
        <v>749</v>
      </c>
      <c r="B132" s="798">
        <f t="shared" ref="B132:J132" si="58">IF(B61="-","-",B61/B$68)</f>
        <v>1.0857596241871578E-4</v>
      </c>
      <c r="C132" s="798">
        <f t="shared" si="58"/>
        <v>5.6570699747368776E-4</v>
      </c>
      <c r="D132" s="798">
        <f t="shared" si="58"/>
        <v>4.0596131799161469E-4</v>
      </c>
      <c r="E132" s="798">
        <f t="shared" si="58"/>
        <v>2.5162872473488343E-4</v>
      </c>
      <c r="F132" s="798">
        <f t="shared" si="58"/>
        <v>3.4121455612302058E-4</v>
      </c>
      <c r="G132" s="798">
        <f t="shared" si="58"/>
        <v>1.0619691227518305E-3</v>
      </c>
      <c r="H132" s="799">
        <f t="shared" si="58"/>
        <v>4.2640599187163477E-4</v>
      </c>
      <c r="I132" s="799">
        <f t="shared" si="58"/>
        <v>5.7910644734723989E-4</v>
      </c>
      <c r="J132" s="799">
        <f t="shared" si="58"/>
        <v>5.4754614713990203E-4</v>
      </c>
    </row>
    <row r="133" spans="1:11" s="8" customFormat="1" x14ac:dyDescent="0.2">
      <c r="A133" s="779" t="s">
        <v>750</v>
      </c>
      <c r="B133" s="802">
        <f t="shared" ref="B133:J133" si="59">IF(B62="-","-",B62/B$68)</f>
        <v>1.1025011461876627E-2</v>
      </c>
      <c r="C133" s="802">
        <f t="shared" si="59"/>
        <v>8.8011411072644943E-3</v>
      </c>
      <c r="D133" s="802">
        <f t="shared" si="59"/>
        <v>8.9847630368102161E-3</v>
      </c>
      <c r="E133" s="802">
        <f t="shared" si="59"/>
        <v>8.2661711032836396E-3</v>
      </c>
      <c r="F133" s="802">
        <f t="shared" si="59"/>
        <v>1.0940324739888018E-2</v>
      </c>
      <c r="G133" s="802">
        <f t="shared" si="59"/>
        <v>1.0011538785217978E-2</v>
      </c>
      <c r="H133" s="803">
        <f t="shared" si="59"/>
        <v>9.4788185191444618E-3</v>
      </c>
      <c r="I133" s="803">
        <f t="shared" si="59"/>
        <v>9.477326623932537E-3</v>
      </c>
      <c r="J133" s="803">
        <f t="shared" si="59"/>
        <v>9.4776349704965308E-3</v>
      </c>
    </row>
    <row r="134" spans="1:11" s="8" customFormat="1" x14ac:dyDescent="0.2">
      <c r="A134" s="784" t="s">
        <v>751</v>
      </c>
      <c r="B134" s="806">
        <f t="shared" ref="B134:J134" si="60">IF(B63="-","-",B63/B$68)</f>
        <v>2.9900938745883896E-3</v>
      </c>
      <c r="C134" s="806">
        <f t="shared" si="60"/>
        <v>3.7398500702409995E-3</v>
      </c>
      <c r="D134" s="806">
        <f t="shared" si="60"/>
        <v>3.3375147107020621E-3</v>
      </c>
      <c r="E134" s="806">
        <f t="shared" si="60"/>
        <v>3.6568271108987083E-3</v>
      </c>
      <c r="F134" s="806">
        <f t="shared" si="60"/>
        <v>5.3568808890503217E-3</v>
      </c>
      <c r="G134" s="806">
        <f t="shared" si="60"/>
        <v>5.9497584168866713E-3</v>
      </c>
      <c r="H134" s="807">
        <f t="shared" si="60"/>
        <v>3.5113777417362883E-3</v>
      </c>
      <c r="I134" s="807">
        <f t="shared" si="60"/>
        <v>4.7006298257436215E-3</v>
      </c>
      <c r="J134" s="807">
        <f t="shared" si="60"/>
        <v>4.454833880495313E-3</v>
      </c>
    </row>
    <row r="135" spans="1:11" s="8" customFormat="1" x14ac:dyDescent="0.2">
      <c r="A135" s="782" t="s">
        <v>536</v>
      </c>
      <c r="B135" s="804">
        <f t="shared" ref="B135:J135" si="61">IF(B64="-","-",B64/B$68)</f>
        <v>3.6853599931225319E-4</v>
      </c>
      <c r="C135" s="804">
        <f t="shared" si="61"/>
        <v>2.8350423584776852E-4</v>
      </c>
      <c r="D135" s="804">
        <f t="shared" si="61"/>
        <v>6.6778396462203289E-4</v>
      </c>
      <c r="E135" s="804">
        <f t="shared" si="61"/>
        <v>9.4206516044656181E-4</v>
      </c>
      <c r="F135" s="804">
        <f t="shared" si="61"/>
        <v>1.2309875859318139E-3</v>
      </c>
      <c r="G135" s="804">
        <f t="shared" si="61"/>
        <v>4.5405443424909319E-4</v>
      </c>
      <c r="H135" s="805">
        <f t="shared" si="61"/>
        <v>3.094158656658888E-4</v>
      </c>
      <c r="I135" s="805">
        <f t="shared" si="61"/>
        <v>7.7223386336656898E-4</v>
      </c>
      <c r="J135" s="805">
        <f t="shared" si="61"/>
        <v>6.7657812413974021E-4</v>
      </c>
    </row>
    <row r="136" spans="1:11" s="8" customFormat="1" x14ac:dyDescent="0.2">
      <c r="A136" s="784" t="s">
        <v>752</v>
      </c>
      <c r="B136" s="806">
        <f t="shared" ref="B136:J136" si="62">IF(B65="-","-",B65/B$68)</f>
        <v>5.003035474463566E-4</v>
      </c>
      <c r="C136" s="806">
        <f t="shared" si="62"/>
        <v>4.8377327583208721E-4</v>
      </c>
      <c r="D136" s="806">
        <f t="shared" si="62"/>
        <v>2.7480197354492911E-4</v>
      </c>
      <c r="E136" s="806">
        <f t="shared" si="62"/>
        <v>1.2389434559781858E-4</v>
      </c>
      <c r="F136" s="806">
        <f t="shared" si="62"/>
        <v>1.0027572495466977E-4</v>
      </c>
      <c r="G136" s="806">
        <f t="shared" si="62"/>
        <v>1.9641201642604171E-4</v>
      </c>
      <c r="H136" s="807">
        <f t="shared" si="62"/>
        <v>4.8881052616549735E-4</v>
      </c>
      <c r="I136" s="807">
        <f t="shared" si="62"/>
        <v>1.724755371915824E-4</v>
      </c>
      <c r="J136" s="807">
        <f t="shared" si="62"/>
        <v>2.3785600502978482E-4</v>
      </c>
    </row>
    <row r="137" spans="1:11" s="8" customFormat="1" x14ac:dyDescent="0.2">
      <c r="A137" s="782" t="s">
        <v>753</v>
      </c>
      <c r="B137" s="804">
        <f t="shared" ref="B137:J137" si="63">IF(B66="-","-",B66/B$68)</f>
        <v>4.858038843429116E-4</v>
      </c>
      <c r="C137" s="804">
        <f t="shared" si="63"/>
        <v>1.0665560742804693E-3</v>
      </c>
      <c r="D137" s="804">
        <f t="shared" si="63"/>
        <v>1.6146677561543693E-3</v>
      </c>
      <c r="E137" s="804">
        <f t="shared" si="63"/>
        <v>1.9474664440175939E-3</v>
      </c>
      <c r="F137" s="804">
        <f t="shared" si="63"/>
        <v>2.8573360351442281E-3</v>
      </c>
      <c r="G137" s="804">
        <f t="shared" si="63"/>
        <v>2.0005089272657713E-3</v>
      </c>
      <c r="H137" s="805">
        <f t="shared" si="63"/>
        <v>8.8958413875181322E-4</v>
      </c>
      <c r="I137" s="805">
        <f t="shared" si="63"/>
        <v>2.0655952355099982E-3</v>
      </c>
      <c r="J137" s="805">
        <f t="shared" si="63"/>
        <v>1.8225359522534505E-3</v>
      </c>
    </row>
    <row r="138" spans="1:11" s="8" customFormat="1" x14ac:dyDescent="0.2">
      <c r="A138" s="793" t="s">
        <v>754</v>
      </c>
      <c r="B138" s="798">
        <f t="shared" ref="B138:J138" si="64">IF(B67="-","-",B67/B$68)</f>
        <v>6.680274155940932E-3</v>
      </c>
      <c r="C138" s="798">
        <f t="shared" si="64"/>
        <v>3.2274574508477233E-3</v>
      </c>
      <c r="D138" s="798">
        <f t="shared" si="64"/>
        <v>3.0899946316790944E-3</v>
      </c>
      <c r="E138" s="798">
        <f t="shared" si="64"/>
        <v>1.5959180421897632E-3</v>
      </c>
      <c r="F138" s="798">
        <f t="shared" si="64"/>
        <v>1.3948445046959061E-3</v>
      </c>
      <c r="G138" s="798">
        <f t="shared" si="64"/>
        <v>1.4108049902789648E-3</v>
      </c>
      <c r="H138" s="799">
        <f t="shared" si="64"/>
        <v>4.2796302466002823E-3</v>
      </c>
      <c r="I138" s="799">
        <f t="shared" si="64"/>
        <v>1.7663921620036879E-3</v>
      </c>
      <c r="J138" s="799">
        <f t="shared" si="64"/>
        <v>2.2858310084389226E-3</v>
      </c>
    </row>
    <row r="139" spans="1:11" s="8" customFormat="1" x14ac:dyDescent="0.2">
      <c r="A139" s="935" t="s">
        <v>803</v>
      </c>
      <c r="B139" s="937">
        <f t="shared" ref="B139:J139" si="65">IF(B68="-","-",B68/B$68)</f>
        <v>1</v>
      </c>
      <c r="C139" s="937">
        <f t="shared" si="65"/>
        <v>1</v>
      </c>
      <c r="D139" s="937">
        <f t="shared" si="65"/>
        <v>1</v>
      </c>
      <c r="E139" s="937">
        <f t="shared" si="65"/>
        <v>1</v>
      </c>
      <c r="F139" s="937">
        <f t="shared" si="65"/>
        <v>1</v>
      </c>
      <c r="G139" s="937">
        <f t="shared" si="65"/>
        <v>1</v>
      </c>
      <c r="H139" s="998">
        <f t="shared" si="65"/>
        <v>1</v>
      </c>
      <c r="I139" s="998">
        <f t="shared" si="65"/>
        <v>1</v>
      </c>
      <c r="J139" s="998">
        <f t="shared" si="65"/>
        <v>1</v>
      </c>
    </row>
    <row r="140" spans="1:11" ht="15" customHeight="1" x14ac:dyDescent="0.2">
      <c r="A140" s="794" t="s">
        <v>842</v>
      </c>
      <c r="B140" s="3"/>
      <c r="C140" s="3"/>
      <c r="D140" s="245"/>
      <c r="E140" s="3"/>
      <c r="F140" s="3"/>
      <c r="G140" s="245"/>
      <c r="H140" s="3"/>
      <c r="I140" s="3"/>
      <c r="J140" s="911"/>
      <c r="K140" s="14"/>
    </row>
    <row r="141" spans="1:11" ht="15" customHeight="1" x14ac:dyDescent="0.2">
      <c r="A141" s="794" t="s">
        <v>316</v>
      </c>
      <c r="B141" s="3"/>
      <c r="C141" s="3"/>
      <c r="D141" s="245"/>
      <c r="E141" s="3"/>
      <c r="F141" s="3"/>
      <c r="G141" s="245"/>
      <c r="H141" s="3"/>
      <c r="I141" s="3"/>
      <c r="J141" s="3"/>
    </row>
    <row r="142" spans="1:11" x14ac:dyDescent="0.2">
      <c r="A142" s="286" t="s">
        <v>951</v>
      </c>
      <c r="B142" s="3"/>
      <c r="C142" s="3"/>
      <c r="D142" s="245"/>
      <c r="E142" s="3"/>
      <c r="F142" s="3"/>
      <c r="G142" s="245"/>
      <c r="H142" s="3"/>
      <c r="I142" s="3"/>
      <c r="J142" s="3"/>
    </row>
    <row r="145" spans="1:11" ht="16.5" x14ac:dyDescent="0.25">
      <c r="A145" s="108" t="s">
        <v>757</v>
      </c>
    </row>
    <row r="146" spans="1:11" ht="13.5" thickBot="1" x14ac:dyDescent="0.25">
      <c r="A146" s="231"/>
      <c r="J146" s="652" t="s">
        <v>537</v>
      </c>
    </row>
    <row r="147" spans="1:11" x14ac:dyDescent="0.2">
      <c r="A147" s="230" t="s">
        <v>799</v>
      </c>
      <c r="B147" s="760" t="s">
        <v>38</v>
      </c>
      <c r="C147" s="760" t="s">
        <v>39</v>
      </c>
      <c r="D147" s="760" t="s">
        <v>125</v>
      </c>
      <c r="E147" s="760" t="s">
        <v>126</v>
      </c>
      <c r="F147" s="760" t="s">
        <v>127</v>
      </c>
      <c r="G147" s="761">
        <v>100000</v>
      </c>
      <c r="H147" s="762" t="s">
        <v>229</v>
      </c>
      <c r="I147" s="762" t="s">
        <v>228</v>
      </c>
      <c r="J147" s="762" t="s">
        <v>220</v>
      </c>
    </row>
    <row r="148" spans="1:11" x14ac:dyDescent="0.2">
      <c r="A148" s="229"/>
      <c r="B148" s="763" t="s">
        <v>40</v>
      </c>
      <c r="C148" s="763" t="s">
        <v>40</v>
      </c>
      <c r="D148" s="763" t="s">
        <v>40</v>
      </c>
      <c r="E148" s="763" t="s">
        <v>40</v>
      </c>
      <c r="F148" s="763" t="s">
        <v>40</v>
      </c>
      <c r="G148" s="763" t="s">
        <v>43</v>
      </c>
      <c r="H148" s="764" t="s">
        <v>523</v>
      </c>
      <c r="I148" s="764" t="s">
        <v>138</v>
      </c>
      <c r="J148" s="764" t="s">
        <v>142</v>
      </c>
    </row>
    <row r="149" spans="1:11" ht="13.5" thickBot="1" x14ac:dyDescent="0.25">
      <c r="A149" s="232"/>
      <c r="B149" s="765" t="s">
        <v>46</v>
      </c>
      <c r="C149" s="765" t="s">
        <v>42</v>
      </c>
      <c r="D149" s="765" t="s">
        <v>128</v>
      </c>
      <c r="E149" s="765" t="s">
        <v>129</v>
      </c>
      <c r="F149" s="765" t="s">
        <v>130</v>
      </c>
      <c r="G149" s="765" t="s">
        <v>131</v>
      </c>
      <c r="H149" s="766" t="s">
        <v>138</v>
      </c>
      <c r="I149" s="766" t="s">
        <v>131</v>
      </c>
      <c r="J149" s="766" t="s">
        <v>610</v>
      </c>
    </row>
    <row r="151" spans="1:11" s="8" customFormat="1" ht="14.25" customHeight="1" x14ac:dyDescent="0.2">
      <c r="A151" s="767" t="s">
        <v>709</v>
      </c>
      <c r="B151" s="768">
        <v>464.8973847328005</v>
      </c>
      <c r="C151" s="768">
        <v>443.00132334705017</v>
      </c>
      <c r="D151" s="768">
        <v>441.39294747326295</v>
      </c>
      <c r="E151" s="768">
        <v>453.72862302831334</v>
      </c>
      <c r="F151" s="768">
        <v>451.6975114017298</v>
      </c>
      <c r="G151" s="768">
        <v>387.72767390052189</v>
      </c>
      <c r="H151" s="769">
        <v>450.16444982766438</v>
      </c>
      <c r="I151" s="769">
        <v>431.18552975684315</v>
      </c>
      <c r="J151" s="769">
        <v>436.23261108637644</v>
      </c>
      <c r="K151" s="813"/>
    </row>
    <row r="152" spans="1:11" ht="14.25" customHeight="1" x14ac:dyDescent="0.2">
      <c r="A152" s="770" t="s">
        <v>710</v>
      </c>
      <c r="B152" s="771">
        <v>55.830539547069627</v>
      </c>
      <c r="C152" s="771">
        <v>22.388400364830815</v>
      </c>
      <c r="D152" s="771">
        <v>18.548931452217818</v>
      </c>
      <c r="E152" s="771">
        <v>11.448597443255364</v>
      </c>
      <c r="F152" s="771">
        <v>6.5077870211665489</v>
      </c>
      <c r="G152" s="771">
        <v>7.1253151819968208</v>
      </c>
      <c r="H152" s="316">
        <v>33.328736552442059</v>
      </c>
      <c r="I152" s="316">
        <v>10.834434086124253</v>
      </c>
      <c r="J152" s="316">
        <v>16.816364226247025</v>
      </c>
    </row>
    <row r="153" spans="1:11" ht="14.25" customHeight="1" x14ac:dyDescent="0.2">
      <c r="A153" s="772" t="s">
        <v>524</v>
      </c>
      <c r="B153" s="773">
        <v>397.66102639863323</v>
      </c>
      <c r="C153" s="773">
        <v>409.18569901422524</v>
      </c>
      <c r="D153" s="773">
        <v>407.84135400413481</v>
      </c>
      <c r="E153" s="773">
        <v>428.90088581758005</v>
      </c>
      <c r="F153" s="773">
        <v>431.25958033177346</v>
      </c>
      <c r="G153" s="773">
        <v>364.52039270341635</v>
      </c>
      <c r="H153" s="774">
        <v>405.41549184596801</v>
      </c>
      <c r="I153" s="774">
        <v>405.72560106609853</v>
      </c>
      <c r="J153" s="774">
        <v>405.64313344153425</v>
      </c>
    </row>
    <row r="154" spans="1:11" ht="14.25" customHeight="1" x14ac:dyDescent="0.2">
      <c r="A154" s="770" t="s">
        <v>711</v>
      </c>
      <c r="B154" s="771">
        <v>11.311684429327743</v>
      </c>
      <c r="C154" s="771">
        <v>11.054737833100981</v>
      </c>
      <c r="D154" s="771">
        <v>14.721860336217979</v>
      </c>
      <c r="E154" s="771">
        <v>12.614592439286373</v>
      </c>
      <c r="F154" s="771">
        <v>13.146058339515353</v>
      </c>
      <c r="G154" s="771">
        <v>13.815878358042655</v>
      </c>
      <c r="H154" s="316">
        <v>11.138795917114823</v>
      </c>
      <c r="I154" s="316">
        <v>13.517595387008789</v>
      </c>
      <c r="J154" s="316">
        <v>12.88499909878985</v>
      </c>
    </row>
    <row r="155" spans="1:11" s="8" customFormat="1" ht="14.25" customHeight="1" x14ac:dyDescent="0.2">
      <c r="A155" s="772" t="s">
        <v>712</v>
      </c>
      <c r="B155" s="773">
        <v>9.4134357528764812E-2</v>
      </c>
      <c r="C155" s="773">
        <v>0.37248613477589892</v>
      </c>
      <c r="D155" s="773">
        <v>0.2808016802947374</v>
      </c>
      <c r="E155" s="773">
        <v>0.76454732819154392</v>
      </c>
      <c r="F155" s="773">
        <v>0.78408570894841778</v>
      </c>
      <c r="G155" s="773">
        <v>2.2660876568728674</v>
      </c>
      <c r="H155" s="774">
        <v>0.28142551198176646</v>
      </c>
      <c r="I155" s="774">
        <v>1.1078992174115352</v>
      </c>
      <c r="J155" s="774">
        <v>0.88811431961654363</v>
      </c>
    </row>
    <row r="156" spans="1:11" s="68" customFormat="1" ht="14.25" customHeight="1" x14ac:dyDescent="0.2">
      <c r="A156" s="779" t="s">
        <v>525</v>
      </c>
      <c r="B156" s="780">
        <v>33.200416393074988</v>
      </c>
      <c r="C156" s="780">
        <v>42.782806737563916</v>
      </c>
      <c r="D156" s="780">
        <v>54.22597049975483</v>
      </c>
      <c r="E156" s="780">
        <v>64.880205703212454</v>
      </c>
      <c r="F156" s="780">
        <v>80.477587899184428</v>
      </c>
      <c r="G156" s="780">
        <v>113.8760207149509</v>
      </c>
      <c r="H156" s="781">
        <v>39.648002134355202</v>
      </c>
      <c r="I156" s="781">
        <v>79.813023704536306</v>
      </c>
      <c r="J156" s="781">
        <v>69.131903297752814</v>
      </c>
    </row>
    <row r="157" spans="1:11" ht="14.25" customHeight="1" x14ac:dyDescent="0.2">
      <c r="A157" s="772" t="s">
        <v>713</v>
      </c>
      <c r="B157" s="773">
        <v>1.1852667389278262</v>
      </c>
      <c r="C157" s="773">
        <v>0.95696352383564054</v>
      </c>
      <c r="D157" s="773">
        <v>1.7045310360867778</v>
      </c>
      <c r="E157" s="773">
        <v>3.4551160305404807</v>
      </c>
      <c r="F157" s="773">
        <v>6.1107112181194045</v>
      </c>
      <c r="G157" s="773">
        <v>8.153078059546754</v>
      </c>
      <c r="H157" s="774">
        <v>1.0316511480994486</v>
      </c>
      <c r="I157" s="774">
        <v>4.9331222218446724</v>
      </c>
      <c r="J157" s="774">
        <v>3.8956005008755641</v>
      </c>
    </row>
    <row r="158" spans="1:11" ht="14.25" customHeight="1" x14ac:dyDescent="0.2">
      <c r="A158" s="770" t="s">
        <v>714</v>
      </c>
      <c r="B158" s="771">
        <v>20.557089234252754</v>
      </c>
      <c r="C158" s="771">
        <v>28.621703386262606</v>
      </c>
      <c r="D158" s="771">
        <v>39.076145428522203</v>
      </c>
      <c r="E158" s="771">
        <v>44.583484040672339</v>
      </c>
      <c r="F158" s="771">
        <v>48.230709415431193</v>
      </c>
      <c r="G158" s="771">
        <v>51.349136844364558</v>
      </c>
      <c r="H158" s="316">
        <v>25.983427480359609</v>
      </c>
      <c r="I158" s="316">
        <v>46.036968995132241</v>
      </c>
      <c r="J158" s="316">
        <v>40.704112615920486</v>
      </c>
    </row>
    <row r="159" spans="1:11" ht="14.25" customHeight="1" x14ac:dyDescent="0.2">
      <c r="A159" s="778" t="s">
        <v>715</v>
      </c>
      <c r="B159" s="773">
        <v>8.5867972011058615</v>
      </c>
      <c r="C159" s="773">
        <v>9.0120291548101736</v>
      </c>
      <c r="D159" s="773">
        <v>10.781297293690445</v>
      </c>
      <c r="E159" s="773">
        <v>12.373847766172286</v>
      </c>
      <c r="F159" s="773">
        <v>20.005311049538147</v>
      </c>
      <c r="G159" s="773">
        <v>32.921575296609895</v>
      </c>
      <c r="H159" s="774">
        <v>8.8729178226705514</v>
      </c>
      <c r="I159" s="774">
        <v>19.447578135803006</v>
      </c>
      <c r="J159" s="774">
        <v>16.635449182553366</v>
      </c>
    </row>
    <row r="160" spans="1:11" s="8" customFormat="1" ht="14.25" customHeight="1" x14ac:dyDescent="0.2">
      <c r="A160" s="770" t="s">
        <v>526</v>
      </c>
      <c r="B160" s="771">
        <v>1.9050694249691644</v>
      </c>
      <c r="C160" s="771">
        <v>2.7850454479213331</v>
      </c>
      <c r="D160" s="771">
        <v>1.3783451833494573</v>
      </c>
      <c r="E160" s="771">
        <v>2.5682932046416815</v>
      </c>
      <c r="F160" s="771">
        <v>3.5733925861737612</v>
      </c>
      <c r="G160" s="771">
        <v>3.2388785857155673</v>
      </c>
      <c r="H160" s="316">
        <v>2.4971681241750439</v>
      </c>
      <c r="I160" s="316">
        <v>2.6863012584498969</v>
      </c>
      <c r="J160" s="316">
        <v>2.6360049134928247</v>
      </c>
    </row>
    <row r="161" spans="1:12" s="8" customFormat="1" ht="14.25" customHeight="1" x14ac:dyDescent="0.2">
      <c r="A161" s="772" t="s">
        <v>716</v>
      </c>
      <c r="B161" s="773">
        <v>0.96619379333710331</v>
      </c>
      <c r="C161" s="773">
        <v>1.4070652244996824</v>
      </c>
      <c r="D161" s="773">
        <v>1.2856515577083638</v>
      </c>
      <c r="E161" s="773">
        <v>1.8994646610031609</v>
      </c>
      <c r="F161" s="773">
        <v>2.5574636295959055</v>
      </c>
      <c r="G161" s="773">
        <v>18.213351928714133</v>
      </c>
      <c r="H161" s="774">
        <v>1.2628375587350003</v>
      </c>
      <c r="I161" s="774">
        <v>6.709053093106454</v>
      </c>
      <c r="J161" s="774">
        <v>5.2607360846798112</v>
      </c>
    </row>
    <row r="162" spans="1:12" s="68" customFormat="1" ht="14.25" customHeight="1" x14ac:dyDescent="0.2">
      <c r="A162" s="779" t="s">
        <v>527</v>
      </c>
      <c r="B162" s="780">
        <v>153.6261332675829</v>
      </c>
      <c r="C162" s="780">
        <v>178.56787230980066</v>
      </c>
      <c r="D162" s="780">
        <v>209.23823376094995</v>
      </c>
      <c r="E162" s="780">
        <v>237.45522739054567</v>
      </c>
      <c r="F162" s="780">
        <v>255.30808951726783</v>
      </c>
      <c r="G162" s="780">
        <v>273.29602228943901</v>
      </c>
      <c r="H162" s="781">
        <v>170.40837603061368</v>
      </c>
      <c r="I162" s="781">
        <v>245.10417979987199</v>
      </c>
      <c r="J162" s="781">
        <v>225.24025734319287</v>
      </c>
    </row>
    <row r="163" spans="1:12" ht="14.25" customHeight="1" x14ac:dyDescent="0.2">
      <c r="A163" s="778" t="s">
        <v>717</v>
      </c>
      <c r="B163" s="773">
        <v>10.223507214018825</v>
      </c>
      <c r="C163" s="773">
        <v>12.426035197064095</v>
      </c>
      <c r="D163" s="773">
        <v>25.464657233921308</v>
      </c>
      <c r="E163" s="773">
        <v>40.203089153449852</v>
      </c>
      <c r="F163" s="773">
        <v>43.383470294440158</v>
      </c>
      <c r="G163" s="773">
        <v>34.298214289957542</v>
      </c>
      <c r="H163" s="774">
        <v>11.705495267909855</v>
      </c>
      <c r="I163" s="774">
        <v>35.835434643456438</v>
      </c>
      <c r="J163" s="774">
        <v>29.418538105052878</v>
      </c>
    </row>
    <row r="164" spans="1:12" ht="14.25" customHeight="1" x14ac:dyDescent="0.2">
      <c r="A164" s="770" t="s">
        <v>528</v>
      </c>
      <c r="B164" s="771">
        <v>78.268025420575626</v>
      </c>
      <c r="C164" s="771">
        <v>92.310926270128391</v>
      </c>
      <c r="D164" s="771">
        <v>104.5530089150112</v>
      </c>
      <c r="E164" s="771">
        <v>113.10255016803542</v>
      </c>
      <c r="F164" s="771">
        <v>126.50757144189137</v>
      </c>
      <c r="G164" s="771">
        <v>156.18025021021347</v>
      </c>
      <c r="H164" s="316">
        <v>87.71690028673693</v>
      </c>
      <c r="I164" s="316">
        <v>126.3539450407081</v>
      </c>
      <c r="J164" s="316">
        <v>116.07916088658152</v>
      </c>
    </row>
    <row r="165" spans="1:12" ht="14.25" customHeight="1" x14ac:dyDescent="0.2">
      <c r="A165" s="772" t="s">
        <v>529</v>
      </c>
      <c r="B165" s="773">
        <v>0.33494753429893209</v>
      </c>
      <c r="C165" s="773">
        <v>0.44304376504276427</v>
      </c>
      <c r="D165" s="773">
        <v>0.42727912188398687</v>
      </c>
      <c r="E165" s="773">
        <v>0.26999006360334132</v>
      </c>
      <c r="F165" s="773">
        <v>0.20945526671357989</v>
      </c>
      <c r="G165" s="773">
        <v>7.3785908572855963</v>
      </c>
      <c r="H165" s="774">
        <v>0.40768092241757697</v>
      </c>
      <c r="I165" s="774">
        <v>2.3964311381393628</v>
      </c>
      <c r="J165" s="774">
        <v>1.8675609998269913</v>
      </c>
      <c r="L165" s="943"/>
    </row>
    <row r="166" spans="1:12" ht="14.25" customHeight="1" x14ac:dyDescent="0.2">
      <c r="A166" s="770" t="s">
        <v>718</v>
      </c>
      <c r="B166" s="771">
        <v>2.6529835893219067</v>
      </c>
      <c r="C166" s="771">
        <v>2.2628932638312533</v>
      </c>
      <c r="D166" s="771">
        <v>1.018910289303842</v>
      </c>
      <c r="E166" s="771">
        <v>0.90032778967142191</v>
      </c>
      <c r="F166" s="771">
        <v>3.4491972943539295</v>
      </c>
      <c r="G166" s="771">
        <v>8.7755468897532793</v>
      </c>
      <c r="H166" s="316">
        <v>2.3905082851415242</v>
      </c>
      <c r="I166" s="316">
        <v>3.702711618232656</v>
      </c>
      <c r="J166" s="316">
        <v>3.3537562025250121</v>
      </c>
    </row>
    <row r="167" spans="1:12" s="8" customFormat="1" ht="14.25" customHeight="1" x14ac:dyDescent="0.2">
      <c r="A167" s="772" t="s">
        <v>719</v>
      </c>
      <c r="B167" s="773">
        <v>55.817217401998313</v>
      </c>
      <c r="C167" s="773">
        <v>61.475523753923618</v>
      </c>
      <c r="D167" s="773">
        <v>68.209492448679384</v>
      </c>
      <c r="E167" s="773">
        <v>70.290566117188519</v>
      </c>
      <c r="F167" s="773">
        <v>69.675820685908263</v>
      </c>
      <c r="G167" s="773">
        <v>52.87379363918393</v>
      </c>
      <c r="H167" s="774">
        <v>59.624452762166122</v>
      </c>
      <c r="I167" s="774">
        <v>64.5811312410695</v>
      </c>
      <c r="J167" s="774">
        <v>63.26299726326566</v>
      </c>
    </row>
    <row r="168" spans="1:12" s="8" customFormat="1" ht="14.25" customHeight="1" x14ac:dyDescent="0.2">
      <c r="A168" s="782" t="s">
        <v>530</v>
      </c>
      <c r="B168" s="783">
        <v>6.3294521066458964</v>
      </c>
      <c r="C168" s="783">
        <v>9.6494500594588164</v>
      </c>
      <c r="D168" s="783">
        <v>9.5648857521502322</v>
      </c>
      <c r="E168" s="783">
        <v>12.68870409814083</v>
      </c>
      <c r="F168" s="783">
        <v>12.082574533471497</v>
      </c>
      <c r="G168" s="783">
        <v>13.789626402948601</v>
      </c>
      <c r="H168" s="385">
        <v>8.5633385057683444</v>
      </c>
      <c r="I168" s="385">
        <v>12.234526118008732</v>
      </c>
      <c r="J168" s="385">
        <v>11.258243885626134</v>
      </c>
    </row>
    <row r="169" spans="1:12" s="68" customFormat="1" ht="14.25" customHeight="1" x14ac:dyDescent="0.2">
      <c r="A169" s="775" t="s">
        <v>720</v>
      </c>
      <c r="B169" s="776">
        <v>121.14935373420995</v>
      </c>
      <c r="C169" s="776">
        <v>166.40281321736157</v>
      </c>
      <c r="D169" s="776">
        <v>226.5883960122984</v>
      </c>
      <c r="E169" s="776">
        <v>270.3973847164915</v>
      </c>
      <c r="F169" s="776">
        <v>298.18049168430804</v>
      </c>
      <c r="G169" s="776">
        <v>291.45331696435602</v>
      </c>
      <c r="H169" s="777">
        <v>151.59849529678235</v>
      </c>
      <c r="I169" s="777">
        <v>272.05078611210047</v>
      </c>
      <c r="J169" s="777">
        <v>240.01879979228048</v>
      </c>
    </row>
    <row r="170" spans="1:12" ht="14.25" customHeight="1" x14ac:dyDescent="0.2">
      <c r="A170" s="782" t="s">
        <v>721</v>
      </c>
      <c r="B170" s="783">
        <v>7.9975999464672611</v>
      </c>
      <c r="C170" s="783">
        <v>13.979505161714735</v>
      </c>
      <c r="D170" s="783">
        <v>29.890828453158754</v>
      </c>
      <c r="E170" s="783">
        <v>39.932564876895533</v>
      </c>
      <c r="F170" s="783">
        <v>38.603385223172928</v>
      </c>
      <c r="G170" s="783">
        <v>41.298509275618592</v>
      </c>
      <c r="H170" s="385">
        <v>12.02257131425351</v>
      </c>
      <c r="I170" s="385">
        <v>37.9382333506584</v>
      </c>
      <c r="J170" s="385">
        <v>31.046457974696597</v>
      </c>
    </row>
    <row r="171" spans="1:12" s="8" customFormat="1" ht="14.25" customHeight="1" x14ac:dyDescent="0.2">
      <c r="A171" s="772" t="s">
        <v>531</v>
      </c>
      <c r="B171" s="773">
        <v>37.126818884276446</v>
      </c>
      <c r="C171" s="773">
        <v>57.293976596099647</v>
      </c>
      <c r="D171" s="773">
        <v>80.364260050094742</v>
      </c>
      <c r="E171" s="773">
        <v>91.174377681168593</v>
      </c>
      <c r="F171" s="773">
        <v>102.70143344748674</v>
      </c>
      <c r="G171" s="773">
        <v>144.45249666580406</v>
      </c>
      <c r="H171" s="774">
        <v>50.696447529146234</v>
      </c>
      <c r="I171" s="774">
        <v>106.62692673190863</v>
      </c>
      <c r="J171" s="774">
        <v>91.753283959678129</v>
      </c>
    </row>
    <row r="172" spans="1:12" s="8" customFormat="1" ht="14.25" customHeight="1" x14ac:dyDescent="0.2">
      <c r="A172" s="770" t="s">
        <v>722</v>
      </c>
      <c r="B172" s="771">
        <v>18.931817089241729</v>
      </c>
      <c r="C172" s="771">
        <v>34.580150793141819</v>
      </c>
      <c r="D172" s="771">
        <v>52.936977861563541</v>
      </c>
      <c r="E172" s="771">
        <v>59.252141099570103</v>
      </c>
      <c r="F172" s="771">
        <v>63.158235512354509</v>
      </c>
      <c r="G172" s="771">
        <v>86.086108106865424</v>
      </c>
      <c r="H172" s="316">
        <v>29.460919916083622</v>
      </c>
      <c r="I172" s="316">
        <v>66.514178997996069</v>
      </c>
      <c r="J172" s="316">
        <v>56.660572395890441</v>
      </c>
    </row>
    <row r="173" spans="1:12" s="68" customFormat="1" ht="14.25" customHeight="1" x14ac:dyDescent="0.2">
      <c r="A173" s="772" t="s">
        <v>723</v>
      </c>
      <c r="B173" s="773">
        <v>18.195001795275857</v>
      </c>
      <c r="C173" s="773">
        <v>22.713825802957832</v>
      </c>
      <c r="D173" s="773">
        <v>27.427282188531219</v>
      </c>
      <c r="E173" s="773">
        <v>31.922236581689745</v>
      </c>
      <c r="F173" s="773">
        <v>39.543197935132241</v>
      </c>
      <c r="G173" s="773">
        <v>58.366388558842047</v>
      </c>
      <c r="H173" s="774">
        <v>21.235527613141496</v>
      </c>
      <c r="I173" s="774">
        <v>40.112747733912549</v>
      </c>
      <c r="J173" s="774">
        <v>35.09271156380867</v>
      </c>
    </row>
    <row r="174" spans="1:12" s="68" customFormat="1" ht="14.25" customHeight="1" x14ac:dyDescent="0.2">
      <c r="A174" s="770" t="s">
        <v>532</v>
      </c>
      <c r="B174" s="771">
        <v>34.289066321517147</v>
      </c>
      <c r="C174" s="771">
        <v>39.995238835922628</v>
      </c>
      <c r="D174" s="771">
        <v>53.605545971878023</v>
      </c>
      <c r="E174" s="771">
        <v>58.865309850136434</v>
      </c>
      <c r="F174" s="771">
        <v>61.670747836048776</v>
      </c>
      <c r="G174" s="771">
        <v>61.777938239592849</v>
      </c>
      <c r="H174" s="316">
        <v>38.128508800744186</v>
      </c>
      <c r="I174" s="316">
        <v>59.084652959520469</v>
      </c>
      <c r="J174" s="316">
        <v>53.511766645226061</v>
      </c>
    </row>
    <row r="175" spans="1:12" s="8" customFormat="1" ht="14.25" customHeight="1" x14ac:dyDescent="0.2">
      <c r="A175" s="772" t="s">
        <v>533</v>
      </c>
      <c r="B175" s="773">
        <v>41.735868581707962</v>
      </c>
      <c r="C175" s="773">
        <v>55.134092623624575</v>
      </c>
      <c r="D175" s="773">
        <v>62.72776153703434</v>
      </c>
      <c r="E175" s="773">
        <v>80.425132308108417</v>
      </c>
      <c r="F175" s="773">
        <v>95.204925177599591</v>
      </c>
      <c r="G175" s="773">
        <v>43.924372783243896</v>
      </c>
      <c r="H175" s="774">
        <v>50.750967652559538</v>
      </c>
      <c r="I175" s="774">
        <v>68.400973069898654</v>
      </c>
      <c r="J175" s="774">
        <v>63.707291212574809</v>
      </c>
    </row>
    <row r="176" spans="1:12" ht="14.25" customHeight="1" x14ac:dyDescent="0.2">
      <c r="A176" s="779" t="s">
        <v>724</v>
      </c>
      <c r="B176" s="780">
        <v>43.710693948027433</v>
      </c>
      <c r="C176" s="780">
        <v>80.872972340482647</v>
      </c>
      <c r="D176" s="780">
        <v>116.52119789814067</v>
      </c>
      <c r="E176" s="780">
        <v>159.99940392561126</v>
      </c>
      <c r="F176" s="780">
        <v>181.32175551903126</v>
      </c>
      <c r="G176" s="780">
        <v>382.14215493233519</v>
      </c>
      <c r="H176" s="781">
        <v>68.715621493531145</v>
      </c>
      <c r="I176" s="781">
        <v>220.08456608748835</v>
      </c>
      <c r="J176" s="781">
        <v>179.83088614782372</v>
      </c>
    </row>
    <row r="177" spans="1:10" s="8" customFormat="1" ht="14.25" customHeight="1" x14ac:dyDescent="0.2">
      <c r="A177" s="772" t="s">
        <v>725</v>
      </c>
      <c r="B177" s="773">
        <v>0.21518422616858715</v>
      </c>
      <c r="C177" s="773">
        <v>0.32145220555692272</v>
      </c>
      <c r="D177" s="773">
        <v>0.26071111096386024</v>
      </c>
      <c r="E177" s="773">
        <v>0.26337864031512492</v>
      </c>
      <c r="F177" s="773">
        <v>0.27670136894437192</v>
      </c>
      <c r="G177" s="773">
        <v>58.050378286707712</v>
      </c>
      <c r="H177" s="774">
        <v>0.28668746116808297</v>
      </c>
      <c r="I177" s="774">
        <v>17.36188019187065</v>
      </c>
      <c r="J177" s="774">
        <v>12.821058790667397</v>
      </c>
    </row>
    <row r="178" spans="1:10" s="68" customFormat="1" ht="14.25" customHeight="1" x14ac:dyDescent="0.2">
      <c r="A178" s="782" t="s">
        <v>534</v>
      </c>
      <c r="B178" s="783">
        <v>3.1700465611846651</v>
      </c>
      <c r="C178" s="783">
        <v>4.32763400099397</v>
      </c>
      <c r="D178" s="783">
        <v>4.1002513986773925</v>
      </c>
      <c r="E178" s="783">
        <v>12.469690715989056</v>
      </c>
      <c r="F178" s="783">
        <v>17.997975890206686</v>
      </c>
      <c r="G178" s="783">
        <v>21.992272659516175</v>
      </c>
      <c r="H178" s="385">
        <v>3.9489382576069536</v>
      </c>
      <c r="I178" s="385">
        <v>14.451430663483929</v>
      </c>
      <c r="J178" s="385">
        <v>11.658493386891413</v>
      </c>
    </row>
    <row r="179" spans="1:10" ht="14.25" customHeight="1" x14ac:dyDescent="0.2">
      <c r="A179" s="784" t="s">
        <v>726</v>
      </c>
      <c r="B179" s="773">
        <v>40.325463160433038</v>
      </c>
      <c r="C179" s="773">
        <v>76.223886133931771</v>
      </c>
      <c r="D179" s="773">
        <v>112.16023538836689</v>
      </c>
      <c r="E179" s="773">
        <v>147.26633456921584</v>
      </c>
      <c r="F179" s="773">
        <v>163.04707825955418</v>
      </c>
      <c r="G179" s="773">
        <v>302.09950398601467</v>
      </c>
      <c r="H179" s="774">
        <v>64.479995774677221</v>
      </c>
      <c r="I179" s="774">
        <v>188.27125523199086</v>
      </c>
      <c r="J179" s="774">
        <v>155.35133397013897</v>
      </c>
    </row>
    <row r="180" spans="1:10" ht="14.25" customHeight="1" x14ac:dyDescent="0.2">
      <c r="A180" s="782" t="s">
        <v>727</v>
      </c>
      <c r="B180" s="771">
        <v>8.6071156102189654</v>
      </c>
      <c r="C180" s="771">
        <v>21.660313902342629</v>
      </c>
      <c r="D180" s="771">
        <v>41.642999157135854</v>
      </c>
      <c r="E180" s="771">
        <v>49.243044957609484</v>
      </c>
      <c r="F180" s="771">
        <v>53.258706385630532</v>
      </c>
      <c r="G180" s="771">
        <v>40.666353509674067</v>
      </c>
      <c r="H180" s="316">
        <v>17.390061426531194</v>
      </c>
      <c r="I180" s="316">
        <v>45.770693238673552</v>
      </c>
      <c r="J180" s="316">
        <v>38.223406227351873</v>
      </c>
    </row>
    <row r="181" spans="1:10" ht="14.25" customHeight="1" x14ac:dyDescent="0.2">
      <c r="A181" s="784" t="s">
        <v>728</v>
      </c>
      <c r="B181" s="785">
        <v>27.181219794091867</v>
      </c>
      <c r="C181" s="785">
        <v>47.332194839914912</v>
      </c>
      <c r="D181" s="785">
        <v>59.359701044303378</v>
      </c>
      <c r="E181" s="785">
        <v>84.376384247549041</v>
      </c>
      <c r="F181" s="785">
        <v>90.573089937009414</v>
      </c>
      <c r="G181" s="785">
        <v>152.40849862705602</v>
      </c>
      <c r="H181" s="786">
        <v>40.739959806500693</v>
      </c>
      <c r="I181" s="786">
        <v>100.19596493299738</v>
      </c>
      <c r="J181" s="786">
        <v>84.38477587256574</v>
      </c>
    </row>
    <row r="182" spans="1:10" s="8" customFormat="1" ht="14.25" customHeight="1" x14ac:dyDescent="0.2">
      <c r="A182" s="782" t="s">
        <v>729</v>
      </c>
      <c r="B182" s="783">
        <v>2.3581550349108209</v>
      </c>
      <c r="C182" s="783">
        <v>3.7043178285121647</v>
      </c>
      <c r="D182" s="783">
        <v>4.7934316339107035</v>
      </c>
      <c r="E182" s="783">
        <v>5.8035955410226086</v>
      </c>
      <c r="F182" s="783">
        <v>8.3243574667625797</v>
      </c>
      <c r="G182" s="783">
        <v>14.837185849775866</v>
      </c>
      <c r="H182" s="385">
        <v>3.263931122237274</v>
      </c>
      <c r="I182" s="385">
        <v>8.7003590708184806</v>
      </c>
      <c r="J182" s="385">
        <v>7.2546448839074369</v>
      </c>
    </row>
    <row r="183" spans="1:10" ht="14.25" customHeight="1" x14ac:dyDescent="0.2">
      <c r="A183" s="784" t="s">
        <v>730</v>
      </c>
      <c r="B183" s="785">
        <v>3.573965244713341E-2</v>
      </c>
      <c r="C183" s="785">
        <v>8.2065084396582985E-2</v>
      </c>
      <c r="D183" s="785">
        <v>5.7707014591091614E-2</v>
      </c>
      <c r="E183" s="785">
        <v>0.22818323987487205</v>
      </c>
      <c r="F183" s="785">
        <v>0.45392616981978168</v>
      </c>
      <c r="G183" s="785">
        <v>30.560170576951368</v>
      </c>
      <c r="H183" s="786">
        <v>6.6910079006483533E-2</v>
      </c>
      <c r="I183" s="786">
        <v>9.2049568818879024</v>
      </c>
      <c r="J183" s="786">
        <v>6.7748678549505419</v>
      </c>
    </row>
    <row r="184" spans="1:10" ht="14.25" customHeight="1" x14ac:dyDescent="0.2">
      <c r="A184" s="782" t="s">
        <v>731</v>
      </c>
      <c r="B184" s="783">
        <v>2.1432330687642498</v>
      </c>
      <c r="C184" s="783">
        <v>3.4449944784137472</v>
      </c>
      <c r="D184" s="783">
        <v>6.306396538293332</v>
      </c>
      <c r="E184" s="783">
        <v>7.615126582886055</v>
      </c>
      <c r="F184" s="783">
        <v>10.436998299842847</v>
      </c>
      <c r="G184" s="783">
        <v>63.627295422557353</v>
      </c>
      <c r="H184" s="385">
        <v>3.019133340164911</v>
      </c>
      <c r="I184" s="385">
        <v>24.399281107413504</v>
      </c>
      <c r="J184" s="385">
        <v>18.713639131153613</v>
      </c>
    </row>
    <row r="185" spans="1:10" s="8" customFormat="1" ht="14.25" customHeight="1" x14ac:dyDescent="0.2">
      <c r="A185" s="790" t="s">
        <v>732</v>
      </c>
      <c r="B185" s="791">
        <v>103.16545656071443</v>
      </c>
      <c r="C185" s="791">
        <v>111.3339781987853</v>
      </c>
      <c r="D185" s="791">
        <v>111.18727686496945</v>
      </c>
      <c r="E185" s="791">
        <v>105.13865994144744</v>
      </c>
      <c r="F185" s="791">
        <v>104.70796954273597</v>
      </c>
      <c r="G185" s="791">
        <v>85.816531010412774</v>
      </c>
      <c r="H185" s="792">
        <v>108.66170976555857</v>
      </c>
      <c r="I185" s="792">
        <v>100.6508861146468</v>
      </c>
      <c r="J185" s="792">
        <v>102.78121167225639</v>
      </c>
    </row>
    <row r="186" spans="1:10" s="8" customFormat="1" ht="14.25" customHeight="1" x14ac:dyDescent="0.2">
      <c r="A186" s="782" t="s">
        <v>733</v>
      </c>
      <c r="B186" s="783">
        <v>5.2270867314766472</v>
      </c>
      <c r="C186" s="783">
        <v>5.0495765673990283</v>
      </c>
      <c r="D186" s="783">
        <v>3.0314808632731221</v>
      </c>
      <c r="E186" s="783">
        <v>3.6400931415137618</v>
      </c>
      <c r="F186" s="783">
        <v>2.2777247756909151</v>
      </c>
      <c r="G186" s="783">
        <v>5.1511902655871662</v>
      </c>
      <c r="H186" s="385">
        <v>5.1076476393823249</v>
      </c>
      <c r="I186" s="385">
        <v>3.7170707298036603</v>
      </c>
      <c r="J186" s="385">
        <v>4.0868681013835513</v>
      </c>
    </row>
    <row r="187" spans="1:10" s="68" customFormat="1" ht="14.25" customHeight="1" x14ac:dyDescent="0.2">
      <c r="A187" s="784" t="s">
        <v>734</v>
      </c>
      <c r="B187" s="785">
        <v>91.634059500915725</v>
      </c>
      <c r="C187" s="785">
        <v>102.11699918740203</v>
      </c>
      <c r="D187" s="785">
        <v>104.74636096849862</v>
      </c>
      <c r="E187" s="785">
        <v>97.559862386883253</v>
      </c>
      <c r="F187" s="785">
        <v>98.093157620542868</v>
      </c>
      <c r="G187" s="785">
        <v>73.478804795349873</v>
      </c>
      <c r="H187" s="786">
        <v>98.687586858853294</v>
      </c>
      <c r="I187" s="786">
        <v>92.07850306634154</v>
      </c>
      <c r="J187" s="786">
        <v>93.836062679324499</v>
      </c>
    </row>
    <row r="188" spans="1:10" s="68" customFormat="1" ht="14.25" customHeight="1" x14ac:dyDescent="0.2">
      <c r="A188" s="782" t="s">
        <v>735</v>
      </c>
      <c r="B188" s="783">
        <v>33.211957995850007</v>
      </c>
      <c r="C188" s="783">
        <v>42.882255351557369</v>
      </c>
      <c r="D188" s="783">
        <v>50.144131302596179</v>
      </c>
      <c r="E188" s="783">
        <v>47.403458277582359</v>
      </c>
      <c r="F188" s="783">
        <v>49.234268801203378</v>
      </c>
      <c r="G188" s="783">
        <v>42.154821987600954</v>
      </c>
      <c r="H188" s="385">
        <v>39.718692652141442</v>
      </c>
      <c r="I188" s="385">
        <v>46.762590263450775</v>
      </c>
      <c r="J188" s="385">
        <v>44.889400219521946</v>
      </c>
    </row>
    <row r="189" spans="1:10" s="8" customFormat="1" ht="14.25" customHeight="1" x14ac:dyDescent="0.2">
      <c r="A189" s="784" t="s">
        <v>736</v>
      </c>
      <c r="B189" s="785">
        <v>10.339083712423092</v>
      </c>
      <c r="C189" s="785">
        <v>12.213638240548931</v>
      </c>
      <c r="D189" s="785">
        <v>13.944982603204474</v>
      </c>
      <c r="E189" s="785">
        <v>13.025440554496377</v>
      </c>
      <c r="F189" s="785">
        <v>14.342912951138658</v>
      </c>
      <c r="G189" s="785">
        <v>9.8443108923377594</v>
      </c>
      <c r="H189" s="786">
        <v>11.600392280774996</v>
      </c>
      <c r="I189" s="786">
        <v>12.513549183707825</v>
      </c>
      <c r="J189" s="786">
        <v>12.270712545030351</v>
      </c>
    </row>
    <row r="190" spans="1:10" s="68" customFormat="1" ht="14.25" customHeight="1" x14ac:dyDescent="0.2">
      <c r="A190" s="770" t="s">
        <v>737</v>
      </c>
      <c r="B190" s="771">
        <v>48.083017792401485</v>
      </c>
      <c r="C190" s="771">
        <v>47.021105595061243</v>
      </c>
      <c r="D190" s="771">
        <v>40.657247062432909</v>
      </c>
      <c r="E190" s="771">
        <v>37.130963554804538</v>
      </c>
      <c r="F190" s="771">
        <v>34.515975868200819</v>
      </c>
      <c r="G190" s="771">
        <v>21.479671915217967</v>
      </c>
      <c r="H190" s="316">
        <v>47.368501925700208</v>
      </c>
      <c r="I190" s="316">
        <v>32.802363619068629</v>
      </c>
      <c r="J190" s="316">
        <v>36.675949914625349</v>
      </c>
    </row>
    <row r="191" spans="1:10" ht="14.25" customHeight="1" x14ac:dyDescent="0.2">
      <c r="A191" s="772" t="s">
        <v>738</v>
      </c>
      <c r="B191" s="773">
        <v>6.3043103283220745</v>
      </c>
      <c r="C191" s="773">
        <v>4.1674024438670187</v>
      </c>
      <c r="D191" s="773">
        <v>3.4094350330651895</v>
      </c>
      <c r="E191" s="773">
        <v>3.9387044129591637</v>
      </c>
      <c r="F191" s="773">
        <v>4.3370871466652066</v>
      </c>
      <c r="G191" s="773">
        <v>7.1865359492825496</v>
      </c>
      <c r="H191" s="774">
        <v>4.866475267244053</v>
      </c>
      <c r="I191" s="774">
        <v>4.8553123184158622</v>
      </c>
      <c r="J191" s="774">
        <v>4.8582808914644371</v>
      </c>
    </row>
    <row r="192" spans="1:10" s="8" customFormat="1" ht="14.25" customHeight="1" x14ac:dyDescent="0.2">
      <c r="A192" s="779" t="s">
        <v>739</v>
      </c>
      <c r="B192" s="780">
        <v>15.300150533096856</v>
      </c>
      <c r="C192" s="780">
        <v>18.368643839514302</v>
      </c>
      <c r="D192" s="780">
        <v>25.958810151344476</v>
      </c>
      <c r="E192" s="780">
        <v>33.762639999941598</v>
      </c>
      <c r="F192" s="780">
        <v>43.977926406342121</v>
      </c>
      <c r="G192" s="780">
        <v>100.73362148194877</v>
      </c>
      <c r="H192" s="781">
        <v>17.364810078201842</v>
      </c>
      <c r="I192" s="781">
        <v>53.684635647357389</v>
      </c>
      <c r="J192" s="781">
        <v>44.02607168070606</v>
      </c>
    </row>
    <row r="193" spans="1:10" ht="14.25" customHeight="1" x14ac:dyDescent="0.2">
      <c r="A193" s="772" t="s">
        <v>740</v>
      </c>
      <c r="B193" s="773">
        <v>2.5806879412683159</v>
      </c>
      <c r="C193" s="773">
        <v>2.7092612391702944</v>
      </c>
      <c r="D193" s="773">
        <v>2.3613962944458433</v>
      </c>
      <c r="E193" s="773">
        <v>4.293366481118519</v>
      </c>
      <c r="F193" s="773">
        <v>4.0917741928858442</v>
      </c>
      <c r="G193" s="773">
        <v>14.168906960406261</v>
      </c>
      <c r="H193" s="774">
        <v>2.6671994830089356</v>
      </c>
      <c r="I193" s="774">
        <v>6.7631651863489113</v>
      </c>
      <c r="J193" s="774">
        <v>5.673921333137339</v>
      </c>
    </row>
    <row r="194" spans="1:10" ht="14.25" customHeight="1" x14ac:dyDescent="0.2">
      <c r="A194" s="770" t="s">
        <v>741</v>
      </c>
      <c r="B194" s="771">
        <v>0.94635462063494169</v>
      </c>
      <c r="C194" s="771">
        <v>1.5377119088689717</v>
      </c>
      <c r="D194" s="771">
        <v>2.3796203082550327</v>
      </c>
      <c r="E194" s="771">
        <v>2.5747507300363428</v>
      </c>
      <c r="F194" s="771">
        <v>2.4774298707994666</v>
      </c>
      <c r="G194" s="771">
        <v>59.96804809732771</v>
      </c>
      <c r="H194" s="316">
        <v>1.3442539633404618</v>
      </c>
      <c r="I194" s="316">
        <v>19.495871176132372</v>
      </c>
      <c r="J194" s="316">
        <v>14.66879524169263</v>
      </c>
    </row>
    <row r="195" spans="1:10" ht="14.25" customHeight="1" x14ac:dyDescent="0.2">
      <c r="A195" s="772" t="s">
        <v>742</v>
      </c>
      <c r="B195" s="773">
        <v>6.8957151166085318</v>
      </c>
      <c r="C195" s="773">
        <v>8.494193656248898</v>
      </c>
      <c r="D195" s="773">
        <v>16.964564461746424</v>
      </c>
      <c r="E195" s="773">
        <v>23.585262101776475</v>
      </c>
      <c r="F195" s="773">
        <v>34.12964943183291</v>
      </c>
      <c r="G195" s="773">
        <v>21.400278038083485</v>
      </c>
      <c r="H195" s="774">
        <v>7.9712638126450148</v>
      </c>
      <c r="I195" s="774">
        <v>23.359749668571396</v>
      </c>
      <c r="J195" s="774">
        <v>19.267475747641608</v>
      </c>
    </row>
    <row r="196" spans="1:10" s="8" customFormat="1" ht="14.25" customHeight="1" x14ac:dyDescent="0.2">
      <c r="A196" s="770" t="s">
        <v>743</v>
      </c>
      <c r="B196" s="771">
        <v>2.280041714542699</v>
      </c>
      <c r="C196" s="771">
        <v>2.494770087296541</v>
      </c>
      <c r="D196" s="771">
        <v>1.6776580793034443</v>
      </c>
      <c r="E196" s="771">
        <v>0.60784732059027802</v>
      </c>
      <c r="F196" s="771">
        <v>1.3221493424238764</v>
      </c>
      <c r="G196" s="771">
        <v>3.0568651661505148</v>
      </c>
      <c r="H196" s="316">
        <v>2.4245233673082036</v>
      </c>
      <c r="I196" s="316">
        <v>1.6883364408227219</v>
      </c>
      <c r="J196" s="316">
        <v>1.8841112940728717</v>
      </c>
    </row>
    <row r="197" spans="1:10" s="68" customFormat="1" ht="14.25" customHeight="1" x14ac:dyDescent="0.2">
      <c r="A197" s="784" t="s">
        <v>744</v>
      </c>
      <c r="B197" s="785">
        <v>2.5973511398012294</v>
      </c>
      <c r="C197" s="785">
        <v>3.1327069478123573</v>
      </c>
      <c r="D197" s="785">
        <v>2.5755710071961513</v>
      </c>
      <c r="E197" s="785">
        <v>2.7014133664199798</v>
      </c>
      <c r="F197" s="785">
        <v>1.9569235680740154</v>
      </c>
      <c r="G197" s="785">
        <v>2.1395232197876259</v>
      </c>
      <c r="H197" s="786">
        <v>2.9575694517414521</v>
      </c>
      <c r="I197" s="786">
        <v>2.3775131752819436</v>
      </c>
      <c r="J197" s="786">
        <v>2.5317680639728097</v>
      </c>
    </row>
    <row r="198" spans="1:10" s="68" customFormat="1" ht="14.25" customHeight="1" x14ac:dyDescent="0.2">
      <c r="A198" s="787" t="s">
        <v>745</v>
      </c>
      <c r="B198" s="788">
        <v>35.234531664253275</v>
      </c>
      <c r="C198" s="788">
        <v>37.438533940063778</v>
      </c>
      <c r="D198" s="788">
        <v>34.028947696038799</v>
      </c>
      <c r="E198" s="788">
        <v>33.513383139114751</v>
      </c>
      <c r="F198" s="788">
        <v>35.756908516059475</v>
      </c>
      <c r="G198" s="788">
        <v>81.226802528473371</v>
      </c>
      <c r="H198" s="789">
        <v>36.717511707477847</v>
      </c>
      <c r="I198" s="789">
        <v>48.134287173052101</v>
      </c>
      <c r="J198" s="789">
        <v>45.098213777898174</v>
      </c>
    </row>
    <row r="199" spans="1:10" ht="14.25" customHeight="1" x14ac:dyDescent="0.2">
      <c r="A199" s="784" t="s">
        <v>746</v>
      </c>
      <c r="B199" s="785">
        <v>0.57652017424665325</v>
      </c>
      <c r="C199" s="785">
        <v>0.75365863592574089</v>
      </c>
      <c r="D199" s="785">
        <v>0.30185026160594775</v>
      </c>
      <c r="E199" s="785">
        <v>0.24214276217591846</v>
      </c>
      <c r="F199" s="785">
        <v>0.20195041767954791</v>
      </c>
      <c r="G199" s="785">
        <v>2.5507315660042322</v>
      </c>
      <c r="H199" s="786">
        <v>0.69570916349621514</v>
      </c>
      <c r="I199" s="786">
        <v>0.93098600236587536</v>
      </c>
      <c r="J199" s="786">
        <v>0.86841862043373341</v>
      </c>
    </row>
    <row r="200" spans="1:10" ht="14.25" customHeight="1" x14ac:dyDescent="0.2">
      <c r="A200" s="782" t="s">
        <v>535</v>
      </c>
      <c r="B200" s="783">
        <v>1.3416733200787558</v>
      </c>
      <c r="C200" s="783">
        <v>2.0912265234981033</v>
      </c>
      <c r="D200" s="783">
        <v>1.6600262678081557</v>
      </c>
      <c r="E200" s="783">
        <v>1.927797321051099</v>
      </c>
      <c r="F200" s="783">
        <v>0.62934628859605324</v>
      </c>
      <c r="G200" s="783">
        <v>0.26208385916889626</v>
      </c>
      <c r="H200" s="385">
        <v>1.8460160125549561</v>
      </c>
      <c r="I200" s="385">
        <v>1.1495961961721266</v>
      </c>
      <c r="J200" s="385">
        <v>1.3347957459708875</v>
      </c>
    </row>
    <row r="201" spans="1:10" ht="14.25" customHeight="1" x14ac:dyDescent="0.2">
      <c r="A201" s="793" t="s">
        <v>747</v>
      </c>
      <c r="B201" s="773">
        <v>6.0302683605839889</v>
      </c>
      <c r="C201" s="773">
        <v>4.946086956776611</v>
      </c>
      <c r="D201" s="773">
        <v>1.5847598327524284</v>
      </c>
      <c r="E201" s="773">
        <v>1.4417001841732884</v>
      </c>
      <c r="F201" s="773">
        <v>1.6803993884324437</v>
      </c>
      <c r="G201" s="773">
        <v>51.090461653438553</v>
      </c>
      <c r="H201" s="774">
        <v>5.3007684854124522</v>
      </c>
      <c r="I201" s="774">
        <v>16.203377455578821</v>
      </c>
      <c r="J201" s="774">
        <v>13.304036820221611</v>
      </c>
    </row>
    <row r="202" spans="1:10" s="8" customFormat="1" ht="14.25" customHeight="1" x14ac:dyDescent="0.2">
      <c r="A202" s="770" t="s">
        <v>748</v>
      </c>
      <c r="B202" s="771">
        <v>27.179545849223352</v>
      </c>
      <c r="C202" s="771">
        <v>29.031875945212303</v>
      </c>
      <c r="D202" s="771">
        <v>29.98289983553547</v>
      </c>
      <c r="E202" s="771">
        <v>29.556960727370878</v>
      </c>
      <c r="F202" s="771">
        <v>32.744485867097268</v>
      </c>
      <c r="G202" s="771">
        <v>25.482465584635932</v>
      </c>
      <c r="H202" s="316">
        <v>28.42590053586073</v>
      </c>
      <c r="I202" s="316">
        <v>29.002175005534887</v>
      </c>
      <c r="J202" s="316">
        <v>28.848925816132866</v>
      </c>
    </row>
    <row r="203" spans="1:10" s="8" customFormat="1" ht="14.25" customHeight="1" x14ac:dyDescent="0.2">
      <c r="A203" s="772" t="s">
        <v>749</v>
      </c>
      <c r="B203" s="773">
        <v>0.10652396012052101</v>
      </c>
      <c r="C203" s="773">
        <v>0.61568587853377832</v>
      </c>
      <c r="D203" s="773">
        <v>0.49941149793922363</v>
      </c>
      <c r="E203" s="773">
        <v>0.34478214434356774</v>
      </c>
      <c r="F203" s="773">
        <v>0.50072655392815357</v>
      </c>
      <c r="G203" s="773">
        <v>1.841059865225749</v>
      </c>
      <c r="H203" s="774">
        <v>0.44911751007460465</v>
      </c>
      <c r="I203" s="774">
        <v>0.84815251325750141</v>
      </c>
      <c r="J203" s="774">
        <v>0.74203677501320753</v>
      </c>
    </row>
    <row r="204" spans="1:10" s="68" customFormat="1" ht="14.25" customHeight="1" x14ac:dyDescent="0.2">
      <c r="A204" s="779" t="s">
        <v>750</v>
      </c>
      <c r="B204" s="780">
        <v>10.81664721298193</v>
      </c>
      <c r="C204" s="780">
        <v>9.5787011985439126</v>
      </c>
      <c r="D204" s="780">
        <v>11.053008668513193</v>
      </c>
      <c r="E204" s="780">
        <v>11.326322944662875</v>
      </c>
      <c r="F204" s="780">
        <v>16.05474036073651</v>
      </c>
      <c r="G204" s="780">
        <v>17.356288287228359</v>
      </c>
      <c r="H204" s="781">
        <v>9.98368562571412</v>
      </c>
      <c r="I204" s="781">
        <v>13.880381459871383</v>
      </c>
      <c r="J204" s="781">
        <v>12.844129622672188</v>
      </c>
    </row>
    <row r="205" spans="1:10" s="8" customFormat="1" ht="14.25" customHeight="1" x14ac:dyDescent="0.2">
      <c r="A205" s="784" t="s">
        <v>751</v>
      </c>
      <c r="B205" s="785">
        <v>2.9335833968934129</v>
      </c>
      <c r="C205" s="785">
        <v>4.0702570170842547</v>
      </c>
      <c r="D205" s="785">
        <v>4.1057932054017519</v>
      </c>
      <c r="E205" s="785">
        <v>5.0105912753710493</v>
      </c>
      <c r="F205" s="785">
        <v>7.8611315351115056</v>
      </c>
      <c r="G205" s="785">
        <v>10.314670355701979</v>
      </c>
      <c r="H205" s="786">
        <v>3.6984030674098416</v>
      </c>
      <c r="I205" s="786">
        <v>6.884487331924066</v>
      </c>
      <c r="J205" s="786">
        <v>6.0372090702661758</v>
      </c>
    </row>
    <row r="206" spans="1:10" s="68" customFormat="1" ht="14.25" customHeight="1" x14ac:dyDescent="0.2">
      <c r="A206" s="782" t="s">
        <v>536</v>
      </c>
      <c r="B206" s="783">
        <v>0.36157095197848077</v>
      </c>
      <c r="C206" s="783">
        <v>0.30855116746916234</v>
      </c>
      <c r="D206" s="783">
        <v>0.8215043534728389</v>
      </c>
      <c r="E206" s="783">
        <v>1.2908194264082942</v>
      </c>
      <c r="F206" s="783">
        <v>1.8064533319901601</v>
      </c>
      <c r="G206" s="783">
        <v>0.7871616769399602</v>
      </c>
      <c r="H206" s="385">
        <v>0.32589617832405149</v>
      </c>
      <c r="I206" s="385">
        <v>1.131004662505813</v>
      </c>
      <c r="J206" s="385">
        <v>0.91690143726435891</v>
      </c>
    </row>
    <row r="207" spans="1:10" ht="14.25" customHeight="1" x14ac:dyDescent="0.2">
      <c r="A207" s="784" t="s">
        <v>752</v>
      </c>
      <c r="B207" s="785">
        <v>0.49084819465661289</v>
      </c>
      <c r="C207" s="785">
        <v>0.52651350552844478</v>
      </c>
      <c r="D207" s="785">
        <v>0.33805995586890547</v>
      </c>
      <c r="E207" s="785">
        <v>0.16976026164049918</v>
      </c>
      <c r="F207" s="785">
        <v>0.14715291976317774</v>
      </c>
      <c r="G207" s="785">
        <v>0.34050545608429056</v>
      </c>
      <c r="H207" s="786">
        <v>0.51484587598336062</v>
      </c>
      <c r="I207" s="786">
        <v>0.25260564964279103</v>
      </c>
      <c r="J207" s="786">
        <v>0.32234342952052636</v>
      </c>
    </row>
    <row r="208" spans="1:10" ht="14.25" customHeight="1" x14ac:dyDescent="0.2">
      <c r="A208" s="782" t="s">
        <v>753</v>
      </c>
      <c r="B208" s="783">
        <v>0.47662256404938996</v>
      </c>
      <c r="C208" s="783">
        <v>1.1607837918417321</v>
      </c>
      <c r="D208" s="783">
        <v>1.9863558596286628</v>
      </c>
      <c r="E208" s="783">
        <v>2.6684221259435765</v>
      </c>
      <c r="F208" s="783">
        <v>4.1930920021379929</v>
      </c>
      <c r="G208" s="783">
        <v>3.4681391549983096</v>
      </c>
      <c r="H208" s="385">
        <v>0.9369657580195303</v>
      </c>
      <c r="I208" s="385">
        <v>3.0252465645923632</v>
      </c>
      <c r="J208" s="385">
        <v>2.4699081664987599</v>
      </c>
    </row>
    <row r="209" spans="1:12" s="8" customFormat="1" ht="14.25" customHeight="1" x14ac:dyDescent="0.2">
      <c r="A209" s="793" t="s">
        <v>754</v>
      </c>
      <c r="B209" s="773">
        <v>6.5540221051628951</v>
      </c>
      <c r="C209" s="773">
        <v>3.512595716385837</v>
      </c>
      <c r="D209" s="773">
        <v>3.8012952940085079</v>
      </c>
      <c r="E209" s="773">
        <v>2.1867298551169521</v>
      </c>
      <c r="F209" s="773">
        <v>2.0469105715706668</v>
      </c>
      <c r="G209" s="773">
        <v>2.4458116433106327</v>
      </c>
      <c r="H209" s="774">
        <v>4.5075747457406772</v>
      </c>
      <c r="I209" s="774">
        <v>2.5870372510348814</v>
      </c>
      <c r="J209" s="774">
        <v>3.0977675189335629</v>
      </c>
    </row>
    <row r="210" spans="1:12" ht="14.25" customHeight="1" x14ac:dyDescent="0.2">
      <c r="A210" s="935" t="s">
        <v>803</v>
      </c>
      <c r="B210" s="936">
        <v>981.10076804770688</v>
      </c>
      <c r="C210" s="936">
        <v>1088.347645129518</v>
      </c>
      <c r="D210" s="936">
        <v>1230.1947890255376</v>
      </c>
      <c r="E210" s="936">
        <v>1370.2018507896146</v>
      </c>
      <c r="F210" s="936">
        <v>1467.4829808480476</v>
      </c>
      <c r="G210" s="936">
        <v>1733.628432110246</v>
      </c>
      <c r="H210" s="995">
        <v>1053.2626619604514</v>
      </c>
      <c r="I210" s="995">
        <v>1464.5882758561968</v>
      </c>
      <c r="J210" s="995">
        <v>1355.2040844214207</v>
      </c>
    </row>
    <row r="211" spans="1:12" ht="14.25" customHeight="1" x14ac:dyDescent="0.2">
      <c r="A211" s="968" t="s">
        <v>163</v>
      </c>
      <c r="B211" s="969">
        <v>18.139734677760647</v>
      </c>
      <c r="C211" s="969">
        <v>20.053753196607559</v>
      </c>
      <c r="D211" s="969">
        <v>21.645543065454497</v>
      </c>
      <c r="E211" s="969">
        <v>27.496297627702408</v>
      </c>
      <c r="F211" s="969">
        <v>39.122248725982431</v>
      </c>
      <c r="G211" s="969">
        <v>43.189457360881654</v>
      </c>
      <c r="H211" s="970">
        <v>19.427596898668934</v>
      </c>
      <c r="I211" s="970">
        <v>32.91582720684697</v>
      </c>
      <c r="J211" s="970">
        <v>29.328889957371306</v>
      </c>
      <c r="K211" s="945"/>
      <c r="L211" s="1001"/>
    </row>
    <row r="212" spans="1:12" ht="15" customHeight="1" x14ac:dyDescent="0.2">
      <c r="A212" s="794" t="s">
        <v>842</v>
      </c>
      <c r="B212" s="3"/>
      <c r="C212" s="3"/>
      <c r="D212" s="245"/>
      <c r="E212" s="3"/>
      <c r="F212" s="3"/>
      <c r="G212" s="245"/>
      <c r="H212" s="3"/>
      <c r="I212" s="3"/>
      <c r="J212" s="911"/>
      <c r="K212" s="14"/>
    </row>
    <row r="213" spans="1:12" ht="15" customHeight="1" x14ac:dyDescent="0.2">
      <c r="A213" s="794" t="s">
        <v>316</v>
      </c>
      <c r="B213" s="993"/>
      <c r="C213" s="993"/>
      <c r="D213" s="993"/>
      <c r="E213" s="993"/>
      <c r="F213" s="993"/>
      <c r="G213" s="993"/>
      <c r="H213" s="993"/>
      <c r="I213" s="993"/>
      <c r="J213" s="993"/>
    </row>
    <row r="214" spans="1:12" x14ac:dyDescent="0.2">
      <c r="A214" s="286" t="s">
        <v>951</v>
      </c>
      <c r="B214" s="3"/>
      <c r="C214" s="3"/>
      <c r="D214" s="245"/>
      <c r="E214" s="3"/>
      <c r="F214" s="3"/>
      <c r="G214" s="245"/>
      <c r="H214" s="3"/>
      <c r="I214" s="3"/>
      <c r="J214" s="3"/>
    </row>
    <row r="215" spans="1:12" ht="36.75" customHeight="1" x14ac:dyDescent="0.2">
      <c r="A215" s="1025" t="s">
        <v>538</v>
      </c>
      <c r="B215" s="1026"/>
      <c r="C215" s="1026"/>
      <c r="D215" s="1026"/>
      <c r="E215" s="1026"/>
      <c r="F215" s="1026"/>
      <c r="G215" s="1026"/>
      <c r="H215" s="1026"/>
      <c r="I215" s="1026"/>
      <c r="J215" s="1027"/>
    </row>
  </sheetData>
  <mergeCells count="1">
    <mergeCell ref="A215:J215"/>
  </mergeCells>
  <pageMargins left="0.70866141732283472" right="0.70866141732283472" top="0.31496062992125984" bottom="0.39370078740157483" header="0.31496062992125984" footer="0.19685039370078741"/>
  <pageSetup paperSize="9" scale="52" firstPageNumber="99" fitToHeight="0" orientation="landscape" useFirstPageNumber="1" r:id="rId1"/>
  <headerFooter>
    <oddHeader>&amp;RLes finances des communes en 2024</oddHeader>
    <oddFooter>&amp;LDirection Générale des Collectivités / DESL&amp;C&amp;P&amp;RMise en ligne : janvier 2026</oddFooter>
  </headerFooter>
  <rowBreaks count="1" manualBreakCount="1">
    <brk id="142" max="9"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215"/>
  <sheetViews>
    <sheetView view="pageBreakPreview" zoomScale="60" zoomScaleNormal="100" workbookViewId="0">
      <selection activeCell="K1" sqref="K1"/>
    </sheetView>
  </sheetViews>
  <sheetFormatPr baseColWidth="10" defaultRowHeight="12.75" x14ac:dyDescent="0.2"/>
  <cols>
    <col min="1" max="1" width="78.5703125" customWidth="1"/>
    <col min="2" max="10" width="17.28515625" customWidth="1"/>
    <col min="12" max="12" width="12" bestFit="1" customWidth="1"/>
  </cols>
  <sheetData>
    <row r="1" spans="1:11" ht="18" x14ac:dyDescent="0.25">
      <c r="A1" s="10" t="s">
        <v>952</v>
      </c>
    </row>
    <row r="2" spans="1:11" ht="18" x14ac:dyDescent="0.25">
      <c r="A2" s="10"/>
    </row>
    <row r="3" spans="1:11" ht="16.5" x14ac:dyDescent="0.25">
      <c r="A3" s="108" t="s">
        <v>759</v>
      </c>
    </row>
    <row r="4" spans="1:11" ht="13.5" thickBot="1" x14ac:dyDescent="0.25">
      <c r="A4" s="231"/>
      <c r="J4" s="652" t="s">
        <v>522</v>
      </c>
    </row>
    <row r="5" spans="1:11" x14ac:dyDescent="0.2">
      <c r="A5" s="230" t="s">
        <v>758</v>
      </c>
      <c r="B5" s="760" t="s">
        <v>38</v>
      </c>
      <c r="C5" s="760" t="s">
        <v>39</v>
      </c>
      <c r="D5" s="760" t="s">
        <v>125</v>
      </c>
      <c r="E5" s="760" t="s">
        <v>126</v>
      </c>
      <c r="F5" s="760" t="s">
        <v>127</v>
      </c>
      <c r="G5" s="761">
        <v>100000</v>
      </c>
      <c r="H5" s="762" t="s">
        <v>229</v>
      </c>
      <c r="I5" s="762" t="s">
        <v>228</v>
      </c>
      <c r="J5" s="762" t="s">
        <v>220</v>
      </c>
    </row>
    <row r="6" spans="1:11" x14ac:dyDescent="0.2">
      <c r="A6" s="229"/>
      <c r="B6" s="763" t="s">
        <v>40</v>
      </c>
      <c r="C6" s="763" t="s">
        <v>40</v>
      </c>
      <c r="D6" s="763" t="s">
        <v>40</v>
      </c>
      <c r="E6" s="763" t="s">
        <v>40</v>
      </c>
      <c r="F6" s="763" t="s">
        <v>40</v>
      </c>
      <c r="G6" s="763" t="s">
        <v>43</v>
      </c>
      <c r="H6" s="764" t="s">
        <v>523</v>
      </c>
      <c r="I6" s="764" t="s">
        <v>138</v>
      </c>
      <c r="J6" s="764" t="s">
        <v>142</v>
      </c>
    </row>
    <row r="7" spans="1:11" ht="13.5" thickBot="1" x14ac:dyDescent="0.25">
      <c r="A7" s="232"/>
      <c r="B7" s="765" t="s">
        <v>46</v>
      </c>
      <c r="C7" s="765" t="s">
        <v>42</v>
      </c>
      <c r="D7" s="765" t="s">
        <v>128</v>
      </c>
      <c r="E7" s="765" t="s">
        <v>129</v>
      </c>
      <c r="F7" s="765" t="s">
        <v>130</v>
      </c>
      <c r="G7" s="765" t="s">
        <v>131</v>
      </c>
      <c r="H7" s="766" t="s">
        <v>138</v>
      </c>
      <c r="I7" s="766" t="s">
        <v>131</v>
      </c>
      <c r="J7" s="766" t="s">
        <v>611</v>
      </c>
    </row>
    <row r="9" spans="1:11" s="8" customFormat="1" ht="14.25" customHeight="1" x14ac:dyDescent="0.2">
      <c r="A9" s="767" t="s">
        <v>709</v>
      </c>
      <c r="B9" s="768">
        <v>491.35828610000004</v>
      </c>
      <c r="C9" s="768">
        <v>790.49189172000001</v>
      </c>
      <c r="D9" s="768">
        <v>540.09300697899994</v>
      </c>
      <c r="E9" s="768">
        <v>836.56237285899999</v>
      </c>
      <c r="F9" s="768">
        <v>509.20416511900004</v>
      </c>
      <c r="G9" s="768">
        <v>816.77363048899997</v>
      </c>
      <c r="H9" s="769">
        <f>SUM(B9:C9)</f>
        <v>1281.85017782</v>
      </c>
      <c r="I9" s="769">
        <f>SUM(D9:G9)</f>
        <v>2702.6331754459998</v>
      </c>
      <c r="J9" s="769">
        <f>SUM(H9:I9)</f>
        <v>3984.4833532659995</v>
      </c>
      <c r="K9" s="813"/>
    </row>
    <row r="10" spans="1:11" ht="14.25" customHeight="1" x14ac:dyDescent="0.2">
      <c r="A10" s="770" t="s">
        <v>710</v>
      </c>
      <c r="B10" s="771">
        <v>125.20516872900001</v>
      </c>
      <c r="C10" s="771">
        <v>102.61135873000001</v>
      </c>
      <c r="D10" s="771">
        <v>84.261789429000004</v>
      </c>
      <c r="E10" s="771">
        <v>130.495339309</v>
      </c>
      <c r="F10" s="771">
        <v>61.424024270000004</v>
      </c>
      <c r="G10" s="771">
        <v>148.79953804900001</v>
      </c>
      <c r="H10" s="316">
        <f t="shared" ref="H10:H67" si="0">SUM(B10:C10)</f>
        <v>227.81652745900001</v>
      </c>
      <c r="I10" s="316">
        <f t="shared" ref="I10:I67" si="1">SUM(D10:G10)</f>
        <v>424.98069105700006</v>
      </c>
      <c r="J10" s="316">
        <f t="shared" ref="J10:J67" si="2">SUM(H10:I10)</f>
        <v>652.79721851600004</v>
      </c>
    </row>
    <row r="11" spans="1:11" ht="14.25" customHeight="1" x14ac:dyDescent="0.2">
      <c r="A11" s="772" t="s">
        <v>524</v>
      </c>
      <c r="B11" s="773">
        <v>364.52655800000002</v>
      </c>
      <c r="C11" s="773">
        <v>686.48482954999997</v>
      </c>
      <c r="D11" s="773">
        <v>454.89757410000004</v>
      </c>
      <c r="E11" s="773">
        <v>705.15810363900005</v>
      </c>
      <c r="F11" s="773">
        <v>447.24111897</v>
      </c>
      <c r="G11" s="773">
        <v>599.47305606899999</v>
      </c>
      <c r="H11" s="774">
        <f t="shared" si="0"/>
        <v>1051.0113875500001</v>
      </c>
      <c r="I11" s="774">
        <f t="shared" si="1"/>
        <v>2206.7698527780003</v>
      </c>
      <c r="J11" s="774">
        <f t="shared" si="2"/>
        <v>3257.7812403280004</v>
      </c>
    </row>
    <row r="12" spans="1:11" ht="14.25" customHeight="1" x14ac:dyDescent="0.2">
      <c r="A12" s="770" t="s">
        <v>711</v>
      </c>
      <c r="B12" s="771">
        <v>0.36212843</v>
      </c>
      <c r="C12" s="771">
        <v>0.74524229000000008</v>
      </c>
      <c r="D12" s="771">
        <v>0.67517956000000001</v>
      </c>
      <c r="E12" s="771">
        <v>0.70205536999999996</v>
      </c>
      <c r="F12" s="771">
        <v>0.44360279999999996</v>
      </c>
      <c r="G12" s="771">
        <v>66.589286920000006</v>
      </c>
      <c r="H12" s="316">
        <f t="shared" si="0"/>
        <v>1.10737072</v>
      </c>
      <c r="I12" s="316">
        <f t="shared" si="1"/>
        <v>68.41012465</v>
      </c>
      <c r="J12" s="316">
        <f t="shared" si="2"/>
        <v>69.517495370000006</v>
      </c>
    </row>
    <row r="13" spans="1:11" s="8" customFormat="1" ht="14.25" customHeight="1" x14ac:dyDescent="0.2">
      <c r="A13" s="772" t="s">
        <v>712</v>
      </c>
      <c r="B13" s="773">
        <v>1.26443094</v>
      </c>
      <c r="C13" s="773">
        <v>0.65046115000000004</v>
      </c>
      <c r="D13" s="773">
        <v>0.25846389000000003</v>
      </c>
      <c r="E13" s="773">
        <v>0.20687454</v>
      </c>
      <c r="F13" s="773">
        <v>9.5419080000000003E-2</v>
      </c>
      <c r="G13" s="773">
        <v>1.9117494499999999</v>
      </c>
      <c r="H13" s="774">
        <f t="shared" si="0"/>
        <v>1.9148920899999999</v>
      </c>
      <c r="I13" s="774">
        <f t="shared" si="1"/>
        <v>2.47250696</v>
      </c>
      <c r="J13" s="774">
        <f t="shared" si="2"/>
        <v>4.38739905</v>
      </c>
    </row>
    <row r="14" spans="1:11" s="68" customFormat="1" ht="14.25" customHeight="1" x14ac:dyDescent="0.2">
      <c r="A14" s="779" t="s">
        <v>525</v>
      </c>
      <c r="B14" s="780">
        <v>24.550676550000002</v>
      </c>
      <c r="C14" s="780">
        <v>63.379827329999998</v>
      </c>
      <c r="D14" s="780">
        <v>66.636139229999998</v>
      </c>
      <c r="E14" s="780">
        <v>116.49704509999999</v>
      </c>
      <c r="F14" s="780">
        <v>54.430721119999994</v>
      </c>
      <c r="G14" s="780">
        <v>143.083440489</v>
      </c>
      <c r="H14" s="781">
        <f t="shared" si="0"/>
        <v>87.930503880000003</v>
      </c>
      <c r="I14" s="781">
        <f t="shared" si="1"/>
        <v>380.64734593899999</v>
      </c>
      <c r="J14" s="781">
        <f t="shared" si="2"/>
        <v>468.57784981899999</v>
      </c>
    </row>
    <row r="15" spans="1:11" ht="14.25" customHeight="1" x14ac:dyDescent="0.2">
      <c r="A15" s="772" t="s">
        <v>713</v>
      </c>
      <c r="B15" s="773">
        <v>2.9418970899999999</v>
      </c>
      <c r="C15" s="773">
        <v>7.9594963300000003</v>
      </c>
      <c r="D15" s="773">
        <v>7.0360809689999995</v>
      </c>
      <c r="E15" s="773">
        <v>11.309068569000001</v>
      </c>
      <c r="F15" s="773">
        <v>8.5644183699999985</v>
      </c>
      <c r="G15" s="773">
        <v>14.309202769999999</v>
      </c>
      <c r="H15" s="774">
        <f t="shared" si="0"/>
        <v>10.90139342</v>
      </c>
      <c r="I15" s="774">
        <f t="shared" si="1"/>
        <v>41.218770677999998</v>
      </c>
      <c r="J15" s="774">
        <f t="shared" si="2"/>
        <v>52.120164097999996</v>
      </c>
    </row>
    <row r="16" spans="1:11" ht="14.25" customHeight="1" x14ac:dyDescent="0.2">
      <c r="A16" s="770" t="s">
        <v>714</v>
      </c>
      <c r="B16" s="771">
        <v>12.749722820000001</v>
      </c>
      <c r="C16" s="771">
        <v>40.719172610000001</v>
      </c>
      <c r="D16" s="771">
        <v>47.454794628999998</v>
      </c>
      <c r="E16" s="771">
        <v>89.952207170000008</v>
      </c>
      <c r="F16" s="771">
        <v>34.171361379000004</v>
      </c>
      <c r="G16" s="771">
        <v>71.930106290000012</v>
      </c>
      <c r="H16" s="316">
        <f t="shared" si="0"/>
        <v>53.468895430000003</v>
      </c>
      <c r="I16" s="316">
        <f t="shared" si="1"/>
        <v>243.50846946800004</v>
      </c>
      <c r="J16" s="316">
        <f t="shared" si="2"/>
        <v>296.97736489800002</v>
      </c>
    </row>
    <row r="17" spans="1:12" ht="14.25" customHeight="1" x14ac:dyDescent="0.2">
      <c r="A17" s="778" t="s">
        <v>715</v>
      </c>
      <c r="B17" s="773">
        <v>5.4747699189999999</v>
      </c>
      <c r="C17" s="773">
        <v>6.5291260199999996</v>
      </c>
      <c r="D17" s="773">
        <v>4.8593056490000004</v>
      </c>
      <c r="E17" s="773">
        <v>7.5499202199999997</v>
      </c>
      <c r="F17" s="773">
        <v>4.8389000599999994</v>
      </c>
      <c r="G17" s="773">
        <v>32.896800528999997</v>
      </c>
      <c r="H17" s="774">
        <f t="shared" si="0"/>
        <v>12.003895939</v>
      </c>
      <c r="I17" s="774">
        <f t="shared" si="1"/>
        <v>50.144926458</v>
      </c>
      <c r="J17" s="774">
        <f t="shared" si="2"/>
        <v>62.148822397000004</v>
      </c>
    </row>
    <row r="18" spans="1:12" s="8" customFormat="1" ht="14.25" customHeight="1" x14ac:dyDescent="0.2">
      <c r="A18" s="770" t="s">
        <v>526</v>
      </c>
      <c r="B18" s="771">
        <v>1.102896619</v>
      </c>
      <c r="C18" s="771">
        <v>2.3449544200000001</v>
      </c>
      <c r="D18" s="771">
        <v>1.4924714800000001</v>
      </c>
      <c r="E18" s="771">
        <v>1.6837535400000001</v>
      </c>
      <c r="F18" s="771">
        <v>2.5480696090000001</v>
      </c>
      <c r="G18" s="771">
        <v>7.9766106399999996</v>
      </c>
      <c r="H18" s="316">
        <f t="shared" si="0"/>
        <v>3.4478510390000001</v>
      </c>
      <c r="I18" s="316">
        <f t="shared" si="1"/>
        <v>13.700905269</v>
      </c>
      <c r="J18" s="316">
        <f t="shared" si="2"/>
        <v>17.148756307999999</v>
      </c>
    </row>
    <row r="19" spans="1:12" s="8" customFormat="1" ht="14.25" customHeight="1" x14ac:dyDescent="0.2">
      <c r="A19" s="772" t="s">
        <v>716</v>
      </c>
      <c r="B19" s="773">
        <v>2.2813901000000003</v>
      </c>
      <c r="C19" s="773">
        <v>5.8270779500000005</v>
      </c>
      <c r="D19" s="773">
        <v>5.7934864990000001</v>
      </c>
      <c r="E19" s="773">
        <v>6.0020955999999996</v>
      </c>
      <c r="F19" s="773">
        <v>4.3079717000000004</v>
      </c>
      <c r="G19" s="773">
        <v>15.97072026</v>
      </c>
      <c r="H19" s="774">
        <f t="shared" si="0"/>
        <v>8.1084680500000008</v>
      </c>
      <c r="I19" s="774">
        <f t="shared" si="1"/>
        <v>32.074274059000004</v>
      </c>
      <c r="J19" s="774">
        <f t="shared" si="2"/>
        <v>40.182742109000003</v>
      </c>
    </row>
    <row r="20" spans="1:12" s="68" customFormat="1" ht="14.25" customHeight="1" x14ac:dyDescent="0.2">
      <c r="A20" s="779" t="s">
        <v>527</v>
      </c>
      <c r="B20" s="780">
        <v>226.63973609999999</v>
      </c>
      <c r="C20" s="780">
        <v>575.42764813999997</v>
      </c>
      <c r="D20" s="780">
        <v>497.05951950899998</v>
      </c>
      <c r="E20" s="780">
        <v>878.92619957000011</v>
      </c>
      <c r="F20" s="780">
        <v>529.40647117900005</v>
      </c>
      <c r="G20" s="780">
        <v>665.00530550899998</v>
      </c>
      <c r="H20" s="781">
        <f t="shared" si="0"/>
        <v>802.06738423999991</v>
      </c>
      <c r="I20" s="781">
        <f t="shared" si="1"/>
        <v>2570.3974957669998</v>
      </c>
      <c r="J20" s="781">
        <f t="shared" si="2"/>
        <v>3372.4648800069999</v>
      </c>
    </row>
    <row r="21" spans="1:12" ht="14.25" customHeight="1" x14ac:dyDescent="0.2">
      <c r="A21" s="778" t="s">
        <v>717</v>
      </c>
      <c r="B21" s="773">
        <v>31.660387798999999</v>
      </c>
      <c r="C21" s="773">
        <v>38.694582419</v>
      </c>
      <c r="D21" s="773">
        <v>79.564686709</v>
      </c>
      <c r="E21" s="773">
        <v>97.06886987</v>
      </c>
      <c r="F21" s="773">
        <v>35.551782090000003</v>
      </c>
      <c r="G21" s="773">
        <v>46.883791549999998</v>
      </c>
      <c r="H21" s="774">
        <f t="shared" si="0"/>
        <v>70.354970218000005</v>
      </c>
      <c r="I21" s="774">
        <f t="shared" si="1"/>
        <v>259.06913021900004</v>
      </c>
      <c r="J21" s="774">
        <f t="shared" si="2"/>
        <v>329.42410043700005</v>
      </c>
    </row>
    <row r="22" spans="1:12" ht="14.25" customHeight="1" x14ac:dyDescent="0.2">
      <c r="A22" s="770" t="s">
        <v>528</v>
      </c>
      <c r="B22" s="771">
        <v>157.78119744</v>
      </c>
      <c r="C22" s="771">
        <v>460.19786579000004</v>
      </c>
      <c r="D22" s="771">
        <v>375.84195287900002</v>
      </c>
      <c r="E22" s="771">
        <v>720.01745567</v>
      </c>
      <c r="F22" s="771">
        <v>464.91590391900002</v>
      </c>
      <c r="G22" s="771">
        <v>537.58384806900006</v>
      </c>
      <c r="H22" s="316">
        <f t="shared" si="0"/>
        <v>617.97906323000007</v>
      </c>
      <c r="I22" s="316">
        <f t="shared" si="1"/>
        <v>2098.3591605369998</v>
      </c>
      <c r="J22" s="316">
        <f t="shared" si="2"/>
        <v>2716.3382237669998</v>
      </c>
    </row>
    <row r="23" spans="1:12" ht="14.25" customHeight="1" x14ac:dyDescent="0.2">
      <c r="A23" s="772" t="s">
        <v>529</v>
      </c>
      <c r="B23" s="773">
        <v>0.30935425999999999</v>
      </c>
      <c r="C23" s="773">
        <v>1.86762579</v>
      </c>
      <c r="D23" s="773">
        <v>2.0346164500000001</v>
      </c>
      <c r="E23" s="773">
        <v>0.46684552000000001</v>
      </c>
      <c r="F23" s="773">
        <v>7.4029999999999999E-2</v>
      </c>
      <c r="G23" s="773">
        <v>20.062935289999999</v>
      </c>
      <c r="H23" s="774">
        <f t="shared" si="0"/>
        <v>2.1769800500000001</v>
      </c>
      <c r="I23" s="774">
        <f t="shared" si="1"/>
        <v>22.63842726</v>
      </c>
      <c r="J23" s="774">
        <f t="shared" si="2"/>
        <v>24.815407310000001</v>
      </c>
      <c r="L23" s="943"/>
    </row>
    <row r="24" spans="1:12" ht="14.25" customHeight="1" x14ac:dyDescent="0.2">
      <c r="A24" s="770" t="s">
        <v>718</v>
      </c>
      <c r="B24" s="771">
        <v>3.5037297000000001</v>
      </c>
      <c r="C24" s="771">
        <v>2.50353862</v>
      </c>
      <c r="D24" s="771">
        <v>1.13905733</v>
      </c>
      <c r="E24" s="771">
        <v>2.6608517900000002</v>
      </c>
      <c r="F24" s="771">
        <v>1.3136575989999999</v>
      </c>
      <c r="G24" s="771">
        <v>17.441360159999999</v>
      </c>
      <c r="H24" s="316">
        <f t="shared" si="0"/>
        <v>6.0072683199999997</v>
      </c>
      <c r="I24" s="316">
        <f t="shared" si="1"/>
        <v>22.554926879</v>
      </c>
      <c r="J24" s="316">
        <f t="shared" si="2"/>
        <v>28.562195199000001</v>
      </c>
    </row>
    <row r="25" spans="1:12" s="8" customFormat="1" ht="14.25" customHeight="1" x14ac:dyDescent="0.2">
      <c r="A25" s="772" t="s">
        <v>719</v>
      </c>
      <c r="B25" s="773">
        <v>31.255430758999999</v>
      </c>
      <c r="C25" s="773">
        <v>60.990204138999999</v>
      </c>
      <c r="D25" s="773">
        <v>36.842411409999997</v>
      </c>
      <c r="E25" s="773">
        <v>55.358734179999999</v>
      </c>
      <c r="F25" s="773">
        <v>22.355524920000001</v>
      </c>
      <c r="G25" s="773">
        <v>38.43765295</v>
      </c>
      <c r="H25" s="774">
        <f t="shared" si="0"/>
        <v>92.245634897999992</v>
      </c>
      <c r="I25" s="774">
        <f t="shared" si="1"/>
        <v>152.99432346</v>
      </c>
      <c r="J25" s="774">
        <f t="shared" si="2"/>
        <v>245.239958358</v>
      </c>
    </row>
    <row r="26" spans="1:12" s="8" customFormat="1" ht="14.25" customHeight="1" x14ac:dyDescent="0.2">
      <c r="A26" s="782" t="s">
        <v>530</v>
      </c>
      <c r="B26" s="783">
        <v>2.129636139</v>
      </c>
      <c r="C26" s="783">
        <v>11.173831379000001</v>
      </c>
      <c r="D26" s="783">
        <v>1.6367947300000001</v>
      </c>
      <c r="E26" s="783">
        <v>3.3534425400000001</v>
      </c>
      <c r="F26" s="783">
        <v>5.1955726500000008</v>
      </c>
      <c r="G26" s="783">
        <v>4.5957174890000001</v>
      </c>
      <c r="H26" s="385">
        <f t="shared" si="0"/>
        <v>13.303467518000001</v>
      </c>
      <c r="I26" s="385">
        <f t="shared" si="1"/>
        <v>14.781527409000001</v>
      </c>
      <c r="J26" s="385">
        <f t="shared" si="2"/>
        <v>28.084994927000004</v>
      </c>
    </row>
    <row r="27" spans="1:12" s="68" customFormat="1" ht="14.25" customHeight="1" x14ac:dyDescent="0.2">
      <c r="A27" s="775" t="s">
        <v>720</v>
      </c>
      <c r="B27" s="776">
        <v>353.848652329</v>
      </c>
      <c r="C27" s="776">
        <v>784.35670669900003</v>
      </c>
      <c r="D27" s="776">
        <v>703.02932873899999</v>
      </c>
      <c r="E27" s="776">
        <v>882.50829691000001</v>
      </c>
      <c r="F27" s="776">
        <v>624.07270921000008</v>
      </c>
      <c r="G27" s="776">
        <v>846.66168688999994</v>
      </c>
      <c r="H27" s="777">
        <f t="shared" si="0"/>
        <v>1138.205359028</v>
      </c>
      <c r="I27" s="777">
        <f t="shared" si="1"/>
        <v>3056.272021749</v>
      </c>
      <c r="J27" s="777">
        <f t="shared" si="2"/>
        <v>4194.4773807769998</v>
      </c>
    </row>
    <row r="28" spans="1:12" ht="14.25" customHeight="1" x14ac:dyDescent="0.2">
      <c r="A28" s="782" t="s">
        <v>721</v>
      </c>
      <c r="B28" s="783">
        <v>14.125656080000001</v>
      </c>
      <c r="C28" s="783">
        <v>29.11321993</v>
      </c>
      <c r="D28" s="783">
        <v>32.969132389999999</v>
      </c>
      <c r="E28" s="783">
        <v>30.083278629999999</v>
      </c>
      <c r="F28" s="783">
        <v>27.642252929999998</v>
      </c>
      <c r="G28" s="783">
        <v>62.343993210000001</v>
      </c>
      <c r="H28" s="385">
        <f t="shared" si="0"/>
        <v>43.238876009999998</v>
      </c>
      <c r="I28" s="385">
        <f t="shared" si="1"/>
        <v>153.03865715999999</v>
      </c>
      <c r="J28" s="385">
        <f t="shared" si="2"/>
        <v>196.27753316999997</v>
      </c>
    </row>
    <row r="29" spans="1:12" s="8" customFormat="1" ht="14.25" customHeight="1" x14ac:dyDescent="0.2">
      <c r="A29" s="772" t="s">
        <v>531</v>
      </c>
      <c r="B29" s="773">
        <v>86.363181400000002</v>
      </c>
      <c r="C29" s="773">
        <v>247.13445539</v>
      </c>
      <c r="D29" s="773">
        <v>219.64030144</v>
      </c>
      <c r="E29" s="773">
        <v>297.11311992000003</v>
      </c>
      <c r="F29" s="773">
        <v>189.03393777000002</v>
      </c>
      <c r="G29" s="773">
        <v>322.46995429999998</v>
      </c>
      <c r="H29" s="774">
        <f t="shared" si="0"/>
        <v>333.49763679</v>
      </c>
      <c r="I29" s="774">
        <f t="shared" si="1"/>
        <v>1028.2573134300001</v>
      </c>
      <c r="J29" s="774">
        <f t="shared" si="2"/>
        <v>1361.75495022</v>
      </c>
    </row>
    <row r="30" spans="1:12" s="8" customFormat="1" ht="14.25" customHeight="1" x14ac:dyDescent="0.2">
      <c r="A30" s="770" t="s">
        <v>722</v>
      </c>
      <c r="B30" s="771">
        <v>24.892994778999999</v>
      </c>
      <c r="C30" s="771">
        <v>101.048256439</v>
      </c>
      <c r="D30" s="771">
        <v>117.10080313899999</v>
      </c>
      <c r="E30" s="771">
        <v>133.160816939</v>
      </c>
      <c r="F30" s="771">
        <v>80.122021559000004</v>
      </c>
      <c r="G30" s="771">
        <v>97.42554714900001</v>
      </c>
      <c r="H30" s="316">
        <f t="shared" si="0"/>
        <v>125.94125121799999</v>
      </c>
      <c r="I30" s="316">
        <f t="shared" si="1"/>
        <v>427.80918878599999</v>
      </c>
      <c r="J30" s="316">
        <f t="shared" si="2"/>
        <v>553.75044000399998</v>
      </c>
    </row>
    <row r="31" spans="1:12" s="68" customFormat="1" ht="14.25" customHeight="1" x14ac:dyDescent="0.2">
      <c r="A31" s="772" t="s">
        <v>820</v>
      </c>
      <c r="B31" s="773">
        <v>61.47018662</v>
      </c>
      <c r="C31" s="773">
        <v>146.08619894899999</v>
      </c>
      <c r="D31" s="773">
        <v>102.539498299</v>
      </c>
      <c r="E31" s="773">
        <v>163.95230297999998</v>
      </c>
      <c r="F31" s="773">
        <v>108.91191620900001</v>
      </c>
      <c r="G31" s="773">
        <v>225.04440714899999</v>
      </c>
      <c r="H31" s="774">
        <f t="shared" si="0"/>
        <v>207.55638556899999</v>
      </c>
      <c r="I31" s="774">
        <f t="shared" si="1"/>
        <v>600.44812463700009</v>
      </c>
      <c r="J31" s="774">
        <f t="shared" si="2"/>
        <v>808.00451020600008</v>
      </c>
    </row>
    <row r="32" spans="1:12" s="68" customFormat="1" ht="14.25" customHeight="1" x14ac:dyDescent="0.2">
      <c r="A32" s="770" t="s">
        <v>532</v>
      </c>
      <c r="B32" s="771">
        <v>214.112988989</v>
      </c>
      <c r="C32" s="771">
        <v>457.386097269</v>
      </c>
      <c r="D32" s="771">
        <v>405.05706613999996</v>
      </c>
      <c r="E32" s="771">
        <v>506.23772083899996</v>
      </c>
      <c r="F32" s="771">
        <v>364.46024439899998</v>
      </c>
      <c r="G32" s="771">
        <v>407.74613260900003</v>
      </c>
      <c r="H32" s="316">
        <f t="shared" si="0"/>
        <v>671.49908625800003</v>
      </c>
      <c r="I32" s="316">
        <f t="shared" si="1"/>
        <v>1683.5011639869999</v>
      </c>
      <c r="J32" s="316">
        <f t="shared" si="2"/>
        <v>2355.0002502449997</v>
      </c>
    </row>
    <row r="33" spans="1:10" s="8" customFormat="1" ht="14.25" customHeight="1" x14ac:dyDescent="0.2">
      <c r="A33" s="772" t="s">
        <v>533</v>
      </c>
      <c r="B33" s="773">
        <v>39.246825860000001</v>
      </c>
      <c r="C33" s="773">
        <v>50.722934109000001</v>
      </c>
      <c r="D33" s="773">
        <v>45.362828769000004</v>
      </c>
      <c r="E33" s="773">
        <v>49.074177519000003</v>
      </c>
      <c r="F33" s="773">
        <v>42.936274108999996</v>
      </c>
      <c r="G33" s="773">
        <v>54.101606769</v>
      </c>
      <c r="H33" s="774">
        <f t="shared" si="0"/>
        <v>89.969759968999995</v>
      </c>
      <c r="I33" s="774">
        <f t="shared" si="1"/>
        <v>191.474887166</v>
      </c>
      <c r="J33" s="774">
        <f t="shared" si="2"/>
        <v>281.44464713499997</v>
      </c>
    </row>
    <row r="34" spans="1:10" ht="14.25" customHeight="1" x14ac:dyDescent="0.2">
      <c r="A34" s="779" t="s">
        <v>724</v>
      </c>
      <c r="B34" s="780">
        <v>56.880896439000004</v>
      </c>
      <c r="C34" s="780">
        <v>106.441020929</v>
      </c>
      <c r="D34" s="780">
        <v>102.36662220999999</v>
      </c>
      <c r="E34" s="780">
        <v>138.07048619</v>
      </c>
      <c r="F34" s="780">
        <v>84.37004297</v>
      </c>
      <c r="G34" s="780">
        <v>184.20694069000001</v>
      </c>
      <c r="H34" s="781">
        <f t="shared" si="0"/>
        <v>163.32191736800002</v>
      </c>
      <c r="I34" s="781">
        <f t="shared" si="1"/>
        <v>509.01409206</v>
      </c>
      <c r="J34" s="781">
        <f t="shared" si="2"/>
        <v>672.33600942800001</v>
      </c>
    </row>
    <row r="35" spans="1:10" s="8" customFormat="1" ht="14.25" customHeight="1" x14ac:dyDescent="0.2">
      <c r="A35" s="772" t="s">
        <v>725</v>
      </c>
      <c r="B35" s="773">
        <v>2.3001643700000001</v>
      </c>
      <c r="C35" s="773">
        <v>6.0534102699999996</v>
      </c>
      <c r="D35" s="773">
        <v>0.99739683999999995</v>
      </c>
      <c r="E35" s="773">
        <v>3.6032092389999999</v>
      </c>
      <c r="F35" s="773">
        <v>9.7009970000000001E-2</v>
      </c>
      <c r="G35" s="773">
        <v>0.26829370000000002</v>
      </c>
      <c r="H35" s="774">
        <f t="shared" si="0"/>
        <v>8.3535746399999997</v>
      </c>
      <c r="I35" s="774">
        <f t="shared" si="1"/>
        <v>4.9659097490000006</v>
      </c>
      <c r="J35" s="774">
        <f t="shared" si="2"/>
        <v>13.319484388999999</v>
      </c>
    </row>
    <row r="36" spans="1:10" s="68" customFormat="1" ht="14.25" customHeight="1" x14ac:dyDescent="0.2">
      <c r="A36" s="782" t="s">
        <v>534</v>
      </c>
      <c r="B36" s="783">
        <v>15.939766829</v>
      </c>
      <c r="C36" s="783">
        <v>19.33877627</v>
      </c>
      <c r="D36" s="783">
        <v>15.450621389</v>
      </c>
      <c r="E36" s="783">
        <v>19.532054548999998</v>
      </c>
      <c r="F36" s="783">
        <v>10.697762639</v>
      </c>
      <c r="G36" s="783">
        <v>15.84020175</v>
      </c>
      <c r="H36" s="385">
        <f t="shared" si="0"/>
        <v>35.278543099000004</v>
      </c>
      <c r="I36" s="385">
        <f t="shared" si="1"/>
        <v>61.520640327000002</v>
      </c>
      <c r="J36" s="385">
        <f t="shared" si="2"/>
        <v>96.799183426000013</v>
      </c>
    </row>
    <row r="37" spans="1:10" ht="14.25" customHeight="1" x14ac:dyDescent="0.2">
      <c r="A37" s="784" t="s">
        <v>726</v>
      </c>
      <c r="B37" s="773">
        <v>38.64096524</v>
      </c>
      <c r="C37" s="773">
        <v>81.048834388999992</v>
      </c>
      <c r="D37" s="773">
        <v>85.918603978999997</v>
      </c>
      <c r="E37" s="773">
        <v>114.9352224</v>
      </c>
      <c r="F37" s="773">
        <v>73.575270360000005</v>
      </c>
      <c r="G37" s="773">
        <v>168.09844524000002</v>
      </c>
      <c r="H37" s="774">
        <f t="shared" si="0"/>
        <v>119.68979962899999</v>
      </c>
      <c r="I37" s="774">
        <f t="shared" si="1"/>
        <v>442.52754197900003</v>
      </c>
      <c r="J37" s="774">
        <f t="shared" si="2"/>
        <v>562.21734160799997</v>
      </c>
    </row>
    <row r="38" spans="1:10" ht="14.25" customHeight="1" x14ac:dyDescent="0.2">
      <c r="A38" s="782" t="s">
        <v>727</v>
      </c>
      <c r="B38" s="771">
        <v>5.1872752899999997</v>
      </c>
      <c r="C38" s="771">
        <v>13.021704439999999</v>
      </c>
      <c r="D38" s="771">
        <v>12.46033081</v>
      </c>
      <c r="E38" s="771">
        <v>19.215045280000002</v>
      </c>
      <c r="F38" s="771">
        <v>14.456808319</v>
      </c>
      <c r="G38" s="771">
        <v>8.1763792300000002</v>
      </c>
      <c r="H38" s="316">
        <f t="shared" si="0"/>
        <v>18.208979729999999</v>
      </c>
      <c r="I38" s="316">
        <f t="shared" si="1"/>
        <v>54.308563639000006</v>
      </c>
      <c r="J38" s="316">
        <f t="shared" si="2"/>
        <v>72.517543369000009</v>
      </c>
    </row>
    <row r="39" spans="1:10" ht="14.25" customHeight="1" x14ac:dyDescent="0.2">
      <c r="A39" s="784" t="s">
        <v>821</v>
      </c>
      <c r="B39" s="785">
        <v>27.95371093</v>
      </c>
      <c r="C39" s="785">
        <v>54.811124569999997</v>
      </c>
      <c r="D39" s="785">
        <v>47.936159218999997</v>
      </c>
      <c r="E39" s="785">
        <v>73.433794730000002</v>
      </c>
      <c r="F39" s="785">
        <v>39.180354189999996</v>
      </c>
      <c r="G39" s="785">
        <v>99.129673539000009</v>
      </c>
      <c r="H39" s="786">
        <f t="shared" si="0"/>
        <v>82.764835500000004</v>
      </c>
      <c r="I39" s="786">
        <f t="shared" si="1"/>
        <v>259.67998167799999</v>
      </c>
      <c r="J39" s="786">
        <f t="shared" si="2"/>
        <v>342.44481717799999</v>
      </c>
    </row>
    <row r="40" spans="1:10" s="8" customFormat="1" ht="14.25" customHeight="1" x14ac:dyDescent="0.2">
      <c r="A40" s="782" t="s">
        <v>822</v>
      </c>
      <c r="B40" s="783">
        <v>2.7067239500000002</v>
      </c>
      <c r="C40" s="783">
        <v>7.4731904390000006</v>
      </c>
      <c r="D40" s="783">
        <v>17.062031670000003</v>
      </c>
      <c r="E40" s="783">
        <v>11.281699380000001</v>
      </c>
      <c r="F40" s="783">
        <v>13.612666619999999</v>
      </c>
      <c r="G40" s="783">
        <v>5.0369386600000006</v>
      </c>
      <c r="H40" s="385">
        <f t="shared" si="0"/>
        <v>10.179914389</v>
      </c>
      <c r="I40" s="385">
        <f t="shared" si="1"/>
        <v>46.993336330000005</v>
      </c>
      <c r="J40" s="385">
        <f t="shared" si="2"/>
        <v>57.173250719000009</v>
      </c>
    </row>
    <row r="41" spans="1:10" ht="14.25" customHeight="1" x14ac:dyDescent="0.2">
      <c r="A41" s="784" t="s">
        <v>823</v>
      </c>
      <c r="B41" s="785">
        <v>2.2322119999999997E-2</v>
      </c>
      <c r="C41" s="785">
        <v>0.28128621000000004</v>
      </c>
      <c r="D41" s="785">
        <v>0.16076464000000001</v>
      </c>
      <c r="E41" s="785">
        <v>1.655588359</v>
      </c>
      <c r="F41" s="785">
        <v>2.0485914099999998</v>
      </c>
      <c r="G41" s="785">
        <v>41.59038528</v>
      </c>
      <c r="H41" s="786">
        <f t="shared" si="0"/>
        <v>0.30360833000000004</v>
      </c>
      <c r="I41" s="786">
        <f t="shared" si="1"/>
        <v>45.455329688999996</v>
      </c>
      <c r="J41" s="786">
        <f t="shared" si="2"/>
        <v>45.758938018999999</v>
      </c>
    </row>
    <row r="42" spans="1:10" ht="14.25" customHeight="1" x14ac:dyDescent="0.2">
      <c r="A42" s="782" t="s">
        <v>824</v>
      </c>
      <c r="B42" s="783">
        <v>2.7709329500000002</v>
      </c>
      <c r="C42" s="783">
        <v>5.4615287290000003</v>
      </c>
      <c r="D42" s="783">
        <v>8.2993176399999999</v>
      </c>
      <c r="E42" s="783">
        <v>9.3490946489999995</v>
      </c>
      <c r="F42" s="783">
        <v>4.2768498200000007</v>
      </c>
      <c r="G42" s="783">
        <v>14.165068529999999</v>
      </c>
      <c r="H42" s="385">
        <f t="shared" si="0"/>
        <v>8.232461679</v>
      </c>
      <c r="I42" s="385">
        <f t="shared" si="1"/>
        <v>36.090330639000001</v>
      </c>
      <c r="J42" s="385">
        <f t="shared" si="2"/>
        <v>44.322792317999998</v>
      </c>
    </row>
    <row r="43" spans="1:10" s="8" customFormat="1" ht="14.25" customHeight="1" x14ac:dyDescent="0.2">
      <c r="A43" s="790" t="s">
        <v>732</v>
      </c>
      <c r="B43" s="791">
        <v>301.91503147899999</v>
      </c>
      <c r="C43" s="791">
        <v>628.80158542900006</v>
      </c>
      <c r="D43" s="791">
        <v>548.18426826999996</v>
      </c>
      <c r="E43" s="791">
        <v>1037.8946724899999</v>
      </c>
      <c r="F43" s="791">
        <v>583.33236190999992</v>
      </c>
      <c r="G43" s="791">
        <v>1537.0327479489999</v>
      </c>
      <c r="H43" s="792">
        <f t="shared" si="0"/>
        <v>930.71661690800011</v>
      </c>
      <c r="I43" s="792">
        <f t="shared" si="1"/>
        <v>3706.4440506189994</v>
      </c>
      <c r="J43" s="792">
        <f t="shared" si="2"/>
        <v>4637.1606675269995</v>
      </c>
    </row>
    <row r="44" spans="1:10" s="8" customFormat="1" ht="14.25" customHeight="1" x14ac:dyDescent="0.2">
      <c r="A44" s="782" t="s">
        <v>733</v>
      </c>
      <c r="B44" s="783">
        <v>8.4402452200000013</v>
      </c>
      <c r="C44" s="783">
        <v>27.907087509</v>
      </c>
      <c r="D44" s="783">
        <v>8.9500865399999991</v>
      </c>
      <c r="E44" s="783">
        <v>26.510856620000002</v>
      </c>
      <c r="F44" s="783">
        <v>1.5069603899999999</v>
      </c>
      <c r="G44" s="783">
        <v>4.8504235599999994</v>
      </c>
      <c r="H44" s="385">
        <f t="shared" si="0"/>
        <v>36.347332729000001</v>
      </c>
      <c r="I44" s="385">
        <f t="shared" si="1"/>
        <v>41.818327109999998</v>
      </c>
      <c r="J44" s="385">
        <f t="shared" si="2"/>
        <v>78.165659839</v>
      </c>
    </row>
    <row r="45" spans="1:10" s="68" customFormat="1" ht="14.25" customHeight="1" x14ac:dyDescent="0.2">
      <c r="A45" s="784" t="s">
        <v>734</v>
      </c>
      <c r="B45" s="785">
        <v>255.85636373899999</v>
      </c>
      <c r="C45" s="785">
        <v>546.52566829900002</v>
      </c>
      <c r="D45" s="785">
        <v>510.40558566000004</v>
      </c>
      <c r="E45" s="785">
        <v>965.22836877899999</v>
      </c>
      <c r="F45" s="785">
        <v>553.78045202999999</v>
      </c>
      <c r="G45" s="785">
        <v>1234.8359821290001</v>
      </c>
      <c r="H45" s="786">
        <f t="shared" si="0"/>
        <v>802.38203203800003</v>
      </c>
      <c r="I45" s="786">
        <f t="shared" si="1"/>
        <v>3264.250388598</v>
      </c>
      <c r="J45" s="786">
        <f t="shared" si="2"/>
        <v>4066.632420636</v>
      </c>
    </row>
    <row r="46" spans="1:10" s="68" customFormat="1" ht="14.25" customHeight="1" x14ac:dyDescent="0.2">
      <c r="A46" s="782" t="s">
        <v>735</v>
      </c>
      <c r="B46" s="783">
        <v>28.65200467</v>
      </c>
      <c r="C46" s="783">
        <v>75.932859579999999</v>
      </c>
      <c r="D46" s="783">
        <v>68.128933138999997</v>
      </c>
      <c r="E46" s="783">
        <v>174.13237511899999</v>
      </c>
      <c r="F46" s="783">
        <v>94.479117689999995</v>
      </c>
      <c r="G46" s="783">
        <v>239.29167372999999</v>
      </c>
      <c r="H46" s="385">
        <f t="shared" si="0"/>
        <v>104.58486425</v>
      </c>
      <c r="I46" s="385">
        <f t="shared" si="1"/>
        <v>576.03209967800001</v>
      </c>
      <c r="J46" s="385">
        <f t="shared" si="2"/>
        <v>680.61696392800002</v>
      </c>
    </row>
    <row r="47" spans="1:10" s="8" customFormat="1" ht="14.25" customHeight="1" x14ac:dyDescent="0.2">
      <c r="A47" s="784" t="s">
        <v>825</v>
      </c>
      <c r="B47" s="785">
        <v>37.718750369999995</v>
      </c>
      <c r="C47" s="785">
        <v>93.273116998999996</v>
      </c>
      <c r="D47" s="785">
        <v>90.670288688999989</v>
      </c>
      <c r="E47" s="785">
        <v>145.91068257000001</v>
      </c>
      <c r="F47" s="785">
        <v>67.125540858999997</v>
      </c>
      <c r="G47" s="785">
        <v>99.037988180000013</v>
      </c>
      <c r="H47" s="786">
        <f t="shared" si="0"/>
        <v>130.99186736899998</v>
      </c>
      <c r="I47" s="786">
        <f t="shared" si="1"/>
        <v>402.74450029799999</v>
      </c>
      <c r="J47" s="786">
        <f t="shared" si="2"/>
        <v>533.73636766699997</v>
      </c>
    </row>
    <row r="48" spans="1:10" s="68" customFormat="1" ht="14.25" customHeight="1" x14ac:dyDescent="0.2">
      <c r="A48" s="770" t="s">
        <v>826</v>
      </c>
      <c r="B48" s="771">
        <v>189.48560869900001</v>
      </c>
      <c r="C48" s="771">
        <v>377.31969171899999</v>
      </c>
      <c r="D48" s="771">
        <v>351.60636382999996</v>
      </c>
      <c r="E48" s="771">
        <v>645.18531108900004</v>
      </c>
      <c r="F48" s="771">
        <v>392.17579347899999</v>
      </c>
      <c r="G48" s="771">
        <v>896.50632022000002</v>
      </c>
      <c r="H48" s="316">
        <f t="shared" si="0"/>
        <v>566.805300418</v>
      </c>
      <c r="I48" s="316">
        <f t="shared" si="1"/>
        <v>2285.4737886180001</v>
      </c>
      <c r="J48" s="316">
        <f t="shared" si="2"/>
        <v>2852.2790890360002</v>
      </c>
    </row>
    <row r="49" spans="1:10" ht="14.25" customHeight="1" x14ac:dyDescent="0.2">
      <c r="A49" s="772" t="s">
        <v>738</v>
      </c>
      <c r="B49" s="773">
        <v>37.618422520000003</v>
      </c>
      <c r="C49" s="773">
        <v>54.368829619000003</v>
      </c>
      <c r="D49" s="773">
        <v>28.82859607</v>
      </c>
      <c r="E49" s="773">
        <v>46.155447088999999</v>
      </c>
      <c r="F49" s="773">
        <v>28.044949489</v>
      </c>
      <c r="G49" s="773">
        <v>297.34634225999997</v>
      </c>
      <c r="H49" s="774">
        <f t="shared" si="0"/>
        <v>91.987252139000006</v>
      </c>
      <c r="I49" s="774">
        <f t="shared" si="1"/>
        <v>400.37533490799996</v>
      </c>
      <c r="J49" s="774">
        <f t="shared" si="2"/>
        <v>492.36258704699998</v>
      </c>
    </row>
    <row r="50" spans="1:10" s="8" customFormat="1" ht="14.25" customHeight="1" x14ac:dyDescent="0.2">
      <c r="A50" s="779" t="s">
        <v>739</v>
      </c>
      <c r="B50" s="780">
        <v>38.909091549000003</v>
      </c>
      <c r="C50" s="780">
        <v>68.129827778999996</v>
      </c>
      <c r="D50" s="780">
        <v>51.392658470000001</v>
      </c>
      <c r="E50" s="780">
        <v>64.234906979000002</v>
      </c>
      <c r="F50" s="780">
        <v>56.242304060000002</v>
      </c>
      <c r="G50" s="780">
        <v>160.93747121999999</v>
      </c>
      <c r="H50" s="781">
        <f t="shared" si="0"/>
        <v>107.03891932799999</v>
      </c>
      <c r="I50" s="781">
        <f t="shared" si="1"/>
        <v>332.80734072899997</v>
      </c>
      <c r="J50" s="781">
        <f t="shared" si="2"/>
        <v>439.84626005699999</v>
      </c>
    </row>
    <row r="51" spans="1:10" ht="14.25" customHeight="1" x14ac:dyDescent="0.2">
      <c r="A51" s="772" t="s">
        <v>740</v>
      </c>
      <c r="B51" s="773">
        <v>5.9035494989999995</v>
      </c>
      <c r="C51" s="773">
        <v>12.196964730000001</v>
      </c>
      <c r="D51" s="773">
        <v>12.711993479</v>
      </c>
      <c r="E51" s="773">
        <v>12.007258608999999</v>
      </c>
      <c r="F51" s="773">
        <v>4.2587983090000003</v>
      </c>
      <c r="G51" s="773">
        <v>67.85674951899999</v>
      </c>
      <c r="H51" s="774">
        <f t="shared" si="0"/>
        <v>18.100514229000002</v>
      </c>
      <c r="I51" s="774">
        <f t="shared" si="1"/>
        <v>96.83479991599998</v>
      </c>
      <c r="J51" s="774">
        <f t="shared" si="2"/>
        <v>114.93531414499998</v>
      </c>
    </row>
    <row r="52" spans="1:10" ht="14.25" customHeight="1" x14ac:dyDescent="0.2">
      <c r="A52" s="770" t="s">
        <v>741</v>
      </c>
      <c r="B52" s="771">
        <v>11.506447569000001</v>
      </c>
      <c r="C52" s="771">
        <v>0.96298550999999999</v>
      </c>
      <c r="D52" s="771">
        <v>0.57311471999999997</v>
      </c>
      <c r="E52" s="771">
        <v>1.208712469</v>
      </c>
      <c r="F52" s="771">
        <v>0.54801436000000003</v>
      </c>
      <c r="G52" s="771">
        <v>21.45988827</v>
      </c>
      <c r="H52" s="316">
        <f t="shared" si="0"/>
        <v>12.469433079</v>
      </c>
      <c r="I52" s="316">
        <f t="shared" si="1"/>
        <v>23.789729819000001</v>
      </c>
      <c r="J52" s="316">
        <f t="shared" si="2"/>
        <v>36.259162898</v>
      </c>
    </row>
    <row r="53" spans="1:10" ht="14.25" customHeight="1" x14ac:dyDescent="0.2">
      <c r="A53" s="772" t="s">
        <v>742</v>
      </c>
      <c r="B53" s="773">
        <v>2.8198879700000004</v>
      </c>
      <c r="C53" s="773">
        <v>6.6826024100000003</v>
      </c>
      <c r="D53" s="773">
        <v>7.0723359000000006</v>
      </c>
      <c r="E53" s="773">
        <v>12.945344339</v>
      </c>
      <c r="F53" s="773">
        <v>9.64292601</v>
      </c>
      <c r="G53" s="773">
        <v>40.322253789999998</v>
      </c>
      <c r="H53" s="774">
        <f t="shared" si="0"/>
        <v>9.5024903800000011</v>
      </c>
      <c r="I53" s="774">
        <f t="shared" si="1"/>
        <v>69.982860039000002</v>
      </c>
      <c r="J53" s="774">
        <f t="shared" si="2"/>
        <v>79.485350419</v>
      </c>
    </row>
    <row r="54" spans="1:10" s="8" customFormat="1" ht="14.25" customHeight="1" x14ac:dyDescent="0.2">
      <c r="A54" s="770" t="s">
        <v>743</v>
      </c>
      <c r="B54" s="771">
        <v>9.7426079689999998</v>
      </c>
      <c r="C54" s="771">
        <v>21.172871870000002</v>
      </c>
      <c r="D54" s="771">
        <v>15.0687105</v>
      </c>
      <c r="E54" s="771">
        <v>9.035772699999999</v>
      </c>
      <c r="F54" s="771">
        <v>33.345875239999998</v>
      </c>
      <c r="G54" s="771">
        <v>4.4878669200000001</v>
      </c>
      <c r="H54" s="316">
        <f t="shared" si="0"/>
        <v>30.915479839</v>
      </c>
      <c r="I54" s="316">
        <f t="shared" si="1"/>
        <v>61.938225359999997</v>
      </c>
      <c r="J54" s="316">
        <f t="shared" si="2"/>
        <v>92.85370519899999</v>
      </c>
    </row>
    <row r="55" spans="1:10" s="68" customFormat="1" ht="14.25" customHeight="1" x14ac:dyDescent="0.2">
      <c r="A55" s="784" t="s">
        <v>744</v>
      </c>
      <c r="B55" s="785">
        <v>8.9365985399999985</v>
      </c>
      <c r="C55" s="785">
        <v>27.114403258999999</v>
      </c>
      <c r="D55" s="785">
        <v>15.966503869999999</v>
      </c>
      <c r="E55" s="785">
        <v>29.037818859999998</v>
      </c>
      <c r="F55" s="785">
        <v>8.4466901390000011</v>
      </c>
      <c r="G55" s="785">
        <v>26.810712719999998</v>
      </c>
      <c r="H55" s="786">
        <f t="shared" si="0"/>
        <v>36.051001798999998</v>
      </c>
      <c r="I55" s="786">
        <f t="shared" si="1"/>
        <v>80.261725588999994</v>
      </c>
      <c r="J55" s="786">
        <f t="shared" si="2"/>
        <v>116.31272738799998</v>
      </c>
    </row>
    <row r="56" spans="1:10" s="68" customFormat="1" ht="14.25" customHeight="1" x14ac:dyDescent="0.2">
      <c r="A56" s="787" t="s">
        <v>745</v>
      </c>
      <c r="B56" s="788">
        <v>304.62411743900003</v>
      </c>
      <c r="C56" s="788">
        <v>665.00709696900003</v>
      </c>
      <c r="D56" s="788">
        <v>528.305666309</v>
      </c>
      <c r="E56" s="788">
        <v>683.09995605999995</v>
      </c>
      <c r="F56" s="788">
        <v>402.08989277999996</v>
      </c>
      <c r="G56" s="788">
        <v>406.68336279000005</v>
      </c>
      <c r="H56" s="789">
        <f t="shared" si="0"/>
        <v>969.63121440800001</v>
      </c>
      <c r="I56" s="789">
        <f t="shared" si="1"/>
        <v>2020.1788779389999</v>
      </c>
      <c r="J56" s="789">
        <f t="shared" si="2"/>
        <v>2989.8100923470001</v>
      </c>
    </row>
    <row r="57" spans="1:10" ht="14.25" customHeight="1" x14ac:dyDescent="0.2">
      <c r="A57" s="784" t="s">
        <v>746</v>
      </c>
      <c r="B57" s="785">
        <v>1.7608793489999999</v>
      </c>
      <c r="C57" s="785">
        <v>1.84972242</v>
      </c>
      <c r="D57" s="785">
        <v>1.93970672</v>
      </c>
      <c r="E57" s="785">
        <v>2.9252343199999999</v>
      </c>
      <c r="F57" s="785">
        <v>0.11114246000000001</v>
      </c>
      <c r="G57" s="785">
        <v>2.5319305399999998</v>
      </c>
      <c r="H57" s="786">
        <f t="shared" si="0"/>
        <v>3.6106017689999996</v>
      </c>
      <c r="I57" s="786">
        <f t="shared" si="1"/>
        <v>7.5080140399999991</v>
      </c>
      <c r="J57" s="786">
        <f t="shared" si="2"/>
        <v>11.118615808999998</v>
      </c>
    </row>
    <row r="58" spans="1:10" ht="14.25" customHeight="1" x14ac:dyDescent="0.2">
      <c r="A58" s="782" t="s">
        <v>535</v>
      </c>
      <c r="B58" s="783">
        <v>0.11310605999999999</v>
      </c>
      <c r="C58" s="783">
        <v>9.2183189999999998E-2</v>
      </c>
      <c r="D58" s="783">
        <v>0.40454790999999996</v>
      </c>
      <c r="E58" s="783">
        <v>9.3236200000000012E-3</v>
      </c>
      <c r="F58" s="783">
        <v>0</v>
      </c>
      <c r="G58" s="783">
        <v>0</v>
      </c>
      <c r="H58" s="385">
        <f t="shared" si="0"/>
        <v>0.20528924999999998</v>
      </c>
      <c r="I58" s="385">
        <f t="shared" si="1"/>
        <v>0.41387152999999993</v>
      </c>
      <c r="J58" s="385">
        <f t="shared" si="2"/>
        <v>0.61916077999999986</v>
      </c>
    </row>
    <row r="59" spans="1:10" ht="14.25" customHeight="1" x14ac:dyDescent="0.2">
      <c r="A59" s="793" t="s">
        <v>747</v>
      </c>
      <c r="B59" s="773">
        <v>5.3725849700000001</v>
      </c>
      <c r="C59" s="773">
        <v>25.76498423</v>
      </c>
      <c r="D59" s="773">
        <v>7.5990323399999999</v>
      </c>
      <c r="E59" s="773">
        <v>4.9622967199999994</v>
      </c>
      <c r="F59" s="773">
        <v>0.94106332999999998</v>
      </c>
      <c r="G59" s="773">
        <v>100.46744104999999</v>
      </c>
      <c r="H59" s="774">
        <f t="shared" si="0"/>
        <v>31.137569200000002</v>
      </c>
      <c r="I59" s="774">
        <f t="shared" si="1"/>
        <v>113.96983343999999</v>
      </c>
      <c r="J59" s="774">
        <f t="shared" si="2"/>
        <v>145.10740263999998</v>
      </c>
    </row>
    <row r="60" spans="1:10" s="8" customFormat="1" ht="14.25" customHeight="1" x14ac:dyDescent="0.2">
      <c r="A60" s="770" t="s">
        <v>748</v>
      </c>
      <c r="B60" s="771">
        <v>291.01204696899998</v>
      </c>
      <c r="C60" s="771">
        <v>628.03603551900005</v>
      </c>
      <c r="D60" s="771">
        <v>501.93627536900004</v>
      </c>
      <c r="E60" s="771">
        <v>662.94865949999996</v>
      </c>
      <c r="F60" s="771">
        <v>394.78188308899996</v>
      </c>
      <c r="G60" s="771">
        <v>240.12745142</v>
      </c>
      <c r="H60" s="316">
        <f t="shared" si="0"/>
        <v>919.04808248800009</v>
      </c>
      <c r="I60" s="316">
        <f t="shared" si="1"/>
        <v>1799.7942693780001</v>
      </c>
      <c r="J60" s="316">
        <f t="shared" si="2"/>
        <v>2718.8423518660002</v>
      </c>
    </row>
    <row r="61" spans="1:10" s="8" customFormat="1" ht="14.25" customHeight="1" x14ac:dyDescent="0.2">
      <c r="A61" s="772" t="s">
        <v>749</v>
      </c>
      <c r="B61" s="773">
        <v>6.3655000900000003</v>
      </c>
      <c r="C61" s="773">
        <v>9.26417161</v>
      </c>
      <c r="D61" s="773">
        <v>16.42610397</v>
      </c>
      <c r="E61" s="773">
        <v>12.2544419</v>
      </c>
      <c r="F61" s="773">
        <v>6.2558039000000001</v>
      </c>
      <c r="G61" s="773">
        <v>63.556539780000001</v>
      </c>
      <c r="H61" s="774">
        <f t="shared" si="0"/>
        <v>15.629671699999999</v>
      </c>
      <c r="I61" s="774">
        <f t="shared" si="1"/>
        <v>98.492889550000001</v>
      </c>
      <c r="J61" s="774">
        <f t="shared" si="2"/>
        <v>114.12256125</v>
      </c>
    </row>
    <row r="62" spans="1:10" s="68" customFormat="1" ht="14.25" customHeight="1" x14ac:dyDescent="0.2">
      <c r="A62" s="779" t="s">
        <v>750</v>
      </c>
      <c r="B62" s="780">
        <v>22.237226228999997</v>
      </c>
      <c r="C62" s="780">
        <v>47.294051429</v>
      </c>
      <c r="D62" s="780">
        <v>37.113742968999993</v>
      </c>
      <c r="E62" s="780">
        <v>82.050944950000002</v>
      </c>
      <c r="F62" s="780">
        <v>73.377413709999999</v>
      </c>
      <c r="G62" s="780">
        <v>64.775475509999993</v>
      </c>
      <c r="H62" s="781">
        <f t="shared" si="0"/>
        <v>69.531277657999993</v>
      </c>
      <c r="I62" s="781">
        <f t="shared" si="1"/>
        <v>257.31757713899998</v>
      </c>
      <c r="J62" s="781">
        <f t="shared" si="2"/>
        <v>326.84885479699994</v>
      </c>
    </row>
    <row r="63" spans="1:10" s="8" customFormat="1" ht="14.25" customHeight="1" x14ac:dyDescent="0.2">
      <c r="A63" s="784" t="s">
        <v>751</v>
      </c>
      <c r="B63" s="785">
        <v>7.1479249789999999</v>
      </c>
      <c r="C63" s="785">
        <v>17.088800500000001</v>
      </c>
      <c r="D63" s="785">
        <v>12.860612369</v>
      </c>
      <c r="E63" s="785">
        <v>26.742045388999998</v>
      </c>
      <c r="F63" s="785">
        <v>35.780487268999998</v>
      </c>
      <c r="G63" s="785">
        <v>26.540821300000001</v>
      </c>
      <c r="H63" s="786">
        <f t="shared" si="0"/>
        <v>24.236725479</v>
      </c>
      <c r="I63" s="786">
        <f t="shared" si="1"/>
        <v>101.923966327</v>
      </c>
      <c r="J63" s="786">
        <f t="shared" si="2"/>
        <v>126.160691806</v>
      </c>
    </row>
    <row r="64" spans="1:10" s="68" customFormat="1" ht="14.25" customHeight="1" x14ac:dyDescent="0.2">
      <c r="A64" s="782" t="s">
        <v>536</v>
      </c>
      <c r="B64" s="783">
        <v>1.7235995500000001</v>
      </c>
      <c r="C64" s="783">
        <v>3.4605118399999997</v>
      </c>
      <c r="D64" s="783">
        <v>1.0541336399999999</v>
      </c>
      <c r="E64" s="783">
        <v>14.098854189999999</v>
      </c>
      <c r="F64" s="783">
        <v>6.5961306300000002</v>
      </c>
      <c r="G64" s="783">
        <v>1.5620193689999999</v>
      </c>
      <c r="H64" s="385">
        <f t="shared" si="0"/>
        <v>5.18411139</v>
      </c>
      <c r="I64" s="385">
        <f t="shared" si="1"/>
        <v>23.311137829</v>
      </c>
      <c r="J64" s="385">
        <f t="shared" si="2"/>
        <v>28.495249219000002</v>
      </c>
    </row>
    <row r="65" spans="1:10" ht="14.25" customHeight="1" x14ac:dyDescent="0.2">
      <c r="A65" s="784" t="s">
        <v>752</v>
      </c>
      <c r="B65" s="785">
        <v>0.58544688</v>
      </c>
      <c r="C65" s="785">
        <v>2.6010966789999999</v>
      </c>
      <c r="D65" s="785">
        <v>1.4959688489999998</v>
      </c>
      <c r="E65" s="785">
        <v>3.8170181099999998</v>
      </c>
      <c r="F65" s="785">
        <v>0.65606481999999999</v>
      </c>
      <c r="G65" s="785">
        <v>11.6728553</v>
      </c>
      <c r="H65" s="786">
        <f t="shared" si="0"/>
        <v>3.186543559</v>
      </c>
      <c r="I65" s="786">
        <f t="shared" si="1"/>
        <v>17.641907078999999</v>
      </c>
      <c r="J65" s="786">
        <f t="shared" si="2"/>
        <v>20.828450638</v>
      </c>
    </row>
    <row r="66" spans="1:10" ht="14.25" customHeight="1" x14ac:dyDescent="0.2">
      <c r="A66" s="782" t="s">
        <v>753</v>
      </c>
      <c r="B66" s="783">
        <v>3.2796589190000001</v>
      </c>
      <c r="C66" s="783">
        <v>11.903061899000001</v>
      </c>
      <c r="D66" s="783">
        <v>12.50265248</v>
      </c>
      <c r="E66" s="783">
        <v>27.664685289999998</v>
      </c>
      <c r="F66" s="783">
        <v>24.516201359</v>
      </c>
      <c r="G66" s="783">
        <v>14.803435149</v>
      </c>
      <c r="H66" s="385">
        <f t="shared" si="0"/>
        <v>15.182720818</v>
      </c>
      <c r="I66" s="385">
        <f t="shared" si="1"/>
        <v>79.486974277999991</v>
      </c>
      <c r="J66" s="385">
        <f t="shared" si="2"/>
        <v>94.669695095999998</v>
      </c>
    </row>
    <row r="67" spans="1:10" s="8" customFormat="1" ht="14.25" customHeight="1" x14ac:dyDescent="0.2">
      <c r="A67" s="793" t="s">
        <v>754</v>
      </c>
      <c r="B67" s="773">
        <v>9.5005959000000004</v>
      </c>
      <c r="C67" s="773">
        <v>12.240580509999999</v>
      </c>
      <c r="D67" s="773">
        <v>9.2003756300000017</v>
      </c>
      <c r="E67" s="773">
        <v>9.7283419690000006</v>
      </c>
      <c r="F67" s="773">
        <v>5.8285296300000002</v>
      </c>
      <c r="G67" s="773">
        <v>10.19634439</v>
      </c>
      <c r="H67" s="774">
        <f t="shared" si="0"/>
        <v>21.741176410000001</v>
      </c>
      <c r="I67" s="774">
        <f t="shared" si="1"/>
        <v>34.953591619000001</v>
      </c>
      <c r="J67" s="774">
        <f t="shared" si="2"/>
        <v>56.694768029000002</v>
      </c>
    </row>
    <row r="68" spans="1:10" ht="14.25" customHeight="1" x14ac:dyDescent="0.2">
      <c r="A68" s="935" t="s">
        <v>807</v>
      </c>
      <c r="B68" s="936">
        <v>1820.9637142199999</v>
      </c>
      <c r="C68" s="936">
        <v>3729.3296564289999</v>
      </c>
      <c r="D68" s="936">
        <v>3074.1809526900001</v>
      </c>
      <c r="E68" s="936">
        <v>4719.8448811090002</v>
      </c>
      <c r="F68" s="936">
        <v>2916.5260820600001</v>
      </c>
      <c r="G68" s="936">
        <v>4825.1600615400002</v>
      </c>
      <c r="H68" s="995">
        <f t="shared" ref="H68" si="3">SUM(B68:C68)</f>
        <v>5550.2933706490003</v>
      </c>
      <c r="I68" s="995">
        <f t="shared" ref="I68" si="4">SUM(D68:G68)</f>
        <v>15535.711977399</v>
      </c>
      <c r="J68" s="995">
        <f t="shared" ref="J68" si="5">SUM(H68:I68)</f>
        <v>21086.005348047998</v>
      </c>
    </row>
    <row r="69" spans="1:10" x14ac:dyDescent="0.2">
      <c r="A69" s="794" t="s">
        <v>582</v>
      </c>
      <c r="B69" s="3"/>
      <c r="C69" s="3"/>
      <c r="D69" s="245"/>
      <c r="E69" s="3"/>
      <c r="F69" s="3"/>
      <c r="G69" s="245"/>
      <c r="H69" s="3"/>
      <c r="I69" s="3"/>
      <c r="J69" s="911"/>
    </row>
    <row r="70" spans="1:10" x14ac:dyDescent="0.2">
      <c r="A70" s="794" t="s">
        <v>316</v>
      </c>
      <c r="B70" s="3"/>
      <c r="C70" s="3"/>
      <c r="D70" s="245"/>
      <c r="E70" s="3"/>
      <c r="F70" s="3"/>
      <c r="G70" s="245"/>
      <c r="H70" s="3"/>
      <c r="I70" s="3"/>
      <c r="J70" s="911"/>
    </row>
    <row r="71" spans="1:10" x14ac:dyDescent="0.2">
      <c r="A71" s="286" t="s">
        <v>951</v>
      </c>
      <c r="B71" s="3"/>
      <c r="C71" s="3"/>
      <c r="D71" s="245"/>
      <c r="E71" s="3"/>
      <c r="F71" s="3"/>
      <c r="G71" s="245"/>
      <c r="H71" s="3"/>
      <c r="I71" s="3"/>
      <c r="J71" s="911"/>
    </row>
    <row r="74" spans="1:10" ht="16.5" x14ac:dyDescent="0.25">
      <c r="A74" s="108" t="s">
        <v>760</v>
      </c>
    </row>
    <row r="75" spans="1:10" ht="13.5" thickBot="1" x14ac:dyDescent="0.25">
      <c r="A75" s="231"/>
      <c r="J75" s="652" t="s">
        <v>23</v>
      </c>
    </row>
    <row r="76" spans="1:10" x14ac:dyDescent="0.2">
      <c r="A76" s="230" t="s">
        <v>758</v>
      </c>
      <c r="B76" s="760" t="s">
        <v>38</v>
      </c>
      <c r="C76" s="760" t="s">
        <v>39</v>
      </c>
      <c r="D76" s="760" t="s">
        <v>125</v>
      </c>
      <c r="E76" s="760" t="s">
        <v>126</v>
      </c>
      <c r="F76" s="760" t="s">
        <v>127</v>
      </c>
      <c r="G76" s="761">
        <v>100000</v>
      </c>
      <c r="H76" s="762" t="s">
        <v>229</v>
      </c>
      <c r="I76" s="762" t="s">
        <v>228</v>
      </c>
      <c r="J76" s="762" t="s">
        <v>220</v>
      </c>
    </row>
    <row r="77" spans="1:10" x14ac:dyDescent="0.2">
      <c r="A77" s="229"/>
      <c r="B77" s="763" t="s">
        <v>40</v>
      </c>
      <c r="C77" s="763" t="s">
        <v>40</v>
      </c>
      <c r="D77" s="763" t="s">
        <v>40</v>
      </c>
      <c r="E77" s="763" t="s">
        <v>40</v>
      </c>
      <c r="F77" s="763" t="s">
        <v>40</v>
      </c>
      <c r="G77" s="763" t="s">
        <v>43</v>
      </c>
      <c r="H77" s="764" t="s">
        <v>523</v>
      </c>
      <c r="I77" s="764" t="s">
        <v>138</v>
      </c>
      <c r="J77" s="764" t="s">
        <v>142</v>
      </c>
    </row>
    <row r="78" spans="1:10" ht="13.5" thickBot="1" x14ac:dyDescent="0.25">
      <c r="A78" s="232"/>
      <c r="B78" s="765" t="s">
        <v>46</v>
      </c>
      <c r="C78" s="765" t="s">
        <v>42</v>
      </c>
      <c r="D78" s="765" t="s">
        <v>128</v>
      </c>
      <c r="E78" s="765" t="s">
        <v>129</v>
      </c>
      <c r="F78" s="765" t="s">
        <v>130</v>
      </c>
      <c r="G78" s="765" t="s">
        <v>131</v>
      </c>
      <c r="H78" s="766" t="s">
        <v>138</v>
      </c>
      <c r="I78" s="766" t="s">
        <v>131</v>
      </c>
      <c r="J78" s="766" t="s">
        <v>611</v>
      </c>
    </row>
    <row r="80" spans="1:10" x14ac:dyDescent="0.2">
      <c r="A80" s="767" t="s">
        <v>709</v>
      </c>
      <c r="B80" s="795">
        <f>B9/B$68</f>
        <v>0.26983419947523268</v>
      </c>
      <c r="C80" s="795">
        <f t="shared" ref="C80:J80" si="6">C9/C$68</f>
        <v>0.21196621498913867</v>
      </c>
      <c r="D80" s="795">
        <f t="shared" si="6"/>
        <v>0.17568679765138823</v>
      </c>
      <c r="E80" s="795">
        <f t="shared" si="6"/>
        <v>0.17724361582460244</v>
      </c>
      <c r="F80" s="795">
        <f t="shared" si="6"/>
        <v>0.1745927006280496</v>
      </c>
      <c r="G80" s="795">
        <f t="shared" si="6"/>
        <v>0.16927389352309241</v>
      </c>
      <c r="H80" s="796">
        <f t="shared" si="6"/>
        <v>0.23095178798992244</v>
      </c>
      <c r="I80" s="796">
        <f t="shared" si="6"/>
        <v>0.17396262104869922</v>
      </c>
      <c r="J80" s="796">
        <f t="shared" si="6"/>
        <v>0.18896340428154432</v>
      </c>
    </row>
    <row r="81" spans="1:10" x14ac:dyDescent="0.2">
      <c r="A81" s="770" t="s">
        <v>710</v>
      </c>
      <c r="B81" s="797">
        <f t="shared" ref="B81:J81" si="7">B10/B$68</f>
        <v>6.8757640666459396E-2</v>
      </c>
      <c r="C81" s="797">
        <f t="shared" si="7"/>
        <v>2.7514692500596735E-2</v>
      </c>
      <c r="D81" s="797">
        <f t="shared" si="7"/>
        <v>2.7409508654742142E-2</v>
      </c>
      <c r="E81" s="797">
        <f t="shared" si="7"/>
        <v>2.7648226286271109E-2</v>
      </c>
      <c r="F81" s="797">
        <f t="shared" si="7"/>
        <v>2.1060680597999315E-2</v>
      </c>
      <c r="G81" s="797">
        <f t="shared" si="7"/>
        <v>3.0838259488019777E-2</v>
      </c>
      <c r="H81" s="351">
        <f t="shared" si="7"/>
        <v>4.1045853299167365E-2</v>
      </c>
      <c r="I81" s="351">
        <f t="shared" si="7"/>
        <v>2.735508302903995E-2</v>
      </c>
      <c r="J81" s="351">
        <f t="shared" si="7"/>
        <v>3.0958790332301214E-2</v>
      </c>
    </row>
    <row r="82" spans="1:10" x14ac:dyDescent="0.2">
      <c r="A82" s="772" t="s">
        <v>524</v>
      </c>
      <c r="B82" s="798">
        <f t="shared" ref="B82:J82" si="8">B11/B$68</f>
        <v>0.20018331785163715</v>
      </c>
      <c r="C82" s="798">
        <f t="shared" si="8"/>
        <v>0.18407727200156929</v>
      </c>
      <c r="D82" s="798">
        <f t="shared" si="8"/>
        <v>0.1479735842166191</v>
      </c>
      <c r="E82" s="798">
        <f t="shared" si="8"/>
        <v>0.14940281331307487</v>
      </c>
      <c r="F82" s="798">
        <f t="shared" si="8"/>
        <v>0.15334720362044721</v>
      </c>
      <c r="G82" s="798">
        <f t="shared" si="8"/>
        <v>0.12423899900175993</v>
      </c>
      <c r="H82" s="799">
        <f t="shared" si="8"/>
        <v>0.18936141161617634</v>
      </c>
      <c r="I82" s="799">
        <f t="shared" si="8"/>
        <v>0.1420449771460979</v>
      </c>
      <c r="J82" s="799">
        <f t="shared" si="8"/>
        <v>0.1544996876627267</v>
      </c>
    </row>
    <row r="83" spans="1:10" x14ac:dyDescent="0.2">
      <c r="A83" s="770" t="s">
        <v>711</v>
      </c>
      <c r="B83" s="797">
        <f t="shared" ref="B83:J83" si="9">B12/B$68</f>
        <v>1.9886636244979532E-4</v>
      </c>
      <c r="C83" s="797">
        <f t="shared" si="9"/>
        <v>1.9983277389148884E-4</v>
      </c>
      <c r="D83" s="797">
        <f t="shared" si="9"/>
        <v>2.1962908832975423E-4</v>
      </c>
      <c r="E83" s="797">
        <f t="shared" si="9"/>
        <v>1.4874543288698956E-4</v>
      </c>
      <c r="F83" s="797">
        <f t="shared" si="9"/>
        <v>1.5209971984432745E-4</v>
      </c>
      <c r="G83" s="797">
        <f t="shared" si="9"/>
        <v>1.3800430673951019E-2</v>
      </c>
      <c r="H83" s="351">
        <f t="shared" si="9"/>
        <v>1.9951570953996513E-4</v>
      </c>
      <c r="I83" s="351">
        <f t="shared" si="9"/>
        <v>4.403410976562998E-3</v>
      </c>
      <c r="J83" s="351">
        <f t="shared" si="9"/>
        <v>3.2968546779030138E-3</v>
      </c>
    </row>
    <row r="84" spans="1:10" x14ac:dyDescent="0.2">
      <c r="A84" s="772" t="s">
        <v>712</v>
      </c>
      <c r="B84" s="798">
        <f t="shared" ref="B84:J84" si="10">B13/B$68</f>
        <v>6.943745941371557E-4</v>
      </c>
      <c r="C84" s="798">
        <f t="shared" si="10"/>
        <v>1.7441771308113473E-4</v>
      </c>
      <c r="D84" s="798">
        <f t="shared" si="10"/>
        <v>8.4075691697275138E-5</v>
      </c>
      <c r="E84" s="798">
        <f t="shared" si="10"/>
        <v>4.3830792157599816E-5</v>
      </c>
      <c r="F84" s="798">
        <f t="shared" si="10"/>
        <v>3.2716690101603212E-5</v>
      </c>
      <c r="G84" s="798">
        <f t="shared" si="10"/>
        <v>3.9620435915442879E-4</v>
      </c>
      <c r="H84" s="799">
        <f t="shared" si="10"/>
        <v>3.4500736485864171E-4</v>
      </c>
      <c r="I84" s="799">
        <f t="shared" si="10"/>
        <v>1.5914989693404118E-4</v>
      </c>
      <c r="J84" s="799">
        <f t="shared" si="10"/>
        <v>2.0807160851859293E-4</v>
      </c>
    </row>
    <row r="85" spans="1:10" x14ac:dyDescent="0.2">
      <c r="A85" s="779" t="s">
        <v>525</v>
      </c>
      <c r="B85" s="802">
        <f t="shared" ref="B85:J85" si="11">B14/B$68</f>
        <v>1.3482243692327584E-2</v>
      </c>
      <c r="C85" s="802">
        <f t="shared" si="11"/>
        <v>1.6994965092651266E-2</v>
      </c>
      <c r="D85" s="802">
        <f t="shared" si="11"/>
        <v>2.1676062748255398E-2</v>
      </c>
      <c r="E85" s="802">
        <f t="shared" si="11"/>
        <v>2.4682388517952146E-2</v>
      </c>
      <c r="F85" s="802">
        <f t="shared" si="11"/>
        <v>1.8662861084909103E-2</v>
      </c>
      <c r="G85" s="802">
        <f t="shared" si="11"/>
        <v>2.9653615354540887E-2</v>
      </c>
      <c r="H85" s="803">
        <f t="shared" si="11"/>
        <v>1.5842496604772844E-2</v>
      </c>
      <c r="I85" s="803">
        <f t="shared" si="11"/>
        <v>2.4501441999745945E-2</v>
      </c>
      <c r="J85" s="803">
        <f t="shared" si="11"/>
        <v>2.2222220002537266E-2</v>
      </c>
    </row>
    <row r="86" spans="1:10" x14ac:dyDescent="0.2">
      <c r="A86" s="772" t="s">
        <v>713</v>
      </c>
      <c r="B86" s="798">
        <f t="shared" ref="B86:J86" si="12">B15/B$68</f>
        <v>1.6155715059155617E-3</v>
      </c>
      <c r="C86" s="798">
        <f t="shared" si="12"/>
        <v>2.1342967941379511E-3</v>
      </c>
      <c r="D86" s="798">
        <f t="shared" si="12"/>
        <v>2.2887660411932548E-3</v>
      </c>
      <c r="E86" s="798">
        <f t="shared" si="12"/>
        <v>2.3960678483871617E-3</v>
      </c>
      <c r="F86" s="798">
        <f t="shared" si="12"/>
        <v>2.9365135538067192E-3</v>
      </c>
      <c r="G86" s="798">
        <f t="shared" si="12"/>
        <v>2.9655395028352835E-3</v>
      </c>
      <c r="H86" s="799">
        <f t="shared" si="12"/>
        <v>1.9641112085441513E-3</v>
      </c>
      <c r="I86" s="799">
        <f t="shared" si="12"/>
        <v>2.6531626447480572E-3</v>
      </c>
      <c r="J86" s="799">
        <f t="shared" si="12"/>
        <v>2.4717893805725004E-3</v>
      </c>
    </row>
    <row r="87" spans="1:10" x14ac:dyDescent="0.2">
      <c r="A87" s="770" t="s">
        <v>714</v>
      </c>
      <c r="B87" s="797">
        <f t="shared" ref="B87:J87" si="13">B16/B$68</f>
        <v>7.0016347500154756E-3</v>
      </c>
      <c r="C87" s="797">
        <f t="shared" si="13"/>
        <v>1.0918630521119023E-2</v>
      </c>
      <c r="D87" s="797">
        <f t="shared" si="13"/>
        <v>1.5436565172741584E-2</v>
      </c>
      <c r="E87" s="797">
        <f t="shared" si="13"/>
        <v>1.9058297345751828E-2</v>
      </c>
      <c r="F87" s="797">
        <f t="shared" si="13"/>
        <v>1.1716460068433228E-2</v>
      </c>
      <c r="G87" s="797">
        <f t="shared" si="13"/>
        <v>1.4907299524286198E-2</v>
      </c>
      <c r="H87" s="351">
        <f t="shared" si="13"/>
        <v>9.6335259885096565E-3</v>
      </c>
      <c r="I87" s="351">
        <f t="shared" si="13"/>
        <v>1.5674110708427821E-2</v>
      </c>
      <c r="J87" s="351">
        <f t="shared" si="13"/>
        <v>1.4084097959573562E-2</v>
      </c>
    </row>
    <row r="88" spans="1:10" x14ac:dyDescent="0.2">
      <c r="A88" s="778" t="s">
        <v>715</v>
      </c>
      <c r="B88" s="798">
        <f t="shared" ref="B88:J88" si="14">B17/B$68</f>
        <v>3.0065233459883019E-3</v>
      </c>
      <c r="C88" s="798">
        <f t="shared" si="14"/>
        <v>1.7507505695412108E-3</v>
      </c>
      <c r="D88" s="798">
        <f t="shared" si="14"/>
        <v>1.5806830254243697E-3</v>
      </c>
      <c r="E88" s="798">
        <f t="shared" si="14"/>
        <v>1.5996119385656652E-3</v>
      </c>
      <c r="F88" s="798">
        <f t="shared" si="14"/>
        <v>1.6591314200016304E-3</v>
      </c>
      <c r="G88" s="798">
        <f t="shared" si="14"/>
        <v>6.8177635787071977E-3</v>
      </c>
      <c r="H88" s="799">
        <f t="shared" si="14"/>
        <v>2.1627498111142862E-3</v>
      </c>
      <c r="I88" s="799">
        <f t="shared" si="14"/>
        <v>3.2277198837716418E-3</v>
      </c>
      <c r="J88" s="799">
        <f t="shared" si="14"/>
        <v>2.9473966913677809E-3</v>
      </c>
    </row>
    <row r="89" spans="1:10" s="8" customFormat="1" x14ac:dyDescent="0.2">
      <c r="A89" s="770" t="s">
        <v>526</v>
      </c>
      <c r="B89" s="797">
        <f t="shared" ref="B89:J89" si="15">B18/B$68</f>
        <v>6.0566644485413035E-4</v>
      </c>
      <c r="C89" s="797">
        <f t="shared" si="15"/>
        <v>6.2878711083036811E-4</v>
      </c>
      <c r="D89" s="797">
        <f t="shared" si="15"/>
        <v>4.8548589135393702E-4</v>
      </c>
      <c r="E89" s="797">
        <f t="shared" si="15"/>
        <v>3.5673916885259506E-4</v>
      </c>
      <c r="F89" s="797">
        <f t="shared" si="15"/>
        <v>8.7366597702436737E-4</v>
      </c>
      <c r="G89" s="797">
        <f t="shared" si="15"/>
        <v>1.6531287124709768E-3</v>
      </c>
      <c r="H89" s="351">
        <f t="shared" si="15"/>
        <v>6.2120158498880213E-4</v>
      </c>
      <c r="I89" s="351">
        <f t="shared" si="15"/>
        <v>8.8189748168167412E-4</v>
      </c>
      <c r="J89" s="351">
        <f t="shared" si="15"/>
        <v>8.1327667450238584E-4</v>
      </c>
    </row>
    <row r="90" spans="1:10" x14ac:dyDescent="0.2">
      <c r="A90" s="772" t="s">
        <v>716</v>
      </c>
      <c r="B90" s="798">
        <f t="shared" ref="B90:J90" si="16">B19/B$68</f>
        <v>1.2528476444557939E-3</v>
      </c>
      <c r="C90" s="798">
        <f t="shared" si="16"/>
        <v>1.562500097022715E-3</v>
      </c>
      <c r="D90" s="798">
        <f t="shared" si="16"/>
        <v>1.8845626162410922E-3</v>
      </c>
      <c r="E90" s="798">
        <f t="shared" si="16"/>
        <v>1.2716722161830274E-3</v>
      </c>
      <c r="F90" s="798">
        <f t="shared" si="16"/>
        <v>1.477090064957415E-3</v>
      </c>
      <c r="G90" s="798">
        <f t="shared" si="16"/>
        <v>3.3098840362412304E-3</v>
      </c>
      <c r="H90" s="799">
        <f t="shared" si="16"/>
        <v>1.4609080112556053E-3</v>
      </c>
      <c r="I90" s="799">
        <f t="shared" si="16"/>
        <v>2.0645512806661791E-3</v>
      </c>
      <c r="J90" s="799">
        <f t="shared" si="16"/>
        <v>1.905659296094215E-3</v>
      </c>
    </row>
    <row r="91" spans="1:10" x14ac:dyDescent="0.2">
      <c r="A91" s="779" t="s">
        <v>527</v>
      </c>
      <c r="B91" s="802">
        <f t="shared" ref="B91:J91" si="17">B20/B$68</f>
        <v>0.12446142354740984</v>
      </c>
      <c r="C91" s="802">
        <f t="shared" si="17"/>
        <v>0.15429787687125457</v>
      </c>
      <c r="D91" s="802">
        <f t="shared" si="17"/>
        <v>0.16168843902115068</v>
      </c>
      <c r="E91" s="802">
        <f t="shared" si="17"/>
        <v>0.18621929781800009</v>
      </c>
      <c r="F91" s="802">
        <f t="shared" si="17"/>
        <v>0.18151953943956153</v>
      </c>
      <c r="G91" s="802">
        <f t="shared" si="17"/>
        <v>0.13782036181754281</v>
      </c>
      <c r="H91" s="803">
        <f t="shared" si="17"/>
        <v>0.14450900712410694</v>
      </c>
      <c r="I91" s="803">
        <f t="shared" si="17"/>
        <v>0.16545089787364464</v>
      </c>
      <c r="J91" s="803">
        <f t="shared" si="17"/>
        <v>0.15993853858712032</v>
      </c>
    </row>
    <row r="92" spans="1:10" x14ac:dyDescent="0.2">
      <c r="A92" s="778" t="s">
        <v>717</v>
      </c>
      <c r="B92" s="798">
        <f t="shared" ref="B92:J92" si="18">B21/B$68</f>
        <v>1.7386611030061935E-2</v>
      </c>
      <c r="C92" s="798">
        <f t="shared" si="18"/>
        <v>1.037574738191737E-2</v>
      </c>
      <c r="D92" s="798">
        <f t="shared" si="18"/>
        <v>2.5881588603097201E-2</v>
      </c>
      <c r="E92" s="798">
        <f t="shared" si="18"/>
        <v>2.0566114420097675E-2</v>
      </c>
      <c r="F92" s="798">
        <f t="shared" si="18"/>
        <v>1.2189769983092034E-2</v>
      </c>
      <c r="G92" s="798">
        <f t="shared" si="18"/>
        <v>9.7165256596765722E-3</v>
      </c>
      <c r="H92" s="799">
        <f t="shared" si="18"/>
        <v>1.2675901167684285E-2</v>
      </c>
      <c r="I92" s="799">
        <f t="shared" si="18"/>
        <v>1.6675716606737299E-2</v>
      </c>
      <c r="J92" s="799">
        <f t="shared" si="18"/>
        <v>1.562287853955685E-2</v>
      </c>
    </row>
    <row r="93" spans="1:10" x14ac:dyDescent="0.2">
      <c r="A93" s="770" t="s">
        <v>528</v>
      </c>
      <c r="B93" s="797">
        <f t="shared" ref="B93:J93" si="19">B22/B$68</f>
        <v>8.6647084841877109E-2</v>
      </c>
      <c r="C93" s="797">
        <f t="shared" si="19"/>
        <v>0.12339962089343963</v>
      </c>
      <c r="D93" s="797">
        <f t="shared" si="19"/>
        <v>0.12225758947277553</v>
      </c>
      <c r="E93" s="797">
        <f t="shared" si="19"/>
        <v>0.15255108458158073</v>
      </c>
      <c r="F93" s="797">
        <f t="shared" si="19"/>
        <v>0.15940742199384711</v>
      </c>
      <c r="G93" s="797">
        <f t="shared" si="19"/>
        <v>0.11141264563510139</v>
      </c>
      <c r="H93" s="351">
        <f t="shared" si="19"/>
        <v>0.11134169348560746</v>
      </c>
      <c r="I93" s="351">
        <f t="shared" si="19"/>
        <v>0.13506681660870418</v>
      </c>
      <c r="J93" s="351">
        <f t="shared" si="19"/>
        <v>0.12882185027134407</v>
      </c>
    </row>
    <row r="94" spans="1:10" x14ac:dyDescent="0.2">
      <c r="A94" s="772" t="s">
        <v>529</v>
      </c>
      <c r="B94" s="798">
        <f t="shared" ref="B94:J94" si="20">B23/B$68</f>
        <v>1.6988491181028846E-4</v>
      </c>
      <c r="C94" s="798">
        <f t="shared" si="20"/>
        <v>5.0079396622403592E-4</v>
      </c>
      <c r="D94" s="798">
        <f t="shared" si="20"/>
        <v>6.6184017184142978E-4</v>
      </c>
      <c r="E94" s="798">
        <f t="shared" si="20"/>
        <v>9.8911199787207301E-5</v>
      </c>
      <c r="F94" s="798">
        <f t="shared" si="20"/>
        <v>2.538293775439551E-5</v>
      </c>
      <c r="G94" s="798">
        <f t="shared" si="20"/>
        <v>4.1579833692805424E-3</v>
      </c>
      <c r="H94" s="799">
        <f t="shared" si="20"/>
        <v>3.9222792465570951E-4</v>
      </c>
      <c r="I94" s="799">
        <f t="shared" si="20"/>
        <v>1.4571863389932736E-3</v>
      </c>
      <c r="J94" s="799">
        <f t="shared" si="20"/>
        <v>1.1768662153117232E-3</v>
      </c>
    </row>
    <row r="95" spans="1:10" x14ac:dyDescent="0.2">
      <c r="A95" s="770" t="s">
        <v>718</v>
      </c>
      <c r="B95" s="797">
        <f t="shared" ref="B95:J95" si="21">B24/B$68</f>
        <v>1.924107368334247E-3</v>
      </c>
      <c r="C95" s="797">
        <f t="shared" si="21"/>
        <v>6.7131062433275221E-4</v>
      </c>
      <c r="D95" s="797">
        <f t="shared" si="21"/>
        <v>3.7052383952977484E-4</v>
      </c>
      <c r="E95" s="797">
        <f t="shared" si="21"/>
        <v>5.6375831346702906E-4</v>
      </c>
      <c r="F95" s="797">
        <f t="shared" si="21"/>
        <v>4.5041860145894445E-4</v>
      </c>
      <c r="G95" s="797">
        <f t="shared" si="21"/>
        <v>3.6146697596666682E-3</v>
      </c>
      <c r="H95" s="351">
        <f t="shared" si="21"/>
        <v>1.0823334765991954E-3</v>
      </c>
      <c r="I95" s="351">
        <f t="shared" si="21"/>
        <v>1.4518116010268725E-3</v>
      </c>
      <c r="J95" s="351">
        <f t="shared" si="21"/>
        <v>1.3545569550775106E-3</v>
      </c>
    </row>
    <row r="96" spans="1:10" s="8" customFormat="1" x14ac:dyDescent="0.2">
      <c r="A96" s="772" t="s">
        <v>719</v>
      </c>
      <c r="B96" s="798">
        <f t="shared" ref="B96:J96" si="22">B25/B$68</f>
        <v>1.716422491833567E-2</v>
      </c>
      <c r="C96" s="798">
        <f t="shared" si="22"/>
        <v>1.6354200287405231E-2</v>
      </c>
      <c r="D96" s="798">
        <f t="shared" si="22"/>
        <v>1.1984464147356643E-2</v>
      </c>
      <c r="E96" s="798">
        <f t="shared" si="22"/>
        <v>1.1728930838717016E-2</v>
      </c>
      <c r="F96" s="798">
        <f t="shared" si="22"/>
        <v>7.6651208633148416E-3</v>
      </c>
      <c r="G96" s="798">
        <f t="shared" si="22"/>
        <v>7.966088680948797E-3</v>
      </c>
      <c r="H96" s="799">
        <f t="shared" si="22"/>
        <v>1.6619956592891529E-2</v>
      </c>
      <c r="I96" s="799">
        <f t="shared" si="22"/>
        <v>9.8479119388009163E-3</v>
      </c>
      <c r="J96" s="799">
        <f t="shared" si="22"/>
        <v>1.1630460787144905E-2</v>
      </c>
    </row>
    <row r="97" spans="1:10" x14ac:dyDescent="0.2">
      <c r="A97" s="782" t="s">
        <v>530</v>
      </c>
      <c r="B97" s="804">
        <f t="shared" ref="B97:J97" si="23">B26/B$68</f>
        <v>1.169510475343117E-3</v>
      </c>
      <c r="C97" s="804">
        <f t="shared" si="23"/>
        <v>2.9962037171311494E-3</v>
      </c>
      <c r="D97" s="804">
        <f t="shared" si="23"/>
        <v>5.3243278622481735E-4</v>
      </c>
      <c r="E97" s="804">
        <f t="shared" si="23"/>
        <v>7.1049846435039131E-4</v>
      </c>
      <c r="F97" s="804">
        <f t="shared" si="23"/>
        <v>1.7814250597513138E-3</v>
      </c>
      <c r="G97" s="804">
        <f t="shared" si="23"/>
        <v>9.524487126616125E-4</v>
      </c>
      <c r="H97" s="805">
        <f t="shared" si="23"/>
        <v>2.3968944755877681E-3</v>
      </c>
      <c r="I97" s="805">
        <f t="shared" si="23"/>
        <v>9.5145477918899568E-4</v>
      </c>
      <c r="J97" s="805">
        <f t="shared" si="23"/>
        <v>1.3319258182584084E-3</v>
      </c>
    </row>
    <row r="98" spans="1:10" x14ac:dyDescent="0.2">
      <c r="A98" s="775" t="s">
        <v>720</v>
      </c>
      <c r="B98" s="800">
        <f t="shared" ref="B98:J98" si="24">B27/B$68</f>
        <v>0.19431944171417451</v>
      </c>
      <c r="C98" s="800">
        <f t="shared" si="24"/>
        <v>0.2103210976125014</v>
      </c>
      <c r="D98" s="800">
        <f t="shared" si="24"/>
        <v>0.22868833668487482</v>
      </c>
      <c r="E98" s="800">
        <f t="shared" si="24"/>
        <v>0.1869782416880279</v>
      </c>
      <c r="F98" s="800">
        <f t="shared" si="24"/>
        <v>0.21397809985268679</v>
      </c>
      <c r="G98" s="800">
        <f t="shared" si="24"/>
        <v>0.1754681038746265</v>
      </c>
      <c r="H98" s="801">
        <f t="shared" si="24"/>
        <v>0.20507120669459472</v>
      </c>
      <c r="I98" s="801">
        <f t="shared" si="24"/>
        <v>0.1967255846526503</v>
      </c>
      <c r="J98" s="801">
        <f t="shared" si="24"/>
        <v>0.19892233315616115</v>
      </c>
    </row>
    <row r="99" spans="1:10" x14ac:dyDescent="0.2">
      <c r="A99" s="782" t="s">
        <v>721</v>
      </c>
      <c r="B99" s="804">
        <f t="shared" ref="B99:J99" si="25">B28/B$68</f>
        <v>7.7572419316716866E-3</v>
      </c>
      <c r="C99" s="804">
        <f t="shared" si="25"/>
        <v>7.8065557652731649E-3</v>
      </c>
      <c r="D99" s="804">
        <f t="shared" si="25"/>
        <v>1.0724525620767712E-2</v>
      </c>
      <c r="E99" s="804">
        <f t="shared" si="25"/>
        <v>6.3737854501123925E-3</v>
      </c>
      <c r="F99" s="804">
        <f t="shared" si="25"/>
        <v>9.4778006958455615E-3</v>
      </c>
      <c r="G99" s="804">
        <f t="shared" si="25"/>
        <v>1.2920606242045008E-2</v>
      </c>
      <c r="H99" s="805">
        <f t="shared" si="25"/>
        <v>7.7903766742593002E-3</v>
      </c>
      <c r="I99" s="805">
        <f t="shared" si="25"/>
        <v>9.8507656026731918E-3</v>
      </c>
      <c r="J99" s="805">
        <f t="shared" si="25"/>
        <v>9.3084266047656124E-3</v>
      </c>
    </row>
    <row r="100" spans="1:10" s="8" customFormat="1" x14ac:dyDescent="0.2">
      <c r="A100" s="772" t="s">
        <v>531</v>
      </c>
      <c r="B100" s="798">
        <f t="shared" ref="B100:J100" si="26">B29/B$68</f>
        <v>4.7427184147375068E-2</v>
      </c>
      <c r="C100" s="798">
        <f t="shared" si="26"/>
        <v>6.6267795598054555E-2</v>
      </c>
      <c r="D100" s="798">
        <f t="shared" si="26"/>
        <v>7.1446770642374896E-2</v>
      </c>
      <c r="E100" s="798">
        <f t="shared" si="26"/>
        <v>6.2949763690155161E-2</v>
      </c>
      <c r="F100" s="798">
        <f t="shared" si="26"/>
        <v>6.4814759906580921E-2</v>
      </c>
      <c r="G100" s="798">
        <f t="shared" si="26"/>
        <v>6.6830934142541237E-2</v>
      </c>
      <c r="H100" s="799">
        <f t="shared" si="26"/>
        <v>6.0086488140176246E-2</v>
      </c>
      <c r="I100" s="799">
        <f t="shared" si="26"/>
        <v>6.618668748016733E-2</v>
      </c>
      <c r="J100" s="799">
        <f t="shared" si="26"/>
        <v>6.4580982871943651E-2</v>
      </c>
    </row>
    <row r="101" spans="1:10" x14ac:dyDescent="0.2">
      <c r="A101" s="770" t="s">
        <v>722</v>
      </c>
      <c r="B101" s="797">
        <f t="shared" ref="B101:J101" si="27">B30/B$68</f>
        <v>1.3670231089510083E-2</v>
      </c>
      <c r="C101" s="797">
        <f t="shared" si="27"/>
        <v>2.7095554898131004E-2</v>
      </c>
      <c r="D101" s="797">
        <f t="shared" si="27"/>
        <v>3.8091707983725971E-2</v>
      </c>
      <c r="E101" s="797">
        <f t="shared" si="27"/>
        <v>2.8212964682795213E-2</v>
      </c>
      <c r="F101" s="797">
        <f t="shared" si="27"/>
        <v>2.7471731541110798E-2</v>
      </c>
      <c r="G101" s="797">
        <f t="shared" si="27"/>
        <v>2.0191153434587956E-2</v>
      </c>
      <c r="H101" s="351">
        <f t="shared" si="27"/>
        <v>2.269091790426811E-2</v>
      </c>
      <c r="I101" s="351">
        <f t="shared" si="27"/>
        <v>2.7537147277728054E-2</v>
      </c>
      <c r="J101" s="351">
        <f t="shared" si="27"/>
        <v>2.6261514728073542E-2</v>
      </c>
    </row>
    <row r="102" spans="1:10" x14ac:dyDescent="0.2">
      <c r="A102" s="772" t="s">
        <v>723</v>
      </c>
      <c r="B102" s="798">
        <f t="shared" ref="B102:J102" si="28">B31/B$68</f>
        <v>3.3756953057315818E-2</v>
      </c>
      <c r="C102" s="798">
        <f t="shared" si="28"/>
        <v>3.9172240699387267E-2</v>
      </c>
      <c r="D102" s="798">
        <f t="shared" si="28"/>
        <v>3.3355062657998348E-2</v>
      </c>
      <c r="E102" s="798">
        <f t="shared" si="28"/>
        <v>3.4736799007148066E-2</v>
      </c>
      <c r="F102" s="798">
        <f t="shared" si="28"/>
        <v>3.734302836478437E-2</v>
      </c>
      <c r="G102" s="798">
        <f t="shared" si="28"/>
        <v>4.663978070753879E-2</v>
      </c>
      <c r="H102" s="799">
        <f t="shared" si="28"/>
        <v>3.7395570235367624E-2</v>
      </c>
      <c r="I102" s="799">
        <f t="shared" si="28"/>
        <v>3.8649540201988707E-2</v>
      </c>
      <c r="J102" s="799">
        <f t="shared" si="28"/>
        <v>3.8319468143395867E-2</v>
      </c>
    </row>
    <row r="103" spans="1:10" x14ac:dyDescent="0.2">
      <c r="A103" s="770" t="s">
        <v>532</v>
      </c>
      <c r="B103" s="797">
        <f t="shared" ref="B103:J103" si="29">B32/B$68</f>
        <v>0.11758223808469141</v>
      </c>
      <c r="C103" s="797">
        <f t="shared" si="29"/>
        <v>0.12264566005327823</v>
      </c>
      <c r="D103" s="797">
        <f t="shared" si="29"/>
        <v>0.13176097060440212</v>
      </c>
      <c r="E103" s="797">
        <f t="shared" si="29"/>
        <v>0.10725727933669965</v>
      </c>
      <c r="F103" s="797">
        <f t="shared" si="29"/>
        <v>0.12496382139040378</v>
      </c>
      <c r="G103" s="797">
        <f t="shared" si="29"/>
        <v>8.4504167200385796E-2</v>
      </c>
      <c r="H103" s="351">
        <f t="shared" si="29"/>
        <v>0.12098443116701074</v>
      </c>
      <c r="I103" s="351">
        <f t="shared" si="29"/>
        <v>0.10836330941485779</v>
      </c>
      <c r="J103" s="351">
        <f t="shared" si="29"/>
        <v>0.11168546205756369</v>
      </c>
    </row>
    <row r="104" spans="1:10" s="8" customFormat="1" x14ac:dyDescent="0.2">
      <c r="A104" s="772" t="s">
        <v>533</v>
      </c>
      <c r="B104" s="798">
        <f t="shared" ref="B104:J104" si="30">B33/B$68</f>
        <v>2.1552777550436348E-2</v>
      </c>
      <c r="C104" s="798">
        <f t="shared" si="30"/>
        <v>1.3601086195627308E-2</v>
      </c>
      <c r="D104" s="798">
        <f t="shared" si="30"/>
        <v>1.47560698173301E-2</v>
      </c>
      <c r="E104" s="798">
        <f t="shared" si="30"/>
        <v>1.0397413210636971E-2</v>
      </c>
      <c r="F104" s="798">
        <f t="shared" si="30"/>
        <v>1.4721717859170749E-2</v>
      </c>
      <c r="G104" s="798">
        <f t="shared" si="30"/>
        <v>1.121239628923997E-2</v>
      </c>
      <c r="H104" s="799">
        <f t="shared" si="30"/>
        <v>1.6209910712968269E-2</v>
      </c>
      <c r="I104" s="799">
        <f t="shared" si="30"/>
        <v>1.2324822154565771E-2</v>
      </c>
      <c r="J104" s="799">
        <f t="shared" si="30"/>
        <v>1.3347461621556225E-2</v>
      </c>
    </row>
    <row r="105" spans="1:10" x14ac:dyDescent="0.2">
      <c r="A105" s="779" t="s">
        <v>724</v>
      </c>
      <c r="B105" s="802">
        <f t="shared" ref="B105:J105" si="31">B34/B$68</f>
        <v>3.1236699553546365E-2</v>
      </c>
      <c r="C105" s="802">
        <f t="shared" si="31"/>
        <v>2.8541596140610977E-2</v>
      </c>
      <c r="D105" s="802">
        <f t="shared" si="31"/>
        <v>3.3298827813120803E-2</v>
      </c>
      <c r="E105" s="802">
        <f t="shared" si="31"/>
        <v>2.9253183032057234E-2</v>
      </c>
      <c r="F105" s="802">
        <f t="shared" si="31"/>
        <v>2.8928266230490135E-2</v>
      </c>
      <c r="G105" s="802">
        <f t="shared" si="31"/>
        <v>3.8176337850066772E-2</v>
      </c>
      <c r="H105" s="803">
        <f t="shared" si="31"/>
        <v>2.9425817062513699E-2</v>
      </c>
      <c r="I105" s="803">
        <f t="shared" si="31"/>
        <v>3.2764130334065292E-2</v>
      </c>
      <c r="J105" s="803">
        <f t="shared" si="31"/>
        <v>3.1885413966768264E-2</v>
      </c>
    </row>
    <row r="106" spans="1:10" x14ac:dyDescent="0.2">
      <c r="A106" s="772" t="s">
        <v>725</v>
      </c>
      <c r="B106" s="798">
        <f t="shared" ref="B106:J106" si="32">B35/B$68</f>
        <v>1.2631577181016279E-3</v>
      </c>
      <c r="C106" s="798">
        <f t="shared" si="32"/>
        <v>1.6231899101664322E-3</v>
      </c>
      <c r="D106" s="798">
        <f t="shared" si="32"/>
        <v>3.2444311358030109E-4</v>
      </c>
      <c r="E106" s="798">
        <f t="shared" si="32"/>
        <v>7.6341687698714593E-4</v>
      </c>
      <c r="F106" s="798">
        <f t="shared" si="32"/>
        <v>3.3262164393702232E-5</v>
      </c>
      <c r="G106" s="798">
        <f t="shared" si="32"/>
        <v>5.5603067375628422E-5</v>
      </c>
      <c r="H106" s="799">
        <f t="shared" si="32"/>
        <v>1.5050690264725971E-3</v>
      </c>
      <c r="I106" s="799">
        <f t="shared" si="32"/>
        <v>3.1964481294608789E-4</v>
      </c>
      <c r="J106" s="799">
        <f t="shared" si="32"/>
        <v>6.3167414449285565E-4</v>
      </c>
    </row>
    <row r="107" spans="1:10" x14ac:dyDescent="0.2">
      <c r="A107" s="782" t="s">
        <v>534</v>
      </c>
      <c r="B107" s="804">
        <f t="shared" ref="B107:J107" si="33">B36/B$68</f>
        <v>8.7534785589221432E-3</v>
      </c>
      <c r="C107" s="804">
        <f t="shared" si="33"/>
        <v>5.1855904550196681E-3</v>
      </c>
      <c r="D107" s="804">
        <f t="shared" si="33"/>
        <v>5.0259310127727663E-3</v>
      </c>
      <c r="E107" s="804">
        <f t="shared" si="33"/>
        <v>4.1382831514604019E-3</v>
      </c>
      <c r="F107" s="804">
        <f t="shared" si="33"/>
        <v>3.6679811316633103E-3</v>
      </c>
      <c r="G107" s="804">
        <f t="shared" si="33"/>
        <v>3.2828344651730443E-3</v>
      </c>
      <c r="H107" s="805">
        <f t="shared" si="33"/>
        <v>6.356158268238505E-3</v>
      </c>
      <c r="I107" s="805">
        <f t="shared" si="33"/>
        <v>3.9599498508017415E-3</v>
      </c>
      <c r="J107" s="805">
        <f t="shared" si="33"/>
        <v>4.59068381270998E-3</v>
      </c>
    </row>
    <row r="108" spans="1:10" x14ac:dyDescent="0.2">
      <c r="A108" s="784" t="s">
        <v>726</v>
      </c>
      <c r="B108" s="798">
        <f t="shared" ref="B108:J108" si="34">B37/B$68</f>
        <v>2.122006327652259E-2</v>
      </c>
      <c r="C108" s="798">
        <f t="shared" si="34"/>
        <v>2.1732815775424873E-2</v>
      </c>
      <c r="D108" s="798">
        <f t="shared" si="34"/>
        <v>2.7948453686117161E-2</v>
      </c>
      <c r="E108" s="798">
        <f t="shared" si="34"/>
        <v>2.4351483003185945E-2</v>
      </c>
      <c r="F108" s="798">
        <f t="shared" si="34"/>
        <v>2.5227022934090251E-2</v>
      </c>
      <c r="G108" s="798">
        <f t="shared" si="34"/>
        <v>3.48379003175181E-2</v>
      </c>
      <c r="H108" s="799">
        <f t="shared" si="34"/>
        <v>2.1564589767802591E-2</v>
      </c>
      <c r="I108" s="799">
        <f t="shared" si="34"/>
        <v>2.8484535669995623E-2</v>
      </c>
      <c r="J108" s="799">
        <f t="shared" si="34"/>
        <v>2.6663056009328306E-2</v>
      </c>
    </row>
    <row r="109" spans="1:10" x14ac:dyDescent="0.2">
      <c r="A109" s="782" t="s">
        <v>727</v>
      </c>
      <c r="B109" s="797">
        <f t="shared" ref="B109:J109" si="35">B38/B$68</f>
        <v>2.8486428639364412E-3</v>
      </c>
      <c r="C109" s="797">
        <f t="shared" si="35"/>
        <v>3.4917010936675584E-3</v>
      </c>
      <c r="D109" s="797">
        <f t="shared" si="35"/>
        <v>4.053219703640685E-3</v>
      </c>
      <c r="E109" s="797">
        <f t="shared" si="35"/>
        <v>4.0711179634117826E-3</v>
      </c>
      <c r="F109" s="797">
        <f t="shared" si="35"/>
        <v>4.9568589178495773E-3</v>
      </c>
      <c r="G109" s="797">
        <f t="shared" si="35"/>
        <v>1.6945301556256403E-3</v>
      </c>
      <c r="H109" s="351">
        <f t="shared" si="35"/>
        <v>3.2807238309766696E-3</v>
      </c>
      <c r="I109" s="351">
        <f t="shared" si="35"/>
        <v>3.4957241559322718E-3</v>
      </c>
      <c r="J109" s="351">
        <f t="shared" si="35"/>
        <v>3.4391314130873631E-3</v>
      </c>
    </row>
    <row r="110" spans="1:10" x14ac:dyDescent="0.2">
      <c r="A110" s="784" t="s">
        <v>728</v>
      </c>
      <c r="B110" s="806">
        <f t="shared" ref="B110:J110" si="36">B39/B$68</f>
        <v>1.5351053242691232E-2</v>
      </c>
      <c r="C110" s="806">
        <f t="shared" si="36"/>
        <v>1.4697312820150124E-2</v>
      </c>
      <c r="D110" s="806">
        <f t="shared" si="36"/>
        <v>1.5593148209787204E-2</v>
      </c>
      <c r="E110" s="806">
        <f t="shared" si="36"/>
        <v>1.5558518675881908E-2</v>
      </c>
      <c r="F110" s="806">
        <f t="shared" si="36"/>
        <v>1.3433911814128587E-2</v>
      </c>
      <c r="G110" s="806">
        <f t="shared" si="36"/>
        <v>2.0544328535157804E-2</v>
      </c>
      <c r="H110" s="807">
        <f t="shared" si="36"/>
        <v>1.491179474181961E-2</v>
      </c>
      <c r="I110" s="807">
        <f t="shared" si="36"/>
        <v>1.6715035786951798E-2</v>
      </c>
      <c r="J110" s="807">
        <f t="shared" si="36"/>
        <v>1.6240383682236962E-2</v>
      </c>
    </row>
    <row r="111" spans="1:10" s="8" customFormat="1" x14ac:dyDescent="0.2">
      <c r="A111" s="782" t="s">
        <v>729</v>
      </c>
      <c r="B111" s="804">
        <f t="shared" ref="B111:J111" si="37">B40/B$68</f>
        <v>1.4864238803129644E-3</v>
      </c>
      <c r="C111" s="804">
        <f t="shared" si="37"/>
        <v>2.00389644453044E-3</v>
      </c>
      <c r="D111" s="804">
        <f t="shared" si="37"/>
        <v>5.550106494242057E-3</v>
      </c>
      <c r="E111" s="804">
        <f t="shared" si="37"/>
        <v>2.3902691008246E-3</v>
      </c>
      <c r="F111" s="804">
        <f t="shared" si="37"/>
        <v>4.6674249559205388E-3</v>
      </c>
      <c r="G111" s="804">
        <f t="shared" si="37"/>
        <v>1.0438904815092101E-3</v>
      </c>
      <c r="H111" s="805">
        <f t="shared" si="37"/>
        <v>1.8341218579243596E-3</v>
      </c>
      <c r="I111" s="805">
        <f t="shared" si="37"/>
        <v>3.0248588798739858E-3</v>
      </c>
      <c r="J111" s="805">
        <f t="shared" si="37"/>
        <v>2.7114311020647033E-3</v>
      </c>
    </row>
    <row r="112" spans="1:10" x14ac:dyDescent="0.2">
      <c r="A112" s="784" t="s">
        <v>730</v>
      </c>
      <c r="B112" s="806">
        <f t="shared" ref="B112:J112" si="38">B41/B$68</f>
        <v>1.2258410107617964E-5</v>
      </c>
      <c r="C112" s="806">
        <f t="shared" si="38"/>
        <v>7.5425407757957272E-5</v>
      </c>
      <c r="D112" s="806">
        <f t="shared" si="38"/>
        <v>5.2295112901316415E-5</v>
      </c>
      <c r="E112" s="806">
        <f t="shared" si="38"/>
        <v>3.5077177337467793E-4</v>
      </c>
      <c r="F112" s="806">
        <f t="shared" si="38"/>
        <v>7.0240805408914404E-4</v>
      </c>
      <c r="G112" s="806">
        <f t="shared" si="38"/>
        <v>8.6194830325951911E-3</v>
      </c>
      <c r="H112" s="807">
        <f t="shared" si="38"/>
        <v>5.4701312115416862E-5</v>
      </c>
      <c r="I112" s="807">
        <f t="shared" si="38"/>
        <v>2.9258607365486291E-3</v>
      </c>
      <c r="J112" s="807">
        <f t="shared" si="38"/>
        <v>2.1701093812553762E-3</v>
      </c>
    </row>
    <row r="113" spans="1:12" x14ac:dyDescent="0.2">
      <c r="A113" s="782" t="s">
        <v>731</v>
      </c>
      <c r="B113" s="804">
        <f t="shared" ref="B113:J113" si="39">B42/B$68</f>
        <v>1.5216848794743362E-3</v>
      </c>
      <c r="C113" s="804">
        <f t="shared" si="39"/>
        <v>1.4644800090506502E-3</v>
      </c>
      <c r="D113" s="804">
        <f t="shared" si="39"/>
        <v>2.699684165545899E-3</v>
      </c>
      <c r="E113" s="804">
        <f t="shared" si="39"/>
        <v>1.9808054892692332E-3</v>
      </c>
      <c r="F113" s="804">
        <f t="shared" si="39"/>
        <v>1.4664191917595254E-3</v>
      </c>
      <c r="G113" s="804">
        <f t="shared" si="39"/>
        <v>2.9356681124230043E-3</v>
      </c>
      <c r="H113" s="805">
        <f t="shared" si="39"/>
        <v>1.4832480247863676E-3</v>
      </c>
      <c r="I113" s="805">
        <f t="shared" si="39"/>
        <v>2.3230561104314621E-3</v>
      </c>
      <c r="J113" s="805">
        <f t="shared" si="39"/>
        <v>2.1020004304467799E-3</v>
      </c>
    </row>
    <row r="114" spans="1:12" s="8" customFormat="1" x14ac:dyDescent="0.2">
      <c r="A114" s="790" t="s">
        <v>732</v>
      </c>
      <c r="B114" s="810">
        <f t="shared" ref="B114:J114" si="40">B43/B$68</f>
        <v>0.1657995868458717</v>
      </c>
      <c r="C114" s="810">
        <f t="shared" si="40"/>
        <v>0.16860981553213125</v>
      </c>
      <c r="D114" s="810">
        <f t="shared" si="40"/>
        <v>0.17831880318896726</v>
      </c>
      <c r="E114" s="810">
        <f t="shared" si="40"/>
        <v>0.21990016592370099</v>
      </c>
      <c r="F114" s="810">
        <f t="shared" si="40"/>
        <v>0.20000930747651011</v>
      </c>
      <c r="G114" s="810">
        <f t="shared" si="40"/>
        <v>0.31854544270981966</v>
      </c>
      <c r="H114" s="811">
        <f t="shared" si="40"/>
        <v>0.16768782382383701</v>
      </c>
      <c r="I114" s="811">
        <f t="shared" si="40"/>
        <v>0.23857574445323457</v>
      </c>
      <c r="J114" s="811">
        <f t="shared" si="40"/>
        <v>0.21991650817618127</v>
      </c>
    </row>
    <row r="115" spans="1:12" s="8" customFormat="1" x14ac:dyDescent="0.2">
      <c r="A115" s="782" t="s">
        <v>733</v>
      </c>
      <c r="B115" s="804">
        <f t="shared" ref="B115:J115" si="41">B44/B$68</f>
        <v>4.6350430566461532E-3</v>
      </c>
      <c r="C115" s="804">
        <f t="shared" si="41"/>
        <v>7.4831377432378254E-3</v>
      </c>
      <c r="D115" s="804">
        <f t="shared" si="41"/>
        <v>2.9113727128419055E-3</v>
      </c>
      <c r="E115" s="804">
        <f t="shared" si="41"/>
        <v>5.6168915055044922E-3</v>
      </c>
      <c r="F115" s="804">
        <f t="shared" si="41"/>
        <v>5.1669703873712797E-4</v>
      </c>
      <c r="G115" s="804">
        <f t="shared" si="41"/>
        <v>1.0052357845414016E-3</v>
      </c>
      <c r="H115" s="805">
        <f t="shared" si="41"/>
        <v>6.5487227974671686E-3</v>
      </c>
      <c r="I115" s="805">
        <f t="shared" si="41"/>
        <v>2.691754788633849E-3</v>
      </c>
      <c r="J115" s="805">
        <f t="shared" si="41"/>
        <v>3.7069923178330243E-3</v>
      </c>
    </row>
    <row r="116" spans="1:12" x14ac:dyDescent="0.2">
      <c r="A116" s="784" t="s">
        <v>734</v>
      </c>
      <c r="B116" s="806">
        <f t="shared" ref="B116:J116" si="42">B45/B$68</f>
        <v>0.14050601982950259</v>
      </c>
      <c r="C116" s="806">
        <f t="shared" si="42"/>
        <v>0.14654796401729817</v>
      </c>
      <c r="D116" s="806">
        <f t="shared" si="42"/>
        <v>0.16602977948106143</v>
      </c>
      <c r="E116" s="806">
        <f t="shared" si="42"/>
        <v>0.20450425662129065</v>
      </c>
      <c r="F116" s="806">
        <f t="shared" si="42"/>
        <v>0.1898767356946981</v>
      </c>
      <c r="G116" s="806">
        <f t="shared" si="42"/>
        <v>0.25591606628172442</v>
      </c>
      <c r="H116" s="807">
        <f t="shared" si="42"/>
        <v>0.14456569742441863</v>
      </c>
      <c r="I116" s="807">
        <f t="shared" si="42"/>
        <v>0.21011269991016551</v>
      </c>
      <c r="J116" s="807">
        <f t="shared" si="42"/>
        <v>0.19285930898298201</v>
      </c>
    </row>
    <row r="117" spans="1:12" x14ac:dyDescent="0.2">
      <c r="A117" s="782" t="s">
        <v>735</v>
      </c>
      <c r="B117" s="804">
        <f t="shared" ref="B117:J117" si="43">B46/B$68</f>
        <v>1.5734528066789585E-2</v>
      </c>
      <c r="C117" s="804">
        <f t="shared" si="43"/>
        <v>2.036099422026132E-2</v>
      </c>
      <c r="D117" s="804">
        <f t="shared" si="43"/>
        <v>2.2161653522504959E-2</v>
      </c>
      <c r="E117" s="804">
        <f t="shared" si="43"/>
        <v>3.6893664835460631E-2</v>
      </c>
      <c r="F117" s="804">
        <f t="shared" si="43"/>
        <v>3.2394401775165171E-2</v>
      </c>
      <c r="G117" s="804">
        <f t="shared" si="43"/>
        <v>4.9592484120335595E-2</v>
      </c>
      <c r="H117" s="805">
        <f t="shared" si="43"/>
        <v>1.8843123645150815E-2</v>
      </c>
      <c r="I117" s="805">
        <f t="shared" si="43"/>
        <v>3.7077933764220035E-2</v>
      </c>
      <c r="J117" s="805">
        <f t="shared" si="43"/>
        <v>3.2278136740158184E-2</v>
      </c>
    </row>
    <row r="118" spans="1:12" s="8" customFormat="1" x14ac:dyDescent="0.2">
      <c r="A118" s="784" t="s">
        <v>736</v>
      </c>
      <c r="B118" s="806">
        <f t="shared" ref="B118:J118" si="44">B47/B$68</f>
        <v>2.0713619977955806E-2</v>
      </c>
      <c r="C118" s="806">
        <f t="shared" si="44"/>
        <v>2.5010692427848598E-2</v>
      </c>
      <c r="D118" s="806">
        <f t="shared" si="44"/>
        <v>2.9494128707570313E-2</v>
      </c>
      <c r="E118" s="806">
        <f t="shared" si="44"/>
        <v>3.0914296178249832E-2</v>
      </c>
      <c r="F118" s="806">
        <f t="shared" si="44"/>
        <v>2.3015580512685797E-2</v>
      </c>
      <c r="G118" s="806">
        <f t="shared" si="44"/>
        <v>2.0525327018559258E-2</v>
      </c>
      <c r="H118" s="807">
        <f t="shared" si="44"/>
        <v>2.3600890731598028E-2</v>
      </c>
      <c r="I118" s="807">
        <f t="shared" si="44"/>
        <v>2.5923787779015439E-2</v>
      </c>
      <c r="J118" s="807">
        <f t="shared" si="44"/>
        <v>2.5312350957760226E-2</v>
      </c>
    </row>
    <row r="119" spans="1:12" x14ac:dyDescent="0.2">
      <c r="A119" s="770" t="s">
        <v>737</v>
      </c>
      <c r="B119" s="797">
        <f t="shared" ref="B119:J119" si="45">B48/B$68</f>
        <v>0.1040578717847572</v>
      </c>
      <c r="C119" s="797">
        <f t="shared" si="45"/>
        <v>0.1011762773689201</v>
      </c>
      <c r="D119" s="797">
        <f t="shared" si="45"/>
        <v>0.11437399725033554</v>
      </c>
      <c r="E119" s="797">
        <f t="shared" si="45"/>
        <v>0.13669629560736832</v>
      </c>
      <c r="F119" s="797">
        <f t="shared" si="45"/>
        <v>0.13446675340616138</v>
      </c>
      <c r="G119" s="797">
        <f t="shared" si="45"/>
        <v>0.18579825514303677</v>
      </c>
      <c r="H119" s="351">
        <f t="shared" si="45"/>
        <v>0.10212168304748961</v>
      </c>
      <c r="I119" s="351">
        <f t="shared" si="45"/>
        <v>0.14711097836667256</v>
      </c>
      <c r="J119" s="351">
        <f t="shared" si="45"/>
        <v>0.13526882128482648</v>
      </c>
      <c r="L119" s="316"/>
    </row>
    <row r="120" spans="1:12" x14ac:dyDescent="0.2">
      <c r="A120" s="772" t="s">
        <v>738</v>
      </c>
      <c r="B120" s="798">
        <f t="shared" ref="B120:J120" si="46">B49/B$68</f>
        <v>2.0658523959722973E-2</v>
      </c>
      <c r="C120" s="798">
        <f t="shared" si="46"/>
        <v>1.4578713771058949E-2</v>
      </c>
      <c r="D120" s="798">
        <f t="shared" si="46"/>
        <v>9.3776509950639422E-3</v>
      </c>
      <c r="E120" s="798">
        <f t="shared" si="46"/>
        <v>9.7790177964821312E-3</v>
      </c>
      <c r="F120" s="798">
        <f t="shared" si="46"/>
        <v>9.6158747427320442E-3</v>
      </c>
      <c r="G120" s="798">
        <f t="shared" si="46"/>
        <v>6.1624140643553857E-2</v>
      </c>
      <c r="H120" s="799">
        <f t="shared" si="46"/>
        <v>1.6573403601590857E-2</v>
      </c>
      <c r="I120" s="799">
        <f t="shared" si="46"/>
        <v>2.5771289754242154E-2</v>
      </c>
      <c r="J120" s="799">
        <f t="shared" si="46"/>
        <v>2.3350206875129131E-2</v>
      </c>
    </row>
    <row r="121" spans="1:12" s="8" customFormat="1" x14ac:dyDescent="0.2">
      <c r="A121" s="779" t="s">
        <v>739</v>
      </c>
      <c r="B121" s="802">
        <f t="shared" ref="B121:J121" si="47">B50/B$68</f>
        <v>2.1367307456571973E-2</v>
      </c>
      <c r="C121" s="802">
        <f t="shared" si="47"/>
        <v>1.8268652561071085E-2</v>
      </c>
      <c r="D121" s="802">
        <f t="shared" si="47"/>
        <v>1.6717512488986664E-2</v>
      </c>
      <c r="E121" s="802">
        <f t="shared" si="47"/>
        <v>1.3609537727838848E-2</v>
      </c>
      <c r="F121" s="802">
        <f t="shared" si="47"/>
        <v>1.9284005175182577E-2</v>
      </c>
      <c r="G121" s="802">
        <f t="shared" si="47"/>
        <v>3.3353809856544972E-2</v>
      </c>
      <c r="H121" s="803">
        <f t="shared" si="47"/>
        <v>1.9285272359483196E-2</v>
      </c>
      <c r="I121" s="803">
        <f t="shared" si="47"/>
        <v>2.1422084885015926E-2</v>
      </c>
      <c r="J121" s="803">
        <f t="shared" si="47"/>
        <v>2.0859629540865978E-2</v>
      </c>
    </row>
    <row r="122" spans="1:12" x14ac:dyDescent="0.2">
      <c r="A122" s="772" t="s">
        <v>740</v>
      </c>
      <c r="B122" s="798">
        <f t="shared" ref="B122:J122" si="48">B51/B$68</f>
        <v>3.2419918381123556E-3</v>
      </c>
      <c r="C122" s="798">
        <f t="shared" si="48"/>
        <v>3.2705515075540791E-3</v>
      </c>
      <c r="D122" s="798">
        <f t="shared" si="48"/>
        <v>4.135083026871475E-3</v>
      </c>
      <c r="E122" s="798">
        <f t="shared" si="48"/>
        <v>2.5439943285124889E-3</v>
      </c>
      <c r="F122" s="798">
        <f t="shared" si="48"/>
        <v>1.4602298039426162E-3</v>
      </c>
      <c r="G122" s="798">
        <f t="shared" si="48"/>
        <v>1.4063108509055925E-2</v>
      </c>
      <c r="H122" s="799">
        <f t="shared" si="48"/>
        <v>3.2611815304608833E-3</v>
      </c>
      <c r="I122" s="799">
        <f t="shared" si="48"/>
        <v>6.2330455184077208E-3</v>
      </c>
      <c r="J122" s="799">
        <f t="shared" si="48"/>
        <v>5.4507865405450029E-3</v>
      </c>
    </row>
    <row r="123" spans="1:12" x14ac:dyDescent="0.2">
      <c r="A123" s="770" t="s">
        <v>741</v>
      </c>
      <c r="B123" s="797">
        <f t="shared" ref="B123:J123" si="49">B52/B$68</f>
        <v>6.3188780090155314E-3</v>
      </c>
      <c r="C123" s="797">
        <f t="shared" si="49"/>
        <v>2.5821946535080565E-4</v>
      </c>
      <c r="D123" s="797">
        <f t="shared" si="49"/>
        <v>1.8642842722010474E-4</v>
      </c>
      <c r="E123" s="797">
        <f t="shared" si="49"/>
        <v>2.5609156644910633E-4</v>
      </c>
      <c r="F123" s="797">
        <f t="shared" si="49"/>
        <v>1.8789969456159522E-4</v>
      </c>
      <c r="G123" s="797">
        <f t="shared" si="49"/>
        <v>4.447497698791541E-3</v>
      </c>
      <c r="H123" s="351">
        <f t="shared" si="49"/>
        <v>2.246625943223239E-3</v>
      </c>
      <c r="I123" s="351">
        <f t="shared" si="49"/>
        <v>1.5312931813880664E-3</v>
      </c>
      <c r="J123" s="351">
        <f t="shared" si="49"/>
        <v>1.7195842597733492E-3</v>
      </c>
    </row>
    <row r="124" spans="1:12" x14ac:dyDescent="0.2">
      <c r="A124" s="772" t="s">
        <v>742</v>
      </c>
      <c r="B124" s="798">
        <f t="shared" ref="B124:J124" si="50">B53/B$68</f>
        <v>1.5485690066086156E-3</v>
      </c>
      <c r="C124" s="798">
        <f t="shared" si="50"/>
        <v>1.7919044508387309E-3</v>
      </c>
      <c r="D124" s="798">
        <f t="shared" si="50"/>
        <v>2.3005594038995967E-3</v>
      </c>
      <c r="E124" s="798">
        <f t="shared" si="50"/>
        <v>2.7427478370768599E-3</v>
      </c>
      <c r="F124" s="798">
        <f t="shared" si="50"/>
        <v>3.3063054259363971E-3</v>
      </c>
      <c r="G124" s="798">
        <f t="shared" si="50"/>
        <v>8.3566665718298946E-3</v>
      </c>
      <c r="H124" s="799">
        <f t="shared" si="50"/>
        <v>1.7120699295375926E-3</v>
      </c>
      <c r="I124" s="799">
        <f t="shared" si="50"/>
        <v>4.5046445338848629E-3</v>
      </c>
      <c r="J124" s="799">
        <f t="shared" si="50"/>
        <v>3.7695784055351302E-3</v>
      </c>
    </row>
    <row r="125" spans="1:12" s="8" customFormat="1" x14ac:dyDescent="0.2">
      <c r="A125" s="770" t="s">
        <v>743</v>
      </c>
      <c r="B125" s="797">
        <f t="shared" ref="B125:J125" si="51">B54/B$68</f>
        <v>5.3502482739878178E-3</v>
      </c>
      <c r="C125" s="797">
        <f t="shared" si="51"/>
        <v>5.6773934783426938E-3</v>
      </c>
      <c r="D125" s="797">
        <f t="shared" si="51"/>
        <v>4.9016992597050698E-3</v>
      </c>
      <c r="E125" s="797">
        <f t="shared" si="51"/>
        <v>1.9144215387597453E-3</v>
      </c>
      <c r="F125" s="797">
        <f t="shared" si="51"/>
        <v>1.1433422606818296E-2</v>
      </c>
      <c r="G125" s="797">
        <f t="shared" si="51"/>
        <v>9.3009700460955293E-4</v>
      </c>
      <c r="H125" s="351">
        <f t="shared" si="51"/>
        <v>5.5700622966142468E-3</v>
      </c>
      <c r="I125" s="351">
        <f t="shared" si="51"/>
        <v>3.9868288914023586E-3</v>
      </c>
      <c r="J125" s="351">
        <f t="shared" si="51"/>
        <v>4.4035702195056002E-3</v>
      </c>
    </row>
    <row r="126" spans="1:12" s="8" customFormat="1" x14ac:dyDescent="0.2">
      <c r="A126" s="784" t="s">
        <v>744</v>
      </c>
      <c r="B126" s="806">
        <f t="shared" ref="B126:J126" si="52">B55/B$68</f>
        <v>4.9076203277493326E-3</v>
      </c>
      <c r="C126" s="806">
        <f t="shared" si="52"/>
        <v>7.2705836589847771E-3</v>
      </c>
      <c r="D126" s="806">
        <f t="shared" si="52"/>
        <v>5.1937423709651287E-3</v>
      </c>
      <c r="E126" s="806">
        <f t="shared" si="52"/>
        <v>6.1522824566169034E-3</v>
      </c>
      <c r="F126" s="806">
        <f t="shared" si="52"/>
        <v>2.8961476432379225E-3</v>
      </c>
      <c r="G126" s="806">
        <f t="shared" si="52"/>
        <v>5.5564400720508073E-3</v>
      </c>
      <c r="H126" s="807">
        <f t="shared" si="52"/>
        <v>6.4953326592868954E-3</v>
      </c>
      <c r="I126" s="807">
        <f t="shared" si="52"/>
        <v>5.1662727595467089E-3</v>
      </c>
      <c r="J126" s="807">
        <f t="shared" si="52"/>
        <v>5.5161101151274938E-3</v>
      </c>
    </row>
    <row r="127" spans="1:12" x14ac:dyDescent="0.2">
      <c r="A127" s="787" t="s">
        <v>745</v>
      </c>
      <c r="B127" s="808">
        <f t="shared" ref="B127:J127" si="53">B56/B$68</f>
        <v>0.16728730784703424</v>
      </c>
      <c r="C127" s="808">
        <f t="shared" si="53"/>
        <v>0.1783181317378561</v>
      </c>
      <c r="D127" s="808">
        <f t="shared" si="53"/>
        <v>0.17185249483987491</v>
      </c>
      <c r="E127" s="808">
        <f t="shared" si="53"/>
        <v>0.14472932337121536</v>
      </c>
      <c r="F127" s="808">
        <f t="shared" si="53"/>
        <v>0.13786603701345812</v>
      </c>
      <c r="G127" s="808">
        <f t="shared" si="53"/>
        <v>8.42839113320943E-2</v>
      </c>
      <c r="H127" s="809">
        <f t="shared" si="53"/>
        <v>0.17469909240033923</v>
      </c>
      <c r="I127" s="809">
        <f t="shared" si="53"/>
        <v>0.13003452180871466</v>
      </c>
      <c r="J127" s="809">
        <f t="shared" si="53"/>
        <v>0.14179120430811123</v>
      </c>
    </row>
    <row r="128" spans="1:12" x14ac:dyDescent="0.2">
      <c r="A128" s="784" t="s">
        <v>746</v>
      </c>
      <c r="B128" s="806">
        <f t="shared" ref="B128:J128" si="54">B57/B$68</f>
        <v>9.6700408429294983E-4</v>
      </c>
      <c r="C128" s="806">
        <f t="shared" si="54"/>
        <v>4.9599327235962077E-4</v>
      </c>
      <c r="D128" s="806">
        <f t="shared" si="54"/>
        <v>6.3096699571399612E-4</v>
      </c>
      <c r="E128" s="806">
        <f t="shared" si="54"/>
        <v>6.1977340223788688E-4</v>
      </c>
      <c r="F128" s="806">
        <f t="shared" si="54"/>
        <v>3.8107823099424467E-5</v>
      </c>
      <c r="G128" s="806">
        <f t="shared" si="54"/>
        <v>5.2473503629056975E-4</v>
      </c>
      <c r="H128" s="807">
        <f t="shared" si="54"/>
        <v>6.5052449084827553E-4</v>
      </c>
      <c r="I128" s="807">
        <f t="shared" si="54"/>
        <v>4.8327453874804624E-4</v>
      </c>
      <c r="J128" s="807">
        <f t="shared" si="54"/>
        <v>5.272983490933851E-4</v>
      </c>
    </row>
    <row r="129" spans="1:10" x14ac:dyDescent="0.2">
      <c r="A129" s="782" t="s">
        <v>535</v>
      </c>
      <c r="B129" s="804">
        <f t="shared" ref="B129:J129" si="55">B58/B$68</f>
        <v>6.211329699584287E-5</v>
      </c>
      <c r="C129" s="804">
        <f t="shared" si="55"/>
        <v>2.4718434274397059E-5</v>
      </c>
      <c r="D129" s="804">
        <f t="shared" si="55"/>
        <v>1.3159534725696887E-4</v>
      </c>
      <c r="E129" s="804">
        <f t="shared" si="55"/>
        <v>1.9754081404915312E-6</v>
      </c>
      <c r="F129" s="804">
        <f t="shared" si="55"/>
        <v>0</v>
      </c>
      <c r="G129" s="804">
        <f t="shared" si="55"/>
        <v>0</v>
      </c>
      <c r="H129" s="805">
        <f t="shared" si="55"/>
        <v>3.6987098931672387E-5</v>
      </c>
      <c r="I129" s="805">
        <f t="shared" si="55"/>
        <v>2.6640010486940722E-5</v>
      </c>
      <c r="J129" s="805">
        <f t="shared" si="55"/>
        <v>2.9363588303240074E-5</v>
      </c>
    </row>
    <row r="130" spans="1:10" x14ac:dyDescent="0.2">
      <c r="A130" s="793" t="s">
        <v>747</v>
      </c>
      <c r="B130" s="798">
        <f t="shared" ref="B130:J130" si="56">B59/B$68</f>
        <v>2.9504074837105243E-3</v>
      </c>
      <c r="C130" s="798">
        <f t="shared" si="56"/>
        <v>6.9087440917387621E-3</v>
      </c>
      <c r="D130" s="798">
        <f t="shared" si="56"/>
        <v>2.471888433682025E-3</v>
      </c>
      <c r="E130" s="798">
        <f t="shared" si="56"/>
        <v>1.0513686032058815E-3</v>
      </c>
      <c r="F130" s="798">
        <f t="shared" si="56"/>
        <v>3.2266583720564853E-4</v>
      </c>
      <c r="G130" s="798">
        <f t="shared" si="56"/>
        <v>2.0821576853128215E-2</v>
      </c>
      <c r="H130" s="799">
        <f t="shared" si="56"/>
        <v>5.6100762825729809E-3</v>
      </c>
      <c r="I130" s="799">
        <f t="shared" si="56"/>
        <v>7.3359903688869042E-3</v>
      </c>
      <c r="J130" s="799">
        <f t="shared" si="56"/>
        <v>6.8816923947822599E-3</v>
      </c>
    </row>
    <row r="131" spans="1:10" s="8" customFormat="1" x14ac:dyDescent="0.2">
      <c r="A131" s="770" t="s">
        <v>748</v>
      </c>
      <c r="B131" s="797">
        <f t="shared" ref="B131:J131" si="57">B60/B$68</f>
        <v>0.15981210646674168</v>
      </c>
      <c r="C131" s="797">
        <f t="shared" si="57"/>
        <v>0.16840453737746872</v>
      </c>
      <c r="D131" s="797">
        <f t="shared" si="57"/>
        <v>0.1632747984238829</v>
      </c>
      <c r="E131" s="797">
        <f t="shared" si="57"/>
        <v>0.14045984056667346</v>
      </c>
      <c r="F131" s="797">
        <f t="shared" si="57"/>
        <v>0.13536031291383402</v>
      </c>
      <c r="G131" s="797">
        <f t="shared" si="57"/>
        <v>4.9765696548387833E-2</v>
      </c>
      <c r="H131" s="351">
        <f t="shared" si="57"/>
        <v>0.16558549631774419</v>
      </c>
      <c r="I131" s="351">
        <f t="shared" si="57"/>
        <v>0.11584884374763769</v>
      </c>
      <c r="J131" s="351">
        <f t="shared" si="57"/>
        <v>0.12894060809472821</v>
      </c>
    </row>
    <row r="132" spans="1:10" s="8" customFormat="1" x14ac:dyDescent="0.2">
      <c r="A132" s="772" t="s">
        <v>749</v>
      </c>
      <c r="B132" s="798">
        <f t="shared" ref="B132:J132" si="58">B61/B$68</f>
        <v>3.4956765147440777E-3</v>
      </c>
      <c r="C132" s="798">
        <f t="shared" si="58"/>
        <v>2.4841385620146166E-3</v>
      </c>
      <c r="D132" s="798">
        <f t="shared" si="58"/>
        <v>5.3432456393390469E-3</v>
      </c>
      <c r="E132" s="798">
        <f t="shared" si="58"/>
        <v>2.5963653909576432E-3</v>
      </c>
      <c r="F132" s="798">
        <f t="shared" si="58"/>
        <v>2.1449504389761541E-3</v>
      </c>
      <c r="G132" s="798">
        <f t="shared" si="58"/>
        <v>1.3171902894287671E-2</v>
      </c>
      <c r="H132" s="799">
        <f t="shared" si="58"/>
        <v>2.8160082100619501E-3</v>
      </c>
      <c r="I132" s="799">
        <f t="shared" si="58"/>
        <v>6.3397731428907287E-3</v>
      </c>
      <c r="J132" s="799">
        <f t="shared" si="58"/>
        <v>5.4122418811092974E-3</v>
      </c>
    </row>
    <row r="133" spans="1:10" s="8" customFormat="1" x14ac:dyDescent="0.2">
      <c r="A133" s="779" t="s">
        <v>750</v>
      </c>
      <c r="B133" s="802">
        <f t="shared" ref="B133:J133" si="59">B62/B$68</f>
        <v>1.2211789864536205E-2</v>
      </c>
      <c r="C133" s="802">
        <f t="shared" si="59"/>
        <v>1.2681649461444009E-2</v>
      </c>
      <c r="D133" s="802">
        <f t="shared" si="59"/>
        <v>1.2072725561754705E-2</v>
      </c>
      <c r="E133" s="802">
        <f t="shared" si="59"/>
        <v>1.738424609639308E-2</v>
      </c>
      <c r="F133" s="802">
        <f t="shared" si="59"/>
        <v>2.5159183098466268E-2</v>
      </c>
      <c r="G133" s="802">
        <f t="shared" si="59"/>
        <v>1.3424523680842666E-2</v>
      </c>
      <c r="H133" s="803">
        <f t="shared" si="59"/>
        <v>1.2527495938447961E-2</v>
      </c>
      <c r="I133" s="803">
        <f t="shared" si="59"/>
        <v>1.6562972943456968E-2</v>
      </c>
      <c r="J133" s="803">
        <f t="shared" si="59"/>
        <v>1.550074797961945E-2</v>
      </c>
    </row>
    <row r="134" spans="1:10" s="8" customFormat="1" x14ac:dyDescent="0.2">
      <c r="A134" s="784" t="s">
        <v>751</v>
      </c>
      <c r="B134" s="806">
        <f t="shared" ref="B134:J134" si="60">B63/B$68</f>
        <v>3.925352780608138E-3</v>
      </c>
      <c r="C134" s="806">
        <f t="shared" si="60"/>
        <v>4.5822713662603091E-3</v>
      </c>
      <c r="D134" s="806">
        <f t="shared" si="60"/>
        <v>4.1834272500278751E-3</v>
      </c>
      <c r="E134" s="806">
        <f t="shared" si="60"/>
        <v>5.6658737866649E-3</v>
      </c>
      <c r="F134" s="806">
        <f t="shared" si="60"/>
        <v>1.2268186967053465E-2</v>
      </c>
      <c r="G134" s="806">
        <f t="shared" si="60"/>
        <v>5.5005058819808808E-3</v>
      </c>
      <c r="H134" s="807">
        <f t="shared" si="60"/>
        <v>4.3667467394009089E-3</v>
      </c>
      <c r="I134" s="807">
        <f t="shared" si="60"/>
        <v>6.5606240946843421E-3</v>
      </c>
      <c r="J134" s="807">
        <f t="shared" si="60"/>
        <v>5.9831480512110898E-3</v>
      </c>
    </row>
    <row r="135" spans="1:10" s="8" customFormat="1" x14ac:dyDescent="0.2">
      <c r="A135" s="782" t="s">
        <v>536</v>
      </c>
      <c r="B135" s="804">
        <f t="shared" ref="B135:J135" si="61">B64/B$68</f>
        <v>9.4653151874489428E-4</v>
      </c>
      <c r="C135" s="804">
        <f t="shared" si="61"/>
        <v>9.2791792595605359E-4</v>
      </c>
      <c r="D135" s="804">
        <f t="shared" si="61"/>
        <v>3.4289902130764339E-4</v>
      </c>
      <c r="E135" s="804">
        <f t="shared" si="61"/>
        <v>2.9871435492361468E-3</v>
      </c>
      <c r="F135" s="804">
        <f t="shared" si="61"/>
        <v>2.2616395137262145E-3</v>
      </c>
      <c r="G135" s="804">
        <f t="shared" si="61"/>
        <v>3.2372384523581281E-4</v>
      </c>
      <c r="H135" s="805">
        <f t="shared" si="61"/>
        <v>9.3402475217158076E-4</v>
      </c>
      <c r="I135" s="805">
        <f t="shared" si="61"/>
        <v>1.5004872556154821E-3</v>
      </c>
      <c r="J135" s="805">
        <f t="shared" si="61"/>
        <v>1.3513820540521631E-3</v>
      </c>
    </row>
    <row r="136" spans="1:10" s="8" customFormat="1" x14ac:dyDescent="0.2">
      <c r="A136" s="784" t="s">
        <v>752</v>
      </c>
      <c r="B136" s="806">
        <f t="shared" ref="B136:J136" si="62">B65/B$68</f>
        <v>3.2150386931283418E-4</v>
      </c>
      <c r="C136" s="806">
        <f t="shared" si="62"/>
        <v>6.9747030126874503E-4</v>
      </c>
      <c r="D136" s="806">
        <f t="shared" si="62"/>
        <v>4.8662355014950646E-4</v>
      </c>
      <c r="E136" s="806">
        <f t="shared" si="62"/>
        <v>8.0871685535206252E-4</v>
      </c>
      <c r="F136" s="806">
        <f t="shared" si="62"/>
        <v>2.2494735227487095E-4</v>
      </c>
      <c r="G136" s="806">
        <f t="shared" si="62"/>
        <v>2.4191643699120078E-3</v>
      </c>
      <c r="H136" s="807">
        <f t="shared" si="62"/>
        <v>5.7412164478566922E-4</v>
      </c>
      <c r="I136" s="807">
        <f t="shared" si="62"/>
        <v>1.1355711990969609E-3</v>
      </c>
      <c r="J136" s="807">
        <f t="shared" si="62"/>
        <v>9.8778551433537217E-4</v>
      </c>
    </row>
    <row r="137" spans="1:10" s="8" customFormat="1" x14ac:dyDescent="0.2">
      <c r="A137" s="782" t="s">
        <v>753</v>
      </c>
      <c r="B137" s="804">
        <f t="shared" ref="B137:J137" si="63">B66/B$68</f>
        <v>1.8010567115582666E-3</v>
      </c>
      <c r="C137" s="804">
        <f t="shared" si="63"/>
        <v>3.1917430196819114E-3</v>
      </c>
      <c r="D137" s="804">
        <f t="shared" si="63"/>
        <v>4.0669865152406877E-3</v>
      </c>
      <c r="E137" s="804">
        <f t="shared" si="63"/>
        <v>5.8613547662820127E-3</v>
      </c>
      <c r="F137" s="804">
        <f t="shared" si="63"/>
        <v>8.4059599225952131E-3</v>
      </c>
      <c r="G137" s="804">
        <f t="shared" si="63"/>
        <v>3.0679676860865274E-3</v>
      </c>
      <c r="H137" s="805">
        <f t="shared" si="63"/>
        <v>2.7354807762575389E-3</v>
      </c>
      <c r="I137" s="805">
        <f t="shared" si="63"/>
        <v>5.116403702233656E-3</v>
      </c>
      <c r="J137" s="805">
        <f t="shared" si="63"/>
        <v>4.4896932127907237E-3</v>
      </c>
    </row>
    <row r="138" spans="1:10" s="8" customFormat="1" x14ac:dyDescent="0.2">
      <c r="A138" s="793" t="s">
        <v>754</v>
      </c>
      <c r="B138" s="798">
        <f t="shared" ref="B138:J138" si="64">B67/B$68</f>
        <v>5.2173449837629136E-3</v>
      </c>
      <c r="C138" s="798">
        <f t="shared" si="64"/>
        <v>3.2822468480088463E-3</v>
      </c>
      <c r="D138" s="798">
        <f t="shared" si="64"/>
        <v>2.9927892247037045E-3</v>
      </c>
      <c r="E138" s="798">
        <f t="shared" si="64"/>
        <v>2.0611571384342143E-3</v>
      </c>
      <c r="F138" s="798">
        <f t="shared" si="64"/>
        <v>1.9984493421307567E-3</v>
      </c>
      <c r="G138" s="798">
        <f t="shared" si="64"/>
        <v>2.1131618972129456E-3</v>
      </c>
      <c r="H138" s="799">
        <f t="shared" si="64"/>
        <v>3.9171220254719235E-3</v>
      </c>
      <c r="I138" s="799">
        <f t="shared" si="64"/>
        <v>2.249886691375953E-3</v>
      </c>
      <c r="J138" s="799">
        <f t="shared" si="64"/>
        <v>2.6887391468032812E-3</v>
      </c>
    </row>
    <row r="139" spans="1:10" x14ac:dyDescent="0.2">
      <c r="A139" s="935" t="s">
        <v>807</v>
      </c>
      <c r="B139" s="937">
        <f t="shared" ref="B139:J139" si="65">B68/B$68</f>
        <v>1</v>
      </c>
      <c r="C139" s="937">
        <f t="shared" si="65"/>
        <v>1</v>
      </c>
      <c r="D139" s="937">
        <f t="shared" si="65"/>
        <v>1</v>
      </c>
      <c r="E139" s="937">
        <f t="shared" si="65"/>
        <v>1</v>
      </c>
      <c r="F139" s="937">
        <f t="shared" si="65"/>
        <v>1</v>
      </c>
      <c r="G139" s="937">
        <f t="shared" si="65"/>
        <v>1</v>
      </c>
      <c r="H139" s="998">
        <f t="shared" si="65"/>
        <v>1</v>
      </c>
      <c r="I139" s="998">
        <f t="shared" si="65"/>
        <v>1</v>
      </c>
      <c r="J139" s="998">
        <f t="shared" si="65"/>
        <v>1</v>
      </c>
    </row>
    <row r="140" spans="1:10" x14ac:dyDescent="0.2">
      <c r="A140" s="794" t="s">
        <v>582</v>
      </c>
      <c r="B140" s="3"/>
      <c r="C140" s="3"/>
      <c r="D140" s="245"/>
      <c r="E140" s="3"/>
      <c r="F140" s="3"/>
      <c r="G140" s="245"/>
      <c r="H140" s="3"/>
      <c r="I140" s="3"/>
      <c r="J140" s="3"/>
    </row>
    <row r="141" spans="1:10" x14ac:dyDescent="0.2">
      <c r="A141" s="794" t="s">
        <v>316</v>
      </c>
      <c r="B141" s="3"/>
      <c r="C141" s="3"/>
      <c r="D141" s="245"/>
      <c r="E141" s="3"/>
      <c r="F141" s="3"/>
      <c r="G141" s="245"/>
      <c r="H141" s="3"/>
      <c r="I141" s="3"/>
      <c r="J141" s="3"/>
    </row>
    <row r="142" spans="1:10" x14ac:dyDescent="0.2">
      <c r="A142" s="286" t="s">
        <v>951</v>
      </c>
      <c r="B142" s="3"/>
      <c r="C142" s="3"/>
      <c r="D142" s="245"/>
      <c r="E142" s="3"/>
      <c r="F142" s="3"/>
      <c r="G142" s="245"/>
      <c r="H142" s="3"/>
      <c r="I142" s="3"/>
      <c r="J142" s="3"/>
    </row>
    <row r="145" spans="1:11" ht="16.5" x14ac:dyDescent="0.25">
      <c r="A145" s="108" t="s">
        <v>761</v>
      </c>
    </row>
    <row r="146" spans="1:11" ht="13.5" thickBot="1" x14ac:dyDescent="0.25">
      <c r="A146" s="231"/>
      <c r="J146" s="652" t="s">
        <v>537</v>
      </c>
    </row>
    <row r="147" spans="1:11" x14ac:dyDescent="0.2">
      <c r="A147" s="230" t="s">
        <v>758</v>
      </c>
      <c r="B147" s="760" t="s">
        <v>38</v>
      </c>
      <c r="C147" s="760" t="s">
        <v>39</v>
      </c>
      <c r="D147" s="760" t="s">
        <v>125</v>
      </c>
      <c r="E147" s="760" t="s">
        <v>126</v>
      </c>
      <c r="F147" s="760" t="s">
        <v>127</v>
      </c>
      <c r="G147" s="761">
        <v>100000</v>
      </c>
      <c r="H147" s="762" t="s">
        <v>229</v>
      </c>
      <c r="I147" s="762" t="s">
        <v>228</v>
      </c>
      <c r="J147" s="762" t="s">
        <v>220</v>
      </c>
    </row>
    <row r="148" spans="1:11" x14ac:dyDescent="0.2">
      <c r="A148" s="229"/>
      <c r="B148" s="763" t="s">
        <v>40</v>
      </c>
      <c r="C148" s="763" t="s">
        <v>40</v>
      </c>
      <c r="D148" s="763" t="s">
        <v>40</v>
      </c>
      <c r="E148" s="763" t="s">
        <v>40</v>
      </c>
      <c r="F148" s="763" t="s">
        <v>40</v>
      </c>
      <c r="G148" s="763" t="s">
        <v>43</v>
      </c>
      <c r="H148" s="764" t="s">
        <v>523</v>
      </c>
      <c r="I148" s="764" t="s">
        <v>138</v>
      </c>
      <c r="J148" s="764" t="s">
        <v>142</v>
      </c>
    </row>
    <row r="149" spans="1:11" ht="13.5" thickBot="1" x14ac:dyDescent="0.25">
      <c r="A149" s="232"/>
      <c r="B149" s="765" t="s">
        <v>46</v>
      </c>
      <c r="C149" s="765" t="s">
        <v>42</v>
      </c>
      <c r="D149" s="765" t="s">
        <v>128</v>
      </c>
      <c r="E149" s="765" t="s">
        <v>129</v>
      </c>
      <c r="F149" s="765" t="s">
        <v>130</v>
      </c>
      <c r="G149" s="765" t="s">
        <v>131</v>
      </c>
      <c r="H149" s="766" t="s">
        <v>138</v>
      </c>
      <c r="I149" s="766" t="s">
        <v>131</v>
      </c>
      <c r="J149" s="766" t="s">
        <v>611</v>
      </c>
    </row>
    <row r="151" spans="1:11" s="8" customFormat="1" ht="14.25" customHeight="1" x14ac:dyDescent="0.2">
      <c r="A151" s="767" t="s">
        <v>709</v>
      </c>
      <c r="B151" s="768">
        <v>118.48538184878448</v>
      </c>
      <c r="C151" s="768">
        <v>92.678128982313368</v>
      </c>
      <c r="D151" s="768">
        <v>71.576262901917644</v>
      </c>
      <c r="E151" s="768">
        <v>76.33773134781211</v>
      </c>
      <c r="F151" s="768">
        <v>83.003557471913581</v>
      </c>
      <c r="G151" s="768">
        <v>78.895728460978432</v>
      </c>
      <c r="H151" s="769">
        <v>101.1207713892273</v>
      </c>
      <c r="I151" s="769">
        <v>77.236408996487981</v>
      </c>
      <c r="J151" s="769">
        <v>83.587999026393447</v>
      </c>
      <c r="K151" s="813"/>
    </row>
    <row r="152" spans="1:11" ht="14.25" customHeight="1" x14ac:dyDescent="0.2">
      <c r="A152" s="770" t="s">
        <v>710</v>
      </c>
      <c r="B152" s="771">
        <v>30.191781935835468</v>
      </c>
      <c r="C152" s="771">
        <v>12.030267279196636</v>
      </c>
      <c r="D152" s="771">
        <v>11.166861845686949</v>
      </c>
      <c r="E152" s="771">
        <v>11.907920410366156</v>
      </c>
      <c r="F152" s="771">
        <v>10.012511440199377</v>
      </c>
      <c r="G152" s="771">
        <v>14.373196575903705</v>
      </c>
      <c r="H152" s="316">
        <v>17.971665792524519</v>
      </c>
      <c r="I152" s="316">
        <v>12.145185949873428</v>
      </c>
      <c r="J152" s="316">
        <v>13.694626988721415</v>
      </c>
    </row>
    <row r="153" spans="1:11" ht="14.25" customHeight="1" x14ac:dyDescent="0.2">
      <c r="A153" s="772" t="s">
        <v>524</v>
      </c>
      <c r="B153" s="773">
        <v>87.901373886392435</v>
      </c>
      <c r="C153" s="773">
        <v>80.484227914094632</v>
      </c>
      <c r="D153" s="773">
        <v>60.285669202327156</v>
      </c>
      <c r="E153" s="773">
        <v>64.346869545852201</v>
      </c>
      <c r="F153" s="773">
        <v>72.903181994895618</v>
      </c>
      <c r="G153" s="773">
        <v>57.905717919635613</v>
      </c>
      <c r="H153" s="774">
        <v>82.910689631968879</v>
      </c>
      <c r="I153" s="774">
        <v>63.065524562782741</v>
      </c>
      <c r="J153" s="774">
        <v>68.342967205906803</v>
      </c>
    </row>
    <row r="154" spans="1:11" ht="14.25" customHeight="1" x14ac:dyDescent="0.2">
      <c r="A154" s="770" t="s">
        <v>711</v>
      </c>
      <c r="B154" s="771">
        <v>8.7323092986608369E-2</v>
      </c>
      <c r="C154" s="771">
        <v>8.7373016471317622E-2</v>
      </c>
      <c r="D154" s="771">
        <v>8.9478717680268244E-2</v>
      </c>
      <c r="E154" s="771">
        <v>6.4063739853838522E-2</v>
      </c>
      <c r="F154" s="771">
        <v>7.2310112577136681E-2</v>
      </c>
      <c r="G154" s="771">
        <v>6.4321497452178793</v>
      </c>
      <c r="H154" s="316">
        <v>8.735668439090255E-2</v>
      </c>
      <c r="I154" s="316">
        <v>1.9550386693141137</v>
      </c>
      <c r="J154" s="316">
        <v>1.4583643147967615</v>
      </c>
    </row>
    <row r="155" spans="1:11" s="8" customFormat="1" ht="14.25" customHeight="1" x14ac:dyDescent="0.2">
      <c r="A155" s="772" t="s">
        <v>712</v>
      </c>
      <c r="B155" s="773">
        <v>0.30490293332883206</v>
      </c>
      <c r="C155" s="773">
        <v>7.626077255076627E-2</v>
      </c>
      <c r="D155" s="773">
        <v>3.4253136223279489E-2</v>
      </c>
      <c r="E155" s="773">
        <v>1.8877651648676243E-2</v>
      </c>
      <c r="F155" s="773">
        <v>1.5553924404460052E-2</v>
      </c>
      <c r="G155" s="773">
        <v>0.18466422012464342</v>
      </c>
      <c r="H155" s="774">
        <v>0.15105928026412488</v>
      </c>
      <c r="I155" s="774">
        <v>7.0659814489144976E-2</v>
      </c>
      <c r="J155" s="774">
        <v>9.2040516926540875E-2</v>
      </c>
    </row>
    <row r="156" spans="1:11" s="68" customFormat="1" ht="14.25" customHeight="1" x14ac:dyDescent="0.2">
      <c r="A156" s="779" t="s">
        <v>525</v>
      </c>
      <c r="B156" s="780">
        <v>5.9201124066944866</v>
      </c>
      <c r="C156" s="780">
        <v>7.4307198766905138</v>
      </c>
      <c r="D156" s="780">
        <v>8.8310082868388609</v>
      </c>
      <c r="E156" s="780">
        <v>10.630552389375346</v>
      </c>
      <c r="F156" s="780">
        <v>8.8725579997284303</v>
      </c>
      <c r="G156" s="780">
        <v>13.821053773888631</v>
      </c>
      <c r="H156" s="781">
        <v>6.9365363712869277</v>
      </c>
      <c r="I156" s="781">
        <v>10.878218458011998</v>
      </c>
      <c r="J156" s="781">
        <v>9.8300033860990599</v>
      </c>
    </row>
    <row r="157" spans="1:11" ht="14.25" customHeight="1" x14ac:dyDescent="0.2">
      <c r="A157" s="772" t="s">
        <v>713</v>
      </c>
      <c r="B157" s="773">
        <v>0.70940454232522587</v>
      </c>
      <c r="C157" s="773">
        <v>0.93318000504840126</v>
      </c>
      <c r="D157" s="773">
        <v>0.93246232543037755</v>
      </c>
      <c r="E157" s="773">
        <v>1.0319716332255073</v>
      </c>
      <c r="F157" s="773">
        <v>1.3960553370997599</v>
      </c>
      <c r="G157" s="773">
        <v>1.3821883250064162</v>
      </c>
      <c r="H157" s="774">
        <v>0.85997359981849775</v>
      </c>
      <c r="I157" s="774">
        <v>1.1779585403383812</v>
      </c>
      <c r="J157" s="774">
        <v>1.0933965183486232</v>
      </c>
    </row>
    <row r="158" spans="1:11" ht="14.25" customHeight="1" x14ac:dyDescent="0.2">
      <c r="A158" s="770" t="s">
        <v>714</v>
      </c>
      <c r="B158" s="771">
        <v>3.0744485633573229</v>
      </c>
      <c r="C158" s="771">
        <v>4.7739600756580183</v>
      </c>
      <c r="D158" s="771">
        <v>6.2889850681845294</v>
      </c>
      <c r="E158" s="771">
        <v>8.2082910346764635</v>
      </c>
      <c r="F158" s="771">
        <v>5.5701519202076968</v>
      </c>
      <c r="G158" s="771">
        <v>6.9480427895640613</v>
      </c>
      <c r="H158" s="316">
        <v>4.2179780794715995</v>
      </c>
      <c r="I158" s="316">
        <v>6.9590353262926747</v>
      </c>
      <c r="J158" s="316">
        <v>6.2301035007731684</v>
      </c>
    </row>
    <row r="159" spans="1:11" ht="14.25" customHeight="1" x14ac:dyDescent="0.2">
      <c r="A159" s="778" t="s">
        <v>715</v>
      </c>
      <c r="B159" s="773">
        <v>1.3201776030595647</v>
      </c>
      <c r="C159" s="773">
        <v>0.76548183449005336</v>
      </c>
      <c r="D159" s="773">
        <v>0.64398341426242767</v>
      </c>
      <c r="E159" s="773">
        <v>0.68894298877211813</v>
      </c>
      <c r="F159" s="773">
        <v>0.78877186547991451</v>
      </c>
      <c r="G159" s="773">
        <v>3.1776454881594143</v>
      </c>
      <c r="H159" s="774">
        <v>0.9469462485015494</v>
      </c>
      <c r="I159" s="774">
        <v>1.4330520635194077</v>
      </c>
      <c r="J159" s="774">
        <v>1.3037815057637989</v>
      </c>
    </row>
    <row r="160" spans="1:11" s="8" customFormat="1" ht="14.25" customHeight="1" x14ac:dyDescent="0.2">
      <c r="A160" s="770" t="s">
        <v>526</v>
      </c>
      <c r="B160" s="771">
        <v>0.26595079545550454</v>
      </c>
      <c r="C160" s="771">
        <v>0.27492500615222604</v>
      </c>
      <c r="D160" s="771">
        <v>0.19779099089547689</v>
      </c>
      <c r="E160" s="771">
        <v>0.1536453581496566</v>
      </c>
      <c r="F160" s="771">
        <v>0.41535175224586196</v>
      </c>
      <c r="G160" s="771">
        <v>0.77049562277814854</v>
      </c>
      <c r="H160" s="316">
        <v>0.27198916279885788</v>
      </c>
      <c r="I160" s="316">
        <v>0.39154730008965838</v>
      </c>
      <c r="J160" s="316">
        <v>0.35975309682295675</v>
      </c>
    </row>
    <row r="161" spans="1:12" s="8" customFormat="1" ht="14.25" customHeight="1" x14ac:dyDescent="0.2">
      <c r="A161" s="772" t="s">
        <v>716</v>
      </c>
      <c r="B161" s="773">
        <v>0.55013090201459136</v>
      </c>
      <c r="C161" s="773">
        <v>0.68317295534181466</v>
      </c>
      <c r="D161" s="773">
        <v>0.76778648753594758</v>
      </c>
      <c r="E161" s="773">
        <v>0.54770137446034883</v>
      </c>
      <c r="F161" s="773">
        <v>0.70222712436918544</v>
      </c>
      <c r="G161" s="773">
        <v>1.5426815483805907</v>
      </c>
      <c r="H161" s="774">
        <v>0.63964928053865022</v>
      </c>
      <c r="I161" s="774">
        <v>0.91662522757183085</v>
      </c>
      <c r="J161" s="774">
        <v>0.84296876420170663</v>
      </c>
    </row>
    <row r="162" spans="1:12" s="68" customFormat="1" ht="14.25" customHeight="1" x14ac:dyDescent="0.2">
      <c r="A162" s="779" t="s">
        <v>527</v>
      </c>
      <c r="B162" s="780">
        <v>54.651557597730402</v>
      </c>
      <c r="C162" s="780">
        <v>67.463763199734373</v>
      </c>
      <c r="D162" s="780">
        <v>65.873215143591722</v>
      </c>
      <c r="E162" s="780">
        <v>80.203502182421076</v>
      </c>
      <c r="F162" s="780">
        <v>86.296663434086</v>
      </c>
      <c r="G162" s="780">
        <v>64.235763802923927</v>
      </c>
      <c r="H162" s="781">
        <v>63.272349611420495</v>
      </c>
      <c r="I162" s="781">
        <v>73.457350435227497</v>
      </c>
      <c r="J162" s="781">
        <v>70.748843981367258</v>
      </c>
    </row>
    <row r="163" spans="1:12" ht="14.25" customHeight="1" x14ac:dyDescent="0.2">
      <c r="A163" s="778" t="s">
        <v>717</v>
      </c>
      <c r="B163" s="773">
        <v>7.6345372490200729</v>
      </c>
      <c r="C163" s="773">
        <v>4.5365949200843714</v>
      </c>
      <c r="D163" s="773">
        <v>10.544374505877521</v>
      </c>
      <c r="E163" s="773">
        <v>8.8576985420078529</v>
      </c>
      <c r="F163" s="773">
        <v>5.7951693840655016</v>
      </c>
      <c r="G163" s="773">
        <v>4.5287099745560786</v>
      </c>
      <c r="H163" s="774">
        <v>5.5500627004705114</v>
      </c>
      <c r="I163" s="774">
        <v>7.4037311025966481</v>
      </c>
      <c r="J163" s="774">
        <v>6.9107833927899041</v>
      </c>
    </row>
    <row r="164" spans="1:12" ht="14.25" customHeight="1" x14ac:dyDescent="0.2">
      <c r="A164" s="770" t="s">
        <v>528</v>
      </c>
      <c r="B164" s="771">
        <v>38.047115426953731</v>
      </c>
      <c r="C164" s="771">
        <v>53.954098213796861</v>
      </c>
      <c r="D164" s="771">
        <v>49.808759012285144</v>
      </c>
      <c r="E164" s="771">
        <v>65.70281054935252</v>
      </c>
      <c r="F164" s="771">
        <v>75.784285742299545</v>
      </c>
      <c r="G164" s="771">
        <v>51.927569303219464</v>
      </c>
      <c r="H164" s="316">
        <v>48.750252297413752</v>
      </c>
      <c r="I164" s="316">
        <v>59.967341412516141</v>
      </c>
      <c r="J164" s="316">
        <v>56.984370788619401</v>
      </c>
    </row>
    <row r="165" spans="1:12" ht="14.25" customHeight="1" x14ac:dyDescent="0.2">
      <c r="A165" s="772" t="s">
        <v>529</v>
      </c>
      <c r="B165" s="773">
        <v>7.4597210751399509E-2</v>
      </c>
      <c r="C165" s="773">
        <v>0.21896247851410522</v>
      </c>
      <c r="D165" s="773">
        <v>0.26963919185761431</v>
      </c>
      <c r="E165" s="773">
        <v>4.2600443245965014E-2</v>
      </c>
      <c r="F165" s="773">
        <v>1.2067366648915265E-2</v>
      </c>
      <c r="G165" s="773">
        <v>1.9379664520050139</v>
      </c>
      <c r="H165" s="774">
        <v>0.17173450202217852</v>
      </c>
      <c r="I165" s="774">
        <v>0.64696564919582789</v>
      </c>
      <c r="J165" s="774">
        <v>0.5205870016667532</v>
      </c>
      <c r="L165" s="943"/>
    </row>
    <row r="166" spans="1:12" ht="14.25" customHeight="1" x14ac:dyDescent="0.2">
      <c r="A166" s="770" t="s">
        <v>718</v>
      </c>
      <c r="B166" s="771">
        <v>0.84488399431395511</v>
      </c>
      <c r="C166" s="771">
        <v>0.29351759020793061</v>
      </c>
      <c r="D166" s="771">
        <v>0.15095449461282587</v>
      </c>
      <c r="E166" s="771">
        <v>0.24280722596592424</v>
      </c>
      <c r="F166" s="771">
        <v>0.21413464674141164</v>
      </c>
      <c r="G166" s="771">
        <v>1.6847370725590773</v>
      </c>
      <c r="H166" s="316">
        <v>0.47389282848449099</v>
      </c>
      <c r="I166" s="316">
        <v>0.64457935806432265</v>
      </c>
      <c r="J166" s="316">
        <v>0.59918853532885819</v>
      </c>
    </row>
    <row r="167" spans="1:12" s="8" customFormat="1" ht="14.25" customHeight="1" x14ac:dyDescent="0.2">
      <c r="A167" s="772" t="s">
        <v>719</v>
      </c>
      <c r="B167" s="773">
        <v>7.5368865308494462</v>
      </c>
      <c r="C167" s="773">
        <v>7.1505578552525115</v>
      </c>
      <c r="D167" s="773">
        <v>4.8825703924089208</v>
      </c>
      <c r="E167" s="773">
        <v>5.0515781186109558</v>
      </c>
      <c r="F167" s="773">
        <v>3.6440945000486575</v>
      </c>
      <c r="G167" s="773">
        <v>3.7128605976235276</v>
      </c>
      <c r="H167" s="774">
        <v>7.2769422820056242</v>
      </c>
      <c r="I167" s="774">
        <v>4.3723033700078409</v>
      </c>
      <c r="J167" s="774">
        <v>5.1447366152649545</v>
      </c>
    </row>
    <row r="168" spans="1:12" s="8" customFormat="1" ht="14.25" customHeight="1" x14ac:dyDescent="0.2">
      <c r="A168" s="782" t="s">
        <v>530</v>
      </c>
      <c r="B168" s="783">
        <v>0.51353718511838087</v>
      </c>
      <c r="C168" s="783">
        <v>1.3100321415268754</v>
      </c>
      <c r="D168" s="783">
        <v>0.21691754641716474</v>
      </c>
      <c r="E168" s="783">
        <v>0.30600730323785641</v>
      </c>
      <c r="F168" s="783">
        <v>0.84691179411895601</v>
      </c>
      <c r="G168" s="783">
        <v>0.44392040286417744</v>
      </c>
      <c r="H168" s="385">
        <v>1.0494650005506283</v>
      </c>
      <c r="I168" s="385">
        <v>0.42242954276098454</v>
      </c>
      <c r="J168" s="385">
        <v>0.58917764750857538</v>
      </c>
    </row>
    <row r="169" spans="1:12" s="68" customFormat="1" ht="14.25" customHeight="1" x14ac:dyDescent="0.2">
      <c r="A169" s="775" t="s">
        <v>720</v>
      </c>
      <c r="B169" s="776">
        <v>85.326520125777819</v>
      </c>
      <c r="C169" s="776">
        <v>91.958833218925577</v>
      </c>
      <c r="D169" s="776">
        <v>93.169530824045481</v>
      </c>
      <c r="E169" s="776">
        <v>80.530374622868166</v>
      </c>
      <c r="F169" s="776">
        <v>101.72786975035727</v>
      </c>
      <c r="G169" s="776">
        <v>81.782746227000032</v>
      </c>
      <c r="H169" s="777">
        <v>89.789123483997216</v>
      </c>
      <c r="I169" s="777">
        <v>87.342772974498899</v>
      </c>
      <c r="J169" s="777">
        <v>87.99333317159703</v>
      </c>
    </row>
    <row r="170" spans="1:12" ht="14.25" customHeight="1" x14ac:dyDescent="0.2">
      <c r="A170" s="782" t="s">
        <v>721</v>
      </c>
      <c r="B170" s="783">
        <v>3.406238994741976</v>
      </c>
      <c r="C170" s="783">
        <v>3.4132655629043573</v>
      </c>
      <c r="D170" s="783">
        <v>4.369260955246034</v>
      </c>
      <c r="E170" s="783">
        <v>2.745150052912293</v>
      </c>
      <c r="F170" s="783">
        <v>4.505865204759723</v>
      </c>
      <c r="G170" s="783">
        <v>6.0220783040270867</v>
      </c>
      <c r="H170" s="385">
        <v>3.4109668756845379</v>
      </c>
      <c r="I170" s="385">
        <v>4.3735703476415937</v>
      </c>
      <c r="J170" s="385">
        <v>4.1175843382728248</v>
      </c>
    </row>
    <row r="171" spans="1:12" s="8" customFormat="1" ht="14.25" customHeight="1" x14ac:dyDescent="0.2">
      <c r="A171" s="772" t="s">
        <v>531</v>
      </c>
      <c r="B171" s="773">
        <v>20.825484814908148</v>
      </c>
      <c r="C171" s="773">
        <v>28.974312288988024</v>
      </c>
      <c r="D171" s="773">
        <v>29.108008725499289</v>
      </c>
      <c r="E171" s="773">
        <v>27.112074681114123</v>
      </c>
      <c r="F171" s="773">
        <v>30.813748968780519</v>
      </c>
      <c r="G171" s="773">
        <v>31.14877978619997</v>
      </c>
      <c r="H171" s="774">
        <v>26.308486648604799</v>
      </c>
      <c r="I171" s="774">
        <v>29.385749843984428</v>
      </c>
      <c r="J171" s="774">
        <v>28.567410467375822</v>
      </c>
    </row>
    <row r="172" spans="1:12" s="8" customFormat="1" ht="14.25" customHeight="1" x14ac:dyDescent="0.2">
      <c r="A172" s="770" t="s">
        <v>722</v>
      </c>
      <c r="B172" s="771">
        <v>6.0026584982619946</v>
      </c>
      <c r="C172" s="771">
        <v>11.847007466850375</v>
      </c>
      <c r="D172" s="771">
        <v>15.518878717547743</v>
      </c>
      <c r="E172" s="771">
        <v>12.151149752055467</v>
      </c>
      <c r="F172" s="771">
        <v>13.060405387069384</v>
      </c>
      <c r="G172" s="771">
        <v>9.4107586558933054</v>
      </c>
      <c r="H172" s="316">
        <v>9.9350740774924926</v>
      </c>
      <c r="I172" s="316">
        <v>12.226019342073101</v>
      </c>
      <c r="J172" s="316">
        <v>11.616786201899645</v>
      </c>
    </row>
    <row r="173" spans="1:12" s="68" customFormat="1" ht="14.25" customHeight="1" x14ac:dyDescent="0.2">
      <c r="A173" s="772" t="s">
        <v>723</v>
      </c>
      <c r="B173" s="773">
        <v>14.82282631640501</v>
      </c>
      <c r="C173" s="773">
        <v>17.127304821903166</v>
      </c>
      <c r="D173" s="773">
        <v>13.589130007686496</v>
      </c>
      <c r="E173" s="773">
        <v>14.960924928967401</v>
      </c>
      <c r="F173" s="773">
        <v>17.753343581385121</v>
      </c>
      <c r="G173" s="773">
        <v>21.738021130113474</v>
      </c>
      <c r="H173" s="774">
        <v>16.373412570875644</v>
      </c>
      <c r="I173" s="774">
        <v>17.15973050171128</v>
      </c>
      <c r="J173" s="774">
        <v>16.950624265266391</v>
      </c>
    </row>
    <row r="174" spans="1:12" s="68" customFormat="1" ht="14.25" customHeight="1" x14ac:dyDescent="0.2">
      <c r="A174" s="770" t="s">
        <v>532</v>
      </c>
      <c r="B174" s="771">
        <v>51.630877054107849</v>
      </c>
      <c r="C174" s="771">
        <v>53.624443414820185</v>
      </c>
      <c r="D174" s="771">
        <v>53.680515543952183</v>
      </c>
      <c r="E174" s="771">
        <v>46.195048194033212</v>
      </c>
      <c r="F174" s="771">
        <v>59.409366447602309</v>
      </c>
      <c r="G174" s="771">
        <v>39.385977899499558</v>
      </c>
      <c r="H174" s="316">
        <v>52.972263658027323</v>
      </c>
      <c r="I174" s="316">
        <v>48.111443916655773</v>
      </c>
      <c r="J174" s="316">
        <v>49.404086093942809</v>
      </c>
    </row>
    <row r="175" spans="1:12" s="8" customFormat="1" ht="14.25" customHeight="1" x14ac:dyDescent="0.2">
      <c r="A175" s="772" t="s">
        <v>533</v>
      </c>
      <c r="B175" s="773">
        <v>9.4639192620198482</v>
      </c>
      <c r="C175" s="773">
        <v>5.9468119520957607</v>
      </c>
      <c r="D175" s="773">
        <v>6.0117455993479734</v>
      </c>
      <c r="E175" s="773">
        <v>4.4781016946260328</v>
      </c>
      <c r="F175" s="773">
        <v>6.9988891288887016</v>
      </c>
      <c r="G175" s="773">
        <v>5.2259102370802388</v>
      </c>
      <c r="H175" s="774">
        <v>7.0974063016016808</v>
      </c>
      <c r="I175" s="774">
        <v>5.4720088660456305</v>
      </c>
      <c r="J175" s="774">
        <v>5.90425227185872</v>
      </c>
    </row>
    <row r="176" spans="1:12" ht="14.25" customHeight="1" x14ac:dyDescent="0.2">
      <c r="A176" s="779" t="s">
        <v>724</v>
      </c>
      <c r="B176" s="780">
        <v>13.716171936305686</v>
      </c>
      <c r="C176" s="780">
        <v>12.479261039860447</v>
      </c>
      <c r="D176" s="780">
        <v>13.566219464065625</v>
      </c>
      <c r="E176" s="780">
        <v>12.599165374618762</v>
      </c>
      <c r="F176" s="780">
        <v>13.752860228336159</v>
      </c>
      <c r="G176" s="780">
        <v>17.793352075537566</v>
      </c>
      <c r="H176" s="781">
        <v>12.883906836216006</v>
      </c>
      <c r="I176" s="781">
        <v>14.546709837095936</v>
      </c>
      <c r="J176" s="781">
        <v>14.104519135564106</v>
      </c>
    </row>
    <row r="177" spans="1:10" s="8" customFormat="1" ht="14.25" customHeight="1" x14ac:dyDescent="0.2">
      <c r="A177" s="772" t="s">
        <v>725</v>
      </c>
      <c r="B177" s="773">
        <v>0.55465810062466925</v>
      </c>
      <c r="C177" s="773">
        <v>0.70970840265701129</v>
      </c>
      <c r="D177" s="773">
        <v>0.1321808235153796</v>
      </c>
      <c r="E177" s="773">
        <v>0.32879893693604745</v>
      </c>
      <c r="F177" s="773">
        <v>1.5813249717550593E-2</v>
      </c>
      <c r="G177" s="773">
        <v>2.5915659018421609E-2</v>
      </c>
      <c r="H177" s="774">
        <v>0.65898490016272715</v>
      </c>
      <c r="I177" s="774">
        <v>0.14191679429455542</v>
      </c>
      <c r="J177" s="774">
        <v>0.2794211819776346</v>
      </c>
    </row>
    <row r="178" spans="1:10" s="68" customFormat="1" ht="14.25" customHeight="1" x14ac:dyDescent="0.2">
      <c r="A178" s="782" t="s">
        <v>534</v>
      </c>
      <c r="B178" s="783">
        <v>3.8436908723063326</v>
      </c>
      <c r="C178" s="783">
        <v>2.2672991592758862</v>
      </c>
      <c r="D178" s="783">
        <v>2.0476061053315133</v>
      </c>
      <c r="E178" s="783">
        <v>1.7823330109106907</v>
      </c>
      <c r="F178" s="783">
        <v>1.7438041886786486</v>
      </c>
      <c r="G178" s="783">
        <v>1.5300741960620217</v>
      </c>
      <c r="H178" s="385">
        <v>2.7830034690371774</v>
      </c>
      <c r="I178" s="385">
        <v>1.7581495636150735</v>
      </c>
      <c r="J178" s="385">
        <v>2.0306898868923464</v>
      </c>
    </row>
    <row r="179" spans="1:10" ht="14.25" customHeight="1" x14ac:dyDescent="0.2">
      <c r="A179" s="784" t="s">
        <v>726</v>
      </c>
      <c r="B179" s="773">
        <v>9.3178229633746845</v>
      </c>
      <c r="C179" s="773">
        <v>9.5022534779275478</v>
      </c>
      <c r="D179" s="773">
        <v>11.386432534953682</v>
      </c>
      <c r="E179" s="773">
        <v>10.488033426589521</v>
      </c>
      <c r="F179" s="773">
        <v>11.993242789776954</v>
      </c>
      <c r="G179" s="773">
        <v>16.237362220457122</v>
      </c>
      <c r="H179" s="774">
        <v>9.4419184670161016</v>
      </c>
      <c r="I179" s="774">
        <v>12.646643479043416</v>
      </c>
      <c r="J179" s="774">
        <v>11.794408066589231</v>
      </c>
    </row>
    <row r="180" spans="1:10" ht="14.25" customHeight="1" x14ac:dyDescent="0.2">
      <c r="A180" s="782" t="s">
        <v>727</v>
      </c>
      <c r="B180" s="771">
        <v>1.250851590127309</v>
      </c>
      <c r="C180" s="771">
        <v>1.5266787886134987</v>
      </c>
      <c r="D180" s="771">
        <v>1.6513154260042144</v>
      </c>
      <c r="E180" s="771">
        <v>1.7534053789769428</v>
      </c>
      <c r="F180" s="771">
        <v>2.3565528374775275</v>
      </c>
      <c r="G180" s="771">
        <v>0.78979214245427543</v>
      </c>
      <c r="H180" s="316">
        <v>1.4364440621600976</v>
      </c>
      <c r="I180" s="316">
        <v>1.5520413466919685</v>
      </c>
      <c r="J180" s="316">
        <v>1.5213004565713271</v>
      </c>
    </row>
    <row r="181" spans="1:10" ht="14.25" customHeight="1" x14ac:dyDescent="0.2">
      <c r="A181" s="784" t="s">
        <v>728</v>
      </c>
      <c r="B181" s="785">
        <v>6.7407148863213004</v>
      </c>
      <c r="C181" s="785">
        <v>6.4261158473253737</v>
      </c>
      <c r="D181" s="785">
        <v>6.3527783000914422</v>
      </c>
      <c r="E181" s="785">
        <v>6.7009579629921472</v>
      </c>
      <c r="F181" s="785">
        <v>6.3866499992583199</v>
      </c>
      <c r="G181" s="785">
        <v>9.5753676588163472</v>
      </c>
      <c r="H181" s="786">
        <v>6.5290344803757021</v>
      </c>
      <c r="I181" s="786">
        <v>7.4211881417361303</v>
      </c>
      <c r="J181" s="786">
        <v>7.1839369140306264</v>
      </c>
    </row>
    <row r="182" spans="1:10" s="8" customFormat="1" ht="14.25" customHeight="1" x14ac:dyDescent="0.2">
      <c r="A182" s="782" t="s">
        <v>729</v>
      </c>
      <c r="B182" s="783">
        <v>0.65269525282764995</v>
      </c>
      <c r="C182" s="783">
        <v>0.87616497356858303</v>
      </c>
      <c r="D182" s="783">
        <v>2.2611595570987451</v>
      </c>
      <c r="E182" s="783">
        <v>1.0294741484414986</v>
      </c>
      <c r="F182" s="783">
        <v>2.2189523054571132</v>
      </c>
      <c r="G182" s="783">
        <v>0.48653988076971411</v>
      </c>
      <c r="H182" s="385">
        <v>0.80305858945437947</v>
      </c>
      <c r="I182" s="385">
        <v>1.3429852700207556</v>
      </c>
      <c r="J182" s="385">
        <v>1.1994020809544292</v>
      </c>
    </row>
    <row r="183" spans="1:10" ht="14.25" customHeight="1" x14ac:dyDescent="0.2">
      <c r="A183" s="784" t="s">
        <v>730</v>
      </c>
      <c r="B183" s="785">
        <v>5.3827217057170309E-3</v>
      </c>
      <c r="C183" s="785">
        <v>3.297830113678131E-2</v>
      </c>
      <c r="D183" s="785">
        <v>2.1305464039121622E-2</v>
      </c>
      <c r="E183" s="785">
        <v>0.15107523774943762</v>
      </c>
      <c r="F183" s="785">
        <v>0.33393358987286631</v>
      </c>
      <c r="G183" s="785">
        <v>4.017396768396952</v>
      </c>
      <c r="H183" s="786">
        <v>2.395062157888642E-2</v>
      </c>
      <c r="I183" s="786">
        <v>1.29903179862744</v>
      </c>
      <c r="J183" s="786">
        <v>0.95994831135278302</v>
      </c>
    </row>
    <row r="184" spans="1:10" ht="14.25" customHeight="1" x14ac:dyDescent="0.2">
      <c r="A184" s="782" t="s">
        <v>731</v>
      </c>
      <c r="B184" s="783">
        <v>0.66817851239270853</v>
      </c>
      <c r="C184" s="783">
        <v>0.64031556716607074</v>
      </c>
      <c r="D184" s="783">
        <v>1.0998737877201585</v>
      </c>
      <c r="E184" s="783">
        <v>0.8531206982469911</v>
      </c>
      <c r="F184" s="783">
        <v>0.6971540575481191</v>
      </c>
      <c r="G184" s="783">
        <v>1.3682657699232392</v>
      </c>
      <c r="H184" s="385">
        <v>0.64943071336815072</v>
      </c>
      <c r="I184" s="385">
        <v>1.0313969218528085</v>
      </c>
      <c r="J184" s="385">
        <v>0.92982030357517498</v>
      </c>
    </row>
    <row r="185" spans="1:10" s="8" customFormat="1" ht="14.25" customHeight="1" x14ac:dyDescent="0.2">
      <c r="A185" s="790" t="s">
        <v>732</v>
      </c>
      <c r="B185" s="791">
        <v>72.803326620601169</v>
      </c>
      <c r="C185" s="791">
        <v>73.72138164740845</v>
      </c>
      <c r="D185" s="791">
        <v>72.648563853585486</v>
      </c>
      <c r="E185" s="791">
        <v>94.709644189580487</v>
      </c>
      <c r="F185" s="791">
        <v>95.086930830010843</v>
      </c>
      <c r="G185" s="791">
        <v>148.46869902645437</v>
      </c>
      <c r="H185" s="792">
        <v>73.421047073197599</v>
      </c>
      <c r="I185" s="792">
        <v>105.92352347964011</v>
      </c>
      <c r="J185" s="792">
        <v>97.280110618296362</v>
      </c>
    </row>
    <row r="186" spans="1:10" s="8" customFormat="1" ht="14.25" customHeight="1" x14ac:dyDescent="0.2">
      <c r="A186" s="782" t="s">
        <v>733</v>
      </c>
      <c r="B186" s="783">
        <v>2.0352677589435242</v>
      </c>
      <c r="C186" s="783">
        <v>3.2718572862932387</v>
      </c>
      <c r="D186" s="783">
        <v>1.1861174629259048</v>
      </c>
      <c r="E186" s="783">
        <v>2.4191605026909668</v>
      </c>
      <c r="F186" s="783">
        <v>0.24564424627208348</v>
      </c>
      <c r="G186" s="783">
        <v>0.46852357351618257</v>
      </c>
      <c r="H186" s="385">
        <v>2.8673166233421594</v>
      </c>
      <c r="I186" s="385">
        <v>1.1950927878637732</v>
      </c>
      <c r="J186" s="385">
        <v>1.6397887804360343</v>
      </c>
    </row>
    <row r="187" spans="1:10" s="68" customFormat="1" ht="14.25" customHeight="1" x14ac:dyDescent="0.2">
      <c r="A187" s="784" t="s">
        <v>734</v>
      </c>
      <c r="B187" s="785">
        <v>61.696810278044701</v>
      </c>
      <c r="C187" s="785">
        <v>64.075263654571174</v>
      </c>
      <c r="D187" s="785">
        <v>67.64191336257737</v>
      </c>
      <c r="E187" s="785">
        <v>88.07872108008057</v>
      </c>
      <c r="F187" s="785">
        <v>90.26977924690047</v>
      </c>
      <c r="G187" s="785">
        <v>119.2781949651927</v>
      </c>
      <c r="H187" s="786">
        <v>63.297171098830049</v>
      </c>
      <c r="I187" s="786">
        <v>93.286421690984483</v>
      </c>
      <c r="J187" s="786">
        <v>85.311353236849442</v>
      </c>
    </row>
    <row r="188" spans="1:10" s="68" customFormat="1" ht="14.25" customHeight="1" x14ac:dyDescent="0.2">
      <c r="A188" s="782" t="s">
        <v>735</v>
      </c>
      <c r="B188" s="783">
        <v>6.9091003654453411</v>
      </c>
      <c r="C188" s="783">
        <v>8.9024510281046823</v>
      </c>
      <c r="D188" s="783">
        <v>9.0288420078985379</v>
      </c>
      <c r="E188" s="783">
        <v>15.889873728555965</v>
      </c>
      <c r="F188" s="783">
        <v>15.400704495896884</v>
      </c>
      <c r="G188" s="783">
        <v>23.114226768403711</v>
      </c>
      <c r="H188" s="385">
        <v>8.2503418352551687</v>
      </c>
      <c r="I188" s="385">
        <v>16.461964298389741</v>
      </c>
      <c r="J188" s="385">
        <v>14.278240131566319</v>
      </c>
    </row>
    <row r="189" spans="1:10" s="8" customFormat="1" ht="14.25" customHeight="1" x14ac:dyDescent="0.2">
      <c r="A189" s="784" t="s">
        <v>736</v>
      </c>
      <c r="B189" s="785">
        <v>9.0954414871491274</v>
      </c>
      <c r="C189" s="785">
        <v>10.935441664059029</v>
      </c>
      <c r="D189" s="785">
        <v>12.016153397166597</v>
      </c>
      <c r="E189" s="785">
        <v>13.314596553916381</v>
      </c>
      <c r="F189" s="785">
        <v>10.941895353941584</v>
      </c>
      <c r="G189" s="785">
        <v>9.5665113699775652</v>
      </c>
      <c r="H189" s="786">
        <v>10.333499892004275</v>
      </c>
      <c r="I189" s="786">
        <v>11.509715498467221</v>
      </c>
      <c r="J189" s="786">
        <v>11.196923421534898</v>
      </c>
    </row>
    <row r="190" spans="1:10" s="68" customFormat="1" ht="14.25" customHeight="1" x14ac:dyDescent="0.2">
      <c r="A190" s="770" t="s">
        <v>737</v>
      </c>
      <c r="B190" s="771">
        <v>45.692268425450237</v>
      </c>
      <c r="C190" s="771">
        <v>44.237370962290221</v>
      </c>
      <c r="D190" s="771">
        <v>46.596917957247172</v>
      </c>
      <c r="E190" s="771">
        <v>58.874250797516964</v>
      </c>
      <c r="F190" s="771">
        <v>63.927179396735987</v>
      </c>
      <c r="G190" s="771">
        <v>86.597456826908029</v>
      </c>
      <c r="H190" s="316">
        <v>44.713329371491717</v>
      </c>
      <c r="I190" s="316">
        <v>65.31474189401321</v>
      </c>
      <c r="J190" s="316">
        <v>59.836189683643333</v>
      </c>
    </row>
    <row r="191" spans="1:10" ht="14.25" customHeight="1" x14ac:dyDescent="0.2">
      <c r="A191" s="772" t="s">
        <v>738</v>
      </c>
      <c r="B191" s="773">
        <v>9.0712485836129542</v>
      </c>
      <c r="C191" s="773">
        <v>6.3742607063095518</v>
      </c>
      <c r="D191" s="773">
        <v>3.820533028082219</v>
      </c>
      <c r="E191" s="773">
        <v>4.2117626066264604</v>
      </c>
      <c r="F191" s="773">
        <v>4.5715073366752916</v>
      </c>
      <c r="G191" s="773">
        <v>28.721980487745508</v>
      </c>
      <c r="H191" s="774">
        <v>7.2565593508676098</v>
      </c>
      <c r="I191" s="774">
        <v>11.442009000706136</v>
      </c>
      <c r="J191" s="774">
        <v>10.328968600906009</v>
      </c>
    </row>
    <row r="192" spans="1:10" s="8" customFormat="1" ht="14.25" customHeight="1" x14ac:dyDescent="0.2">
      <c r="A192" s="779" t="s">
        <v>739</v>
      </c>
      <c r="B192" s="780">
        <v>9.3824785293929711</v>
      </c>
      <c r="C192" s="780">
        <v>7.9876150945789712</v>
      </c>
      <c r="D192" s="780">
        <v>6.8108536610254848</v>
      </c>
      <c r="E192" s="780">
        <v>5.8615438982229735</v>
      </c>
      <c r="F192" s="780">
        <v>9.1678576829906202</v>
      </c>
      <c r="G192" s="780">
        <v>15.545652497336169</v>
      </c>
      <c r="H192" s="781">
        <v>8.4439338375132174</v>
      </c>
      <c r="I192" s="781">
        <v>9.5110369098968288</v>
      </c>
      <c r="J192" s="781">
        <v>9.2272612275493842</v>
      </c>
    </row>
    <row r="193" spans="1:10" ht="14.25" customHeight="1" x14ac:dyDescent="0.2">
      <c r="A193" s="772" t="s">
        <v>740</v>
      </c>
      <c r="B193" s="773">
        <v>1.4235728519084301</v>
      </c>
      <c r="C193" s="773">
        <v>1.4299854081742598</v>
      </c>
      <c r="D193" s="773">
        <v>1.6846672249095511</v>
      </c>
      <c r="E193" s="773">
        <v>1.0956826551796603</v>
      </c>
      <c r="F193" s="773">
        <v>0.6942115450288171</v>
      </c>
      <c r="G193" s="773">
        <v>6.5545794874529228</v>
      </c>
      <c r="H193" s="774">
        <v>1.4278875901791894</v>
      </c>
      <c r="I193" s="774">
        <v>2.7673649089173971</v>
      </c>
      <c r="J193" s="774">
        <v>2.4111564976110764</v>
      </c>
    </row>
    <row r="194" spans="1:10" ht="14.25" customHeight="1" x14ac:dyDescent="0.2">
      <c r="A194" s="770" t="s">
        <v>741</v>
      </c>
      <c r="B194" s="771">
        <v>2.7746470803557757</v>
      </c>
      <c r="C194" s="771">
        <v>0.11290146836255117</v>
      </c>
      <c r="D194" s="771">
        <v>7.5952492147845788E-2</v>
      </c>
      <c r="E194" s="771">
        <v>0.11029705701433044</v>
      </c>
      <c r="F194" s="771">
        <v>8.9329869120500394E-2</v>
      </c>
      <c r="G194" s="771">
        <v>2.0729042350929059</v>
      </c>
      <c r="H194" s="316">
        <v>0.98367087944648124</v>
      </c>
      <c r="I194" s="316">
        <v>0.67986781147723074</v>
      </c>
      <c r="J194" s="316">
        <v>0.76065843531045396</v>
      </c>
    </row>
    <row r="195" spans="1:10" ht="14.25" customHeight="1" x14ac:dyDescent="0.2">
      <c r="A195" s="772" t="s">
        <v>742</v>
      </c>
      <c r="B195" s="773">
        <v>0.67998345066729049</v>
      </c>
      <c r="C195" s="773">
        <v>0.78347557334702089</v>
      </c>
      <c r="D195" s="773">
        <v>0.93726703950594381</v>
      </c>
      <c r="E195" s="773">
        <v>1.1812845645665484</v>
      </c>
      <c r="F195" s="773">
        <v>1.5718590264896872</v>
      </c>
      <c r="G195" s="773">
        <v>3.8949024150619205</v>
      </c>
      <c r="H195" s="774">
        <v>0.74961892892855941</v>
      </c>
      <c r="I195" s="774">
        <v>1.9999846260394503</v>
      </c>
      <c r="J195" s="774">
        <v>1.6674737486329176</v>
      </c>
    </row>
    <row r="196" spans="1:10" s="8" customFormat="1" ht="14.25" customHeight="1" x14ac:dyDescent="0.2">
      <c r="A196" s="770" t="s">
        <v>743</v>
      </c>
      <c r="B196" s="771">
        <v>2.3493175103900534</v>
      </c>
      <c r="C196" s="771">
        <v>2.4823305218529765</v>
      </c>
      <c r="D196" s="771">
        <v>1.9969930556475874</v>
      </c>
      <c r="E196" s="771">
        <v>0.82452954049937122</v>
      </c>
      <c r="F196" s="771">
        <v>5.4355923645828081</v>
      </c>
      <c r="G196" s="771">
        <v>0.43350264586449105</v>
      </c>
      <c r="H196" s="316">
        <v>2.4388163478702358</v>
      </c>
      <c r="I196" s="316">
        <v>1.7700833949217498</v>
      </c>
      <c r="J196" s="316">
        <v>1.947920152159534</v>
      </c>
    </row>
    <row r="197" spans="1:10" s="68" customFormat="1" ht="14.25" customHeight="1" x14ac:dyDescent="0.2">
      <c r="A197" s="784" t="s">
        <v>744</v>
      </c>
      <c r="B197" s="785">
        <v>2.1549576355891431</v>
      </c>
      <c r="C197" s="785">
        <v>3.1789221228421631</v>
      </c>
      <c r="D197" s="785">
        <v>2.1159738486820308</v>
      </c>
      <c r="E197" s="785">
        <v>2.6497500807805596</v>
      </c>
      <c r="F197" s="785">
        <v>1.3768648774427943</v>
      </c>
      <c r="G197" s="785">
        <v>2.5897637137673337</v>
      </c>
      <c r="H197" s="786">
        <v>2.8439400909309778</v>
      </c>
      <c r="I197" s="786">
        <v>2.2937361683695321</v>
      </c>
      <c r="J197" s="786">
        <v>2.4400523936675755</v>
      </c>
    </row>
    <row r="198" spans="1:10" s="68" customFormat="1" ht="14.25" customHeight="1" x14ac:dyDescent="0.2">
      <c r="A198" s="787" t="s">
        <v>745</v>
      </c>
      <c r="B198" s="788">
        <v>73.456591444889611</v>
      </c>
      <c r="C198" s="788">
        <v>77.966155190972245</v>
      </c>
      <c r="D198" s="788">
        <v>70.014136038936087</v>
      </c>
      <c r="E198" s="788">
        <v>62.334026273734445</v>
      </c>
      <c r="F198" s="788">
        <v>65.543241415632664</v>
      </c>
      <c r="G198" s="788">
        <v>39.28332032593643</v>
      </c>
      <c r="H198" s="789">
        <v>76.490886423841161</v>
      </c>
      <c r="I198" s="789">
        <v>57.733089151772823</v>
      </c>
      <c r="J198" s="789">
        <v>62.721367096026242</v>
      </c>
    </row>
    <row r="199" spans="1:10" ht="14.25" customHeight="1" x14ac:dyDescent="0.2">
      <c r="A199" s="784" t="s">
        <v>746</v>
      </c>
      <c r="B199" s="785">
        <v>0.42461573958975113</v>
      </c>
      <c r="C199" s="785">
        <v>0.21686346794681427</v>
      </c>
      <c r="D199" s="785">
        <v>0.25706120306929775</v>
      </c>
      <c r="E199" s="785">
        <v>0.26693257896168532</v>
      </c>
      <c r="F199" s="785">
        <v>1.8116936580878009E-2</v>
      </c>
      <c r="G199" s="785">
        <v>0.24457021738851151</v>
      </c>
      <c r="H199" s="786">
        <v>0.28482801061939528</v>
      </c>
      <c r="I199" s="786">
        <v>0.2145655756812494</v>
      </c>
      <c r="J199" s="786">
        <v>0.23325052836667987</v>
      </c>
    </row>
    <row r="200" spans="1:10" ht="14.25" customHeight="1" x14ac:dyDescent="0.2">
      <c r="A200" s="782" t="s">
        <v>535</v>
      </c>
      <c r="B200" s="783">
        <v>2.7274221454330182E-2</v>
      </c>
      <c r="C200" s="783">
        <v>1.0807657437487345E-2</v>
      </c>
      <c r="D200" s="783">
        <v>5.3613039214386995E-2</v>
      </c>
      <c r="E200" s="783">
        <v>8.5079609344209696E-4</v>
      </c>
      <c r="F200" s="783">
        <v>0</v>
      </c>
      <c r="G200" s="783">
        <v>0</v>
      </c>
      <c r="H200" s="385">
        <v>1.6194566008657957E-2</v>
      </c>
      <c r="I200" s="385">
        <v>1.1827706051083712E-2</v>
      </c>
      <c r="J200" s="385">
        <v>1.2988989057614954E-2</v>
      </c>
    </row>
    <row r="201" spans="1:10" ht="14.25" customHeight="1" x14ac:dyDescent="0.2">
      <c r="A201" s="793" t="s">
        <v>747</v>
      </c>
      <c r="B201" s="773">
        <v>1.2955368815250561</v>
      </c>
      <c r="C201" s="773">
        <v>3.0207147684963349</v>
      </c>
      <c r="D201" s="773">
        <v>1.0070679115257697</v>
      </c>
      <c r="E201" s="773">
        <v>0.45281796811501651</v>
      </c>
      <c r="F201" s="773">
        <v>0.15339938191218613</v>
      </c>
      <c r="G201" s="773">
        <v>9.7045884592339426</v>
      </c>
      <c r="H201" s="774">
        <v>2.4563362171110033</v>
      </c>
      <c r="I201" s="774">
        <v>3.2570534354447886</v>
      </c>
      <c r="J201" s="774">
        <v>3.0441179834903096</v>
      </c>
    </row>
    <row r="202" spans="1:10" s="8" customFormat="1" ht="14.25" customHeight="1" x14ac:dyDescent="0.2">
      <c r="A202" s="770" t="s">
        <v>748</v>
      </c>
      <c r="B202" s="771">
        <v>70.174197694716284</v>
      </c>
      <c r="C202" s="771">
        <v>73.631627743485424</v>
      </c>
      <c r="D202" s="771">
        <v>66.519511161191147</v>
      </c>
      <c r="E202" s="771">
        <v>60.495186382035605</v>
      </c>
      <c r="F202" s="771">
        <v>64.351988782711928</v>
      </c>
      <c r="G202" s="771">
        <v>23.194958181885447</v>
      </c>
      <c r="H202" s="316">
        <v>72.500556346630148</v>
      </c>
      <c r="I202" s="316">
        <v>51.434892297684662</v>
      </c>
      <c r="J202" s="316">
        <v>57.036903335136287</v>
      </c>
    </row>
    <row r="203" spans="1:10" s="8" customFormat="1" ht="14.25" customHeight="1" x14ac:dyDescent="0.2">
      <c r="A203" s="772" t="s">
        <v>749</v>
      </c>
      <c r="B203" s="773">
        <v>1.5349669073630423</v>
      </c>
      <c r="C203" s="773">
        <v>1.0861415536062009</v>
      </c>
      <c r="D203" s="773">
        <v>2.1768827239354867</v>
      </c>
      <c r="E203" s="773">
        <v>1.1182385485286988</v>
      </c>
      <c r="F203" s="773">
        <v>1.0197363142646771</v>
      </c>
      <c r="G203" s="773">
        <v>6.1392034674285254</v>
      </c>
      <c r="H203" s="774">
        <v>1.2329712833930819</v>
      </c>
      <c r="I203" s="774">
        <v>2.8147501368824646</v>
      </c>
      <c r="J203" s="774">
        <v>2.3941062599333933</v>
      </c>
    </row>
    <row r="204" spans="1:10" s="68" customFormat="1" ht="14.25" customHeight="1" x14ac:dyDescent="0.2">
      <c r="A204" s="779" t="s">
        <v>750</v>
      </c>
      <c r="B204" s="780">
        <v>5.3622505522673647</v>
      </c>
      <c r="C204" s="780">
        <v>5.544806018055362</v>
      </c>
      <c r="D204" s="780">
        <v>4.918528826881535</v>
      </c>
      <c r="E204" s="780">
        <v>7.4872874942020964</v>
      </c>
      <c r="F204" s="780">
        <v>11.960990881908844</v>
      </c>
      <c r="G204" s="780">
        <v>6.2569457876695544</v>
      </c>
      <c r="H204" s="781">
        <v>5.4850844147894025</v>
      </c>
      <c r="I204" s="781">
        <v>7.353674856971077</v>
      </c>
      <c r="J204" s="781">
        <v>6.856758915595738</v>
      </c>
    </row>
    <row r="205" spans="1:10" s="8" customFormat="1" ht="14.25" customHeight="1" x14ac:dyDescent="0.2">
      <c r="A205" s="784" t="s">
        <v>751</v>
      </c>
      <c r="B205" s="785">
        <v>1.7236396424398872</v>
      </c>
      <c r="C205" s="785">
        <v>2.003509553331388</v>
      </c>
      <c r="D205" s="785">
        <v>1.704363063599136</v>
      </c>
      <c r="E205" s="785">
        <v>2.4402568688569932</v>
      </c>
      <c r="F205" s="785">
        <v>5.8324498007816814</v>
      </c>
      <c r="G205" s="785">
        <v>2.5636937240034383</v>
      </c>
      <c r="H205" s="786">
        <v>1.9119522849023403</v>
      </c>
      <c r="I205" s="786">
        <v>2.9128041575517671</v>
      </c>
      <c r="J205" s="786">
        <v>2.6466467164946508</v>
      </c>
    </row>
    <row r="206" spans="1:10" s="68" customFormat="1" ht="14.25" customHeight="1" x14ac:dyDescent="0.2">
      <c r="A206" s="782" t="s">
        <v>536</v>
      </c>
      <c r="B206" s="783">
        <v>0.41562614616125654</v>
      </c>
      <c r="C206" s="783">
        <v>0.40571417115299457</v>
      </c>
      <c r="D206" s="783">
        <v>0.13969991385822386</v>
      </c>
      <c r="E206" s="783">
        <v>1.2865442893277224</v>
      </c>
      <c r="F206" s="783">
        <v>1.0752117624794062</v>
      </c>
      <c r="G206" s="783">
        <v>0.15088226576760497</v>
      </c>
      <c r="H206" s="385">
        <v>0.40895679682005054</v>
      </c>
      <c r="I206" s="385">
        <v>0.66619051075513658</v>
      </c>
      <c r="J206" s="385">
        <v>0.59778411723624048</v>
      </c>
    </row>
    <row r="207" spans="1:10" ht="14.25" customHeight="1" x14ac:dyDescent="0.2">
      <c r="A207" s="784" t="s">
        <v>752</v>
      </c>
      <c r="B207" s="785">
        <v>0.1411737607592968</v>
      </c>
      <c r="C207" s="785">
        <v>0.30495540313172048</v>
      </c>
      <c r="D207" s="785">
        <v>0.19825448255297717</v>
      </c>
      <c r="E207" s="785">
        <v>0.34830935801606411</v>
      </c>
      <c r="F207" s="785">
        <v>0.10694278979325404</v>
      </c>
      <c r="G207" s="785">
        <v>1.1275320207898116</v>
      </c>
      <c r="H207" s="786">
        <v>0.25137551043558959</v>
      </c>
      <c r="I207" s="786">
        <v>0.50417406365435413</v>
      </c>
      <c r="J207" s="786">
        <v>0.43694711642435624</v>
      </c>
    </row>
    <row r="208" spans="1:10" ht="14.25" customHeight="1" x14ac:dyDescent="0.2">
      <c r="A208" s="782" t="s">
        <v>753</v>
      </c>
      <c r="B208" s="783">
        <v>0.79085191060032634</v>
      </c>
      <c r="C208" s="783">
        <v>1.3955279206718665</v>
      </c>
      <c r="D208" s="783">
        <v>1.6569241395761825</v>
      </c>
      <c r="E208" s="783">
        <v>2.5244493202250888</v>
      </c>
      <c r="F208" s="783">
        <v>3.9962986713182187</v>
      </c>
      <c r="G208" s="783">
        <v>1.4299283867746475</v>
      </c>
      <c r="H208" s="385">
        <v>1.1977128587012051</v>
      </c>
      <c r="I208" s="385">
        <v>2.2715951654133741</v>
      </c>
      <c r="J208" s="385">
        <v>1.9860166751674553</v>
      </c>
    </row>
    <row r="209" spans="1:10" s="8" customFormat="1" ht="14.25" customHeight="1" x14ac:dyDescent="0.2">
      <c r="A209" s="793" t="s">
        <v>754</v>
      </c>
      <c r="B209" s="773">
        <v>2.2909590920654597</v>
      </c>
      <c r="C209" s="773">
        <v>1.4350989696501515</v>
      </c>
      <c r="D209" s="773">
        <v>1.2192872271624899</v>
      </c>
      <c r="E209" s="773">
        <v>0.88772765759372396</v>
      </c>
      <c r="F209" s="773">
        <v>0.95008785721027189</v>
      </c>
      <c r="G209" s="773">
        <v>0.98490939014086454</v>
      </c>
      <c r="H209" s="774">
        <v>1.7150869637724444</v>
      </c>
      <c r="I209" s="774">
        <v>0.99891095939639862</v>
      </c>
      <c r="J209" s="774">
        <v>1.1893642900842318</v>
      </c>
    </row>
    <row r="210" spans="1:10" ht="14.25" customHeight="1" x14ac:dyDescent="0.2">
      <c r="A210" s="935" t="s">
        <v>807</v>
      </c>
      <c r="B210" s="936">
        <v>439.10439106389083</v>
      </c>
      <c r="C210" s="936">
        <v>437.2306642691255</v>
      </c>
      <c r="D210" s="936">
        <v>407.40831900155058</v>
      </c>
      <c r="E210" s="936">
        <v>430.69382777292674</v>
      </c>
      <c r="F210" s="936">
        <v>475.4125296952904</v>
      </c>
      <c r="G210" s="936">
        <v>466.08326197811152</v>
      </c>
      <c r="H210" s="995">
        <v>437.84363944235713</v>
      </c>
      <c r="I210" s="995">
        <v>443.98278509994611</v>
      </c>
      <c r="J210" s="995">
        <v>442.35019655897111</v>
      </c>
    </row>
    <row r="211" spans="1:10" x14ac:dyDescent="0.2">
      <c r="A211" s="794" t="s">
        <v>582</v>
      </c>
      <c r="B211" s="3"/>
      <c r="C211" s="3"/>
      <c r="D211" s="245"/>
      <c r="E211" s="3"/>
      <c r="F211" s="3"/>
      <c r="G211" s="245"/>
      <c r="H211" s="3"/>
      <c r="I211" s="3"/>
      <c r="J211" s="3"/>
    </row>
    <row r="212" spans="1:10" ht="14.25" x14ac:dyDescent="0.2">
      <c r="A212" s="794" t="s">
        <v>316</v>
      </c>
      <c r="B212" s="993"/>
      <c r="C212" s="993"/>
      <c r="D212" s="993"/>
      <c r="E212" s="993"/>
      <c r="F212" s="993"/>
      <c r="G212" s="993"/>
      <c r="H212" s="3"/>
      <c r="I212" s="3"/>
      <c r="J212" s="3"/>
    </row>
    <row r="213" spans="1:10" x14ac:dyDescent="0.2">
      <c r="A213" s="286" t="s">
        <v>951</v>
      </c>
      <c r="B213" s="3"/>
      <c r="C213" s="3"/>
      <c r="D213" s="245"/>
      <c r="E213" s="3"/>
      <c r="F213" s="3"/>
      <c r="G213" s="245"/>
      <c r="H213" s="3"/>
      <c r="I213" s="3"/>
      <c r="J213" s="3"/>
    </row>
    <row r="215" spans="1:10" ht="41.25" customHeight="1" x14ac:dyDescent="0.2">
      <c r="A215" s="1025" t="s">
        <v>538</v>
      </c>
      <c r="B215" s="1026"/>
      <c r="C215" s="1026"/>
      <c r="D215" s="1026"/>
      <c r="E215" s="1026"/>
      <c r="F215" s="1026"/>
      <c r="G215" s="1026"/>
      <c r="H215" s="1026"/>
      <c r="I215" s="1026"/>
      <c r="J215" s="1027"/>
    </row>
  </sheetData>
  <mergeCells count="1">
    <mergeCell ref="A215:J215"/>
  </mergeCells>
  <pageMargins left="0.70866141732283472" right="0.70866141732283472" top="0.31496062992125984" bottom="0.43307086614173229" header="0.31496062992125984" footer="0.31496062992125984"/>
  <pageSetup paperSize="9" scale="51" firstPageNumber="102" fitToHeight="3" orientation="landscape" useFirstPageNumber="1" r:id="rId1"/>
  <headerFooter>
    <oddHeader>&amp;RLes finances des communes en 2024</oddHeader>
    <oddFooter>&amp;LDirection générale des Collectivités locales / DESL&amp;C&amp;P&amp;RMise en ligne  : janvier 2026</oddFooter>
  </headerFooter>
  <rowBreaks count="2" manualBreakCount="2">
    <brk id="71" max="9" man="1"/>
    <brk id="142" max="9"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L223"/>
  <sheetViews>
    <sheetView view="pageBreakPreview" zoomScale="60" zoomScaleNormal="100" workbookViewId="0">
      <selection activeCell="D24" sqref="D24"/>
    </sheetView>
  </sheetViews>
  <sheetFormatPr baseColWidth="10" defaultRowHeight="12.75" x14ac:dyDescent="0.2"/>
  <cols>
    <col min="1" max="1" width="78.5703125" customWidth="1"/>
    <col min="2" max="10" width="17.28515625" customWidth="1"/>
    <col min="12" max="12" width="12" bestFit="1" customWidth="1"/>
  </cols>
  <sheetData>
    <row r="1" spans="1:11" ht="18" x14ac:dyDescent="0.25">
      <c r="A1" s="10" t="s">
        <v>953</v>
      </c>
    </row>
    <row r="2" spans="1:11" ht="18" x14ac:dyDescent="0.25">
      <c r="A2" s="10"/>
    </row>
    <row r="3" spans="1:11" ht="16.5" x14ac:dyDescent="0.25">
      <c r="A3" s="108" t="s">
        <v>583</v>
      </c>
    </row>
    <row r="4" spans="1:11" ht="13.5" thickBot="1" x14ac:dyDescent="0.25">
      <c r="A4" s="231"/>
      <c r="J4" s="652" t="s">
        <v>522</v>
      </c>
    </row>
    <row r="5" spans="1:11" x14ac:dyDescent="0.2">
      <c r="A5" s="230" t="s">
        <v>800</v>
      </c>
      <c r="B5" s="760" t="s">
        <v>38</v>
      </c>
      <c r="C5" s="760" t="s">
        <v>39</v>
      </c>
      <c r="D5" s="760" t="s">
        <v>125</v>
      </c>
      <c r="E5" s="760" t="s">
        <v>126</v>
      </c>
      <c r="F5" s="760" t="s">
        <v>127</v>
      </c>
      <c r="G5" s="761">
        <v>100000</v>
      </c>
      <c r="H5" s="762" t="s">
        <v>229</v>
      </c>
      <c r="I5" s="762" t="s">
        <v>228</v>
      </c>
      <c r="J5" s="762" t="s">
        <v>220</v>
      </c>
    </row>
    <row r="6" spans="1:11" x14ac:dyDescent="0.2">
      <c r="A6" s="229"/>
      <c r="B6" s="763" t="s">
        <v>40</v>
      </c>
      <c r="C6" s="763" t="s">
        <v>40</v>
      </c>
      <c r="D6" s="763" t="s">
        <v>40</v>
      </c>
      <c r="E6" s="763" t="s">
        <v>40</v>
      </c>
      <c r="F6" s="763" t="s">
        <v>40</v>
      </c>
      <c r="G6" s="763" t="s">
        <v>43</v>
      </c>
      <c r="H6" s="764" t="s">
        <v>523</v>
      </c>
      <c r="I6" s="764" t="s">
        <v>138</v>
      </c>
      <c r="J6" s="764" t="s">
        <v>142</v>
      </c>
    </row>
    <row r="7" spans="1:11" ht="13.5" thickBot="1" x14ac:dyDescent="0.25">
      <c r="A7" s="232"/>
      <c r="B7" s="765" t="s">
        <v>46</v>
      </c>
      <c r="C7" s="765" t="s">
        <v>42</v>
      </c>
      <c r="D7" s="765" t="s">
        <v>128</v>
      </c>
      <c r="E7" s="765" t="s">
        <v>129</v>
      </c>
      <c r="F7" s="765" t="s">
        <v>130</v>
      </c>
      <c r="G7" s="765" t="s">
        <v>131</v>
      </c>
      <c r="H7" s="766" t="s">
        <v>138</v>
      </c>
      <c r="I7" s="766" t="s">
        <v>131</v>
      </c>
      <c r="J7" s="766" t="s">
        <v>611</v>
      </c>
    </row>
    <row r="9" spans="1:11" s="8" customFormat="1" ht="14.25" customHeight="1" x14ac:dyDescent="0.2">
      <c r="A9" s="767" t="s">
        <v>709</v>
      </c>
      <c r="B9" s="768">
        <f>'T 6.1'!B9+'T 6.2'!B9</f>
        <v>2419.2854161</v>
      </c>
      <c r="C9" s="768">
        <f>'T 6.1'!C9+'T 6.2'!C9</f>
        <v>4569.0419981200002</v>
      </c>
      <c r="D9" s="768">
        <f>'T 6.1'!D9+'T 6.2'!D9</f>
        <v>3870.7117707280004</v>
      </c>
      <c r="E9" s="768">
        <f>'T 6.1'!E9+'T 6.2'!E9</f>
        <v>5808.8386877680005</v>
      </c>
      <c r="F9" s="768">
        <f>'T 6.1'!F9+'T 6.2'!F9</f>
        <v>3280.2450841479999</v>
      </c>
      <c r="G9" s="768">
        <f>'T 6.1'!G9+'T 6.2'!G9</f>
        <v>4830.7519032090004</v>
      </c>
      <c r="H9" s="769">
        <f>'T 6.1'!H9+'T 6.2'!H9</f>
        <v>6988.3274142199998</v>
      </c>
      <c r="I9" s="769">
        <f>'T 6.1'!I9+'T 6.2'!I9</f>
        <v>17790.547445853001</v>
      </c>
      <c r="J9" s="769">
        <f>'T 6.1'!J9+'T 6.2'!J9</f>
        <v>24778.874860072996</v>
      </c>
      <c r="K9" s="813"/>
    </row>
    <row r="10" spans="1:11" ht="14.25" customHeight="1" x14ac:dyDescent="0.2">
      <c r="A10" s="770" t="s">
        <v>710</v>
      </c>
      <c r="B10" s="771">
        <f>'T 6.1'!B10+'T 6.2'!B10</f>
        <v>356.734137078</v>
      </c>
      <c r="C10" s="771">
        <f>'T 6.1'!C10+'T 6.2'!C10</f>
        <v>293.57171961899996</v>
      </c>
      <c r="D10" s="771">
        <f>'T 6.1'!D10+'T 6.2'!D10</f>
        <v>224.22646148799998</v>
      </c>
      <c r="E10" s="771">
        <f>'T 6.1'!E10+'T 6.2'!E10</f>
        <v>255.95709555899998</v>
      </c>
      <c r="F10" s="771">
        <f>'T 6.1'!F10+'T 6.2'!F10</f>
        <v>101.347521019</v>
      </c>
      <c r="G10" s="771">
        <f>'T 6.1'!G10+'T 6.2'!G10</f>
        <v>222.56486936800002</v>
      </c>
      <c r="H10" s="316">
        <f>'T 6.1'!H10+'T 6.2'!H10</f>
        <v>650.30585669699997</v>
      </c>
      <c r="I10" s="316">
        <f>'T 6.1'!I10+'T 6.2'!I10</f>
        <v>804.09594743399998</v>
      </c>
      <c r="J10" s="316">
        <f>'T 6.1'!J10+'T 6.2'!J10</f>
        <v>1454.4018041310001</v>
      </c>
    </row>
    <row r="11" spans="1:11" ht="14.25" customHeight="1" x14ac:dyDescent="0.2">
      <c r="A11" s="772" t="s">
        <v>524</v>
      </c>
      <c r="B11" s="773">
        <f>'T 6.1'!B11+'T 6.2'!B11</f>
        <v>2013.6248461700002</v>
      </c>
      <c r="C11" s="773">
        <f>'T 6.1'!C11+'T 6.2'!C11</f>
        <v>4176.6068338499999</v>
      </c>
      <c r="D11" s="773">
        <f>'T 6.1'!D11+'T 6.2'!D11</f>
        <v>3532.3460790089998</v>
      </c>
      <c r="E11" s="773">
        <f>'T 6.1'!E11+'T 6.2'!E11</f>
        <v>5405.3546699489998</v>
      </c>
      <c r="F11" s="773">
        <f>'T 6.1'!F11+'T 6.2'!F11</f>
        <v>3092.9009104399997</v>
      </c>
      <c r="G11" s="773">
        <f>'T 6.1'!G11+'T 6.2'!G11</f>
        <v>4373.1963024790002</v>
      </c>
      <c r="H11" s="774">
        <f>'T 6.1'!H11+'T 6.2'!H11</f>
        <v>6190.2316800200006</v>
      </c>
      <c r="I11" s="774">
        <f>'T 6.1'!I11+'T 6.2'!I11</f>
        <v>16403.797961877</v>
      </c>
      <c r="J11" s="774">
        <f>'T 6.1'!J11+'T 6.2'!J11</f>
        <v>22594.029641896999</v>
      </c>
    </row>
    <row r="12" spans="1:11" ht="14.25" customHeight="1" x14ac:dyDescent="0.2">
      <c r="A12" s="770" t="s">
        <v>711</v>
      </c>
      <c r="B12" s="771">
        <f>'T 6.1'!B12+'T 6.2'!B12</f>
        <v>47.271627200000005</v>
      </c>
      <c r="C12" s="771">
        <f>'T 6.1'!C12+'T 6.2'!C12</f>
        <v>95.035887970000005</v>
      </c>
      <c r="D12" s="771">
        <f>'T 6.1'!D12+'T 6.2'!D12</f>
        <v>111.76192109900001</v>
      </c>
      <c r="E12" s="771">
        <f>'T 6.1'!E12+'T 6.2'!E12</f>
        <v>138.94160214900003</v>
      </c>
      <c r="F12" s="771">
        <f>'T 6.1'!F12+'T 6.2'!F12</f>
        <v>81.091081838999997</v>
      </c>
      <c r="G12" s="771">
        <f>'T 6.1'!G12+'T 6.2'!G12</f>
        <v>209.61914854900002</v>
      </c>
      <c r="H12" s="316">
        <f>'T 6.1'!H12+'T 6.2'!H12</f>
        <v>142.30751517000002</v>
      </c>
      <c r="I12" s="316">
        <f>'T 6.1'!I12+'T 6.2'!I12</f>
        <v>541.41375363600014</v>
      </c>
      <c r="J12" s="316">
        <f>'T 6.1'!J12+'T 6.2'!J12</f>
        <v>683.72126880600013</v>
      </c>
    </row>
    <row r="13" spans="1:11" s="8" customFormat="1" ht="14.25" customHeight="1" x14ac:dyDescent="0.2">
      <c r="A13" s="772" t="s">
        <v>712</v>
      </c>
      <c r="B13" s="773">
        <f>'T 6.1'!B13+'T 6.2'!B13</f>
        <v>1.6548056500000001</v>
      </c>
      <c r="C13" s="773">
        <f>'T 6.1'!C13+'T 6.2'!C13</f>
        <v>3.8275566799999998</v>
      </c>
      <c r="D13" s="773">
        <f>'T 6.1'!D13+'T 6.2'!D13</f>
        <v>2.3773091290000004</v>
      </c>
      <c r="E13" s="773">
        <f>'T 6.1'!E13+'T 6.2'!E13</f>
        <v>8.5853201099999996</v>
      </c>
      <c r="F13" s="773">
        <f>'T 6.1'!F13+'T 6.2'!F13</f>
        <v>4.9055708490000001</v>
      </c>
      <c r="G13" s="773">
        <f>'T 6.1'!G13+'T 6.2'!G13</f>
        <v>25.37158281</v>
      </c>
      <c r="H13" s="774">
        <f>'T 6.1'!H13+'T 6.2'!H13</f>
        <v>5.48236233</v>
      </c>
      <c r="I13" s="774">
        <f>'T 6.1'!I13+'T 6.2'!I13</f>
        <v>41.239782897999994</v>
      </c>
      <c r="J13" s="774">
        <f>'T 6.1'!J13+'T 6.2'!J13</f>
        <v>46.722145227999995</v>
      </c>
    </row>
    <row r="14" spans="1:11" s="68" customFormat="1" ht="14.25" customHeight="1" x14ac:dyDescent="0.2">
      <c r="A14" s="779" t="s">
        <v>525</v>
      </c>
      <c r="B14" s="780">
        <f>'T 6.1'!B14+'T 6.2'!B14</f>
        <v>162.23263732999999</v>
      </c>
      <c r="C14" s="780">
        <f>'T 6.1'!C14+'T 6.2'!C14</f>
        <v>428.29291095000002</v>
      </c>
      <c r="D14" s="780">
        <f>'T 6.1'!D14+'T 6.2'!D14</f>
        <v>475.80904483000006</v>
      </c>
      <c r="E14" s="780">
        <f>'T 6.1'!E14+'T 6.2'!E14</f>
        <v>827.49982022000006</v>
      </c>
      <c r="F14" s="780">
        <f>'T 6.1'!F14+'T 6.2'!F14</f>
        <v>548.13875250000001</v>
      </c>
      <c r="G14" s="780">
        <f>'T 6.1'!G14+'T 6.2'!G14</f>
        <v>1321.9930301379998</v>
      </c>
      <c r="H14" s="781">
        <f>'T 6.1'!H14+'T 6.2'!H14</f>
        <v>590.52554828000007</v>
      </c>
      <c r="I14" s="781">
        <f>'T 6.1'!I14+'T 6.2'!I14</f>
        <v>3173.4406476879994</v>
      </c>
      <c r="J14" s="781">
        <f>'T 6.1'!J14+'T 6.2'!J14</f>
        <v>3763.9661959679997</v>
      </c>
    </row>
    <row r="15" spans="1:11" ht="14.25" customHeight="1" x14ac:dyDescent="0.2">
      <c r="A15" s="772" t="s">
        <v>713</v>
      </c>
      <c r="B15" s="773">
        <f>'T 6.1'!B15+'T 6.2'!B15</f>
        <v>7.8571923300000002</v>
      </c>
      <c r="C15" s="773">
        <f>'T 6.1'!C15+'T 6.2'!C15</f>
        <v>16.12185259</v>
      </c>
      <c r="D15" s="773">
        <f>'T 6.1'!D15+'T 6.2'!D15</f>
        <v>19.897960808000001</v>
      </c>
      <c r="E15" s="773">
        <f>'T 6.1'!E15+'T 6.2'!E15</f>
        <v>49.172652068000005</v>
      </c>
      <c r="F15" s="773">
        <f>'T 6.1'!F15+'T 6.2'!F15</f>
        <v>46.051963469</v>
      </c>
      <c r="G15" s="773">
        <f>'T 6.1'!G15+'T 6.2'!G15</f>
        <v>98.714522250000002</v>
      </c>
      <c r="H15" s="774">
        <f>'T 6.1'!H15+'T 6.2'!H15</f>
        <v>23.97904492</v>
      </c>
      <c r="I15" s="774">
        <f>'T 6.1'!I15+'T 6.2'!I15</f>
        <v>213.83709859499999</v>
      </c>
      <c r="J15" s="774">
        <f>'T 6.1'!J15+'T 6.2'!J15</f>
        <v>237.81614351499999</v>
      </c>
    </row>
    <row r="16" spans="1:11" ht="14.25" customHeight="1" x14ac:dyDescent="0.2">
      <c r="A16" s="770" t="s">
        <v>714</v>
      </c>
      <c r="B16" s="771">
        <f>'T 6.1'!B16+'T 6.2'!B16</f>
        <v>97.999869089000001</v>
      </c>
      <c r="C16" s="771">
        <f>'T 6.1'!C16+'T 6.2'!C16</f>
        <v>284.84607398899999</v>
      </c>
      <c r="D16" s="771">
        <f>'T 6.1'!D16+'T 6.2'!D16</f>
        <v>342.311665189</v>
      </c>
      <c r="E16" s="771">
        <f>'T 6.1'!E16+'T 6.2'!E16</f>
        <v>578.52927831</v>
      </c>
      <c r="F16" s="771">
        <f>'T 6.1'!F16+'T 6.2'!F16</f>
        <v>330.05359665899999</v>
      </c>
      <c r="G16" s="771">
        <f>'T 6.1'!G16+'T 6.2'!G16</f>
        <v>603.52569126000003</v>
      </c>
      <c r="H16" s="316">
        <f>'T 6.1'!H16+'T 6.2'!H16</f>
        <v>382.845943078</v>
      </c>
      <c r="I16" s="316">
        <f>'T 6.1'!I16+'T 6.2'!I16</f>
        <v>1854.4202314179997</v>
      </c>
      <c r="J16" s="316">
        <f>'T 6.1'!J16+'T 6.2'!J16</f>
        <v>2237.2661744959996</v>
      </c>
    </row>
    <row r="17" spans="1:12" ht="14.25" customHeight="1" x14ac:dyDescent="0.2">
      <c r="A17" s="778" t="s">
        <v>715</v>
      </c>
      <c r="B17" s="773">
        <f>'T 6.1'!B17+'T 6.2'!B17</f>
        <v>41.084174978000007</v>
      </c>
      <c r="C17" s="773">
        <f>'T 6.1'!C17+'T 6.2'!C17</f>
        <v>83.396624889999998</v>
      </c>
      <c r="D17" s="773">
        <f>'T 6.1'!D17+'T 6.2'!D17</f>
        <v>86.211740637999995</v>
      </c>
      <c r="E17" s="773">
        <f>'T 6.1'!E17+'T 6.2'!E17</f>
        <v>143.15121810899998</v>
      </c>
      <c r="F17" s="773">
        <f>'T 6.1'!F17+'T 6.2'!F17</f>
        <v>127.56602189900001</v>
      </c>
      <c r="G17" s="773">
        <f>'T 6.1'!G17+'T 6.2'!G17</f>
        <v>373.719746219</v>
      </c>
      <c r="H17" s="774">
        <f>'T 6.1'!H17+'T 6.2'!H17</f>
        <v>124.48079986800001</v>
      </c>
      <c r="I17" s="774">
        <f>'T 6.1'!I17+'T 6.2'!I17</f>
        <v>730.64872686499996</v>
      </c>
      <c r="J17" s="774">
        <f>'T 6.1'!J17+'T 6.2'!J17</f>
        <v>855.12952673299992</v>
      </c>
    </row>
    <row r="18" spans="1:12" s="8" customFormat="1" ht="14.25" customHeight="1" x14ac:dyDescent="0.2">
      <c r="A18" s="770" t="s">
        <v>526</v>
      </c>
      <c r="B18" s="771">
        <f>'T 6.1'!B18+'T 6.2'!B18</f>
        <v>9.0032099989999992</v>
      </c>
      <c r="C18" s="771">
        <f>'T 6.1'!C18+'T 6.2'!C18</f>
        <v>26.099812970000002</v>
      </c>
      <c r="D18" s="771">
        <f>'T 6.1'!D18+'T 6.2'!D18</f>
        <v>11.893050730000001</v>
      </c>
      <c r="E18" s="771">
        <f>'T 6.1'!E18+'T 6.2'!E18</f>
        <v>29.82891085</v>
      </c>
      <c r="F18" s="771">
        <f>'T 6.1'!F18+'T 6.2'!F18</f>
        <v>24.469857589</v>
      </c>
      <c r="G18" s="771">
        <f>'T 6.1'!G18+'T 6.2'!G18</f>
        <v>41.507331158999996</v>
      </c>
      <c r="H18" s="316">
        <f>'T 6.1'!H18+'T 6.2'!H18</f>
        <v>35.103022969000001</v>
      </c>
      <c r="I18" s="316">
        <f>'T 6.1'!I18+'T 6.2'!I18</f>
        <v>107.699150328</v>
      </c>
      <c r="J18" s="316">
        <f>'T 6.1'!J18+'T 6.2'!J18</f>
        <v>142.802173297</v>
      </c>
    </row>
    <row r="19" spans="1:12" s="8" customFormat="1" ht="14.25" customHeight="1" x14ac:dyDescent="0.2">
      <c r="A19" s="772" t="s">
        <v>716</v>
      </c>
      <c r="B19" s="773">
        <f>'T 6.1'!B19+'T 6.2'!B19</f>
        <v>6.2881909300000007</v>
      </c>
      <c r="C19" s="773">
        <f>'T 6.1'!C19+'T 6.2'!C19</f>
        <v>17.828546509000002</v>
      </c>
      <c r="D19" s="773">
        <f>'T 6.1'!D19+'T 6.2'!D19</f>
        <v>15.494627458</v>
      </c>
      <c r="E19" s="773">
        <f>'T 6.1'!E19+'T 6.2'!E19</f>
        <v>26.817760880000002</v>
      </c>
      <c r="F19" s="773">
        <f>'T 6.1'!F19+'T 6.2'!F19</f>
        <v>19.997312879999999</v>
      </c>
      <c r="G19" s="773">
        <f>'T 6.1'!G19+'T 6.2'!G19</f>
        <v>204.52573925000002</v>
      </c>
      <c r="H19" s="774">
        <f>'T 6.1'!H19+'T 6.2'!H19</f>
        <v>24.116737439000005</v>
      </c>
      <c r="I19" s="774">
        <f>'T 6.1'!I19+'T 6.2'!I19</f>
        <v>266.835440468</v>
      </c>
      <c r="J19" s="774">
        <f>'T 6.1'!J19+'T 6.2'!J19</f>
        <v>290.95217790699996</v>
      </c>
    </row>
    <row r="20" spans="1:12" s="68" customFormat="1" ht="14.25" customHeight="1" x14ac:dyDescent="0.2">
      <c r="A20" s="779" t="s">
        <v>527</v>
      </c>
      <c r="B20" s="780">
        <f>'T 6.1'!B20+'T 6.2'!B20</f>
        <v>863.72654263000004</v>
      </c>
      <c r="C20" s="780">
        <f>'T 6.1'!C20+'T 6.2'!C20</f>
        <v>2098.5103509589999</v>
      </c>
      <c r="D20" s="780">
        <f>'T 6.1'!D20+'T 6.2'!D20</f>
        <v>2075.9084599990001</v>
      </c>
      <c r="E20" s="780">
        <f>'T 6.1'!E20+'T 6.2'!E20</f>
        <v>3481.1270374300002</v>
      </c>
      <c r="F20" s="780">
        <f>'T 6.1'!F20+'T 6.2'!F20</f>
        <v>2095.6519012590002</v>
      </c>
      <c r="G20" s="780">
        <f>'T 6.1'!G20+'T 6.2'!G20</f>
        <v>3494.321780278</v>
      </c>
      <c r="H20" s="781">
        <f>'T 6.1'!H20+'T 6.2'!H20</f>
        <v>2962.2368935889999</v>
      </c>
      <c r="I20" s="781">
        <f>'T 6.1'!I20+'T 6.2'!I20</f>
        <v>11147.009178966</v>
      </c>
      <c r="J20" s="781">
        <f>'T 6.1'!J20+'T 6.2'!J20</f>
        <v>14109.246072555001</v>
      </c>
    </row>
    <row r="21" spans="1:12" ht="14.25" customHeight="1" x14ac:dyDescent="0.2">
      <c r="A21" s="778" t="s">
        <v>717</v>
      </c>
      <c r="B21" s="773">
        <f>'T 6.1'!B21+'T 6.2'!B21</f>
        <v>74.057221097999999</v>
      </c>
      <c r="C21" s="773">
        <f>'T 6.1'!C21+'T 6.2'!C21</f>
        <v>144.681617088</v>
      </c>
      <c r="D21" s="773">
        <f>'T 6.1'!D21+'T 6.2'!D21</f>
        <v>271.71335079900001</v>
      </c>
      <c r="E21" s="773">
        <f>'T 6.1'!E21+'T 6.2'!E21</f>
        <v>537.64250317899996</v>
      </c>
      <c r="F21" s="773">
        <f>'T 6.1'!F21+'T 6.2'!F21</f>
        <v>301.697528659</v>
      </c>
      <c r="G21" s="773">
        <f>'T 6.1'!G21+'T 6.2'!G21</f>
        <v>401.95849016000005</v>
      </c>
      <c r="H21" s="774">
        <f>'T 6.1'!H21+'T 6.2'!H21</f>
        <v>218.73883818600001</v>
      </c>
      <c r="I21" s="774">
        <f>'T 6.1'!I21+'T 6.2'!I21</f>
        <v>1513.011872797</v>
      </c>
      <c r="J21" s="774">
        <f>'T 6.1'!J21+'T 6.2'!J21</f>
        <v>1731.7507109830001</v>
      </c>
    </row>
    <row r="22" spans="1:12" ht="14.25" customHeight="1" x14ac:dyDescent="0.2">
      <c r="A22" s="770" t="s">
        <v>528</v>
      </c>
      <c r="B22" s="771">
        <f>'T 6.1'!B22+'T 6.2'!B22</f>
        <v>482.35830751900005</v>
      </c>
      <c r="C22" s="771">
        <f>'T 6.1'!C22+'T 6.2'!C22</f>
        <v>1247.557726579</v>
      </c>
      <c r="D22" s="771">
        <f>'T 6.1'!D22+'T 6.2'!D22</f>
        <v>1164.767592249</v>
      </c>
      <c r="E22" s="771">
        <f>'T 6.1'!E22+'T 6.2'!E22</f>
        <v>1959.4744852989998</v>
      </c>
      <c r="F22" s="771">
        <f>'T 6.1'!F22+'T 6.2'!F22</f>
        <v>1241.005318148</v>
      </c>
      <c r="G22" s="771">
        <f>'T 6.1'!G22+'T 6.2'!G22</f>
        <v>2154.450977168</v>
      </c>
      <c r="H22" s="316">
        <f>'T 6.1'!H22+'T 6.2'!H22</f>
        <v>1729.9160340980002</v>
      </c>
      <c r="I22" s="316">
        <f>'T 6.1'!I22+'T 6.2'!I22</f>
        <v>6519.6983728640007</v>
      </c>
      <c r="J22" s="316">
        <f>'T 6.1'!J22+'T 6.2'!J22</f>
        <v>8249.6144069620004</v>
      </c>
    </row>
    <row r="23" spans="1:12" ht="14.25" customHeight="1" x14ac:dyDescent="0.2">
      <c r="A23" s="772" t="s">
        <v>529</v>
      </c>
      <c r="B23" s="773">
        <f>'T 6.1'!B23+'T 6.2'!B23</f>
        <v>1.6983800100000002</v>
      </c>
      <c r="C23" s="773">
        <f>'T 6.1'!C23+'T 6.2'!C23</f>
        <v>5.6465379000000002</v>
      </c>
      <c r="D23" s="773">
        <f>'T 6.1'!D23+'T 6.2'!D23</f>
        <v>5.2587365199999994</v>
      </c>
      <c r="E23" s="773">
        <f>'T 6.1'!E23+'T 6.2'!E23</f>
        <v>3.4255859000000002</v>
      </c>
      <c r="F23" s="773">
        <f>'T 6.1'!F23+'T 6.2'!F23</f>
        <v>1.3589808799999998</v>
      </c>
      <c r="G23" s="773">
        <f>'T 6.1'!G23+'T 6.2'!G23</f>
        <v>96.450321020000004</v>
      </c>
      <c r="H23" s="774">
        <f>'T 6.1'!H23+'T 6.2'!H23</f>
        <v>7.3449179100000004</v>
      </c>
      <c r="I23" s="774">
        <f>'T 6.1'!I23+'T 6.2'!I23</f>
        <v>106.49362432000001</v>
      </c>
      <c r="J23" s="774">
        <f>'T 6.1'!J23+'T 6.2'!J23</f>
        <v>113.83854223</v>
      </c>
      <c r="L23" s="943"/>
    </row>
    <row r="24" spans="1:12" ht="14.25" customHeight="1" x14ac:dyDescent="0.2">
      <c r="A24" s="770" t="s">
        <v>718</v>
      </c>
      <c r="B24" s="771">
        <f>'T 6.1'!B24+'T 6.2'!B24</f>
        <v>14.505639379999998</v>
      </c>
      <c r="C24" s="771">
        <f>'T 6.1'!C24+'T 6.2'!C24</f>
        <v>21.804735100000002</v>
      </c>
      <c r="D24" s="771">
        <f>'T 6.1'!D24+'T 6.2'!D24</f>
        <v>8.8274486999999997</v>
      </c>
      <c r="E24" s="771">
        <f>'T 6.1'!E24+'T 6.2'!E24</f>
        <v>12.527274839</v>
      </c>
      <c r="F24" s="771">
        <f>'T 6.1'!F24+'T 6.2'!F24</f>
        <v>22.473541368999999</v>
      </c>
      <c r="G24" s="771">
        <f>'T 6.1'!G24+'T 6.2'!G24</f>
        <v>108.2908324</v>
      </c>
      <c r="H24" s="316">
        <f>'T 6.1'!H24+'T 6.2'!H24</f>
        <v>36.31037448</v>
      </c>
      <c r="I24" s="316">
        <f>'T 6.1'!I24+'T 6.2'!I24</f>
        <v>152.11909730799999</v>
      </c>
      <c r="J24" s="316">
        <f>'T 6.1'!J24+'T 6.2'!J24</f>
        <v>188.429471788</v>
      </c>
    </row>
    <row r="25" spans="1:12" s="8" customFormat="1" ht="14.25" customHeight="1" x14ac:dyDescent="0.2">
      <c r="A25" s="772" t="s">
        <v>719</v>
      </c>
      <c r="B25" s="773">
        <f>'T 6.1'!B25+'T 6.2'!B25</f>
        <v>262.72915223899997</v>
      </c>
      <c r="C25" s="773">
        <f>'T 6.1'!C25+'T 6.2'!C25</f>
        <v>585.34156513799996</v>
      </c>
      <c r="D25" s="773">
        <f>'T 6.1'!D25+'T 6.2'!D25</f>
        <v>551.53077857999995</v>
      </c>
      <c r="E25" s="773">
        <f>'T 6.1'!E25+'T 6.2'!E25</f>
        <v>825.65203137899994</v>
      </c>
      <c r="F25" s="773">
        <f>'T 6.1'!F25+'T 6.2'!F25</f>
        <v>449.79766332899999</v>
      </c>
      <c r="G25" s="773">
        <f>'T 6.1'!G25+'T 6.2'!G25</f>
        <v>585.81735563900008</v>
      </c>
      <c r="H25" s="774">
        <f>'T 6.1'!H25+'T 6.2'!H25</f>
        <v>848.07071737699994</v>
      </c>
      <c r="I25" s="774">
        <f>'T 6.1'!I25+'T 6.2'!I25</f>
        <v>2412.7978289270004</v>
      </c>
      <c r="J25" s="774">
        <f>'T 6.1'!J25+'T 6.2'!J25</f>
        <v>3260.8685463040001</v>
      </c>
    </row>
    <row r="26" spans="1:12" s="8" customFormat="1" ht="14.25" customHeight="1" x14ac:dyDescent="0.2">
      <c r="A26" s="782" t="s">
        <v>530</v>
      </c>
      <c r="B26" s="783">
        <f>'T 6.1'!B26+'T 6.2'!B26</f>
        <v>28.377842378</v>
      </c>
      <c r="C26" s="783">
        <f>'T 6.1'!C26+'T 6.2'!C26</f>
        <v>93.478169148000006</v>
      </c>
      <c r="D26" s="783">
        <f>'T 6.1'!D26+'T 6.2'!D26</f>
        <v>73.810553150000004</v>
      </c>
      <c r="E26" s="783">
        <f>'T 6.1'!E26+'T 6.2'!E26</f>
        <v>142.40515682900002</v>
      </c>
      <c r="F26" s="783">
        <f>'T 6.1'!F26+'T 6.2'!F26</f>
        <v>79.318868870000003</v>
      </c>
      <c r="G26" s="783">
        <f>'T 6.1'!G26+'T 6.2'!G26</f>
        <v>147.35380388900001</v>
      </c>
      <c r="H26" s="385">
        <f>'T 6.1'!H26+'T 6.2'!H26</f>
        <v>121.856011526</v>
      </c>
      <c r="I26" s="385">
        <f>'T 6.1'!I26+'T 6.2'!I26</f>
        <v>442.88838273800002</v>
      </c>
      <c r="J26" s="385">
        <f>'T 6.1'!J26+'T 6.2'!J26</f>
        <v>564.74439426400011</v>
      </c>
    </row>
    <row r="27" spans="1:12" s="68" customFormat="1" ht="14.25" customHeight="1" x14ac:dyDescent="0.2">
      <c r="A27" s="775" t="s">
        <v>720</v>
      </c>
      <c r="B27" s="776">
        <f>'T 6.1'!B27+'T 6.2'!B27</f>
        <v>856.25441651799997</v>
      </c>
      <c r="C27" s="776">
        <f>'T 6.1'!C27+'T 6.2'!C27</f>
        <v>2203.6783530480002</v>
      </c>
      <c r="D27" s="776">
        <f>'T 6.1'!D27+'T 6.2'!D27</f>
        <v>2412.7973885290003</v>
      </c>
      <c r="E27" s="776">
        <f>'T 6.1'!E27+'T 6.2'!E27</f>
        <v>3845.7123871999997</v>
      </c>
      <c r="F27" s="776">
        <f>'T 6.1'!F27+'T 6.2'!F27</f>
        <v>2453.3286224190001</v>
      </c>
      <c r="G27" s="776">
        <f>'T 6.1'!G27+'T 6.2'!G27</f>
        <v>3863.952843949</v>
      </c>
      <c r="H27" s="777">
        <f>'T 6.1'!H27+'T 6.2'!H27</f>
        <v>3059.9327695660004</v>
      </c>
      <c r="I27" s="777">
        <f>'T 6.1'!I27+'T 6.2'!I27</f>
        <v>12575.791242097001</v>
      </c>
      <c r="J27" s="777">
        <f>'T 6.1'!J27+'T 6.2'!J27</f>
        <v>15635.724011663</v>
      </c>
    </row>
    <row r="28" spans="1:12" ht="14.25" customHeight="1" x14ac:dyDescent="0.2">
      <c r="A28" s="782" t="s">
        <v>721</v>
      </c>
      <c r="B28" s="783">
        <f>'T 6.1'!B28+'T 6.2'!B28</f>
        <v>47.291663069999998</v>
      </c>
      <c r="C28" s="783">
        <f>'T 6.1'!C28+'T 6.2'!C28</f>
        <v>148.35047258</v>
      </c>
      <c r="D28" s="783">
        <f>'T 6.1'!D28+'T 6.2'!D28</f>
        <v>258.51635664899999</v>
      </c>
      <c r="E28" s="783">
        <f>'T 6.1'!E28+'T 6.2'!E28</f>
        <v>467.69231727900001</v>
      </c>
      <c r="F28" s="783">
        <f>'T 6.1'!F28+'T 6.2'!F28</f>
        <v>264.46348254999998</v>
      </c>
      <c r="G28" s="783">
        <f>'T 6.1'!G28+'T 6.2'!G28</f>
        <v>489.88974268000004</v>
      </c>
      <c r="H28" s="385">
        <f>'T 6.1'!H28+'T 6.2'!H28</f>
        <v>195.64213565</v>
      </c>
      <c r="I28" s="385">
        <f>'T 6.1'!I28+'T 6.2'!I28</f>
        <v>1480.5618991580002</v>
      </c>
      <c r="J28" s="385">
        <f>'T 6.1'!J28+'T 6.2'!J28</f>
        <v>1676.2040348080002</v>
      </c>
    </row>
    <row r="29" spans="1:12" s="8" customFormat="1" ht="14.25" customHeight="1" x14ac:dyDescent="0.2">
      <c r="A29" s="772" t="s">
        <v>531</v>
      </c>
      <c r="B29" s="773">
        <f>'T 6.1'!B29+'T 6.2'!B29</f>
        <v>240.32791367900001</v>
      </c>
      <c r="C29" s="773">
        <f>'T 6.1'!C29+'T 6.2'!C29</f>
        <v>735.81959007</v>
      </c>
      <c r="D29" s="773">
        <f>'T 6.1'!D29+'T 6.2'!D29</f>
        <v>826.04489849999993</v>
      </c>
      <c r="E29" s="773">
        <f>'T 6.1'!E29+'T 6.2'!E29</f>
        <v>1296.2658637889999</v>
      </c>
      <c r="F29" s="773">
        <f>'T 6.1'!F29+'T 6.2'!F29</f>
        <v>819.07919447900008</v>
      </c>
      <c r="G29" s="773">
        <f>'T 6.1'!G29+'T 6.2'!G29</f>
        <v>1817.9246821599997</v>
      </c>
      <c r="H29" s="774">
        <f>'T 6.1'!H29+'T 6.2'!H29</f>
        <v>976.14750374900007</v>
      </c>
      <c r="I29" s="774">
        <f>'T 6.1'!I29+'T 6.2'!I29</f>
        <v>4759.314638928</v>
      </c>
      <c r="J29" s="774">
        <f>'T 6.1'!J29+'T 6.2'!J29</f>
        <v>5735.462142677</v>
      </c>
    </row>
    <row r="30" spans="1:12" s="8" customFormat="1" ht="14.25" customHeight="1" x14ac:dyDescent="0.2">
      <c r="A30" s="770" t="s">
        <v>722</v>
      </c>
      <c r="B30" s="771">
        <f>'T 6.1'!B30+'T 6.2'!B30</f>
        <v>103.40314558899999</v>
      </c>
      <c r="C30" s="771">
        <f>'T 6.1'!C30+'T 6.2'!C30</f>
        <v>395.99733575900001</v>
      </c>
      <c r="D30" s="771">
        <f>'T 6.1'!D30+'T 6.2'!D30</f>
        <v>516.54735698900004</v>
      </c>
      <c r="E30" s="771">
        <f>'T 6.1'!E30+'T 6.2'!E30</f>
        <v>782.48731485899998</v>
      </c>
      <c r="F30" s="771">
        <f>'T 6.1'!F30+'T 6.2'!F30</f>
        <v>467.58055422900003</v>
      </c>
      <c r="G30" s="771">
        <f>'T 6.1'!G30+'T 6.2'!G30</f>
        <v>988.63809343899993</v>
      </c>
      <c r="H30" s="316">
        <f>'T 6.1'!H30+'T 6.2'!H30</f>
        <v>499.40048134800003</v>
      </c>
      <c r="I30" s="316">
        <f>'T 6.1'!I30+'T 6.2'!I30</f>
        <v>2755.2533195159999</v>
      </c>
      <c r="J30" s="316">
        <f>'T 6.1'!J30+'T 6.2'!J30</f>
        <v>3254.653800864</v>
      </c>
    </row>
    <row r="31" spans="1:12" s="68" customFormat="1" ht="14.25" customHeight="1" x14ac:dyDescent="0.2">
      <c r="A31" s="772" t="s">
        <v>820</v>
      </c>
      <c r="B31" s="773">
        <f>'T 6.1'!B31+'T 6.2'!B31</f>
        <v>136.92476808999999</v>
      </c>
      <c r="C31" s="773">
        <f>'T 6.1'!C31+'T 6.2'!C31</f>
        <v>339.82225430900002</v>
      </c>
      <c r="D31" s="773">
        <f>'T 6.1'!D31+'T 6.2'!D31</f>
        <v>309.49754150900003</v>
      </c>
      <c r="E31" s="773">
        <f>'T 6.1'!E31+'T 6.2'!E31</f>
        <v>513.77854892999994</v>
      </c>
      <c r="F31" s="773">
        <f>'T 6.1'!F31+'T 6.2'!F31</f>
        <v>351.49864024800002</v>
      </c>
      <c r="G31" s="773">
        <f>'T 6.1'!G31+'T 6.2'!G31</f>
        <v>829.28658871799996</v>
      </c>
      <c r="H31" s="774">
        <f>'T 6.1'!H31+'T 6.2'!H31</f>
        <v>476.747022399</v>
      </c>
      <c r="I31" s="774">
        <f>'T 6.1'!I31+'T 6.2'!I31</f>
        <v>2004.0613194050002</v>
      </c>
      <c r="J31" s="774">
        <f>'T 6.1'!J31+'T 6.2'!J31</f>
        <v>2480.8083418040005</v>
      </c>
    </row>
    <row r="32" spans="1:12" s="68" customFormat="1" ht="14.25" customHeight="1" x14ac:dyDescent="0.2">
      <c r="A32" s="770" t="s">
        <v>532</v>
      </c>
      <c r="B32" s="771">
        <f>'T 6.1'!B32+'T 6.2'!B32</f>
        <v>356.30957557900001</v>
      </c>
      <c r="C32" s="771">
        <f>'T 6.1'!C32+'T 6.2'!C32</f>
        <v>798.52280723900003</v>
      </c>
      <c r="D32" s="771">
        <f>'T 6.1'!D32+'T 6.2'!D32</f>
        <v>809.54843437999989</v>
      </c>
      <c r="E32" s="771">
        <f>'T 6.1'!E32+'T 6.2'!E32</f>
        <v>1151.3250507590001</v>
      </c>
      <c r="F32" s="771">
        <f>'T 6.1'!F32+'T 6.2'!F32</f>
        <v>742.79344625900001</v>
      </c>
      <c r="G32" s="771">
        <f>'T 6.1'!G32+'T 6.2'!G32</f>
        <v>1047.3066244679999</v>
      </c>
      <c r="H32" s="316">
        <f>'T 6.1'!H32+'T 6.2'!H32</f>
        <v>1154.832382818</v>
      </c>
      <c r="I32" s="316">
        <f>'T 6.1'!I32+'T 6.2'!I32</f>
        <v>3750.9735558659995</v>
      </c>
      <c r="J32" s="316">
        <f>'T 6.1'!J32+'T 6.2'!J32</f>
        <v>4905.8059386839996</v>
      </c>
    </row>
    <row r="33" spans="1:10" s="8" customFormat="1" ht="14.25" customHeight="1" x14ac:dyDescent="0.2">
      <c r="A33" s="772" t="s">
        <v>533</v>
      </c>
      <c r="B33" s="773">
        <f>'T 6.1'!B33+'T 6.2'!B33</f>
        <v>212.32526418899999</v>
      </c>
      <c r="C33" s="773">
        <f>'T 6.1'!C33+'T 6.2'!C33</f>
        <v>520.98548315800008</v>
      </c>
      <c r="D33" s="773">
        <f>'T 6.1'!D33+'T 6.2'!D33</f>
        <v>518.68769899900008</v>
      </c>
      <c r="E33" s="773">
        <f>'T 6.1'!E33+'T 6.2'!E33</f>
        <v>930.42915536900011</v>
      </c>
      <c r="F33" s="773">
        <f>'T 6.1'!F33+'T 6.2'!F33</f>
        <v>626.99249912899995</v>
      </c>
      <c r="G33" s="773">
        <f>'T 6.1'!G33+'T 6.2'!G33</f>
        <v>508.83179463800002</v>
      </c>
      <c r="H33" s="774">
        <f>'T 6.1'!H33+'T 6.2'!H33</f>
        <v>733.31074734699996</v>
      </c>
      <c r="I33" s="774">
        <f>'T 6.1'!I33+'T 6.2'!I33</f>
        <v>2584.9411481349998</v>
      </c>
      <c r="J33" s="774">
        <f>'T 6.1'!J33+'T 6.2'!J33</f>
        <v>3318.2518954819998</v>
      </c>
    </row>
    <row r="34" spans="1:10" ht="14.25" customHeight="1" x14ac:dyDescent="0.2">
      <c r="A34" s="779" t="s">
        <v>724</v>
      </c>
      <c r="B34" s="780">
        <f>'T 6.1'!B34+'T 6.2'!B34</f>
        <v>238.14892568800002</v>
      </c>
      <c r="C34" s="780">
        <f>'T 6.1'!C34+'T 6.2'!C34</f>
        <v>796.24162001800005</v>
      </c>
      <c r="D34" s="780">
        <f>'T 6.1'!D34+'T 6.2'!D34</f>
        <v>981.60062518999996</v>
      </c>
      <c r="E34" s="780">
        <f>'T 6.1'!E34+'T 6.2'!E34</f>
        <v>1891.4561139890002</v>
      </c>
      <c r="F34" s="780">
        <f>'T 6.1'!F34+'T 6.2'!F34</f>
        <v>1196.7295122400001</v>
      </c>
      <c r="G34" s="780">
        <f>'T 6.1'!G34+'T 6.2'!G34</f>
        <v>4140.3607317200003</v>
      </c>
      <c r="H34" s="781">
        <f>'T 6.1'!H34+'T 6.2'!H34</f>
        <v>1034.390545706</v>
      </c>
      <c r="I34" s="781">
        <f>'T 6.1'!I34+'T 6.2'!I34</f>
        <v>8210.1469831390004</v>
      </c>
      <c r="J34" s="781">
        <f>'T 6.1'!J34+'T 6.2'!J34</f>
        <v>9244.5375288450014</v>
      </c>
    </row>
    <row r="35" spans="1:10" s="8" customFormat="1" ht="14.25" customHeight="1" x14ac:dyDescent="0.2">
      <c r="A35" s="772" t="s">
        <v>725</v>
      </c>
      <c r="B35" s="773">
        <f>'T 6.1'!B35+'T 6.2'!B35</f>
        <v>3.19253228</v>
      </c>
      <c r="C35" s="773">
        <f>'T 6.1'!C35+'T 6.2'!C35</f>
        <v>8.7952153200000005</v>
      </c>
      <c r="D35" s="773">
        <f>'T 6.1'!D35+'T 6.2'!D35</f>
        <v>2.9646446700000002</v>
      </c>
      <c r="E35" s="773">
        <f>'T 6.1'!E35+'T 6.2'!E35</f>
        <v>6.4894970079999998</v>
      </c>
      <c r="F35" s="773">
        <f>'T 6.1'!F35+'T 6.2'!F35</f>
        <v>1.7944973289999999</v>
      </c>
      <c r="G35" s="773">
        <f>'T 6.1'!G35+'T 6.2'!G35</f>
        <v>601.23895648999996</v>
      </c>
      <c r="H35" s="774">
        <f>'T 6.1'!H35+'T 6.2'!H35</f>
        <v>11.987747599999999</v>
      </c>
      <c r="I35" s="774">
        <f>'T 6.1'!I35+'T 6.2'!I35</f>
        <v>612.48759549700003</v>
      </c>
      <c r="J35" s="774">
        <f>'T 6.1'!J35+'T 6.2'!J35</f>
        <v>624.47534309699995</v>
      </c>
    </row>
    <row r="36" spans="1:10" s="68" customFormat="1" ht="14.25" customHeight="1" x14ac:dyDescent="0.2">
      <c r="A36" s="782" t="s">
        <v>534</v>
      </c>
      <c r="B36" s="783">
        <f>'T 6.1'!B36+'T 6.2'!B36</f>
        <v>29.085934068</v>
      </c>
      <c r="C36" s="783">
        <f>'T 6.1'!C36+'T 6.2'!C36</f>
        <v>56.251040529999997</v>
      </c>
      <c r="D36" s="783">
        <f>'T 6.1'!D36+'T 6.2'!D36</f>
        <v>46.389888368000001</v>
      </c>
      <c r="E36" s="783">
        <f>'T 6.1'!E36+'T 6.2'!E36</f>
        <v>156.183666668</v>
      </c>
      <c r="F36" s="783">
        <f>'T 6.1'!F36+'T 6.2'!F36</f>
        <v>121.11043127800001</v>
      </c>
      <c r="G36" s="783">
        <f>'T 6.1'!G36+'T 6.2'!G36</f>
        <v>243.51676590900001</v>
      </c>
      <c r="H36" s="385">
        <f>'T 6.1'!H36+'T 6.2'!H36</f>
        <v>85.336974598000012</v>
      </c>
      <c r="I36" s="385">
        <f>'T 6.1'!I36+'T 6.2'!I36</f>
        <v>567.20075222299999</v>
      </c>
      <c r="J36" s="385">
        <f>'T 6.1'!J36+'T 6.2'!J36</f>
        <v>652.53772682099998</v>
      </c>
    </row>
    <row r="37" spans="1:10" ht="14.25" customHeight="1" x14ac:dyDescent="0.2">
      <c r="A37" s="784" t="s">
        <v>726</v>
      </c>
      <c r="B37" s="773">
        <f>'T 6.1'!B37+'T 6.2'!B37</f>
        <v>205.87045933899998</v>
      </c>
      <c r="C37" s="773">
        <f>'T 6.1'!C37+'T 6.2'!C37</f>
        <v>731.19536416800008</v>
      </c>
      <c r="D37" s="773">
        <f>'T 6.1'!D37+'T 6.2'!D37</f>
        <v>932.24609214899988</v>
      </c>
      <c r="E37" s="773">
        <f>'T 6.1'!E37+'T 6.2'!E37</f>
        <v>1728.7829503099999</v>
      </c>
      <c r="F37" s="773">
        <f>'T 6.1'!F37+'T 6.2'!F37</f>
        <v>1073.82458363</v>
      </c>
      <c r="G37" s="773">
        <f>'T 6.1'!G37+'T 6.2'!G37</f>
        <v>3295.6050093199997</v>
      </c>
      <c r="H37" s="774">
        <f>'T 6.1'!H37+'T 6.2'!H37</f>
        <v>937.065823507</v>
      </c>
      <c r="I37" s="774">
        <f>'T 6.1'!I37+'T 6.2'!I37</f>
        <v>7030.4586354089988</v>
      </c>
      <c r="J37" s="774">
        <f>'T 6.1'!J37+'T 6.2'!J37</f>
        <v>7967.5244589159993</v>
      </c>
    </row>
    <row r="38" spans="1:10" ht="14.25" customHeight="1" x14ac:dyDescent="0.2">
      <c r="A38" s="782" t="s">
        <v>727</v>
      </c>
      <c r="B38" s="771">
        <f>'T 6.1'!B38+'T 6.2'!B38</f>
        <v>40.880940690000003</v>
      </c>
      <c r="C38" s="771">
        <f>'T 6.1'!C38+'T 6.2'!C38</f>
        <v>197.77190062900002</v>
      </c>
      <c r="D38" s="771">
        <f>'T 6.1'!D38+'T 6.2'!D38</f>
        <v>326.68590955000002</v>
      </c>
      <c r="E38" s="771">
        <f>'T 6.1'!E38+'T 6.2'!E38</f>
        <v>558.85485130000006</v>
      </c>
      <c r="F38" s="771">
        <f>'T 6.1'!F38+'T 6.2'!F38</f>
        <v>341.18443236800005</v>
      </c>
      <c r="G38" s="771">
        <f>'T 6.1'!G38+'T 6.2'!G38</f>
        <v>429.17769125000001</v>
      </c>
      <c r="H38" s="316">
        <f>'T 6.1'!H38+'T 6.2'!H38</f>
        <v>238.652841319</v>
      </c>
      <c r="I38" s="316">
        <f>'T 6.1'!I38+'T 6.2'!I38</f>
        <v>1655.9028844680001</v>
      </c>
      <c r="J38" s="316">
        <f>'T 6.1'!J38+'T 6.2'!J38</f>
        <v>1894.555725787</v>
      </c>
    </row>
    <row r="39" spans="1:10" ht="14.25" customHeight="1" x14ac:dyDescent="0.2">
      <c r="A39" s="784" t="s">
        <v>821</v>
      </c>
      <c r="B39" s="785">
        <f>'T 6.1'!B39+'T 6.2'!B39</f>
        <v>140.67409350999998</v>
      </c>
      <c r="C39" s="785">
        <f>'T 6.1'!C39+'T 6.2'!C39</f>
        <v>458.52790920000001</v>
      </c>
      <c r="D39" s="785">
        <f>'T 6.1'!D39+'T 6.2'!D39</f>
        <v>495.84665538900003</v>
      </c>
      <c r="E39" s="785">
        <f>'T 6.1'!E39+'T 6.2'!E39</f>
        <v>998.08936115999995</v>
      </c>
      <c r="F39" s="785">
        <f>'T 6.1'!F39+'T 6.2'!F39</f>
        <v>594.82153449999998</v>
      </c>
      <c r="G39" s="785">
        <f>'T 6.1'!G39+'T 6.2'!G39</f>
        <v>1676.949476579</v>
      </c>
      <c r="H39" s="786">
        <f>'T 6.1'!H39+'T 6.2'!H39</f>
        <v>599.20200270999999</v>
      </c>
      <c r="I39" s="786">
        <f>'T 6.1'!I39+'T 6.2'!I39</f>
        <v>3765.7070276279997</v>
      </c>
      <c r="J39" s="786">
        <f>'T 6.1'!J39+'T 6.2'!J39</f>
        <v>4364.9090303379999</v>
      </c>
    </row>
    <row r="40" spans="1:10" s="8" customFormat="1" ht="14.25" customHeight="1" x14ac:dyDescent="0.2">
      <c r="A40" s="782" t="s">
        <v>822</v>
      </c>
      <c r="B40" s="783">
        <f>'T 6.1'!B40+'T 6.2'!B40</f>
        <v>12.485981089000001</v>
      </c>
      <c r="C40" s="783">
        <f>'T 6.1'!C40+'T 6.2'!C40</f>
        <v>39.068921168000003</v>
      </c>
      <c r="D40" s="783">
        <f>'T 6.1'!D40+'T 6.2'!D40</f>
        <v>53.231828749999998</v>
      </c>
      <c r="E40" s="783">
        <f>'T 6.1'!E40+'T 6.2'!E40</f>
        <v>74.881567639000011</v>
      </c>
      <c r="F40" s="783">
        <f>'T 6.1'!F40+'T 6.2'!F40</f>
        <v>64.680327129000005</v>
      </c>
      <c r="G40" s="783">
        <f>'T 6.1'!G40+'T 6.2'!G40</f>
        <v>158.63995860999998</v>
      </c>
      <c r="H40" s="385">
        <f>'T 6.1'!H40+'T 6.2'!H40</f>
        <v>51.554902256999995</v>
      </c>
      <c r="I40" s="385">
        <f>'T 6.1'!I40+'T 6.2'!I40</f>
        <v>351.43368212799999</v>
      </c>
      <c r="J40" s="385">
        <f>'T 6.1'!J40+'T 6.2'!J40</f>
        <v>402.98858438499997</v>
      </c>
    </row>
    <row r="41" spans="1:10" ht="14.25" customHeight="1" x14ac:dyDescent="0.2">
      <c r="A41" s="784" t="s">
        <v>823</v>
      </c>
      <c r="B41" s="785">
        <f>'T 6.1'!B41+'T 6.2'!B41</f>
        <v>0.17053428000000001</v>
      </c>
      <c r="C41" s="785">
        <f>'T 6.1'!C41+'T 6.2'!C41</f>
        <v>0.98125484899999993</v>
      </c>
      <c r="D41" s="785">
        <f>'T 6.1'!D41+'T 6.2'!D41</f>
        <v>0.59620446000000005</v>
      </c>
      <c r="E41" s="785">
        <f>'T 6.1'!E41+'T 6.2'!E41</f>
        <v>4.156180258</v>
      </c>
      <c r="F41" s="785">
        <f>'T 6.1'!F41+'T 6.2'!F41</f>
        <v>4.8333045400000003</v>
      </c>
      <c r="G41" s="785">
        <f>'T 6.1'!G41+'T 6.2'!G41</f>
        <v>357.96672095000002</v>
      </c>
      <c r="H41" s="786">
        <f>'T 6.1'!H41+'T 6.2'!H41</f>
        <v>1.151789129</v>
      </c>
      <c r="I41" s="786">
        <f>'T 6.1'!I41+'T 6.2'!I41</f>
        <v>367.55241020800003</v>
      </c>
      <c r="J41" s="786">
        <f>'T 6.1'!J41+'T 6.2'!J41</f>
        <v>368.70419933699998</v>
      </c>
    </row>
    <row r="42" spans="1:10" ht="14.25" customHeight="1" x14ac:dyDescent="0.2">
      <c r="A42" s="782" t="s">
        <v>824</v>
      </c>
      <c r="B42" s="783">
        <f>'T 6.1'!B42+'T 6.2'!B42</f>
        <v>11.658909770000001</v>
      </c>
      <c r="C42" s="783">
        <f>'T 6.1'!C42+'T 6.2'!C42</f>
        <v>34.845378318000002</v>
      </c>
      <c r="D42" s="783">
        <f>'T 6.1'!D42+'T 6.2'!D42</f>
        <v>55.885493998999998</v>
      </c>
      <c r="E42" s="783">
        <f>'T 6.1'!E42+'T 6.2'!E42</f>
        <v>92.800989947999994</v>
      </c>
      <c r="F42" s="783">
        <f>'T 6.1'!F42+'T 6.2'!F42</f>
        <v>68.304985088999999</v>
      </c>
      <c r="G42" s="783">
        <f>'T 6.1'!G42+'T 6.2'!G42</f>
        <v>672.87116192999997</v>
      </c>
      <c r="H42" s="385">
        <f>'T 6.1'!H42+'T 6.2'!H42</f>
        <v>46.504288087999996</v>
      </c>
      <c r="I42" s="385">
        <f>'T 6.1'!I42+'T 6.2'!I42</f>
        <v>889.8626309660001</v>
      </c>
      <c r="J42" s="385">
        <f>'T 6.1'!J42+'T 6.2'!J42</f>
        <v>936.36691905400005</v>
      </c>
    </row>
    <row r="43" spans="1:10" s="8" customFormat="1" ht="14.25" customHeight="1" x14ac:dyDescent="0.2">
      <c r="A43" s="790" t="s">
        <v>732</v>
      </c>
      <c r="B43" s="791">
        <f>'T 6.1'!B43+'T 6.2'!B43</f>
        <v>729.74166400900003</v>
      </c>
      <c r="C43" s="791">
        <f>'T 6.1'!C43+'T 6.2'!C43</f>
        <v>1578.4172930990001</v>
      </c>
      <c r="D43" s="791">
        <f>'T 6.1'!D43+'T 6.2'!D43</f>
        <v>1387.1701033099998</v>
      </c>
      <c r="E43" s="791">
        <f>'T 6.1'!E43+'T 6.2'!E43</f>
        <v>2190.0778103289999</v>
      </c>
      <c r="F43" s="791">
        <f>'T 6.1'!F43+'T 6.2'!F43</f>
        <v>1225.6871697789998</v>
      </c>
      <c r="G43" s="791">
        <f>'T 6.1'!G43+'T 6.2'!G43</f>
        <v>2425.4544782079997</v>
      </c>
      <c r="H43" s="792">
        <f>'T 6.1'!H43+'T 6.2'!H43</f>
        <v>2308.1589571080003</v>
      </c>
      <c r="I43" s="792">
        <f>'T 6.1'!I43+'T 6.2'!I43</f>
        <v>7228.3895616259997</v>
      </c>
      <c r="J43" s="792">
        <f>'T 6.1'!J43+'T 6.2'!J43</f>
        <v>9536.5485187339982</v>
      </c>
    </row>
    <row r="44" spans="1:10" s="8" customFormat="1" ht="14.25" customHeight="1" x14ac:dyDescent="0.2">
      <c r="A44" s="782" t="s">
        <v>733</v>
      </c>
      <c r="B44" s="783">
        <f>'T 6.1'!B44+'T 6.2'!B44</f>
        <v>30.116947760000002</v>
      </c>
      <c r="C44" s="783">
        <f>'T 6.1'!C44+'T 6.2'!C44</f>
        <v>70.977112519000002</v>
      </c>
      <c r="D44" s="783">
        <f>'T 6.1'!D44+'T 6.2'!D44</f>
        <v>31.82473169</v>
      </c>
      <c r="E44" s="783">
        <f>'T 6.1'!E44+'T 6.2'!E44</f>
        <v>66.401548970000007</v>
      </c>
      <c r="F44" s="783">
        <f>'T 6.1'!F44+'T 6.2'!F44</f>
        <v>15.480180069999999</v>
      </c>
      <c r="G44" s="783">
        <f>'T 6.1'!G44+'T 6.2'!G44</f>
        <v>58.178486519000003</v>
      </c>
      <c r="H44" s="385">
        <f>'T 6.1'!H44+'T 6.2'!H44</f>
        <v>101.094060279</v>
      </c>
      <c r="I44" s="385">
        <f>'T 6.1'!I44+'T 6.2'!I44</f>
        <v>171.88494724899999</v>
      </c>
      <c r="J44" s="385">
        <f>'T 6.1'!J44+'T 6.2'!J44</f>
        <v>272.97900752800001</v>
      </c>
    </row>
    <row r="45" spans="1:10" s="68" customFormat="1" ht="14.25" customHeight="1" x14ac:dyDescent="0.2">
      <c r="A45" s="784" t="s">
        <v>734</v>
      </c>
      <c r="B45" s="785">
        <f>'T 6.1'!B45+'T 6.2'!B45</f>
        <v>635.86235031899992</v>
      </c>
      <c r="C45" s="785">
        <f>'T 6.1'!C45+'T 6.2'!C45</f>
        <v>1417.525771029</v>
      </c>
      <c r="D45" s="785">
        <f>'T 6.1'!D45+'T 6.2'!D45</f>
        <v>1300.7902016200001</v>
      </c>
      <c r="E45" s="785">
        <f>'T 6.1'!E45+'T 6.2'!E45</f>
        <v>2034.357730278</v>
      </c>
      <c r="F45" s="785">
        <f>'T 6.1'!F45+'T 6.2'!F45</f>
        <v>1155.5551946</v>
      </c>
      <c r="G45" s="785">
        <f>'T 6.1'!G45+'T 6.2'!G45</f>
        <v>1995.5305257680002</v>
      </c>
      <c r="H45" s="786">
        <f>'T 6.1'!H45+'T 6.2'!H45</f>
        <v>2053.3881213479999</v>
      </c>
      <c r="I45" s="786">
        <f>'T 6.1'!I45+'T 6.2'!I45</f>
        <v>6486.2336522660007</v>
      </c>
      <c r="J45" s="786">
        <f>'T 6.1'!J45+'T 6.2'!J45</f>
        <v>8539.6217736140006</v>
      </c>
    </row>
    <row r="46" spans="1:10" s="68" customFormat="1" ht="14.25" customHeight="1" x14ac:dyDescent="0.2">
      <c r="A46" s="782" t="s">
        <v>735</v>
      </c>
      <c r="B46" s="783">
        <f>'T 6.1'!B46+'T 6.2'!B46</f>
        <v>166.38182841900002</v>
      </c>
      <c r="C46" s="783">
        <f>'T 6.1'!C46+'T 6.2'!C46</f>
        <v>441.69418349000006</v>
      </c>
      <c r="D46" s="783">
        <f>'T 6.1'!D46+'T 6.2'!D46</f>
        <v>446.50150470899996</v>
      </c>
      <c r="E46" s="783">
        <f>'T 6.1'!E46+'T 6.2'!E46</f>
        <v>693.61270074900006</v>
      </c>
      <c r="F46" s="783">
        <f>'T 6.1'!F46+'T 6.2'!F46</f>
        <v>396.51791582999999</v>
      </c>
      <c r="G46" s="783">
        <f>'T 6.1'!G46+'T 6.2'!G46</f>
        <v>675.70246134900003</v>
      </c>
      <c r="H46" s="385">
        <f>'T 6.1'!H46+'T 6.2'!H46</f>
        <v>608.07601190900004</v>
      </c>
      <c r="I46" s="385">
        <f>'T 6.1'!I46+'T 6.2'!I46</f>
        <v>2212.334582637</v>
      </c>
      <c r="J46" s="385">
        <f>'T 6.1'!J46+'T 6.2'!J46</f>
        <v>2820.4105945460001</v>
      </c>
    </row>
    <row r="47" spans="1:10" s="8" customFormat="1" ht="14.25" customHeight="1" x14ac:dyDescent="0.2">
      <c r="A47" s="784" t="s">
        <v>825</v>
      </c>
      <c r="B47" s="785">
        <f>'T 6.1'!B47+'T 6.2'!B47</f>
        <v>80.594878829999999</v>
      </c>
      <c r="C47" s="785">
        <f>'T 6.1'!C47+'T 6.2'!C47</f>
        <v>197.448526058</v>
      </c>
      <c r="D47" s="785">
        <f>'T 6.1'!D47+'T 6.2'!D47</f>
        <v>195.894943918</v>
      </c>
      <c r="E47" s="785">
        <f>'T 6.1'!E47+'T 6.2'!E47</f>
        <v>288.65259100000003</v>
      </c>
      <c r="F47" s="785">
        <f>'T 6.1'!F47+'T 6.2'!F47</f>
        <v>155.115396199</v>
      </c>
      <c r="G47" s="785">
        <f>'T 6.1'!G47+'T 6.2'!G47</f>
        <v>200.95191563900002</v>
      </c>
      <c r="H47" s="786">
        <f>'T 6.1'!H47+'T 6.2'!H47</f>
        <v>278.043404888</v>
      </c>
      <c r="I47" s="786">
        <f>'T 6.1'!I47+'T 6.2'!I47</f>
        <v>840.61484675599991</v>
      </c>
      <c r="J47" s="786">
        <f>'T 6.1'!J47+'T 6.2'!J47</f>
        <v>1118.6582516439998</v>
      </c>
    </row>
    <row r="48" spans="1:10" s="68" customFormat="1" ht="14.25" customHeight="1" x14ac:dyDescent="0.2">
      <c r="A48" s="770" t="s">
        <v>826</v>
      </c>
      <c r="B48" s="771">
        <f>'T 6.1'!B48+'T 6.2'!B48</f>
        <v>388.88564306900003</v>
      </c>
      <c r="C48" s="771">
        <f>'T 6.1'!C48+'T 6.2'!C48</f>
        <v>778.38306147799995</v>
      </c>
      <c r="D48" s="771">
        <f>'T 6.1'!D48+'T 6.2'!D48</f>
        <v>658.39375298899995</v>
      </c>
      <c r="E48" s="771">
        <f>'T 6.1'!E48+'T 6.2'!E48</f>
        <v>1052.092438528</v>
      </c>
      <c r="F48" s="771">
        <f>'T 6.1'!F48+'T 6.2'!F48</f>
        <v>603.92188256899999</v>
      </c>
      <c r="G48" s="771">
        <f>'T 6.1'!G48+'T 6.2'!G48</f>
        <v>1118.876148779</v>
      </c>
      <c r="H48" s="316">
        <f>'T 6.1'!H48+'T 6.2'!H48</f>
        <v>1167.2687045470002</v>
      </c>
      <c r="I48" s="316">
        <f>'T 6.1'!I48+'T 6.2'!I48</f>
        <v>3433.2842228650002</v>
      </c>
      <c r="J48" s="316">
        <f>'T 6.1'!J48+'T 6.2'!J48</f>
        <v>4600.5529274119999</v>
      </c>
    </row>
    <row r="49" spans="1:10" ht="14.25" customHeight="1" x14ac:dyDescent="0.2">
      <c r="A49" s="772" t="s">
        <v>738</v>
      </c>
      <c r="B49" s="773">
        <f>'T 6.1'!B49+'T 6.2'!B49</f>
        <v>63.762365930000001</v>
      </c>
      <c r="C49" s="773">
        <f>'T 6.1'!C49+'T 6.2'!C49</f>
        <v>89.914409548000009</v>
      </c>
      <c r="D49" s="773">
        <f>'T 6.1'!D49+'T 6.2'!D49</f>
        <v>54.555169999</v>
      </c>
      <c r="E49" s="773">
        <f>'T 6.1'!E49+'T 6.2'!E49</f>
        <v>89.318531078000007</v>
      </c>
      <c r="F49" s="773">
        <f>'T 6.1'!F49+'T 6.2'!F49</f>
        <v>54.651795109000005</v>
      </c>
      <c r="G49" s="773">
        <f>'T 6.1'!G49+'T 6.2'!G49</f>
        <v>371.74546591899997</v>
      </c>
      <c r="H49" s="774">
        <f>'T 6.1'!H49+'T 6.2'!H49</f>
        <v>153.676775478</v>
      </c>
      <c r="I49" s="774">
        <f>'T 6.1'!I49+'T 6.2'!I49</f>
        <v>570.27096210499997</v>
      </c>
      <c r="J49" s="774">
        <f>'T 6.1'!J49+'T 6.2'!J49</f>
        <v>723.94773758299993</v>
      </c>
    </row>
    <row r="50" spans="1:10" s="8" customFormat="1" ht="14.25" customHeight="1" x14ac:dyDescent="0.2">
      <c r="A50" s="779" t="s">
        <v>739</v>
      </c>
      <c r="B50" s="780">
        <f>'T 6.1'!B50+'T 6.2'!B50</f>
        <v>102.358739309</v>
      </c>
      <c r="C50" s="780">
        <f>'T 6.1'!C50+'T 6.2'!C50</f>
        <v>224.80394470900001</v>
      </c>
      <c r="D50" s="780">
        <f>'T 6.1'!D50+'T 6.2'!D50</f>
        <v>247.27005222899999</v>
      </c>
      <c r="E50" s="780">
        <f>'T 6.1'!E50+'T 6.2'!E50</f>
        <v>434.22958370900005</v>
      </c>
      <c r="F50" s="780">
        <f>'T 6.1'!F50+'T 6.2'!F50</f>
        <v>326.03487658899996</v>
      </c>
      <c r="G50" s="780">
        <f>'T 6.1'!G50+'T 6.2'!G50</f>
        <v>1203.7894396989998</v>
      </c>
      <c r="H50" s="781">
        <f>'T 6.1'!H50+'T 6.2'!H50</f>
        <v>327.16268401799999</v>
      </c>
      <c r="I50" s="781">
        <f>'T 6.1'!I50+'T 6.2'!I50</f>
        <v>2211.3239522260001</v>
      </c>
      <c r="J50" s="781">
        <f>'T 6.1'!J50+'T 6.2'!J50</f>
        <v>2538.4866362440002</v>
      </c>
    </row>
    <row r="51" spans="1:10" ht="14.25" customHeight="1" x14ac:dyDescent="0.2">
      <c r="A51" s="772" t="s">
        <v>740</v>
      </c>
      <c r="B51" s="773">
        <f>'T 6.1'!B51+'T 6.2'!B51</f>
        <v>16.605649488000001</v>
      </c>
      <c r="C51" s="773">
        <f>'T 6.1'!C51+'T 6.2'!C51</f>
        <v>35.305426949000001</v>
      </c>
      <c r="D51" s="773">
        <f>'T 6.1'!D51+'T 6.2'!D51</f>
        <v>30.530381498000001</v>
      </c>
      <c r="E51" s="773">
        <f>'T 6.1'!E51+'T 6.2'!E51</f>
        <v>59.056978158999996</v>
      </c>
      <c r="F51" s="773">
        <f>'T 6.1'!F51+'T 6.2'!F51</f>
        <v>29.360715927999998</v>
      </c>
      <c r="G51" s="773">
        <f>'T 6.1'!G51+'T 6.2'!G51</f>
        <v>214.54136481900002</v>
      </c>
      <c r="H51" s="774">
        <f>'T 6.1'!H51+'T 6.2'!H51</f>
        <v>51.911076437000006</v>
      </c>
      <c r="I51" s="774">
        <f>'T 6.1'!I51+'T 6.2'!I51</f>
        <v>333.48944040399999</v>
      </c>
      <c r="J51" s="774">
        <f>'T 6.1'!J51+'T 6.2'!J51</f>
        <v>385.40051684100001</v>
      </c>
    </row>
    <row r="52" spans="1:10" ht="14.25" customHeight="1" x14ac:dyDescent="0.2">
      <c r="A52" s="770" t="s">
        <v>741</v>
      </c>
      <c r="B52" s="771">
        <f>'T 6.1'!B52+'T 6.2'!B52</f>
        <v>15.430975449</v>
      </c>
      <c r="C52" s="771">
        <f>'T 6.1'!C52+'T 6.2'!C52</f>
        <v>14.078796209999998</v>
      </c>
      <c r="D52" s="771">
        <f>'T 6.1'!D52+'T 6.2'!D52</f>
        <v>18.529015680000001</v>
      </c>
      <c r="E52" s="771">
        <f>'T 6.1'!E52+'T 6.2'!E52</f>
        <v>29.424635868999999</v>
      </c>
      <c r="F52" s="771">
        <f>'T 6.1'!F52+'T 6.2'!F52</f>
        <v>15.746370278999999</v>
      </c>
      <c r="G52" s="771">
        <f>'T 6.1'!G52+'T 6.2'!G52</f>
        <v>642.28336392899996</v>
      </c>
      <c r="H52" s="316">
        <f>'T 6.1'!H52+'T 6.2'!H52</f>
        <v>29.509771659000002</v>
      </c>
      <c r="I52" s="316">
        <f>'T 6.1'!I52+'T 6.2'!I52</f>
        <v>705.98338575699995</v>
      </c>
      <c r="J52" s="316">
        <f>'T 6.1'!J52+'T 6.2'!J52</f>
        <v>735.49315741600003</v>
      </c>
    </row>
    <row r="53" spans="1:10" ht="14.25" customHeight="1" x14ac:dyDescent="0.2">
      <c r="A53" s="772" t="s">
        <v>742</v>
      </c>
      <c r="B53" s="773">
        <f>'T 6.1'!B53+'T 6.2'!B53</f>
        <v>31.41638408</v>
      </c>
      <c r="C53" s="773">
        <f>'T 6.1'!C53+'T 6.2'!C53</f>
        <v>79.133258090000012</v>
      </c>
      <c r="D53" s="773">
        <f>'T 6.1'!D53+'T 6.2'!D53</f>
        <v>135.08184995900001</v>
      </c>
      <c r="E53" s="773">
        <f>'T 6.1'!E53+'T 6.2'!E53</f>
        <v>271.40917971899995</v>
      </c>
      <c r="F53" s="773">
        <f>'T 6.1'!F53+'T 6.2'!F53</f>
        <v>219.01900788</v>
      </c>
      <c r="G53" s="773">
        <f>'T 6.1'!G53+'T 6.2'!G53</f>
        <v>261.870151599</v>
      </c>
      <c r="H53" s="774">
        <f>'T 6.1'!H53+'T 6.2'!H53</f>
        <v>110.54964217000001</v>
      </c>
      <c r="I53" s="774">
        <f>'T 6.1'!I53+'T 6.2'!I53</f>
        <v>887.38018915700002</v>
      </c>
      <c r="J53" s="774">
        <f>'T 6.1'!J53+'T 6.2'!J53</f>
        <v>997.9298313270001</v>
      </c>
    </row>
    <row r="54" spans="1:10" s="8" customFormat="1" ht="14.25" customHeight="1" x14ac:dyDescent="0.2">
      <c r="A54" s="770" t="s">
        <v>743</v>
      </c>
      <c r="B54" s="771">
        <f>'T 6.1'!B54+'T 6.2'!B54</f>
        <v>19.197929559000002</v>
      </c>
      <c r="C54" s="771">
        <f>'T 6.1'!C54+'T 6.2'!C54</f>
        <v>42.451846180000004</v>
      </c>
      <c r="D54" s="771">
        <f>'T 6.1'!D54+'T 6.2'!D54</f>
        <v>27.727815069000002</v>
      </c>
      <c r="E54" s="771">
        <f>'T 6.1'!E54+'T 6.2'!E54</f>
        <v>15.696989739999999</v>
      </c>
      <c r="F54" s="771">
        <f>'T 6.1'!F54+'T 6.2'!F54</f>
        <v>41.456900509</v>
      </c>
      <c r="G54" s="771">
        <f>'T 6.1'!G54+'T 6.2'!G54</f>
        <v>36.134280590000003</v>
      </c>
      <c r="H54" s="316">
        <f>'T 6.1'!H54+'T 6.2'!H54</f>
        <v>61.649775738999999</v>
      </c>
      <c r="I54" s="316">
        <f>'T 6.1'!I54+'T 6.2'!I54</f>
        <v>121.015985908</v>
      </c>
      <c r="J54" s="316">
        <f>'T 6.1'!J54+'T 6.2'!J54</f>
        <v>182.66576164699998</v>
      </c>
    </row>
    <row r="55" spans="1:10" s="68" customFormat="1" ht="14.25" customHeight="1" x14ac:dyDescent="0.2">
      <c r="A55" s="784" t="s">
        <v>744</v>
      </c>
      <c r="B55" s="785">
        <f>'T 6.1'!B55+'T 6.2'!B55</f>
        <v>19.707800729999999</v>
      </c>
      <c r="C55" s="785">
        <f>'T 6.1'!C55+'T 6.2'!C55</f>
        <v>53.834617279</v>
      </c>
      <c r="D55" s="785">
        <f>'T 6.1'!D55+'T 6.2'!D55</f>
        <v>35.400990018999998</v>
      </c>
      <c r="E55" s="785">
        <f>'T 6.1'!E55+'T 6.2'!E55</f>
        <v>58.641800219999993</v>
      </c>
      <c r="F55" s="785">
        <f>'T 6.1'!F55+'T 6.2'!F55</f>
        <v>20.451881989</v>
      </c>
      <c r="G55" s="785">
        <f>'T 6.1'!G55+'T 6.2'!G55</f>
        <v>48.960278758999998</v>
      </c>
      <c r="H55" s="786">
        <f>'T 6.1'!H55+'T 6.2'!H55</f>
        <v>73.542418008999988</v>
      </c>
      <c r="I55" s="786">
        <f>'T 6.1'!I55+'T 6.2'!I55</f>
        <v>163.45495098700002</v>
      </c>
      <c r="J55" s="786">
        <f>'T 6.1'!J55+'T 6.2'!J55</f>
        <v>236.99736899599998</v>
      </c>
    </row>
    <row r="56" spans="1:10" s="68" customFormat="1" ht="14.25" customHeight="1" x14ac:dyDescent="0.2">
      <c r="A56" s="787" t="s">
        <v>745</v>
      </c>
      <c r="B56" s="788">
        <f>'T 6.1'!B56+'T 6.2'!B56</f>
        <v>450.74154407800006</v>
      </c>
      <c r="C56" s="788">
        <f>'T 6.1'!C56+'T 6.2'!C56</f>
        <v>984.33656382900006</v>
      </c>
      <c r="D56" s="788">
        <f>'T 6.1'!D56+'T 6.2'!D56</f>
        <v>785.07789693899997</v>
      </c>
      <c r="E56" s="788">
        <f>'T 6.1'!E56+'T 6.2'!E56</f>
        <v>1050.36310138</v>
      </c>
      <c r="F56" s="788">
        <f>'T 6.1'!F56+'T 6.2'!F56</f>
        <v>621.44876489000001</v>
      </c>
      <c r="G56" s="788">
        <f>'T 6.1'!G56+'T 6.2'!G56</f>
        <v>1247.5896030690001</v>
      </c>
      <c r="H56" s="789">
        <f>'T 6.1'!H56+'T 6.2'!H56</f>
        <v>1435.078107907</v>
      </c>
      <c r="I56" s="789">
        <f>'T 6.1'!I56+'T 6.2'!I56</f>
        <v>3704.4793662779998</v>
      </c>
      <c r="J56" s="789">
        <f>'T 6.1'!J56+'T 6.2'!J56</f>
        <v>5139.5574741849996</v>
      </c>
    </row>
    <row r="57" spans="1:10" ht="14.25" customHeight="1" x14ac:dyDescent="0.2">
      <c r="A57" s="784" t="s">
        <v>746</v>
      </c>
      <c r="B57" s="785">
        <f>'T 6.1'!B57+'T 6.2'!B57</f>
        <v>4.1517056289999994</v>
      </c>
      <c r="C57" s="785">
        <f>'T 6.1'!C57+'T 6.2'!C57</f>
        <v>8.2780032600000002</v>
      </c>
      <c r="D57" s="785">
        <f>'T 6.1'!D57+'T 6.2'!D57</f>
        <v>4.2173782389999994</v>
      </c>
      <c r="E57" s="785">
        <f>'T 6.1'!E57+'T 6.2'!E57</f>
        <v>5.5788044499999998</v>
      </c>
      <c r="F57" s="785">
        <f>'T 6.1'!F57+'T 6.2'!F57</f>
        <v>1.35005314</v>
      </c>
      <c r="G57" s="785">
        <f>'T 6.1'!G57+'T 6.2'!G57</f>
        <v>28.938560179</v>
      </c>
      <c r="H57" s="786">
        <f>'T 6.1'!H57+'T 6.2'!H57</f>
        <v>12.429708889</v>
      </c>
      <c r="I57" s="786">
        <f>'T 6.1'!I57+'T 6.2'!I57</f>
        <v>40.084796007999998</v>
      </c>
      <c r="J57" s="786">
        <f>'T 6.1'!J57+'T 6.2'!J57</f>
        <v>52.514504896999995</v>
      </c>
    </row>
    <row r="58" spans="1:10" ht="14.25" customHeight="1" x14ac:dyDescent="0.2">
      <c r="A58" s="782" t="s">
        <v>535</v>
      </c>
      <c r="B58" s="783">
        <f>'T 6.1'!B58+'T 6.2'!B58</f>
        <v>5.6770186099999993</v>
      </c>
      <c r="C58" s="783">
        <f>'T 6.1'!C58+'T 6.2'!C58</f>
        <v>17.92915971</v>
      </c>
      <c r="D58" s="783">
        <f>'T 6.1'!D58+'T 6.2'!D58</f>
        <v>12.930608119</v>
      </c>
      <c r="E58" s="783">
        <f>'T 6.1'!E58+'T 6.2'!E58</f>
        <v>21.13547805</v>
      </c>
      <c r="F58" s="783">
        <f>'T 6.1'!F58+'T 6.2'!F58</f>
        <v>3.8608676690000001</v>
      </c>
      <c r="G58" s="783">
        <f>'T 6.1'!G58+'T 6.2'!G58</f>
        <v>2.7132417599999998</v>
      </c>
      <c r="H58" s="385">
        <f>'T 6.1'!H58+'T 6.2'!H58</f>
        <v>23.606178319999998</v>
      </c>
      <c r="I58" s="385">
        <f>'T 6.1'!I58+'T 6.2'!I58</f>
        <v>40.640195598000005</v>
      </c>
      <c r="J58" s="385">
        <f>'T 6.1'!J58+'T 6.2'!J58</f>
        <v>64.246373918000003</v>
      </c>
    </row>
    <row r="59" spans="1:10" ht="14.25" customHeight="1" x14ac:dyDescent="0.2">
      <c r="A59" s="793" t="s">
        <v>747</v>
      </c>
      <c r="B59" s="773">
        <f>'T 6.1'!B59+'T 6.2'!B59</f>
        <v>30.380077710000002</v>
      </c>
      <c r="C59" s="773">
        <f>'T 6.1'!C59+'T 6.2'!C59</f>
        <v>67.952301540000008</v>
      </c>
      <c r="D59" s="773">
        <f>'T 6.1'!D59+'T 6.2'!D59</f>
        <v>19.557154609999998</v>
      </c>
      <c r="E59" s="773">
        <f>'T 6.1'!E59+'T 6.2'!E59</f>
        <v>20.761457969999999</v>
      </c>
      <c r="F59" s="773">
        <f>'T 6.1'!F59+'T 6.2'!F59</f>
        <v>11.249854829</v>
      </c>
      <c r="G59" s="773">
        <f>'T 6.1'!G59+'T 6.2'!G59</f>
        <v>629.38507273999994</v>
      </c>
      <c r="H59" s="774">
        <f>'T 6.1'!H59+'T 6.2'!H59</f>
        <v>98.332379250000002</v>
      </c>
      <c r="I59" s="774">
        <f>'T 6.1'!I59+'T 6.2'!I59</f>
        <v>680.95354014899999</v>
      </c>
      <c r="J59" s="774">
        <f>'T 6.1'!J59+'T 6.2'!J59</f>
        <v>779.28591939900002</v>
      </c>
    </row>
    <row r="60" spans="1:10" s="8" customFormat="1" ht="14.25" customHeight="1" x14ac:dyDescent="0.2">
      <c r="A60" s="770" t="s">
        <v>748</v>
      </c>
      <c r="B60" s="771">
        <f>'T 6.1'!B60+'T 6.2'!B60</f>
        <v>403.72548770799995</v>
      </c>
      <c r="C60" s="771">
        <f>'T 6.1'!C60+'T 6.2'!C60</f>
        <v>875.66147625799999</v>
      </c>
      <c r="D60" s="771">
        <f>'T 6.1'!D60+'T 6.2'!D60</f>
        <v>728.17824265800004</v>
      </c>
      <c r="E60" s="771">
        <f>'T 6.1'!E60+'T 6.2'!E60</f>
        <v>986.85455458000001</v>
      </c>
      <c r="F60" s="771">
        <f>'T 6.1'!F60+'T 6.2'!F60</f>
        <v>595.66036463899991</v>
      </c>
      <c r="G60" s="771">
        <f>'T 6.1'!G60+'T 6.2'!G60</f>
        <v>503.93648564</v>
      </c>
      <c r="H60" s="316">
        <f>'T 6.1'!H60+'T 6.2'!H60</f>
        <v>1279.3869639660002</v>
      </c>
      <c r="I60" s="316">
        <f>'T 6.1'!I60+'T 6.2'!I60</f>
        <v>2814.6296475170002</v>
      </c>
      <c r="J60" s="316">
        <f>'T 6.1'!J60+'T 6.2'!J60</f>
        <v>4094.0166114830004</v>
      </c>
    </row>
    <row r="61" spans="1:10" s="8" customFormat="1" ht="14.25" customHeight="1" x14ac:dyDescent="0.2">
      <c r="A61" s="772" t="s">
        <v>749</v>
      </c>
      <c r="B61" s="773">
        <f>'T 6.1'!B61+'T 6.2'!B61</f>
        <v>6.8072544200000005</v>
      </c>
      <c r="C61" s="773">
        <f>'T 6.1'!C61+'T 6.2'!C61</f>
        <v>14.515623059999999</v>
      </c>
      <c r="D61" s="773">
        <f>'T 6.1'!D61+'T 6.2'!D61</f>
        <v>20.194513309999998</v>
      </c>
      <c r="E61" s="773">
        <f>'T 6.1'!E61+'T 6.2'!E61</f>
        <v>16.03280633</v>
      </c>
      <c r="F61" s="773">
        <f>'T 6.1'!F61+'T 6.2'!F61</f>
        <v>9.3276246100000009</v>
      </c>
      <c r="G61" s="773">
        <f>'T 6.1'!G61+'T 6.2'!G61</f>
        <v>82.616242749999998</v>
      </c>
      <c r="H61" s="774">
        <f>'T 6.1'!H61+'T 6.2'!H61</f>
        <v>21.322877479999999</v>
      </c>
      <c r="I61" s="774">
        <f>'T 6.1'!I61+'T 6.2'!I61</f>
        <v>128.171187</v>
      </c>
      <c r="J61" s="774">
        <f>'T 6.1'!J61+'T 6.2'!J61</f>
        <v>149.49406448000002</v>
      </c>
    </row>
    <row r="62" spans="1:10" s="68" customFormat="1" ht="14.25" customHeight="1" x14ac:dyDescent="0.2">
      <c r="A62" s="779" t="s">
        <v>750</v>
      </c>
      <c r="B62" s="780">
        <f>'T 6.1'!B62+'T 6.2'!B62</f>
        <v>67.093808138</v>
      </c>
      <c r="C62" s="780">
        <f>'T 6.1'!C62+'T 6.2'!C62</f>
        <v>128.99494152899999</v>
      </c>
      <c r="D62" s="780">
        <f>'T 6.1'!D62+'T 6.2'!D62</f>
        <v>120.51643047900001</v>
      </c>
      <c r="E62" s="780">
        <f>'T 6.1'!E62+'T 6.2'!E62</f>
        <v>206.17273152999999</v>
      </c>
      <c r="F62" s="780">
        <f>'T 6.1'!F62+'T 6.2'!F62</f>
        <v>171.86886287900001</v>
      </c>
      <c r="G62" s="780">
        <f>'T 6.1'!G62+'T 6.2'!G62</f>
        <v>244.45768229999999</v>
      </c>
      <c r="H62" s="781">
        <f>'T 6.1'!H62+'T 6.2'!H62</f>
        <v>196.088749667</v>
      </c>
      <c r="I62" s="781">
        <f>'T 6.1'!I62+'T 6.2'!I62</f>
        <v>743.01570718800008</v>
      </c>
      <c r="J62" s="781">
        <f>'T 6.1'!J62+'T 6.2'!J62</f>
        <v>939.10445685499997</v>
      </c>
    </row>
    <row r="63" spans="1:10" s="8" customFormat="1" ht="14.25" customHeight="1" x14ac:dyDescent="0.2">
      <c r="A63" s="784" t="s">
        <v>751</v>
      </c>
      <c r="B63" s="785">
        <f>'T 6.1'!B63+'T 6.2'!B63</f>
        <v>19.313480658</v>
      </c>
      <c r="C63" s="785">
        <f>'T 6.1'!C63+'T 6.2'!C63</f>
        <v>51.805785020000002</v>
      </c>
      <c r="D63" s="785">
        <f>'T 6.1'!D63+'T 6.2'!D63</f>
        <v>43.841696159000001</v>
      </c>
      <c r="E63" s="785">
        <f>'T 6.1'!E63+'T 6.2'!E63</f>
        <v>81.651617008999992</v>
      </c>
      <c r="F63" s="785">
        <f>'T 6.1'!F63+'T 6.2'!F63</f>
        <v>84.006383147999998</v>
      </c>
      <c r="G63" s="785">
        <f>'T 6.1'!G63+'T 6.2'!G63</f>
        <v>133.324178499</v>
      </c>
      <c r="H63" s="786">
        <f>'T 6.1'!H63+'T 6.2'!H63</f>
        <v>71.119265678000005</v>
      </c>
      <c r="I63" s="786">
        <f>'T 6.1'!I63+'T 6.2'!I63</f>
        <v>342.82387481500001</v>
      </c>
      <c r="J63" s="786">
        <f>'T 6.1'!J63+'T 6.2'!J63</f>
        <v>413.94314049299999</v>
      </c>
    </row>
    <row r="64" spans="1:10" s="68" customFormat="1" ht="14.25" customHeight="1" x14ac:dyDescent="0.2">
      <c r="A64" s="782" t="s">
        <v>536</v>
      </c>
      <c r="B64" s="783">
        <f>'T 6.1'!B64+'T 6.2'!B64</f>
        <v>3.2230324800000001</v>
      </c>
      <c r="C64" s="783">
        <f>'T 6.1'!C64+'T 6.2'!C64</f>
        <v>6.0922783499999991</v>
      </c>
      <c r="D64" s="783">
        <f>'T 6.1'!D64+'T 6.2'!D64</f>
        <v>7.2529590400000004</v>
      </c>
      <c r="E64" s="783">
        <f>'T 6.1'!E64+'T 6.2'!E64</f>
        <v>28.244558329</v>
      </c>
      <c r="F64" s="783">
        <f>'T 6.1'!F64+'T 6.2'!F64</f>
        <v>17.678228659999998</v>
      </c>
      <c r="G64" s="783">
        <f>'T 6.1'!G64+'T 6.2'!G64</f>
        <v>9.7111665180000006</v>
      </c>
      <c r="H64" s="385">
        <f>'T 6.1'!H64+'T 6.2'!H64</f>
        <v>9.3153108299999996</v>
      </c>
      <c r="I64" s="385">
        <f>'T 6.1'!I64+'T 6.2'!I64</f>
        <v>62.886912546999994</v>
      </c>
      <c r="J64" s="385">
        <f>'T 6.1'!J64+'T 6.2'!J64</f>
        <v>72.202223376999996</v>
      </c>
    </row>
    <row r="65" spans="1:10" ht="14.25" customHeight="1" x14ac:dyDescent="0.2">
      <c r="A65" s="784" t="s">
        <v>752</v>
      </c>
      <c r="B65" s="785">
        <f>'T 6.1'!B65+'T 6.2'!B65</f>
        <v>2.6209918890000004</v>
      </c>
      <c r="C65" s="785">
        <f>'T 6.1'!C65+'T 6.2'!C65</f>
        <v>7.0919583480000004</v>
      </c>
      <c r="D65" s="785">
        <f>'T 6.1'!D65+'T 6.2'!D65</f>
        <v>4.0468678579999997</v>
      </c>
      <c r="E65" s="785">
        <f>'T 6.1'!E65+'T 6.2'!E65</f>
        <v>5.6773700589999994</v>
      </c>
      <c r="F65" s="785">
        <f>'T 6.1'!F65+'T 6.2'!F65</f>
        <v>1.55880781</v>
      </c>
      <c r="G65" s="785">
        <f>'T 6.1'!G65+'T 6.2'!G65</f>
        <v>15.19796221</v>
      </c>
      <c r="H65" s="786">
        <f>'T 6.1'!H65+'T 6.2'!H65</f>
        <v>9.7129502370000012</v>
      </c>
      <c r="I65" s="786">
        <f>'T 6.1'!I65+'T 6.2'!I65</f>
        <v>26.481007937000001</v>
      </c>
      <c r="J65" s="786">
        <f>'T 6.1'!J65+'T 6.2'!J65</f>
        <v>36.193958174000002</v>
      </c>
    </row>
    <row r="66" spans="1:10" ht="14.25" customHeight="1" x14ac:dyDescent="0.2">
      <c r="A66" s="782" t="s">
        <v>753</v>
      </c>
      <c r="B66" s="783">
        <f>'T 6.1'!B66+'T 6.2'!B66</f>
        <v>5.2562103090000001</v>
      </c>
      <c r="C66" s="783">
        <f>'T 6.1'!C66+'T 6.2'!C66</f>
        <v>21.803889478999999</v>
      </c>
      <c r="D66" s="783">
        <f>'T 6.1'!D66+'T 6.2'!D66</f>
        <v>27.491097889999999</v>
      </c>
      <c r="E66" s="783">
        <f>'T 6.1'!E66+'T 6.2'!E66</f>
        <v>56.90712551</v>
      </c>
      <c r="F66" s="783">
        <f>'T 6.1'!F66+'T 6.2'!F66</f>
        <v>50.239676078000002</v>
      </c>
      <c r="G66" s="783">
        <f>'T 6.1'!G66+'T 6.2'!G66</f>
        <v>50.707591989000008</v>
      </c>
      <c r="H66" s="385">
        <f>'T 6.1'!H66+'T 6.2'!H66</f>
        <v>27.060099787999999</v>
      </c>
      <c r="I66" s="385">
        <f>'T 6.1'!I66+'T 6.2'!I66</f>
        <v>185.34549146700002</v>
      </c>
      <c r="J66" s="385">
        <f>'T 6.1'!J66+'T 6.2'!J66</f>
        <v>212.40559125500002</v>
      </c>
    </row>
    <row r="67" spans="1:10" s="8" customFormat="1" ht="14.25" customHeight="1" x14ac:dyDescent="0.2">
      <c r="A67" s="793" t="s">
        <v>754</v>
      </c>
      <c r="B67" s="773">
        <f>'T 6.1'!B67+'T 6.2'!B67</f>
        <v>36.680092799999997</v>
      </c>
      <c r="C67" s="773">
        <f>'T 6.1'!C67+'T 6.2'!C67</f>
        <v>42.201030328999998</v>
      </c>
      <c r="D67" s="773">
        <f>'T 6.1'!D67+'T 6.2'!D67</f>
        <v>37.883809530000001</v>
      </c>
      <c r="E67" s="773">
        <f>'T 6.1'!E67+'T 6.2'!E67</f>
        <v>33.692060618999996</v>
      </c>
      <c r="F67" s="773">
        <f>'T 6.1'!F67+'T 6.2'!F67</f>
        <v>18.385767180000002</v>
      </c>
      <c r="G67" s="773">
        <f>'T 6.1'!G67+'T 6.2'!G67</f>
        <v>35.516783079999996</v>
      </c>
      <c r="H67" s="774">
        <f>'T 6.1'!H67+'T 6.2'!H67</f>
        <v>78.881123129000002</v>
      </c>
      <c r="I67" s="774">
        <f>'T 6.1'!I67+'T 6.2'!I67</f>
        <v>125.47842040899999</v>
      </c>
      <c r="J67" s="774">
        <f>'T 6.1'!J67+'T 6.2'!J67</f>
        <v>204.35954353799997</v>
      </c>
    </row>
    <row r="68" spans="1:10" ht="14.25" customHeight="1" x14ac:dyDescent="0.2">
      <c r="A68" s="935" t="s">
        <v>802</v>
      </c>
      <c r="B68" s="936">
        <f>'T 6.1'!B68+'T 6.2'!B68</f>
        <v>5889.5836938100001</v>
      </c>
      <c r="C68" s="936">
        <f>'T 6.1'!C68+'T 6.2'!C68</f>
        <v>13012.317976269</v>
      </c>
      <c r="D68" s="936">
        <f>'T 6.1'!D68+'T 6.2'!D68</f>
        <v>12356.861772239999</v>
      </c>
      <c r="E68" s="936">
        <f>'T 6.1'!E68+'T 6.2'!E68</f>
        <v>19735.477273559001</v>
      </c>
      <c r="F68" s="936">
        <f>'T 6.1'!F68+'T 6.2'!F68</f>
        <v>11919.133546708999</v>
      </c>
      <c r="G68" s="936">
        <f>'T 6.1'!G68+'T 6.2'!G68</f>
        <v>22772.671492580004</v>
      </c>
      <c r="H68" s="995">
        <f>'T 6.1'!H68+'T 6.2'!H68</f>
        <v>18901.901670079002</v>
      </c>
      <c r="I68" s="995">
        <f>'T 6.1'!I68+'T 6.2'!I68</f>
        <v>66784.144085088003</v>
      </c>
      <c r="J68" s="995">
        <f>'T 6.1'!J68+'T 6.2'!J68</f>
        <v>85686.045755166997</v>
      </c>
    </row>
    <row r="69" spans="1:10" ht="14.25" customHeight="1" x14ac:dyDescent="0.2">
      <c r="A69" s="968" t="s">
        <v>163</v>
      </c>
      <c r="B69" s="969">
        <f>'T 6.1'!B69</f>
        <v>75.225389010000001</v>
      </c>
      <c r="C69" s="969">
        <f>'T 6.1'!C69</f>
        <v>171.04714428900002</v>
      </c>
      <c r="D69" s="969">
        <f>'T 6.1'!D69</f>
        <v>163.33077430899999</v>
      </c>
      <c r="E69" s="969">
        <f>'T 6.1'!E69</f>
        <v>301.32370430899999</v>
      </c>
      <c r="F69" s="969">
        <f>'T 6.1'!F69</f>
        <v>240.00431556000001</v>
      </c>
      <c r="G69" s="969">
        <f>'T 6.1'!G69</f>
        <v>447.12192377999997</v>
      </c>
      <c r="H69" s="970">
        <f>'T 6.1'!H69</f>
        <v>246.27253329900003</v>
      </c>
      <c r="I69" s="970">
        <f>'T 6.1'!I69</f>
        <v>1151.780717958</v>
      </c>
      <c r="J69" s="970">
        <f>'T 6.1'!J69</f>
        <v>1398.0532512570001</v>
      </c>
    </row>
    <row r="70" spans="1:10" x14ac:dyDescent="0.2">
      <c r="A70" s="794" t="s">
        <v>762</v>
      </c>
      <c r="B70" s="3"/>
      <c r="C70" s="3"/>
      <c r="D70" s="245"/>
      <c r="E70" s="3"/>
      <c r="F70" s="3"/>
      <c r="G70" s="245"/>
      <c r="H70" s="3"/>
      <c r="I70" s="3"/>
      <c r="J70" s="3"/>
    </row>
    <row r="71" spans="1:10" ht="13.5" customHeight="1" x14ac:dyDescent="0.2">
      <c r="A71" s="794" t="s">
        <v>316</v>
      </c>
      <c r="B71" s="3"/>
      <c r="C71" s="3"/>
      <c r="D71" s="245"/>
      <c r="E71" s="3"/>
      <c r="F71" s="3"/>
      <c r="G71" s="245"/>
      <c r="H71" s="3"/>
      <c r="I71" s="3"/>
      <c r="J71" s="3"/>
    </row>
    <row r="72" spans="1:10" ht="15" customHeight="1" x14ac:dyDescent="0.2">
      <c r="A72" s="37" t="s">
        <v>798</v>
      </c>
      <c r="B72" s="3"/>
      <c r="C72" s="3"/>
      <c r="D72" s="245"/>
      <c r="E72" s="3"/>
      <c r="F72" s="3"/>
      <c r="G72" s="245"/>
      <c r="H72" s="3"/>
      <c r="I72" s="3"/>
      <c r="J72" s="3"/>
    </row>
    <row r="73" spans="1:10" x14ac:dyDescent="0.2">
      <c r="A73" s="286" t="s">
        <v>951</v>
      </c>
      <c r="B73" s="3"/>
      <c r="C73" s="3"/>
      <c r="D73" s="245"/>
      <c r="E73" s="3"/>
      <c r="F73" s="3"/>
      <c r="G73" s="245"/>
      <c r="H73" s="3"/>
      <c r="I73" s="3"/>
      <c r="J73" s="3"/>
    </row>
    <row r="74" spans="1:10" x14ac:dyDescent="0.2">
      <c r="B74" s="912"/>
      <c r="C74" s="912"/>
      <c r="D74" s="912"/>
      <c r="E74" s="912"/>
      <c r="F74" s="912"/>
      <c r="G74" s="912"/>
      <c r="H74" s="912"/>
      <c r="I74" s="912"/>
      <c r="J74" s="912"/>
    </row>
    <row r="75" spans="1:10" x14ac:dyDescent="0.2">
      <c r="B75" s="912"/>
      <c r="C75" s="912"/>
      <c r="D75" s="912"/>
      <c r="E75" s="912"/>
      <c r="F75" s="912"/>
      <c r="G75" s="912"/>
      <c r="H75" s="912"/>
      <c r="I75" s="912"/>
      <c r="J75" s="912"/>
    </row>
    <row r="76" spans="1:10" ht="16.5" x14ac:dyDescent="0.25">
      <c r="A76" s="108" t="s">
        <v>584</v>
      </c>
    </row>
    <row r="77" spans="1:10" ht="13.5" thickBot="1" x14ac:dyDescent="0.25">
      <c r="A77" s="231"/>
      <c r="J77" s="652" t="s">
        <v>23</v>
      </c>
    </row>
    <row r="78" spans="1:10" x14ac:dyDescent="0.2">
      <c r="A78" s="230" t="s">
        <v>801</v>
      </c>
      <c r="B78" s="760" t="s">
        <v>38</v>
      </c>
      <c r="C78" s="760" t="s">
        <v>39</v>
      </c>
      <c r="D78" s="760" t="s">
        <v>125</v>
      </c>
      <c r="E78" s="760" t="s">
        <v>126</v>
      </c>
      <c r="F78" s="760" t="s">
        <v>127</v>
      </c>
      <c r="G78" s="761">
        <v>100000</v>
      </c>
      <c r="H78" s="762" t="s">
        <v>229</v>
      </c>
      <c r="I78" s="762" t="s">
        <v>228</v>
      </c>
      <c r="J78" s="762" t="s">
        <v>220</v>
      </c>
    </row>
    <row r="79" spans="1:10" x14ac:dyDescent="0.2">
      <c r="A79" s="229"/>
      <c r="B79" s="763" t="s">
        <v>40</v>
      </c>
      <c r="C79" s="763" t="s">
        <v>40</v>
      </c>
      <c r="D79" s="763" t="s">
        <v>40</v>
      </c>
      <c r="E79" s="763" t="s">
        <v>40</v>
      </c>
      <c r="F79" s="763" t="s">
        <v>40</v>
      </c>
      <c r="G79" s="763" t="s">
        <v>43</v>
      </c>
      <c r="H79" s="764" t="s">
        <v>523</v>
      </c>
      <c r="I79" s="764" t="s">
        <v>138</v>
      </c>
      <c r="J79" s="764" t="s">
        <v>142</v>
      </c>
    </row>
    <row r="80" spans="1:10" ht="13.5" thickBot="1" x14ac:dyDescent="0.25">
      <c r="A80" s="232"/>
      <c r="B80" s="765" t="s">
        <v>46</v>
      </c>
      <c r="C80" s="765" t="s">
        <v>42</v>
      </c>
      <c r="D80" s="765" t="s">
        <v>128</v>
      </c>
      <c r="E80" s="765" t="s">
        <v>129</v>
      </c>
      <c r="F80" s="765" t="s">
        <v>130</v>
      </c>
      <c r="G80" s="765" t="s">
        <v>131</v>
      </c>
      <c r="H80" s="766" t="s">
        <v>138</v>
      </c>
      <c r="I80" s="766" t="s">
        <v>131</v>
      </c>
      <c r="J80" s="766" t="s">
        <v>611</v>
      </c>
    </row>
    <row r="82" spans="1:10" x14ac:dyDescent="0.2">
      <c r="A82" s="767" t="s">
        <v>709</v>
      </c>
      <c r="B82" s="795">
        <f t="shared" ref="B82:J82" si="0">B9/B$68</f>
        <v>0.41077358636446382</v>
      </c>
      <c r="C82" s="795">
        <f t="shared" si="0"/>
        <v>0.35113205859653257</v>
      </c>
      <c r="D82" s="795">
        <f t="shared" si="0"/>
        <v>0.31324391597740875</v>
      </c>
      <c r="E82" s="795">
        <f t="shared" si="0"/>
        <v>0.29433484720182107</v>
      </c>
      <c r="F82" s="795">
        <f t="shared" si="0"/>
        <v>0.27520835061485749</v>
      </c>
      <c r="G82" s="795">
        <f t="shared" si="0"/>
        <v>0.21212934568449729</v>
      </c>
      <c r="H82" s="796">
        <f t="shared" si="0"/>
        <v>0.36971557339557315</v>
      </c>
      <c r="I82" s="796">
        <f t="shared" si="0"/>
        <v>0.26638879167466023</v>
      </c>
      <c r="J82" s="796">
        <f t="shared" si="0"/>
        <v>0.28918214910831957</v>
      </c>
    </row>
    <row r="83" spans="1:10" x14ac:dyDescent="0.2">
      <c r="A83" s="770" t="s">
        <v>710</v>
      </c>
      <c r="B83" s="797">
        <f t="shared" ref="B83:J83" si="1">B10/B$68</f>
        <v>6.0570348538035119E-2</v>
      </c>
      <c r="C83" s="797">
        <f t="shared" si="1"/>
        <v>2.2561062537389306E-2</v>
      </c>
      <c r="D83" s="797">
        <f t="shared" si="1"/>
        <v>1.8145906753746357E-2</v>
      </c>
      <c r="E83" s="797">
        <f t="shared" si="1"/>
        <v>1.2969389694057391E-2</v>
      </c>
      <c r="F83" s="797">
        <f t="shared" si="1"/>
        <v>8.502926879863943E-3</v>
      </c>
      <c r="G83" s="797">
        <f t="shared" si="1"/>
        <v>9.7733315759865099E-3</v>
      </c>
      <c r="H83" s="351">
        <f t="shared" si="1"/>
        <v>3.4404255616587491E-2</v>
      </c>
      <c r="I83" s="351">
        <f t="shared" si="1"/>
        <v>1.2040222397842242E-2</v>
      </c>
      <c r="J83" s="351">
        <f t="shared" si="1"/>
        <v>1.697361327988808E-2</v>
      </c>
    </row>
    <row r="84" spans="1:10" x14ac:dyDescent="0.2">
      <c r="A84" s="772" t="s">
        <v>524</v>
      </c>
      <c r="B84" s="798">
        <f t="shared" ref="B84:J84" si="2">B11/B$68</f>
        <v>0.34189595578484366</v>
      </c>
      <c r="C84" s="798">
        <f t="shared" si="2"/>
        <v>0.32097331478273261</v>
      </c>
      <c r="D84" s="798">
        <f t="shared" si="2"/>
        <v>0.28586109840157831</v>
      </c>
      <c r="E84" s="798">
        <f t="shared" si="2"/>
        <v>0.27389024319117589</v>
      </c>
      <c r="F84" s="798">
        <f t="shared" si="2"/>
        <v>0.25949041499698466</v>
      </c>
      <c r="G84" s="798">
        <f t="shared" si="2"/>
        <v>0.19203703456153198</v>
      </c>
      <c r="H84" s="799">
        <f t="shared" si="2"/>
        <v>0.32749253424690616</v>
      </c>
      <c r="I84" s="799">
        <f t="shared" si="2"/>
        <v>0.24562414007997665</v>
      </c>
      <c r="J84" s="799">
        <f t="shared" si="2"/>
        <v>0.2636838874144749</v>
      </c>
    </row>
    <row r="85" spans="1:10" x14ac:dyDescent="0.2">
      <c r="A85" s="770" t="s">
        <v>711</v>
      </c>
      <c r="B85" s="797">
        <f t="shared" ref="B85:J85" si="3">B12/B$68</f>
        <v>8.0263104588670451E-3</v>
      </c>
      <c r="C85" s="797">
        <f t="shared" si="3"/>
        <v>7.3035325560995464E-3</v>
      </c>
      <c r="D85" s="797">
        <f t="shared" si="3"/>
        <v>9.0445230479211138E-3</v>
      </c>
      <c r="E85" s="797">
        <f t="shared" si="3"/>
        <v>7.0401946820485466E-3</v>
      </c>
      <c r="F85" s="797">
        <f t="shared" si="3"/>
        <v>6.8034376426120433E-3</v>
      </c>
      <c r="G85" s="797">
        <f t="shared" si="3"/>
        <v>9.2048554170423083E-3</v>
      </c>
      <c r="H85" s="351">
        <f t="shared" si="3"/>
        <v>7.5287406343493707E-3</v>
      </c>
      <c r="I85" s="351">
        <f t="shared" si="3"/>
        <v>8.1069206029832242E-3</v>
      </c>
      <c r="J85" s="351">
        <f t="shared" si="3"/>
        <v>7.9793770710299191E-3</v>
      </c>
    </row>
    <row r="86" spans="1:10" x14ac:dyDescent="0.2">
      <c r="A86" s="772" t="s">
        <v>712</v>
      </c>
      <c r="B86" s="798">
        <f t="shared" ref="B86:J86" si="4">B13/B$68</f>
        <v>2.8097158237843094E-4</v>
      </c>
      <c r="C86" s="798">
        <f t="shared" si="4"/>
        <v>2.9414872023419985E-4</v>
      </c>
      <c r="D86" s="798">
        <f t="shared" si="4"/>
        <v>1.9238777392012956E-4</v>
      </c>
      <c r="E86" s="798">
        <f t="shared" si="4"/>
        <v>4.3501963448851341E-4</v>
      </c>
      <c r="F86" s="798">
        <f t="shared" si="4"/>
        <v>4.115710953129207E-4</v>
      </c>
      <c r="G86" s="798">
        <f t="shared" si="4"/>
        <v>1.114124129804744E-3</v>
      </c>
      <c r="H86" s="799">
        <f t="shared" si="4"/>
        <v>2.900428975714318E-4</v>
      </c>
      <c r="I86" s="799">
        <f t="shared" si="4"/>
        <v>6.1750859373831937E-4</v>
      </c>
      <c r="J86" s="799">
        <f t="shared" si="4"/>
        <v>5.4527134279834099E-4</v>
      </c>
    </row>
    <row r="87" spans="1:10" x14ac:dyDescent="0.2">
      <c r="A87" s="779" t="s">
        <v>525</v>
      </c>
      <c r="B87" s="802">
        <f t="shared" ref="B87:J87" si="5">B14/B$68</f>
        <v>2.7545688416060341E-2</v>
      </c>
      <c r="C87" s="802">
        <f t="shared" si="5"/>
        <v>3.2914420914943225E-2</v>
      </c>
      <c r="D87" s="802">
        <f t="shared" si="5"/>
        <v>3.8505654073020146E-2</v>
      </c>
      <c r="E87" s="802">
        <f t="shared" si="5"/>
        <v>4.192955704844592E-2</v>
      </c>
      <c r="F87" s="802">
        <f t="shared" si="5"/>
        <v>4.5988137506131642E-2</v>
      </c>
      <c r="G87" s="802">
        <f t="shared" si="5"/>
        <v>5.8051732339297273E-2</v>
      </c>
      <c r="H87" s="803">
        <f t="shared" si="5"/>
        <v>3.1241594554201908E-2</v>
      </c>
      <c r="I87" s="803">
        <f t="shared" si="5"/>
        <v>4.7517875555083827E-2</v>
      </c>
      <c r="J87" s="803">
        <f t="shared" si="5"/>
        <v>4.3927411549867519E-2</v>
      </c>
    </row>
    <row r="88" spans="1:10" x14ac:dyDescent="0.2">
      <c r="A88" s="772" t="s">
        <v>713</v>
      </c>
      <c r="B88" s="798">
        <f t="shared" ref="B88:J88" si="6">B15/B$68</f>
        <v>1.3340828042324915E-3</v>
      </c>
      <c r="C88" s="798">
        <f t="shared" si="6"/>
        <v>1.2389685388415779E-3</v>
      </c>
      <c r="D88" s="798">
        <f t="shared" si="6"/>
        <v>1.610276231518691E-3</v>
      </c>
      <c r="E88" s="798">
        <f t="shared" si="6"/>
        <v>2.4915866683335825E-3</v>
      </c>
      <c r="F88" s="798">
        <f t="shared" si="6"/>
        <v>3.8637006027770738E-3</v>
      </c>
      <c r="G88" s="798">
        <f t="shared" si="6"/>
        <v>4.3347800578497804E-3</v>
      </c>
      <c r="H88" s="799">
        <f t="shared" si="6"/>
        <v>1.2686048916420894E-3</v>
      </c>
      <c r="I88" s="799">
        <f t="shared" si="6"/>
        <v>3.2019141897297585E-3</v>
      </c>
      <c r="J88" s="799">
        <f t="shared" si="6"/>
        <v>2.7754360866939563E-3</v>
      </c>
    </row>
    <row r="89" spans="1:10" x14ac:dyDescent="0.2">
      <c r="A89" s="770" t="s">
        <v>714</v>
      </c>
      <c r="B89" s="797">
        <f t="shared" ref="B89:J89" si="7">B16/B$68</f>
        <v>1.6639523977220776E-2</v>
      </c>
      <c r="C89" s="797">
        <f t="shared" si="7"/>
        <v>2.189049441525202E-2</v>
      </c>
      <c r="D89" s="797">
        <f t="shared" si="7"/>
        <v>2.7702152172488628E-2</v>
      </c>
      <c r="E89" s="797">
        <f t="shared" si="7"/>
        <v>2.9314177219574827E-2</v>
      </c>
      <c r="F89" s="797">
        <f t="shared" si="7"/>
        <v>2.7691072959756487E-2</v>
      </c>
      <c r="G89" s="797">
        <f t="shared" si="7"/>
        <v>2.6502191078312712E-2</v>
      </c>
      <c r="H89" s="351">
        <f t="shared" si="7"/>
        <v>2.0254361162190929E-2</v>
      </c>
      <c r="I89" s="351">
        <f t="shared" si="7"/>
        <v>2.776737288203214E-2</v>
      </c>
      <c r="J89" s="351">
        <f t="shared" si="7"/>
        <v>2.6110041078200755E-2</v>
      </c>
    </row>
    <row r="90" spans="1:10" x14ac:dyDescent="0.2">
      <c r="A90" s="778" t="s">
        <v>715</v>
      </c>
      <c r="B90" s="798">
        <f t="shared" ref="B90:J90" si="8">B17/B$68</f>
        <v>6.9757349778694555E-3</v>
      </c>
      <c r="C90" s="798">
        <f t="shared" si="8"/>
        <v>6.4090521797955761E-3</v>
      </c>
      <c r="D90" s="798">
        <f t="shared" si="8"/>
        <v>6.9768313530606E-3</v>
      </c>
      <c r="E90" s="798">
        <f t="shared" si="8"/>
        <v>7.2534966408331902E-3</v>
      </c>
      <c r="F90" s="798">
        <f t="shared" si="8"/>
        <v>1.070262543825783E-2</v>
      </c>
      <c r="G90" s="798">
        <f t="shared" si="8"/>
        <v>1.6410887336638071E-2</v>
      </c>
      <c r="H90" s="799">
        <f t="shared" si="8"/>
        <v>6.5856230786052825E-3</v>
      </c>
      <c r="I90" s="799">
        <f t="shared" si="8"/>
        <v>1.0940452062005897E-2</v>
      </c>
      <c r="J90" s="799">
        <f t="shared" si="8"/>
        <v>9.9797991516189701E-3</v>
      </c>
    </row>
    <row r="91" spans="1:10" s="8" customFormat="1" x14ac:dyDescent="0.2">
      <c r="A91" s="770" t="s">
        <v>526</v>
      </c>
      <c r="B91" s="797">
        <f t="shared" ref="B91:J91" si="9">B18/B$68</f>
        <v>1.5286666200978595E-3</v>
      </c>
      <c r="C91" s="797">
        <f t="shared" si="9"/>
        <v>2.0057773732242868E-3</v>
      </c>
      <c r="D91" s="797">
        <f t="shared" si="9"/>
        <v>9.6246530463892034E-4</v>
      </c>
      <c r="E91" s="797">
        <f t="shared" si="9"/>
        <v>1.5114360010925034E-3</v>
      </c>
      <c r="F91" s="797">
        <f t="shared" si="9"/>
        <v>2.0529896315958631E-3</v>
      </c>
      <c r="G91" s="797">
        <f t="shared" si="9"/>
        <v>1.8226816810897346E-3</v>
      </c>
      <c r="H91" s="351">
        <f t="shared" si="9"/>
        <v>1.8571159442949999E-3</v>
      </c>
      <c r="I91" s="351">
        <f t="shared" si="9"/>
        <v>1.6126455134437782E-3</v>
      </c>
      <c r="J91" s="351">
        <f t="shared" si="9"/>
        <v>1.6665744350606681E-3</v>
      </c>
    </row>
    <row r="92" spans="1:10" x14ac:dyDescent="0.2">
      <c r="A92" s="772" t="s">
        <v>716</v>
      </c>
      <c r="B92" s="798">
        <f t="shared" ref="B92:J92" si="10">B19/B$68</f>
        <v>1.0676800359605959E-3</v>
      </c>
      <c r="C92" s="798">
        <f t="shared" si="10"/>
        <v>1.3701284076760589E-3</v>
      </c>
      <c r="D92" s="798">
        <f t="shared" si="10"/>
        <v>1.2539290107468121E-3</v>
      </c>
      <c r="E92" s="798">
        <f t="shared" si="10"/>
        <v>1.3588605184598008E-3</v>
      </c>
      <c r="F92" s="798">
        <f t="shared" si="10"/>
        <v>1.6777488734087951E-3</v>
      </c>
      <c r="G92" s="798">
        <f t="shared" si="10"/>
        <v>8.9811921854069873E-3</v>
      </c>
      <c r="H92" s="799">
        <f t="shared" si="10"/>
        <v>1.2758894771511744E-3</v>
      </c>
      <c r="I92" s="799">
        <f t="shared" si="10"/>
        <v>3.9954909076626282E-3</v>
      </c>
      <c r="J92" s="799">
        <f t="shared" si="10"/>
        <v>3.3955607980597599E-3</v>
      </c>
    </row>
    <row r="93" spans="1:10" x14ac:dyDescent="0.2">
      <c r="A93" s="779" t="s">
        <v>527</v>
      </c>
      <c r="B93" s="802">
        <f t="shared" ref="B93:J93" si="11">B20/B$68</f>
        <v>0.14665324198343316</v>
      </c>
      <c r="C93" s="802">
        <f t="shared" si="11"/>
        <v>0.16127106291024579</v>
      </c>
      <c r="D93" s="802">
        <f t="shared" si="11"/>
        <v>0.16799641351193073</v>
      </c>
      <c r="E93" s="802">
        <f t="shared" si="11"/>
        <v>0.17638930080976098</v>
      </c>
      <c r="F93" s="802">
        <f t="shared" si="11"/>
        <v>0.1758225036280118</v>
      </c>
      <c r="G93" s="802">
        <f t="shared" si="11"/>
        <v>0.15344364763776402</v>
      </c>
      <c r="H93" s="803">
        <f t="shared" si="11"/>
        <v>0.15671634237089008</v>
      </c>
      <c r="I93" s="803">
        <f t="shared" si="11"/>
        <v>0.16691101355980359</v>
      </c>
      <c r="J93" s="803">
        <f t="shared" si="11"/>
        <v>0.16466212144821951</v>
      </c>
    </row>
    <row r="94" spans="1:10" x14ac:dyDescent="0.2">
      <c r="A94" s="778" t="s">
        <v>717</v>
      </c>
      <c r="B94" s="798">
        <f t="shared" ref="B94:J94" si="12">B21/B$68</f>
        <v>1.2574270941396883E-2</v>
      </c>
      <c r="C94" s="798">
        <f t="shared" si="12"/>
        <v>1.1118819671626586E-2</v>
      </c>
      <c r="D94" s="798">
        <f t="shared" si="12"/>
        <v>2.1988863823775295E-2</v>
      </c>
      <c r="E94" s="798">
        <f t="shared" si="12"/>
        <v>2.724243734907375E-2</v>
      </c>
      <c r="F94" s="798">
        <f t="shared" si="12"/>
        <v>2.531203526470277E-2</v>
      </c>
      <c r="G94" s="798">
        <f t="shared" si="12"/>
        <v>1.7650915058032159E-2</v>
      </c>
      <c r="H94" s="799">
        <f t="shared" si="12"/>
        <v>1.15723191244961E-2</v>
      </c>
      <c r="I94" s="799">
        <f t="shared" si="12"/>
        <v>2.2655255877342826E-2</v>
      </c>
      <c r="J94" s="799">
        <f t="shared" si="12"/>
        <v>2.0210416943864783E-2</v>
      </c>
    </row>
    <row r="95" spans="1:10" x14ac:dyDescent="0.2">
      <c r="A95" s="770" t="s">
        <v>528</v>
      </c>
      <c r="B95" s="797">
        <f t="shared" ref="B95:J95" si="13">B22/B$68</f>
        <v>8.1900238216491006E-2</v>
      </c>
      <c r="C95" s="797">
        <f t="shared" si="13"/>
        <v>9.5875133765883441E-2</v>
      </c>
      <c r="D95" s="797">
        <f t="shared" si="13"/>
        <v>9.4260793210917002E-2</v>
      </c>
      <c r="E95" s="797">
        <f t="shared" si="13"/>
        <v>9.9286906424312565E-2</v>
      </c>
      <c r="F95" s="797">
        <f t="shared" si="13"/>
        <v>0.10411875269999428</v>
      </c>
      <c r="G95" s="797">
        <f t="shared" si="13"/>
        <v>9.460686146858012E-2</v>
      </c>
      <c r="H95" s="351">
        <f t="shared" si="13"/>
        <v>9.1520740309235238E-2</v>
      </c>
      <c r="I95" s="351">
        <f t="shared" si="13"/>
        <v>9.7623447334406449E-2</v>
      </c>
      <c r="J95" s="351">
        <f t="shared" si="13"/>
        <v>9.6277221503882224E-2</v>
      </c>
    </row>
    <row r="96" spans="1:10" x14ac:dyDescent="0.2">
      <c r="A96" s="772" t="s">
        <v>529</v>
      </c>
      <c r="B96" s="798">
        <f t="shared" ref="B96:J96" si="14">B23/B$68</f>
        <v>2.8837012907805541E-4</v>
      </c>
      <c r="C96" s="798">
        <f t="shared" si="14"/>
        <v>4.3393789717541335E-4</v>
      </c>
      <c r="D96" s="798">
        <f t="shared" si="14"/>
        <v>4.2557217333399997E-4</v>
      </c>
      <c r="E96" s="798">
        <f t="shared" si="14"/>
        <v>1.735750219017757E-4</v>
      </c>
      <c r="F96" s="798">
        <f t="shared" si="14"/>
        <v>1.1401675085478248E-4</v>
      </c>
      <c r="G96" s="798">
        <f t="shared" si="14"/>
        <v>4.2353538121966197E-3</v>
      </c>
      <c r="H96" s="799">
        <f t="shared" si="14"/>
        <v>3.8858089721346549E-4</v>
      </c>
      <c r="I96" s="799">
        <f t="shared" si="14"/>
        <v>1.5945944322400712E-3</v>
      </c>
      <c r="J96" s="799">
        <f t="shared" si="14"/>
        <v>1.3285540396539464E-3</v>
      </c>
    </row>
    <row r="97" spans="1:10" x14ac:dyDescent="0.2">
      <c r="A97" s="770" t="s">
        <v>718</v>
      </c>
      <c r="B97" s="797">
        <f t="shared" ref="B97:J97" si="15">B24/B$68</f>
        <v>2.4629311907470712E-3</v>
      </c>
      <c r="C97" s="797">
        <f t="shared" si="15"/>
        <v>1.6756995286901248E-3</v>
      </c>
      <c r="D97" s="797">
        <f t="shared" si="15"/>
        <v>7.1437626014649491E-4</v>
      </c>
      <c r="E97" s="797">
        <f t="shared" si="15"/>
        <v>6.3475915303977306E-4</v>
      </c>
      <c r="F97" s="797">
        <f t="shared" si="15"/>
        <v>1.8855012640751211E-3</v>
      </c>
      <c r="G97" s="797">
        <f t="shared" si="15"/>
        <v>4.7552977012505666E-3</v>
      </c>
      <c r="H97" s="351">
        <f t="shared" si="15"/>
        <v>1.9209905497221983E-3</v>
      </c>
      <c r="I97" s="351">
        <f t="shared" si="15"/>
        <v>2.2777726568478421E-3</v>
      </c>
      <c r="J97" s="351">
        <f t="shared" si="15"/>
        <v>2.1990683561989139E-3</v>
      </c>
    </row>
    <row r="98" spans="1:10" s="8" customFormat="1" x14ac:dyDescent="0.2">
      <c r="A98" s="772" t="s">
        <v>719</v>
      </c>
      <c r="B98" s="798">
        <f t="shared" ref="B98:J98" si="16">B25/B$68</f>
        <v>4.4609121102248774E-2</v>
      </c>
      <c r="C98" s="798">
        <f t="shared" si="16"/>
        <v>4.4983650584431385E-2</v>
      </c>
      <c r="D98" s="798">
        <f t="shared" si="16"/>
        <v>4.4633563824354475E-2</v>
      </c>
      <c r="E98" s="798">
        <f t="shared" si="16"/>
        <v>4.1835929272669971E-2</v>
      </c>
      <c r="F98" s="798">
        <f t="shared" si="16"/>
        <v>3.7737446397955156E-2</v>
      </c>
      <c r="G98" s="798">
        <f t="shared" si="16"/>
        <v>2.5724577629369322E-2</v>
      </c>
      <c r="H98" s="799">
        <f t="shared" si="16"/>
        <v>4.4866952128920654E-2</v>
      </c>
      <c r="I98" s="799">
        <f t="shared" si="16"/>
        <v>3.6128303536433967E-2</v>
      </c>
      <c r="J98" s="799">
        <f t="shared" si="16"/>
        <v>3.8056004540358485E-2</v>
      </c>
    </row>
    <row r="99" spans="1:10" x14ac:dyDescent="0.2">
      <c r="A99" s="782" t="s">
        <v>530</v>
      </c>
      <c r="B99" s="804">
        <f t="shared" ref="B99:J99" si="17">B26/B$68</f>
        <v>4.8183104024526113E-3</v>
      </c>
      <c r="C99" s="804">
        <f t="shared" si="17"/>
        <v>7.1838214619777407E-3</v>
      </c>
      <c r="D99" s="804">
        <f t="shared" si="17"/>
        <v>5.9732442193225202E-3</v>
      </c>
      <c r="E99" s="804">
        <f t="shared" si="17"/>
        <v>7.2156935885097726E-3</v>
      </c>
      <c r="F99" s="804">
        <f t="shared" si="17"/>
        <v>6.6547512500940804E-3</v>
      </c>
      <c r="G99" s="804">
        <f t="shared" si="17"/>
        <v>6.4706419682474293E-3</v>
      </c>
      <c r="H99" s="805">
        <f t="shared" si="17"/>
        <v>6.4467593606675816E-3</v>
      </c>
      <c r="I99" s="805">
        <f t="shared" si="17"/>
        <v>6.6316397223527643E-3</v>
      </c>
      <c r="J99" s="805">
        <f t="shared" si="17"/>
        <v>6.5908560639810496E-3</v>
      </c>
    </row>
    <row r="100" spans="1:10" x14ac:dyDescent="0.2">
      <c r="A100" s="775" t="s">
        <v>720</v>
      </c>
      <c r="B100" s="800">
        <f t="shared" ref="B100:J100" si="18">B27/B$68</f>
        <v>0.14538454006824458</v>
      </c>
      <c r="C100" s="800">
        <f t="shared" si="18"/>
        <v>0.16935325105541704</v>
      </c>
      <c r="D100" s="800">
        <f t="shared" si="18"/>
        <v>0.19525972152164153</v>
      </c>
      <c r="E100" s="800">
        <f t="shared" si="18"/>
        <v>0.1948629026748884</v>
      </c>
      <c r="F100" s="800">
        <f t="shared" si="18"/>
        <v>0.20583112126438002</v>
      </c>
      <c r="G100" s="800">
        <f t="shared" si="18"/>
        <v>0.16967499158840402</v>
      </c>
      <c r="H100" s="801">
        <f t="shared" si="18"/>
        <v>0.16188491628912444</v>
      </c>
      <c r="I100" s="801">
        <f t="shared" si="18"/>
        <v>0.18830504477341958</v>
      </c>
      <c r="J100" s="801">
        <f t="shared" si="18"/>
        <v>0.18247690010505757</v>
      </c>
    </row>
    <row r="101" spans="1:10" x14ac:dyDescent="0.2">
      <c r="A101" s="782" t="s">
        <v>721</v>
      </c>
      <c r="B101" s="804">
        <f t="shared" ref="B101:J101" si="19">B28/B$68</f>
        <v>8.0297123750366125E-3</v>
      </c>
      <c r="C101" s="804">
        <f t="shared" si="19"/>
        <v>1.1400772164540687E-2</v>
      </c>
      <c r="D101" s="804">
        <f t="shared" si="19"/>
        <v>2.092087468597921E-2</v>
      </c>
      <c r="E101" s="804">
        <f t="shared" si="19"/>
        <v>2.3698049497166206E-2</v>
      </c>
      <c r="F101" s="804">
        <f t="shared" si="19"/>
        <v>2.2188146605926835E-2</v>
      </c>
      <c r="G101" s="804">
        <f t="shared" si="19"/>
        <v>2.1512177121582782E-2</v>
      </c>
      <c r="H101" s="805">
        <f t="shared" si="19"/>
        <v>1.0350394318244398E-2</v>
      </c>
      <c r="I101" s="805">
        <f t="shared" si="19"/>
        <v>2.2169362495260154E-2</v>
      </c>
      <c r="J101" s="805">
        <f t="shared" si="19"/>
        <v>1.9562158809352252E-2</v>
      </c>
    </row>
    <row r="102" spans="1:10" s="8" customFormat="1" x14ac:dyDescent="0.2">
      <c r="A102" s="772" t="s">
        <v>531</v>
      </c>
      <c r="B102" s="798">
        <f t="shared" ref="B102:J102" si="20">B29/B$68</f>
        <v>4.0805585958747233E-2</v>
      </c>
      <c r="C102" s="798">
        <f t="shared" si="20"/>
        <v>5.6547925697169314E-2</v>
      </c>
      <c r="D102" s="798">
        <f t="shared" si="20"/>
        <v>6.6849084640222364E-2</v>
      </c>
      <c r="E102" s="798">
        <f t="shared" si="20"/>
        <v>6.5682012439886514E-2</v>
      </c>
      <c r="F102" s="798">
        <f t="shared" si="20"/>
        <v>6.871969269151755E-2</v>
      </c>
      <c r="G102" s="798">
        <f t="shared" si="20"/>
        <v>7.9829223495027024E-2</v>
      </c>
      <c r="H102" s="799">
        <f t="shared" si="20"/>
        <v>5.1642819901777652E-2</v>
      </c>
      <c r="I102" s="799">
        <f t="shared" si="20"/>
        <v>7.1264140674832582E-2</v>
      </c>
      <c r="J102" s="799">
        <f t="shared" si="20"/>
        <v>6.6935778073656096E-2</v>
      </c>
    </row>
    <row r="103" spans="1:10" x14ac:dyDescent="0.2">
      <c r="A103" s="770" t="s">
        <v>722</v>
      </c>
      <c r="B103" s="797">
        <f t="shared" ref="B103:J103" si="21">B30/B$68</f>
        <v>1.7556953252515543E-2</v>
      </c>
      <c r="C103" s="797">
        <f t="shared" si="21"/>
        <v>3.0432497613506956E-2</v>
      </c>
      <c r="D103" s="797">
        <f t="shared" si="21"/>
        <v>4.1802471089337316E-2</v>
      </c>
      <c r="E103" s="797">
        <f t="shared" si="21"/>
        <v>3.9648765723408821E-2</v>
      </c>
      <c r="F103" s="797">
        <f t="shared" si="21"/>
        <v>3.9229408110634356E-2</v>
      </c>
      <c r="G103" s="797">
        <f t="shared" si="21"/>
        <v>4.3413355949965149E-2</v>
      </c>
      <c r="H103" s="351">
        <f t="shared" si="21"/>
        <v>2.6420647512865447E-2</v>
      </c>
      <c r="I103" s="351">
        <f t="shared" si="21"/>
        <v>4.1256099891099914E-2</v>
      </c>
      <c r="J103" s="351">
        <f t="shared" si="21"/>
        <v>3.7983475280953076E-2</v>
      </c>
    </row>
    <row r="104" spans="1:10" x14ac:dyDescent="0.2">
      <c r="A104" s="772" t="s">
        <v>820</v>
      </c>
      <c r="B104" s="798">
        <f t="shared" ref="B104:J104" si="22">B31/B$68</f>
        <v>2.3248632706231686E-2</v>
      </c>
      <c r="C104" s="798">
        <f t="shared" si="22"/>
        <v>2.6115428083508661E-2</v>
      </c>
      <c r="D104" s="798">
        <f t="shared" si="22"/>
        <v>2.5046613550723212E-2</v>
      </c>
      <c r="E104" s="798">
        <f t="shared" si="22"/>
        <v>2.6033246716477689E-2</v>
      </c>
      <c r="F104" s="798">
        <f t="shared" si="22"/>
        <v>2.9490284580715394E-2</v>
      </c>
      <c r="G104" s="798">
        <f t="shared" si="22"/>
        <v>3.641586754493014E-2</v>
      </c>
      <c r="H104" s="799">
        <f t="shared" si="22"/>
        <v>2.5222172388806391E-2</v>
      </c>
      <c r="I104" s="799">
        <f t="shared" si="22"/>
        <v>3.000804078362786E-2</v>
      </c>
      <c r="J104" s="799">
        <f t="shared" si="22"/>
        <v>2.895230279259799E-2</v>
      </c>
    </row>
    <row r="105" spans="1:10" x14ac:dyDescent="0.2">
      <c r="A105" s="770" t="s">
        <v>532</v>
      </c>
      <c r="B105" s="797">
        <f t="shared" ref="B105:J105" si="23">B32/B$68</f>
        <v>6.0498261694368012E-2</v>
      </c>
      <c r="C105" s="797">
        <f t="shared" si="23"/>
        <v>6.1366684144615345E-2</v>
      </c>
      <c r="D105" s="797">
        <f t="shared" si="23"/>
        <v>6.5514080298176583E-2</v>
      </c>
      <c r="E105" s="797">
        <f t="shared" si="23"/>
        <v>5.8337836719130717E-2</v>
      </c>
      <c r="F105" s="797">
        <f t="shared" si="23"/>
        <v>6.2319416369329403E-2</v>
      </c>
      <c r="G105" s="797">
        <f t="shared" si="23"/>
        <v>4.5989625099946779E-2</v>
      </c>
      <c r="H105" s="351">
        <f t="shared" si="23"/>
        <v>6.1096095142958884E-2</v>
      </c>
      <c r="I105" s="351">
        <f t="shared" si="23"/>
        <v>5.616563043897034E-2</v>
      </c>
      <c r="J105" s="351">
        <f t="shared" si="23"/>
        <v>5.7253265633257118E-2</v>
      </c>
    </row>
    <row r="106" spans="1:10" s="8" customFormat="1" x14ac:dyDescent="0.2">
      <c r="A106" s="772" t="s">
        <v>533</v>
      </c>
      <c r="B106" s="798">
        <f t="shared" ref="B106:J106" si="24">B33/B$68</f>
        <v>3.605098003992295E-2</v>
      </c>
      <c r="C106" s="798">
        <f t="shared" si="24"/>
        <v>4.0037869049014845E-2</v>
      </c>
      <c r="D106" s="798">
        <f t="shared" si="24"/>
        <v>4.1975681897182426E-2</v>
      </c>
      <c r="E106" s="798">
        <f t="shared" si="24"/>
        <v>4.7145004018502308E-2</v>
      </c>
      <c r="F106" s="798">
        <f t="shared" si="24"/>
        <v>5.2603865597438439E-2</v>
      </c>
      <c r="G106" s="798">
        <f t="shared" si="24"/>
        <v>2.2343965871715672E-2</v>
      </c>
      <c r="H106" s="799">
        <f t="shared" si="24"/>
        <v>3.8795606926037673E-2</v>
      </c>
      <c r="I106" s="799">
        <f t="shared" si="24"/>
        <v>3.8705911164206748E-2</v>
      </c>
      <c r="J106" s="799">
        <f t="shared" si="24"/>
        <v>3.8725697588652047E-2</v>
      </c>
    </row>
    <row r="107" spans="1:10" x14ac:dyDescent="0.2">
      <c r="A107" s="779" t="s">
        <v>724</v>
      </c>
      <c r="B107" s="802">
        <f t="shared" ref="B107:J107" si="25">B34/B$68</f>
        <v>4.0435612781646431E-2</v>
      </c>
      <c r="C107" s="802">
        <f t="shared" si="25"/>
        <v>6.1191374317022727E-2</v>
      </c>
      <c r="D107" s="802">
        <f t="shared" si="25"/>
        <v>7.9437695693512611E-2</v>
      </c>
      <c r="E107" s="802">
        <f t="shared" si="25"/>
        <v>9.5840403947216227E-2</v>
      </c>
      <c r="F107" s="802">
        <f t="shared" si="25"/>
        <v>0.10040406943593899</v>
      </c>
      <c r="G107" s="802">
        <f t="shared" si="25"/>
        <v>0.18181269303731229</v>
      </c>
      <c r="H107" s="803">
        <f t="shared" si="25"/>
        <v>5.4724152297512013E-2</v>
      </c>
      <c r="I107" s="803">
        <f t="shared" si="25"/>
        <v>0.12293557244184575</v>
      </c>
      <c r="J107" s="803">
        <f t="shared" si="25"/>
        <v>0.10788848344407984</v>
      </c>
    </row>
    <row r="108" spans="1:10" x14ac:dyDescent="0.2">
      <c r="A108" s="772" t="s">
        <v>725</v>
      </c>
      <c r="B108" s="798">
        <f t="shared" ref="B108:J108" si="26">B35/B$68</f>
        <v>5.4206416717626023E-4</v>
      </c>
      <c r="C108" s="798">
        <f t="shared" si="26"/>
        <v>6.7591457079669659E-4</v>
      </c>
      <c r="D108" s="798">
        <f t="shared" si="26"/>
        <v>2.3991889887933754E-4</v>
      </c>
      <c r="E108" s="798">
        <f t="shared" si="26"/>
        <v>3.2882392039712321E-4</v>
      </c>
      <c r="F108" s="798">
        <f t="shared" si="26"/>
        <v>1.505560217080947E-4</v>
      </c>
      <c r="G108" s="798">
        <f t="shared" si="26"/>
        <v>2.6401775333469376E-2</v>
      </c>
      <c r="H108" s="799">
        <f t="shared" si="26"/>
        <v>6.3420854733236458E-4</v>
      </c>
      <c r="I108" s="799">
        <f t="shared" si="26"/>
        <v>9.1711528819871518E-3</v>
      </c>
      <c r="J108" s="799">
        <f t="shared" si="26"/>
        <v>7.2879468015285692E-3</v>
      </c>
    </row>
    <row r="109" spans="1:10" x14ac:dyDescent="0.2">
      <c r="A109" s="782" t="s">
        <v>534</v>
      </c>
      <c r="B109" s="804">
        <f t="shared" ref="B109:J109" si="27">B36/B$68</f>
        <v>4.9385382023808492E-3</v>
      </c>
      <c r="C109" s="804">
        <f t="shared" si="27"/>
        <v>4.3229070049307823E-3</v>
      </c>
      <c r="D109" s="804">
        <f t="shared" si="27"/>
        <v>3.7541804078618127E-3</v>
      </c>
      <c r="E109" s="804">
        <f t="shared" si="27"/>
        <v>7.9138530324397161E-3</v>
      </c>
      <c r="F109" s="804">
        <f t="shared" si="27"/>
        <v>1.0161009674351698E-2</v>
      </c>
      <c r="G109" s="804">
        <f t="shared" si="27"/>
        <v>1.0693377190653492E-2</v>
      </c>
      <c r="H109" s="805">
        <f t="shared" si="27"/>
        <v>4.5147295805207386E-3</v>
      </c>
      <c r="I109" s="805">
        <f t="shared" si="27"/>
        <v>8.4930451680318569E-3</v>
      </c>
      <c r="J109" s="805">
        <f t="shared" si="27"/>
        <v>7.6154491792690873E-3</v>
      </c>
    </row>
    <row r="110" spans="1:10" x14ac:dyDescent="0.2">
      <c r="A110" s="784" t="s">
        <v>726</v>
      </c>
      <c r="B110" s="798">
        <f t="shared" ref="B110:J110" si="28">B37/B$68</f>
        <v>3.4955010411919521E-2</v>
      </c>
      <c r="C110" s="798">
        <f t="shared" si="28"/>
        <v>5.6192552741295254E-2</v>
      </c>
      <c r="D110" s="798">
        <f t="shared" si="28"/>
        <v>7.5443596386528672E-2</v>
      </c>
      <c r="E110" s="798">
        <f t="shared" si="28"/>
        <v>8.7597726994227368E-2</v>
      </c>
      <c r="F110" s="798">
        <f t="shared" si="28"/>
        <v>9.0092503739627489E-2</v>
      </c>
      <c r="G110" s="798">
        <f t="shared" si="28"/>
        <v>0.14471754051314548</v>
      </c>
      <c r="H110" s="799">
        <f t="shared" si="28"/>
        <v>4.9575214169606009E-2</v>
      </c>
      <c r="I110" s="799">
        <f t="shared" si="28"/>
        <v>0.10527137439167698</v>
      </c>
      <c r="J110" s="799">
        <f t="shared" si="28"/>
        <v>9.2985087463153773E-2</v>
      </c>
    </row>
    <row r="111" spans="1:10" x14ac:dyDescent="0.2">
      <c r="A111" s="782" t="s">
        <v>727</v>
      </c>
      <c r="B111" s="797">
        <f t="shared" ref="B111:J111" si="29">B38/B$68</f>
        <v>6.9412275663840554E-3</v>
      </c>
      <c r="C111" s="797">
        <f t="shared" si="29"/>
        <v>1.5198821684936017E-2</v>
      </c>
      <c r="D111" s="797">
        <f t="shared" si="29"/>
        <v>2.6437611391260208E-2</v>
      </c>
      <c r="E111" s="797">
        <f t="shared" si="29"/>
        <v>2.8317270646843539E-2</v>
      </c>
      <c r="F111" s="797">
        <f t="shared" si="29"/>
        <v>2.8624935783373676E-2</v>
      </c>
      <c r="G111" s="797">
        <f t="shared" si="29"/>
        <v>1.884617232500976E-2</v>
      </c>
      <c r="H111" s="351">
        <f t="shared" si="29"/>
        <v>1.2625864078892044E-2</v>
      </c>
      <c r="I111" s="351">
        <f t="shared" si="29"/>
        <v>2.479485074119174E-2</v>
      </c>
      <c r="J111" s="351">
        <f t="shared" si="29"/>
        <v>2.2110434774879964E-2</v>
      </c>
    </row>
    <row r="112" spans="1:10" x14ac:dyDescent="0.2">
      <c r="A112" s="784" t="s">
        <v>821</v>
      </c>
      <c r="B112" s="806">
        <f t="shared" ref="B112:J112" si="30">B39/B$68</f>
        <v>2.3885235497688839E-2</v>
      </c>
      <c r="C112" s="806">
        <f t="shared" si="30"/>
        <v>3.5237988345829904E-2</v>
      </c>
      <c r="D112" s="806">
        <f t="shared" si="30"/>
        <v>4.0127231697527931E-2</v>
      </c>
      <c r="E112" s="806">
        <f t="shared" si="30"/>
        <v>5.0573358187653766E-2</v>
      </c>
      <c r="F112" s="806">
        <f t="shared" si="30"/>
        <v>4.9904762973667374E-2</v>
      </c>
      <c r="G112" s="806">
        <f t="shared" si="30"/>
        <v>7.3638680342154789E-2</v>
      </c>
      <c r="H112" s="807">
        <f t="shared" si="30"/>
        <v>3.1700620031185234E-2</v>
      </c>
      <c r="I112" s="807">
        <f t="shared" si="30"/>
        <v>5.6386243759150474E-2</v>
      </c>
      <c r="J112" s="807">
        <f t="shared" si="30"/>
        <v>5.0940721932833381E-2</v>
      </c>
    </row>
    <row r="113" spans="1:12" s="8" customFormat="1" x14ac:dyDescent="0.2">
      <c r="A113" s="782" t="s">
        <v>822</v>
      </c>
      <c r="B113" s="804">
        <f t="shared" ref="B113:J113" si="31">B40/B$68</f>
        <v>2.1200108085946494E-3</v>
      </c>
      <c r="C113" s="804">
        <f t="shared" si="31"/>
        <v>3.0024566905951194E-3</v>
      </c>
      <c r="D113" s="804">
        <f t="shared" si="31"/>
        <v>4.3078760393344077E-3</v>
      </c>
      <c r="E113" s="804">
        <f t="shared" si="31"/>
        <v>3.7942618058355287E-3</v>
      </c>
      <c r="F113" s="804">
        <f t="shared" si="31"/>
        <v>5.4265963944047707E-3</v>
      </c>
      <c r="G113" s="804">
        <f t="shared" si="31"/>
        <v>6.9662427906927596E-3</v>
      </c>
      <c r="H113" s="805">
        <f t="shared" si="31"/>
        <v>2.7274981722399637E-3</v>
      </c>
      <c r="I113" s="805">
        <f t="shared" si="31"/>
        <v>5.2622323298812832E-3</v>
      </c>
      <c r="J113" s="805">
        <f t="shared" si="31"/>
        <v>4.703082991324747E-3</v>
      </c>
    </row>
    <row r="114" spans="1:12" x14ac:dyDescent="0.2">
      <c r="A114" s="784" t="s">
        <v>823</v>
      </c>
      <c r="B114" s="806">
        <f t="shared" ref="B114:J114" si="32">B41/B$68</f>
        <v>2.8955235015886251E-5</v>
      </c>
      <c r="C114" s="806">
        <f t="shared" si="32"/>
        <v>7.5409688787927501E-5</v>
      </c>
      <c r="D114" s="806">
        <f t="shared" si="32"/>
        <v>4.8248857273728543E-5</v>
      </c>
      <c r="E114" s="806">
        <f t="shared" si="32"/>
        <v>2.1059436264905159E-4</v>
      </c>
      <c r="F114" s="806">
        <f t="shared" si="32"/>
        <v>4.0550804478019524E-4</v>
      </c>
      <c r="G114" s="806">
        <f t="shared" si="32"/>
        <v>1.5719136029632534E-2</v>
      </c>
      <c r="H114" s="807">
        <f t="shared" si="32"/>
        <v>6.09350926220952E-5</v>
      </c>
      <c r="I114" s="807">
        <f t="shared" si="32"/>
        <v>5.5035879435650281E-3</v>
      </c>
      <c r="J114" s="807">
        <f t="shared" si="32"/>
        <v>4.3029666742996665E-3</v>
      </c>
    </row>
    <row r="115" spans="1:12" x14ac:dyDescent="0.2">
      <c r="A115" s="782" t="s">
        <v>824</v>
      </c>
      <c r="B115" s="804">
        <f t="shared" ref="B115:J115" si="33">B42/B$68</f>
        <v>1.9795813042360888E-3</v>
      </c>
      <c r="C115" s="804">
        <f t="shared" si="33"/>
        <v>2.677876330838878E-3</v>
      </c>
      <c r="D115" s="804">
        <f t="shared" si="33"/>
        <v>4.5226284010514844E-3</v>
      </c>
      <c r="E115" s="804">
        <f t="shared" si="33"/>
        <v>4.7022419909921289E-3</v>
      </c>
      <c r="F115" s="804">
        <f t="shared" si="33"/>
        <v>5.7307005430658788E-3</v>
      </c>
      <c r="G115" s="804">
        <f t="shared" si="33"/>
        <v>2.9547309025611725E-2</v>
      </c>
      <c r="H115" s="805">
        <f t="shared" si="33"/>
        <v>2.4602967944550537E-3</v>
      </c>
      <c r="I115" s="805">
        <f t="shared" si="33"/>
        <v>1.3324459617723758E-2</v>
      </c>
      <c r="J115" s="805">
        <f t="shared" si="33"/>
        <v>1.0927881089640967E-2</v>
      </c>
    </row>
    <row r="116" spans="1:12" s="8" customFormat="1" x14ac:dyDescent="0.2">
      <c r="A116" s="790" t="s">
        <v>732</v>
      </c>
      <c r="B116" s="810">
        <f t="shared" ref="B116:J116" si="34">B43/B$68</f>
        <v>0.12390377689614368</v>
      </c>
      <c r="C116" s="810">
        <f t="shared" si="34"/>
        <v>0.12130177697606319</v>
      </c>
      <c r="D116" s="810">
        <f t="shared" si="34"/>
        <v>0.11225909368237107</v>
      </c>
      <c r="E116" s="810">
        <f t="shared" si="34"/>
        <v>0.11097161624072807</v>
      </c>
      <c r="F116" s="810">
        <f t="shared" si="34"/>
        <v>0.10283357972085355</v>
      </c>
      <c r="G116" s="810">
        <f t="shared" si="34"/>
        <v>0.10650724395678755</v>
      </c>
      <c r="H116" s="811">
        <f t="shared" si="34"/>
        <v>0.12211252589265814</v>
      </c>
      <c r="I116" s="811">
        <f t="shared" si="34"/>
        <v>0.10823511569477465</v>
      </c>
      <c r="J116" s="811">
        <f t="shared" si="34"/>
        <v>0.11129640111976961</v>
      </c>
    </row>
    <row r="117" spans="1:12" s="8" customFormat="1" x14ac:dyDescent="0.2">
      <c r="A117" s="782" t="s">
        <v>733</v>
      </c>
      <c r="B117" s="804">
        <f t="shared" ref="B117:J117" si="35">B44/B$68</f>
        <v>5.1135953448888339E-3</v>
      </c>
      <c r="C117" s="804">
        <f t="shared" si="35"/>
        <v>5.4546094437934378E-3</v>
      </c>
      <c r="D117" s="804">
        <f t="shared" si="35"/>
        <v>2.5754703966580786E-3</v>
      </c>
      <c r="E117" s="804">
        <f t="shared" si="35"/>
        <v>3.3645778133251838E-3</v>
      </c>
      <c r="F117" s="804">
        <f t="shared" si="35"/>
        <v>1.2987672308004505E-3</v>
      </c>
      <c r="G117" s="804">
        <f t="shared" si="35"/>
        <v>2.5547501766736607E-3</v>
      </c>
      <c r="H117" s="805">
        <f t="shared" si="35"/>
        <v>5.3483539404412467E-3</v>
      </c>
      <c r="I117" s="805">
        <f t="shared" si="35"/>
        <v>2.5737388657703793E-3</v>
      </c>
      <c r="J117" s="805">
        <f t="shared" si="35"/>
        <v>3.1858047027632729E-3</v>
      </c>
    </row>
    <row r="118" spans="1:12" x14ac:dyDescent="0.2">
      <c r="A118" s="784" t="s">
        <v>734</v>
      </c>
      <c r="B118" s="806">
        <f t="shared" ref="B118:J118" si="36">B45/B$68</f>
        <v>0.10796388732658581</v>
      </c>
      <c r="C118" s="806">
        <f t="shared" si="36"/>
        <v>0.10893722191650936</v>
      </c>
      <c r="D118" s="806">
        <f t="shared" si="36"/>
        <v>0.10526865361092393</v>
      </c>
      <c r="E118" s="806">
        <f t="shared" si="36"/>
        <v>0.10308125322125203</v>
      </c>
      <c r="F118" s="806">
        <f t="shared" si="36"/>
        <v>9.6949597055153491E-2</v>
      </c>
      <c r="G118" s="806">
        <f t="shared" si="36"/>
        <v>8.7628301599054895E-2</v>
      </c>
      <c r="H118" s="807">
        <f t="shared" si="36"/>
        <v>0.10863394367342605</v>
      </c>
      <c r="I118" s="807">
        <f t="shared" si="36"/>
        <v>9.7122359522973795E-2</v>
      </c>
      <c r="J118" s="807">
        <f t="shared" si="36"/>
        <v>9.9661755871130839E-2</v>
      </c>
    </row>
    <row r="119" spans="1:12" x14ac:dyDescent="0.2">
      <c r="A119" s="782" t="s">
        <v>735</v>
      </c>
      <c r="B119" s="804">
        <f t="shared" ref="B119:J119" si="37">B46/B$68</f>
        <v>2.8250184914405521E-2</v>
      </c>
      <c r="C119" s="804">
        <f t="shared" si="37"/>
        <v>3.3944312173705908E-2</v>
      </c>
      <c r="D119" s="804">
        <f t="shared" si="37"/>
        <v>3.6133891674023318E-2</v>
      </c>
      <c r="E119" s="804">
        <f t="shared" si="37"/>
        <v>3.5145473865903484E-2</v>
      </c>
      <c r="F119" s="804">
        <f t="shared" si="37"/>
        <v>3.3267343995779193E-2</v>
      </c>
      <c r="G119" s="804">
        <f t="shared" si="37"/>
        <v>2.9671637847547377E-2</v>
      </c>
      <c r="H119" s="805">
        <f t="shared" si="37"/>
        <v>3.2170097089837341E-2</v>
      </c>
      <c r="I119" s="805">
        <f t="shared" si="37"/>
        <v>3.3126644249843497E-2</v>
      </c>
      <c r="J119" s="805">
        <f t="shared" si="37"/>
        <v>3.2915634858502324E-2</v>
      </c>
    </row>
    <row r="120" spans="1:12" s="8" customFormat="1" x14ac:dyDescent="0.2">
      <c r="A120" s="784" t="s">
        <v>825</v>
      </c>
      <c r="B120" s="806">
        <f t="shared" ref="B120:J120" si="38">B47/B$68</f>
        <v>1.3684308266933343E-2</v>
      </c>
      <c r="C120" s="806">
        <f t="shared" si="38"/>
        <v>1.5173970265566326E-2</v>
      </c>
      <c r="D120" s="806">
        <f t="shared" si="38"/>
        <v>1.5853130635327079E-2</v>
      </c>
      <c r="E120" s="806">
        <f t="shared" si="38"/>
        <v>1.4626076025368187E-2</v>
      </c>
      <c r="F120" s="806">
        <f t="shared" si="38"/>
        <v>1.3013982567703425E-2</v>
      </c>
      <c r="G120" s="806">
        <f t="shared" si="38"/>
        <v>8.8242574308629515E-3</v>
      </c>
      <c r="H120" s="807">
        <f t="shared" si="38"/>
        <v>1.4709811200009163E-2</v>
      </c>
      <c r="I120" s="807">
        <f t="shared" si="38"/>
        <v>1.2587042302810584E-2</v>
      </c>
      <c r="J120" s="807">
        <f t="shared" si="38"/>
        <v>1.3055314220478462E-2</v>
      </c>
    </row>
    <row r="121" spans="1:12" x14ac:dyDescent="0.2">
      <c r="A121" s="770" t="s">
        <v>826</v>
      </c>
      <c r="B121" s="797">
        <f t="shared" ref="B121:J121" si="39">B48/B$68</f>
        <v>6.6029394145077178E-2</v>
      </c>
      <c r="C121" s="797">
        <f t="shared" si="39"/>
        <v>5.9818939477006575E-2</v>
      </c>
      <c r="D121" s="797">
        <f t="shared" si="39"/>
        <v>5.3281631301249813E-2</v>
      </c>
      <c r="E121" s="797">
        <f t="shared" si="39"/>
        <v>5.3309703329929688E-2</v>
      </c>
      <c r="F121" s="797">
        <f t="shared" si="39"/>
        <v>5.0668270491503076E-2</v>
      </c>
      <c r="G121" s="797">
        <f t="shared" si="39"/>
        <v>4.9132406320600647E-2</v>
      </c>
      <c r="H121" s="351">
        <f t="shared" si="39"/>
        <v>6.175403538336794E-2</v>
      </c>
      <c r="I121" s="351">
        <f t="shared" si="39"/>
        <v>5.1408672970199916E-2</v>
      </c>
      <c r="J121" s="351">
        <f t="shared" si="39"/>
        <v>5.369080679201E-2</v>
      </c>
      <c r="L121" s="316"/>
    </row>
    <row r="122" spans="1:12" x14ac:dyDescent="0.2">
      <c r="A122" s="772" t="s">
        <v>738</v>
      </c>
      <c r="B122" s="798">
        <f t="shared" ref="B122:J122" si="40">B49/B$68</f>
        <v>1.0826294224669014E-2</v>
      </c>
      <c r="C122" s="798">
        <f t="shared" si="40"/>
        <v>6.9099456155298335E-3</v>
      </c>
      <c r="D122" s="798">
        <f t="shared" si="40"/>
        <v>4.41496967470815E-3</v>
      </c>
      <c r="E122" s="798">
        <f t="shared" si="40"/>
        <v>4.5257852059988578E-3</v>
      </c>
      <c r="F122" s="798">
        <f t="shared" si="40"/>
        <v>4.5852154348996242E-3</v>
      </c>
      <c r="G122" s="798">
        <f t="shared" si="40"/>
        <v>1.6324192180971187E-2</v>
      </c>
      <c r="H122" s="799">
        <f t="shared" si="40"/>
        <v>8.1302282786321206E-3</v>
      </c>
      <c r="I122" s="799">
        <f t="shared" si="40"/>
        <v>8.5390173059406438E-3</v>
      </c>
      <c r="J122" s="799">
        <f t="shared" si="40"/>
        <v>8.4488405457704852E-3</v>
      </c>
    </row>
    <row r="123" spans="1:12" s="8" customFormat="1" x14ac:dyDescent="0.2">
      <c r="A123" s="779" t="s">
        <v>739</v>
      </c>
      <c r="B123" s="802">
        <f t="shared" ref="B123:J123" si="41">B50/B$68</f>
        <v>1.7379622165244014E-2</v>
      </c>
      <c r="C123" s="802">
        <f t="shared" si="41"/>
        <v>1.7276241259934048E-2</v>
      </c>
      <c r="D123" s="802">
        <f t="shared" si="41"/>
        <v>2.0010748423559967E-2</v>
      </c>
      <c r="E123" s="802">
        <f t="shared" si="41"/>
        <v>2.2002487078980743E-2</v>
      </c>
      <c r="F123" s="802">
        <f t="shared" si="41"/>
        <v>2.7353907506055396E-2</v>
      </c>
      <c r="G123" s="802">
        <f t="shared" si="41"/>
        <v>5.28611427996592E-2</v>
      </c>
      <c r="H123" s="803">
        <f t="shared" si="41"/>
        <v>1.730845338889294E-2</v>
      </c>
      <c r="I123" s="803">
        <f t="shared" si="41"/>
        <v>3.3111511460094598E-2</v>
      </c>
      <c r="J123" s="803">
        <f t="shared" si="41"/>
        <v>2.9625438003024265E-2</v>
      </c>
    </row>
    <row r="124" spans="1:12" x14ac:dyDescent="0.2">
      <c r="A124" s="772" t="s">
        <v>740</v>
      </c>
      <c r="B124" s="798">
        <f t="shared" ref="B124:J124" si="42">B51/B$68</f>
        <v>2.8194946113852958E-3</v>
      </c>
      <c r="C124" s="798">
        <f t="shared" si="42"/>
        <v>2.7132311870481257E-3</v>
      </c>
      <c r="D124" s="798">
        <f t="shared" si="42"/>
        <v>2.4707229117499128E-3</v>
      </c>
      <c r="E124" s="798">
        <f t="shared" si="42"/>
        <v>2.9924271574684825E-3</v>
      </c>
      <c r="F124" s="798">
        <f t="shared" si="42"/>
        <v>2.4633263662111418E-3</v>
      </c>
      <c r="G124" s="798">
        <f t="shared" si="42"/>
        <v>9.4210011719048341E-3</v>
      </c>
      <c r="H124" s="799">
        <f t="shared" si="42"/>
        <v>2.7463414709840168E-3</v>
      </c>
      <c r="I124" s="799">
        <f t="shared" si="42"/>
        <v>4.9935421793997911E-3</v>
      </c>
      <c r="J124" s="799">
        <f t="shared" si="42"/>
        <v>4.4978212431720224E-3</v>
      </c>
    </row>
    <row r="125" spans="1:12" x14ac:dyDescent="0.2">
      <c r="A125" s="770" t="s">
        <v>741</v>
      </c>
      <c r="B125" s="797">
        <f t="shared" ref="B125:J125" si="43">B52/B$68</f>
        <v>2.6200451935538467E-3</v>
      </c>
      <c r="C125" s="797">
        <f t="shared" si="43"/>
        <v>1.0819591279336987E-3</v>
      </c>
      <c r="D125" s="797">
        <f t="shared" si="43"/>
        <v>1.4994920248785092E-3</v>
      </c>
      <c r="E125" s="797">
        <f t="shared" si="43"/>
        <v>1.4909513188425517E-3</v>
      </c>
      <c r="F125" s="797">
        <f t="shared" si="43"/>
        <v>1.3211002475383574E-3</v>
      </c>
      <c r="G125" s="797">
        <f t="shared" si="43"/>
        <v>2.8204128977062461E-2</v>
      </c>
      <c r="H125" s="351">
        <f t="shared" si="43"/>
        <v>1.5612064952021658E-3</v>
      </c>
      <c r="I125" s="351">
        <f t="shared" si="43"/>
        <v>1.0571122763174508E-2</v>
      </c>
      <c r="J125" s="351">
        <f t="shared" si="43"/>
        <v>8.5835815030786237E-3</v>
      </c>
    </row>
    <row r="126" spans="1:12" x14ac:dyDescent="0.2">
      <c r="A126" s="772" t="s">
        <v>742</v>
      </c>
      <c r="B126" s="798">
        <f t="shared" ref="B126:J126" si="44">B53/B$68</f>
        <v>5.3342283110806073E-3</v>
      </c>
      <c r="C126" s="798">
        <f t="shared" si="44"/>
        <v>6.0814113391878359E-3</v>
      </c>
      <c r="D126" s="798">
        <f t="shared" si="44"/>
        <v>1.0931727848770209E-2</v>
      </c>
      <c r="E126" s="798">
        <f t="shared" si="44"/>
        <v>1.3752349434316738E-2</v>
      </c>
      <c r="F126" s="798">
        <f t="shared" si="44"/>
        <v>1.8375413533349788E-2</v>
      </c>
      <c r="G126" s="798">
        <f t="shared" si="44"/>
        <v>1.1499316260910577E-2</v>
      </c>
      <c r="H126" s="799">
        <f t="shared" si="44"/>
        <v>5.8485989452053879E-3</v>
      </c>
      <c r="I126" s="799">
        <f t="shared" si="44"/>
        <v>1.3287288492106917E-2</v>
      </c>
      <c r="J126" s="799">
        <f t="shared" si="44"/>
        <v>1.1646351777959404E-2</v>
      </c>
    </row>
    <row r="127" spans="1:12" s="8" customFormat="1" x14ac:dyDescent="0.2">
      <c r="A127" s="770" t="s">
        <v>743</v>
      </c>
      <c r="B127" s="797">
        <f t="shared" ref="B127:J127" si="45">B54/B$68</f>
        <v>3.2596411829883972E-3</v>
      </c>
      <c r="C127" s="797">
        <f t="shared" si="45"/>
        <v>3.2624353522117166E-3</v>
      </c>
      <c r="D127" s="797">
        <f t="shared" si="45"/>
        <v>2.2439204694586156E-3</v>
      </c>
      <c r="E127" s="797">
        <f t="shared" si="45"/>
        <v>7.9536914777482242E-4</v>
      </c>
      <c r="F127" s="797">
        <f t="shared" si="45"/>
        <v>3.4781807206486662E-3</v>
      </c>
      <c r="G127" s="797">
        <f t="shared" si="45"/>
        <v>1.5867387628093435E-3</v>
      </c>
      <c r="H127" s="351">
        <f t="shared" si="45"/>
        <v>3.2615647258703749E-3</v>
      </c>
      <c r="I127" s="351">
        <f t="shared" si="45"/>
        <v>1.8120466701469825E-3</v>
      </c>
      <c r="J127" s="351">
        <f t="shared" si="45"/>
        <v>2.1318029095301664E-3</v>
      </c>
    </row>
    <row r="128" spans="1:12" s="8" customFormat="1" x14ac:dyDescent="0.2">
      <c r="A128" s="784" t="s">
        <v>744</v>
      </c>
      <c r="B128" s="806">
        <f t="shared" ref="B128:J128" si="46">B55/B$68</f>
        <v>3.3462128657264956E-3</v>
      </c>
      <c r="C128" s="806">
        <f t="shared" si="46"/>
        <v>4.1372042534758213E-3</v>
      </c>
      <c r="D128" s="806">
        <f t="shared" si="46"/>
        <v>2.8648851683790145E-3</v>
      </c>
      <c r="E128" s="806">
        <f t="shared" si="46"/>
        <v>2.9713900204768047E-3</v>
      </c>
      <c r="F128" s="806">
        <f t="shared" si="46"/>
        <v>1.7158866379718503E-3</v>
      </c>
      <c r="G128" s="806">
        <f t="shared" si="46"/>
        <v>2.1499576268402534E-3</v>
      </c>
      <c r="H128" s="807">
        <f t="shared" si="46"/>
        <v>3.8907417514193752E-3</v>
      </c>
      <c r="I128" s="807">
        <f t="shared" si="46"/>
        <v>2.4475113550717392E-3</v>
      </c>
      <c r="J128" s="807">
        <f t="shared" si="46"/>
        <v>2.7658805690856459E-3</v>
      </c>
    </row>
    <row r="129" spans="1:10" x14ac:dyDescent="0.2">
      <c r="A129" s="787" t="s">
        <v>745</v>
      </c>
      <c r="B129" s="808">
        <f t="shared" ref="B129:J129" si="47">B56/B$68</f>
        <v>7.653198723565692E-2</v>
      </c>
      <c r="C129" s="808">
        <f t="shared" si="47"/>
        <v>7.5646519369121451E-2</v>
      </c>
      <c r="D129" s="808">
        <f t="shared" si="47"/>
        <v>6.3533760546119991E-2</v>
      </c>
      <c r="E129" s="808">
        <f t="shared" si="47"/>
        <v>5.3222077521643971E-2</v>
      </c>
      <c r="F129" s="808">
        <f t="shared" si="47"/>
        <v>5.2138753413127806E-2</v>
      </c>
      <c r="G129" s="808">
        <f t="shared" si="47"/>
        <v>5.4784507978148322E-2</v>
      </c>
      <c r="H129" s="809">
        <f t="shared" si="47"/>
        <v>7.5922419498069577E-2</v>
      </c>
      <c r="I129" s="809">
        <f t="shared" si="47"/>
        <v>5.5469444387251793E-2</v>
      </c>
      <c r="J129" s="809">
        <f t="shared" si="47"/>
        <v>5.9981265664544647E-2</v>
      </c>
    </row>
    <row r="130" spans="1:10" x14ac:dyDescent="0.2">
      <c r="A130" s="784" t="s">
        <v>746</v>
      </c>
      <c r="B130" s="806">
        <f t="shared" ref="B130:J130" si="48">B57/B$68</f>
        <v>7.0492344533001124E-4</v>
      </c>
      <c r="C130" s="806">
        <f t="shared" si="48"/>
        <v>6.3616669029275738E-4</v>
      </c>
      <c r="D130" s="806">
        <f t="shared" si="48"/>
        <v>3.4129848797648975E-4</v>
      </c>
      <c r="E130" s="806">
        <f t="shared" si="48"/>
        <v>2.8267897313404797E-4</v>
      </c>
      <c r="F130" s="806">
        <f t="shared" si="48"/>
        <v>1.1326772493230132E-4</v>
      </c>
      <c r="G130" s="806">
        <f t="shared" si="48"/>
        <v>1.2707582502311607E-3</v>
      </c>
      <c r="H130" s="807">
        <f t="shared" si="48"/>
        <v>6.5759038989583578E-4</v>
      </c>
      <c r="I130" s="807">
        <f t="shared" si="48"/>
        <v>6.0021426578334169E-4</v>
      </c>
      <c r="J130" s="807">
        <f t="shared" si="48"/>
        <v>6.1287114411897453E-4</v>
      </c>
    </row>
    <row r="131" spans="1:10" x14ac:dyDescent="0.2">
      <c r="A131" s="782" t="s">
        <v>535</v>
      </c>
      <c r="B131" s="804">
        <f t="shared" ref="B131:J131" si="49">B58/B$68</f>
        <v>9.6390830067778668E-4</v>
      </c>
      <c r="C131" s="804">
        <f t="shared" si="49"/>
        <v>1.3778605581801805E-3</v>
      </c>
      <c r="D131" s="804">
        <f t="shared" si="49"/>
        <v>1.0464313963638354E-3</v>
      </c>
      <c r="E131" s="804">
        <f t="shared" si="49"/>
        <v>1.0709382781594382E-3</v>
      </c>
      <c r="F131" s="804">
        <f t="shared" si="49"/>
        <v>3.2392183994498722E-4</v>
      </c>
      <c r="G131" s="804">
        <f t="shared" si="49"/>
        <v>1.1914464057868891E-4</v>
      </c>
      <c r="H131" s="805">
        <f t="shared" si="49"/>
        <v>1.2488784849287249E-3</v>
      </c>
      <c r="I131" s="805">
        <f t="shared" si="49"/>
        <v>6.0853060490258508E-4</v>
      </c>
      <c r="J131" s="805">
        <f t="shared" si="49"/>
        <v>7.4978805885818171E-4</v>
      </c>
    </row>
    <row r="132" spans="1:10" x14ac:dyDescent="0.2">
      <c r="A132" s="793" t="s">
        <v>747</v>
      </c>
      <c r="B132" s="798">
        <f t="shared" ref="B132:J132" si="50">B59/B$68</f>
        <v>5.1582725179590717E-3</v>
      </c>
      <c r="C132" s="798">
        <f t="shared" si="50"/>
        <v>5.2221519381809526E-3</v>
      </c>
      <c r="D132" s="798">
        <f t="shared" si="50"/>
        <v>1.5826959118322127E-3</v>
      </c>
      <c r="E132" s="798">
        <f t="shared" si="50"/>
        <v>1.0519866169041462E-3</v>
      </c>
      <c r="F132" s="798">
        <f t="shared" si="50"/>
        <v>9.4384837496062836E-4</v>
      </c>
      <c r="G132" s="798">
        <f t="shared" si="50"/>
        <v>2.7637735561463303E-2</v>
      </c>
      <c r="H132" s="799">
        <f t="shared" si="50"/>
        <v>5.2022479518902829E-3</v>
      </c>
      <c r="I132" s="799">
        <f t="shared" si="50"/>
        <v>1.019633551463075E-2</v>
      </c>
      <c r="J132" s="799">
        <f t="shared" si="50"/>
        <v>9.0946654444257393E-3</v>
      </c>
    </row>
    <row r="133" spans="1:10" s="8" customFormat="1" x14ac:dyDescent="0.2">
      <c r="A133" s="770" t="s">
        <v>748</v>
      </c>
      <c r="B133" s="797">
        <f t="shared" ref="B133:J133" si="51">B60/B$68</f>
        <v>6.8549070477140636E-2</v>
      </c>
      <c r="C133" s="797">
        <f t="shared" si="51"/>
        <v>6.729481079812015E-2</v>
      </c>
      <c r="D133" s="797">
        <f t="shared" si="51"/>
        <v>5.8929059503916338E-2</v>
      </c>
      <c r="E133" s="797">
        <f t="shared" si="51"/>
        <v>5.0004088621771414E-2</v>
      </c>
      <c r="F133" s="797">
        <f t="shared" si="51"/>
        <v>4.997513974524332E-2</v>
      </c>
      <c r="G133" s="797">
        <f t="shared" si="51"/>
        <v>2.2129001676601583E-2</v>
      </c>
      <c r="H133" s="351">
        <f t="shared" si="51"/>
        <v>6.7685621600244675E-2</v>
      </c>
      <c r="I133" s="351">
        <f t="shared" si="51"/>
        <v>4.2145178111902597E-2</v>
      </c>
      <c r="J133" s="351">
        <f t="shared" si="51"/>
        <v>4.7779268787603316E-2</v>
      </c>
    </row>
    <row r="134" spans="1:10" s="8" customFormat="1" x14ac:dyDescent="0.2">
      <c r="A134" s="772" t="s">
        <v>749</v>
      </c>
      <c r="B134" s="798">
        <f t="shared" ref="B134:J134" si="52">B61/B$68</f>
        <v>1.1558124943796078E-3</v>
      </c>
      <c r="C134" s="798">
        <f t="shared" si="52"/>
        <v>1.1155293842705525E-3</v>
      </c>
      <c r="D134" s="798">
        <f t="shared" si="52"/>
        <v>1.6342752457883343E-3</v>
      </c>
      <c r="E134" s="798">
        <f t="shared" si="52"/>
        <v>8.1238503167492537E-4</v>
      </c>
      <c r="F134" s="798">
        <f t="shared" si="52"/>
        <v>7.8257572779486624E-4</v>
      </c>
      <c r="G134" s="798">
        <f t="shared" si="52"/>
        <v>3.6278678492735806E-3</v>
      </c>
      <c r="H134" s="799">
        <f t="shared" si="52"/>
        <v>1.1280810710042636E-3</v>
      </c>
      <c r="I134" s="799">
        <f t="shared" si="52"/>
        <v>1.9191858899426832E-3</v>
      </c>
      <c r="J134" s="799">
        <f t="shared" si="52"/>
        <v>1.7446722294450763E-3</v>
      </c>
    </row>
    <row r="135" spans="1:10" s="8" customFormat="1" x14ac:dyDescent="0.2">
      <c r="A135" s="779" t="s">
        <v>750</v>
      </c>
      <c r="B135" s="802">
        <f t="shared" ref="B135:J135" si="53">B62/B$68</f>
        <v>1.1391944087409121E-2</v>
      </c>
      <c r="C135" s="802">
        <f t="shared" si="53"/>
        <v>9.9132946001052533E-3</v>
      </c>
      <c r="D135" s="802">
        <f t="shared" si="53"/>
        <v>9.7529965698688308E-3</v>
      </c>
      <c r="E135" s="802">
        <f t="shared" si="53"/>
        <v>1.0446807476311911E-2</v>
      </c>
      <c r="F135" s="802">
        <f t="shared" si="53"/>
        <v>1.4419576910139986E-2</v>
      </c>
      <c r="G135" s="802">
        <f t="shared" si="53"/>
        <v>1.0734694977690754E-2</v>
      </c>
      <c r="H135" s="803">
        <f t="shared" si="53"/>
        <v>1.0374022312125404E-2</v>
      </c>
      <c r="I135" s="803">
        <f t="shared" si="53"/>
        <v>1.1125630452661673E-2</v>
      </c>
      <c r="J135" s="803">
        <f t="shared" si="53"/>
        <v>1.0959829556592306E-2</v>
      </c>
    </row>
    <row r="136" spans="1:10" s="8" customFormat="1" x14ac:dyDescent="0.2">
      <c r="A136" s="784" t="s">
        <v>751</v>
      </c>
      <c r="B136" s="806">
        <f t="shared" ref="B136:J136" si="54">B63/B$68</f>
        <v>3.2792607528947461E-3</v>
      </c>
      <c r="C136" s="806">
        <f t="shared" si="54"/>
        <v>3.9812879699435526E-3</v>
      </c>
      <c r="D136" s="806">
        <f t="shared" si="54"/>
        <v>3.5479636308218218E-3</v>
      </c>
      <c r="E136" s="806">
        <f t="shared" si="54"/>
        <v>4.1373013622728232E-3</v>
      </c>
      <c r="F136" s="806">
        <f t="shared" si="54"/>
        <v>7.0480276790920813E-3</v>
      </c>
      <c r="G136" s="806">
        <f t="shared" si="54"/>
        <v>5.854569084810312E-3</v>
      </c>
      <c r="H136" s="807">
        <f t="shared" si="54"/>
        <v>3.7625455321555886E-3</v>
      </c>
      <c r="I136" s="807">
        <f t="shared" si="54"/>
        <v>5.1333123978981703E-3</v>
      </c>
      <c r="J136" s="807">
        <f t="shared" si="54"/>
        <v>4.8309282666138039E-3</v>
      </c>
    </row>
    <row r="137" spans="1:10" s="8" customFormat="1" x14ac:dyDescent="0.2">
      <c r="A137" s="782" t="s">
        <v>536</v>
      </c>
      <c r="B137" s="804">
        <f t="shared" ref="B137:J137" si="55">B64/B$68</f>
        <v>5.4724283541253231E-4</v>
      </c>
      <c r="C137" s="804">
        <f t="shared" si="55"/>
        <v>4.6819316597632269E-4</v>
      </c>
      <c r="D137" s="804">
        <f t="shared" si="55"/>
        <v>5.8695801358674702E-4</v>
      </c>
      <c r="E137" s="804">
        <f t="shared" si="55"/>
        <v>1.4311565885888765E-3</v>
      </c>
      <c r="F137" s="804">
        <f t="shared" si="55"/>
        <v>1.4831806851330353E-3</v>
      </c>
      <c r="G137" s="804">
        <f t="shared" si="55"/>
        <v>4.2643949442489347E-4</v>
      </c>
      <c r="H137" s="805">
        <f t="shared" si="55"/>
        <v>4.9282400218734524E-4</v>
      </c>
      <c r="I137" s="805">
        <f t="shared" si="55"/>
        <v>9.4164435897954092E-4</v>
      </c>
      <c r="J137" s="805">
        <f t="shared" si="55"/>
        <v>8.4263689309815176E-4</v>
      </c>
    </row>
    <row r="138" spans="1:10" s="8" customFormat="1" x14ac:dyDescent="0.2">
      <c r="A138" s="784" t="s">
        <v>752</v>
      </c>
      <c r="B138" s="806">
        <f t="shared" ref="B138:J138" si="56">B65/B$68</f>
        <v>4.4502158815650823E-4</v>
      </c>
      <c r="C138" s="806">
        <f t="shared" si="56"/>
        <v>5.4501883222757405E-4</v>
      </c>
      <c r="D138" s="806">
        <f t="shared" si="56"/>
        <v>3.2749964615541707E-4</v>
      </c>
      <c r="E138" s="806">
        <f t="shared" si="56"/>
        <v>2.876733093557544E-4</v>
      </c>
      <c r="F138" s="806">
        <f t="shared" si="56"/>
        <v>1.3078197369727462E-4</v>
      </c>
      <c r="G138" s="806">
        <f t="shared" si="56"/>
        <v>6.6737722076006477E-4</v>
      </c>
      <c r="H138" s="807">
        <f t="shared" si="56"/>
        <v>5.1386100756069611E-4</v>
      </c>
      <c r="I138" s="807">
        <f t="shared" si="56"/>
        <v>3.965163932214391E-4</v>
      </c>
      <c r="J138" s="807">
        <f t="shared" si="56"/>
        <v>4.224020125449359E-4</v>
      </c>
    </row>
    <row r="139" spans="1:10" s="8" customFormat="1" x14ac:dyDescent="0.2">
      <c r="A139" s="782" t="s">
        <v>753</v>
      </c>
      <c r="B139" s="804">
        <f t="shared" ref="B139:J139" si="57">B66/B$68</f>
        <v>8.9245871733248643E-4</v>
      </c>
      <c r="C139" s="804">
        <f t="shared" si="57"/>
        <v>1.675634542497692E-3</v>
      </c>
      <c r="D139" s="804">
        <f t="shared" si="57"/>
        <v>2.2247637302020679E-3</v>
      </c>
      <c r="E139" s="804">
        <f t="shared" si="57"/>
        <v>2.8834937570140478E-3</v>
      </c>
      <c r="F139" s="804">
        <f t="shared" si="57"/>
        <v>4.2150443135081503E-3</v>
      </c>
      <c r="G139" s="804">
        <f t="shared" si="57"/>
        <v>2.2266861402502561E-3</v>
      </c>
      <c r="H139" s="805">
        <f t="shared" si="57"/>
        <v>1.4316072668410459E-3</v>
      </c>
      <c r="I139" s="805">
        <f t="shared" si="57"/>
        <v>2.7752918601585425E-3</v>
      </c>
      <c r="J139" s="805">
        <f t="shared" si="57"/>
        <v>2.4788819390955692E-3</v>
      </c>
    </row>
    <row r="140" spans="1:10" s="8" customFormat="1" x14ac:dyDescent="0.2">
      <c r="A140" s="793" t="s">
        <v>754</v>
      </c>
      <c r="B140" s="798">
        <f t="shared" ref="B140:J140" si="58">B67/B$68</f>
        <v>6.2279601932732648E-3</v>
      </c>
      <c r="C140" s="798">
        <f t="shared" si="58"/>
        <v>3.2431600892295618E-3</v>
      </c>
      <c r="D140" s="798">
        <f t="shared" si="58"/>
        <v>3.0658115489409239E-3</v>
      </c>
      <c r="E140" s="798">
        <f t="shared" si="58"/>
        <v>1.707182458877729E-3</v>
      </c>
      <c r="F140" s="798">
        <f t="shared" si="58"/>
        <v>1.5425422584577474E-3</v>
      </c>
      <c r="G140" s="798">
        <f t="shared" si="58"/>
        <v>1.5596230372695796E-3</v>
      </c>
      <c r="H140" s="799">
        <f t="shared" si="58"/>
        <v>4.1731845031162049E-3</v>
      </c>
      <c r="I140" s="799">
        <f t="shared" si="58"/>
        <v>1.8788654422093227E-3</v>
      </c>
      <c r="J140" s="799">
        <f t="shared" si="58"/>
        <v>2.3849804450297766E-3</v>
      </c>
    </row>
    <row r="141" spans="1:10" x14ac:dyDescent="0.2">
      <c r="A141" s="935" t="s">
        <v>802</v>
      </c>
      <c r="B141" s="937">
        <v>1</v>
      </c>
      <c r="C141" s="937">
        <v>1</v>
      </c>
      <c r="D141" s="937">
        <v>1</v>
      </c>
      <c r="E141" s="937">
        <v>1</v>
      </c>
      <c r="F141" s="937">
        <v>1</v>
      </c>
      <c r="G141" s="937">
        <v>1</v>
      </c>
      <c r="H141" s="998">
        <v>1</v>
      </c>
      <c r="I141" s="998">
        <v>1</v>
      </c>
      <c r="J141" s="998">
        <v>1</v>
      </c>
    </row>
    <row r="142" spans="1:10" x14ac:dyDescent="0.2">
      <c r="A142" s="794" t="s">
        <v>762</v>
      </c>
      <c r="B142" s="3"/>
      <c r="C142" s="3"/>
      <c r="D142" s="245"/>
      <c r="E142" s="3"/>
      <c r="F142" s="3"/>
      <c r="G142" s="245"/>
      <c r="H142" s="3"/>
      <c r="I142" s="3"/>
      <c r="J142" s="3"/>
    </row>
    <row r="143" spans="1:10" x14ac:dyDescent="0.2">
      <c r="A143" s="794" t="s">
        <v>316</v>
      </c>
      <c r="B143" s="3"/>
      <c r="C143" s="3"/>
      <c r="D143" s="245"/>
      <c r="E143" s="3"/>
      <c r="F143" s="3"/>
      <c r="G143" s="245"/>
      <c r="H143" s="3"/>
      <c r="I143" s="3"/>
      <c r="J143" s="3"/>
    </row>
    <row r="144" spans="1:10" ht="15" customHeight="1" x14ac:dyDescent="0.2">
      <c r="A144" s="37" t="s">
        <v>798</v>
      </c>
      <c r="B144" s="3"/>
      <c r="C144" s="3"/>
      <c r="D144" s="245"/>
      <c r="E144" s="3"/>
      <c r="F144" s="3"/>
      <c r="G144" s="245"/>
      <c r="H144" s="3"/>
      <c r="I144" s="3"/>
      <c r="J144" s="3"/>
    </row>
    <row r="145" spans="1:11" x14ac:dyDescent="0.2">
      <c r="A145" s="286" t="s">
        <v>951</v>
      </c>
      <c r="B145" s="3"/>
      <c r="C145" s="3"/>
      <c r="D145" s="245"/>
      <c r="E145" s="3"/>
      <c r="F145" s="3"/>
      <c r="G145" s="245"/>
      <c r="H145" s="3"/>
      <c r="I145" s="3"/>
      <c r="J145" s="3"/>
    </row>
    <row r="148" spans="1:11" ht="16.5" x14ac:dyDescent="0.25">
      <c r="A148" s="108" t="s">
        <v>585</v>
      </c>
    </row>
    <row r="149" spans="1:11" ht="13.5" thickBot="1" x14ac:dyDescent="0.25">
      <c r="A149" s="231"/>
      <c r="J149" s="652" t="s">
        <v>537</v>
      </c>
    </row>
    <row r="150" spans="1:11" x14ac:dyDescent="0.2">
      <c r="A150" s="230" t="s">
        <v>800</v>
      </c>
      <c r="B150" s="760" t="s">
        <v>38</v>
      </c>
      <c r="C150" s="760" t="s">
        <v>39</v>
      </c>
      <c r="D150" s="760" t="s">
        <v>125</v>
      </c>
      <c r="E150" s="760" t="s">
        <v>126</v>
      </c>
      <c r="F150" s="760" t="s">
        <v>127</v>
      </c>
      <c r="G150" s="761">
        <v>100000</v>
      </c>
      <c r="H150" s="762" t="s">
        <v>229</v>
      </c>
      <c r="I150" s="762" t="s">
        <v>228</v>
      </c>
      <c r="J150" s="762" t="s">
        <v>220</v>
      </c>
    </row>
    <row r="151" spans="1:11" x14ac:dyDescent="0.2">
      <c r="A151" s="229"/>
      <c r="B151" s="763" t="s">
        <v>40</v>
      </c>
      <c r="C151" s="763" t="s">
        <v>40</v>
      </c>
      <c r="D151" s="763" t="s">
        <v>40</v>
      </c>
      <c r="E151" s="763" t="s">
        <v>40</v>
      </c>
      <c r="F151" s="763" t="s">
        <v>40</v>
      </c>
      <c r="G151" s="763" t="s">
        <v>43</v>
      </c>
      <c r="H151" s="764" t="s">
        <v>523</v>
      </c>
      <c r="I151" s="764" t="s">
        <v>138</v>
      </c>
      <c r="J151" s="764" t="s">
        <v>142</v>
      </c>
    </row>
    <row r="152" spans="1:11" ht="13.5" thickBot="1" x14ac:dyDescent="0.25">
      <c r="A152" s="232"/>
      <c r="B152" s="765" t="s">
        <v>46</v>
      </c>
      <c r="C152" s="765" t="s">
        <v>42</v>
      </c>
      <c r="D152" s="765" t="s">
        <v>128</v>
      </c>
      <c r="E152" s="765" t="s">
        <v>129</v>
      </c>
      <c r="F152" s="765" t="s">
        <v>130</v>
      </c>
      <c r="G152" s="765" t="s">
        <v>131</v>
      </c>
      <c r="H152" s="766" t="s">
        <v>138</v>
      </c>
      <c r="I152" s="766" t="s">
        <v>131</v>
      </c>
      <c r="J152" s="766" t="s">
        <v>611</v>
      </c>
    </row>
    <row r="154" spans="1:11" s="8" customFormat="1" ht="14.25" customHeight="1" x14ac:dyDescent="0.2">
      <c r="A154" s="767" t="s">
        <v>709</v>
      </c>
      <c r="B154" s="768">
        <f>'T 6.1'!B151+'T 6.2'!B151</f>
        <v>583.38276658158497</v>
      </c>
      <c r="C154" s="768">
        <f>'T 6.1'!C151+'T 6.2'!C151</f>
        <v>535.67945232936358</v>
      </c>
      <c r="D154" s="768">
        <f>'T 6.1'!D151+'T 6.2'!D151</f>
        <v>512.96921037518064</v>
      </c>
      <c r="E154" s="768">
        <f>'T 6.1'!E151+'T 6.2'!E151</f>
        <v>530.06635437612545</v>
      </c>
      <c r="F154" s="768">
        <f>'T 6.1'!F151+'T 6.2'!F151</f>
        <v>534.70106887364341</v>
      </c>
      <c r="G154" s="768">
        <f>'T 6.1'!G151+'T 6.2'!G151</f>
        <v>466.62340236150033</v>
      </c>
      <c r="H154" s="769">
        <f>'T 6.1'!H151+'T 6.2'!H151</f>
        <v>551.28522121689173</v>
      </c>
      <c r="I154" s="769">
        <f>'T 6.1'!I151+'T 6.2'!I151</f>
        <v>508.42193875333112</v>
      </c>
      <c r="J154" s="769">
        <f>'T 6.1'!J151+'T 6.2'!J151</f>
        <v>519.82061011276983</v>
      </c>
      <c r="K154" s="813"/>
    </row>
    <row r="155" spans="1:11" ht="14.25" customHeight="1" x14ac:dyDescent="0.2">
      <c r="A155" s="770" t="s">
        <v>710</v>
      </c>
      <c r="B155" s="771">
        <f>'T 6.1'!B152+'T 6.2'!B152</f>
        <v>86.022321482905099</v>
      </c>
      <c r="C155" s="771">
        <f>'T 6.1'!C152+'T 6.2'!C152</f>
        <v>34.418667644027451</v>
      </c>
      <c r="D155" s="771">
        <f>'T 6.1'!D152+'T 6.2'!D152</f>
        <v>29.715793297904767</v>
      </c>
      <c r="E155" s="771">
        <f>'T 6.1'!E152+'T 6.2'!E152</f>
        <v>23.356517853621519</v>
      </c>
      <c r="F155" s="771">
        <f>'T 6.1'!F152+'T 6.2'!F152</f>
        <v>16.520298461365925</v>
      </c>
      <c r="G155" s="771">
        <f>'T 6.1'!G152+'T 6.2'!G152</f>
        <v>21.498511757900527</v>
      </c>
      <c r="H155" s="316">
        <f>'T 6.1'!H152+'T 6.2'!H152</f>
        <v>51.300402344966578</v>
      </c>
      <c r="I155" s="316">
        <f>'T 6.1'!I152+'T 6.2'!I152</f>
        <v>22.97962003599768</v>
      </c>
      <c r="J155" s="316">
        <f>'T 6.1'!J152+'T 6.2'!J152</f>
        <v>30.510991214968442</v>
      </c>
    </row>
    <row r="156" spans="1:11" ht="14.25" customHeight="1" x14ac:dyDescent="0.2">
      <c r="A156" s="772" t="s">
        <v>524</v>
      </c>
      <c r="B156" s="773">
        <f>'T 6.1'!B153+'T 6.2'!B153</f>
        <v>485.56240028502566</v>
      </c>
      <c r="C156" s="773">
        <f>'T 6.1'!C153+'T 6.2'!C153</f>
        <v>489.66992692831985</v>
      </c>
      <c r="D156" s="773">
        <f>'T 6.1'!D153+'T 6.2'!D153</f>
        <v>468.12702320646196</v>
      </c>
      <c r="E156" s="773">
        <f>'T 6.1'!E153+'T 6.2'!E153</f>
        <v>493.24775536343225</v>
      </c>
      <c r="F156" s="773">
        <f>'T 6.1'!F153+'T 6.2'!F153</f>
        <v>504.16276232666905</v>
      </c>
      <c r="G156" s="773">
        <f>'T 6.1'!G153+'T 6.2'!G153</f>
        <v>422.42611062305195</v>
      </c>
      <c r="H156" s="774">
        <f>'T 6.1'!H153+'T 6.2'!H153</f>
        <v>488.32618147793687</v>
      </c>
      <c r="I156" s="774">
        <f>'T 6.1'!I153+'T 6.2'!I153</f>
        <v>468.79112562888128</v>
      </c>
      <c r="J156" s="774">
        <f>'T 6.1'!J153+'T 6.2'!J153</f>
        <v>473.98610064744105</v>
      </c>
    </row>
    <row r="157" spans="1:11" ht="14.25" customHeight="1" x14ac:dyDescent="0.2">
      <c r="A157" s="770" t="s">
        <v>711</v>
      </c>
      <c r="B157" s="771">
        <f>'T 6.1'!B154+'T 6.2'!B154</f>
        <v>11.399007522314351</v>
      </c>
      <c r="C157" s="771">
        <f>'T 6.1'!C154+'T 6.2'!C154</f>
        <v>11.142110849572299</v>
      </c>
      <c r="D157" s="771">
        <f>'T 6.1'!D154+'T 6.2'!D154</f>
        <v>14.811339053898248</v>
      </c>
      <c r="E157" s="771">
        <f>'T 6.1'!E154+'T 6.2'!E154</f>
        <v>12.67865617914021</v>
      </c>
      <c r="F157" s="771">
        <f>'T 6.1'!F154+'T 6.2'!F154</f>
        <v>13.21836845209249</v>
      </c>
      <c r="G157" s="771">
        <f>'T 6.1'!G154+'T 6.2'!G154</f>
        <v>20.248028103260534</v>
      </c>
      <c r="H157" s="316">
        <f>'T 6.1'!H154+'T 6.2'!H154</f>
        <v>11.226152601505726</v>
      </c>
      <c r="I157" s="316">
        <f>'T 6.1'!I154+'T 6.2'!I154</f>
        <v>15.472634056322903</v>
      </c>
      <c r="J157" s="316">
        <f>'T 6.1'!J154+'T 6.2'!J154</f>
        <v>14.343363413586612</v>
      </c>
    </row>
    <row r="158" spans="1:11" s="8" customFormat="1" ht="14.25" customHeight="1" x14ac:dyDescent="0.2">
      <c r="A158" s="772" t="s">
        <v>712</v>
      </c>
      <c r="B158" s="773">
        <f>'T 6.1'!B155+'T 6.2'!B155</f>
        <v>0.39903729085759687</v>
      </c>
      <c r="C158" s="773">
        <f>'T 6.1'!C155+'T 6.2'!C155</f>
        <v>0.44874690732666522</v>
      </c>
      <c r="D158" s="773">
        <f>'T 6.1'!D155+'T 6.2'!D155</f>
        <v>0.31505481651801687</v>
      </c>
      <c r="E158" s="773">
        <f>'T 6.1'!E155+'T 6.2'!E155</f>
        <v>0.78342497984022019</v>
      </c>
      <c r="F158" s="773">
        <f>'T 6.1'!F155+'T 6.2'!F155</f>
        <v>0.7996396333528778</v>
      </c>
      <c r="G158" s="773">
        <f>'T 6.1'!G155+'T 6.2'!G155</f>
        <v>2.450751876997511</v>
      </c>
      <c r="H158" s="774">
        <f>'T 6.1'!H155+'T 6.2'!H155</f>
        <v>0.43248479224589131</v>
      </c>
      <c r="I158" s="774">
        <f>'T 6.1'!I155+'T 6.2'!I155</f>
        <v>1.1785590319006802</v>
      </c>
      <c r="J158" s="774">
        <f>'T 6.1'!J155+'T 6.2'!J155</f>
        <v>0.98015483654308455</v>
      </c>
    </row>
    <row r="159" spans="1:11" s="68" customFormat="1" ht="14.25" customHeight="1" x14ac:dyDescent="0.2">
      <c r="A159" s="779" t="s">
        <v>525</v>
      </c>
      <c r="B159" s="780">
        <f>'T 6.1'!B156+'T 6.2'!B156</f>
        <v>39.120528799769474</v>
      </c>
      <c r="C159" s="780">
        <f>'T 6.1'!C156+'T 6.2'!C156</f>
        <v>50.213526614254434</v>
      </c>
      <c r="D159" s="780">
        <f>'T 6.1'!D156+'T 6.2'!D156</f>
        <v>63.056978786593689</v>
      </c>
      <c r="E159" s="780">
        <f>'T 6.1'!E156+'T 6.2'!E156</f>
        <v>75.510758092587793</v>
      </c>
      <c r="F159" s="780">
        <f>'T 6.1'!F156+'T 6.2'!F156</f>
        <v>89.350145898912857</v>
      </c>
      <c r="G159" s="780">
        <f>'T 6.1'!G156+'T 6.2'!G156</f>
        <v>127.69707448883953</v>
      </c>
      <c r="H159" s="781">
        <f>'T 6.1'!H156+'T 6.2'!H156</f>
        <v>46.584538505642129</v>
      </c>
      <c r="I159" s="781">
        <f>'T 6.1'!I156+'T 6.2'!I156</f>
        <v>90.691242162548306</v>
      </c>
      <c r="J159" s="781">
        <f>'T 6.1'!J156+'T 6.2'!J156</f>
        <v>78.961906683851879</v>
      </c>
    </row>
    <row r="160" spans="1:11" ht="14.25" customHeight="1" x14ac:dyDescent="0.2">
      <c r="A160" s="772" t="s">
        <v>713</v>
      </c>
      <c r="B160" s="773">
        <f>'T 6.1'!B157+'T 6.2'!B157</f>
        <v>1.8946712812530522</v>
      </c>
      <c r="C160" s="773">
        <f>'T 6.1'!C157+'T 6.2'!C157</f>
        <v>1.8901435288840418</v>
      </c>
      <c r="D160" s="773">
        <f>'T 6.1'!D157+'T 6.2'!D157</f>
        <v>2.6369933615171552</v>
      </c>
      <c r="E160" s="773">
        <f>'T 6.1'!E157+'T 6.2'!E157</f>
        <v>4.4870876637659878</v>
      </c>
      <c r="F160" s="773">
        <f>'T 6.1'!F157+'T 6.2'!F157</f>
        <v>7.5067665552191647</v>
      </c>
      <c r="G160" s="773">
        <f>'T 6.1'!G157+'T 6.2'!G157</f>
        <v>9.5352663845531698</v>
      </c>
      <c r="H160" s="774">
        <f>'T 6.1'!H157+'T 6.2'!H157</f>
        <v>1.8916247479179464</v>
      </c>
      <c r="I160" s="774">
        <f>'T 6.1'!I157+'T 6.2'!I157</f>
        <v>6.1110807621830538</v>
      </c>
      <c r="J160" s="774">
        <f>'T 6.1'!J157+'T 6.2'!J157</f>
        <v>4.988997019224187</v>
      </c>
    </row>
    <row r="161" spans="1:12" ht="14.25" customHeight="1" x14ac:dyDescent="0.2">
      <c r="A161" s="770" t="s">
        <v>714</v>
      </c>
      <c r="B161" s="771">
        <f>'T 6.1'!B158+'T 6.2'!B158</f>
        <v>23.631537797610076</v>
      </c>
      <c r="C161" s="771">
        <f>'T 6.1'!C158+'T 6.2'!C158</f>
        <v>33.395663461920627</v>
      </c>
      <c r="D161" s="771">
        <f>'T 6.1'!D158+'T 6.2'!D158</f>
        <v>45.365130496706733</v>
      </c>
      <c r="E161" s="771">
        <f>'T 6.1'!E158+'T 6.2'!E158</f>
        <v>52.791775075348802</v>
      </c>
      <c r="F161" s="771">
        <f>'T 6.1'!F158+'T 6.2'!F158</f>
        <v>53.800861335638892</v>
      </c>
      <c r="G161" s="771">
        <f>'T 6.1'!G158+'T 6.2'!G158</f>
        <v>58.297179633928621</v>
      </c>
      <c r="H161" s="316">
        <f>'T 6.1'!H158+'T 6.2'!H158</f>
        <v>30.201405559831208</v>
      </c>
      <c r="I161" s="316">
        <f>'T 6.1'!I158+'T 6.2'!I158</f>
        <v>52.99600432142492</v>
      </c>
      <c r="J161" s="316">
        <f>'T 6.1'!J158+'T 6.2'!J158</f>
        <v>46.934216116693655</v>
      </c>
    </row>
    <row r="162" spans="1:12" ht="14.25" customHeight="1" x14ac:dyDescent="0.2">
      <c r="A162" s="778" t="s">
        <v>715</v>
      </c>
      <c r="B162" s="773">
        <f>'T 6.1'!B159+'T 6.2'!B159</f>
        <v>9.9069748041654258</v>
      </c>
      <c r="C162" s="773">
        <f>'T 6.1'!C159+'T 6.2'!C159</f>
        <v>9.777510989300227</v>
      </c>
      <c r="D162" s="773">
        <f>'T 6.1'!D159+'T 6.2'!D159</f>
        <v>11.425280707952872</v>
      </c>
      <c r="E162" s="773">
        <f>'T 6.1'!E159+'T 6.2'!E159</f>
        <v>13.062790754944404</v>
      </c>
      <c r="F162" s="773">
        <f>'T 6.1'!F159+'T 6.2'!F159</f>
        <v>20.794082915018063</v>
      </c>
      <c r="G162" s="773">
        <f>'T 6.1'!G159+'T 6.2'!G159</f>
        <v>36.099220784769308</v>
      </c>
      <c r="H162" s="774">
        <f>'T 6.1'!H159+'T 6.2'!H159</f>
        <v>9.8198640711721001</v>
      </c>
      <c r="I162" s="774">
        <f>'T 6.1'!I159+'T 6.2'!I159</f>
        <v>20.880630199322415</v>
      </c>
      <c r="J162" s="774">
        <f>'T 6.1'!J159+'T 6.2'!J159</f>
        <v>17.939230688317163</v>
      </c>
    </row>
    <row r="163" spans="1:12" s="8" customFormat="1" ht="14.25" customHeight="1" x14ac:dyDescent="0.2">
      <c r="A163" s="770" t="s">
        <v>526</v>
      </c>
      <c r="B163" s="771">
        <f>'T 6.1'!B160+'T 6.2'!B160</f>
        <v>2.1710202204246691</v>
      </c>
      <c r="C163" s="771">
        <f>'T 6.1'!C160+'T 6.2'!C160</f>
        <v>3.0599704540735591</v>
      </c>
      <c r="D163" s="771">
        <f>'T 6.1'!D160+'T 6.2'!D160</f>
        <v>1.5761361742449342</v>
      </c>
      <c r="E163" s="771">
        <f>'T 6.1'!E160+'T 6.2'!E160</f>
        <v>2.7219385627913382</v>
      </c>
      <c r="F163" s="771">
        <f>'T 6.1'!F160+'T 6.2'!F160</f>
        <v>3.9887443384196231</v>
      </c>
      <c r="G163" s="771">
        <f>'T 6.1'!G160+'T 6.2'!G160</f>
        <v>4.0093742084937158</v>
      </c>
      <c r="H163" s="316">
        <f>'T 6.1'!H160+'T 6.2'!H160</f>
        <v>2.7691572869739018</v>
      </c>
      <c r="I163" s="316">
        <f>'T 6.1'!I160+'T 6.2'!I160</f>
        <v>3.0778485585395554</v>
      </c>
      <c r="J163" s="316">
        <f>'T 6.1'!J160+'T 6.2'!J160</f>
        <v>2.9957580103157815</v>
      </c>
    </row>
    <row r="164" spans="1:12" s="8" customFormat="1" ht="14.25" customHeight="1" x14ac:dyDescent="0.2">
      <c r="A164" s="772" t="s">
        <v>716</v>
      </c>
      <c r="B164" s="773">
        <f>'T 6.1'!B161+'T 6.2'!B161</f>
        <v>1.5163246953516947</v>
      </c>
      <c r="C164" s="773">
        <f>'T 6.1'!C161+'T 6.2'!C161</f>
        <v>2.0902381798414971</v>
      </c>
      <c r="D164" s="773">
        <f>'T 6.1'!D161+'T 6.2'!D161</f>
        <v>2.0534380452443113</v>
      </c>
      <c r="E164" s="773">
        <f>'T 6.1'!E161+'T 6.2'!E161</f>
        <v>2.4471660354635096</v>
      </c>
      <c r="F164" s="773">
        <f>'T 6.1'!F161+'T 6.2'!F161</f>
        <v>3.2596907539650908</v>
      </c>
      <c r="G164" s="773">
        <f>'T 6.1'!G161+'T 6.2'!G161</f>
        <v>19.756033477094725</v>
      </c>
      <c r="H164" s="774">
        <f>'T 6.1'!H161+'T 6.2'!H161</f>
        <v>1.9024868392736505</v>
      </c>
      <c r="I164" s="774">
        <f>'T 6.1'!I161+'T 6.2'!I161</f>
        <v>7.6256783206782845</v>
      </c>
      <c r="J164" s="774">
        <f>'T 6.1'!J161+'T 6.2'!J161</f>
        <v>6.1037048488815175</v>
      </c>
    </row>
    <row r="165" spans="1:12" s="68" customFormat="1" ht="14.25" customHeight="1" x14ac:dyDescent="0.2">
      <c r="A165" s="779" t="s">
        <v>527</v>
      </c>
      <c r="B165" s="780">
        <f>'T 6.1'!B162+'T 6.2'!B162</f>
        <v>208.2776908653133</v>
      </c>
      <c r="C165" s="780">
        <f>'T 6.1'!C162+'T 6.2'!C162</f>
        <v>246.03163550953502</v>
      </c>
      <c r="D165" s="780">
        <f>'T 6.1'!D162+'T 6.2'!D162</f>
        <v>275.1114489045417</v>
      </c>
      <c r="E165" s="780">
        <f>'T 6.1'!E162+'T 6.2'!E162</f>
        <v>317.65872957296676</v>
      </c>
      <c r="F165" s="780">
        <f>'T 6.1'!F162+'T 6.2'!F162</f>
        <v>341.60475295135382</v>
      </c>
      <c r="G165" s="780">
        <f>'T 6.1'!G162+'T 6.2'!G162</f>
        <v>337.53178609236295</v>
      </c>
      <c r="H165" s="781">
        <f>'T 6.1'!H162+'T 6.2'!H162</f>
        <v>233.68072564203419</v>
      </c>
      <c r="I165" s="781">
        <f>'T 6.1'!I162+'T 6.2'!I162</f>
        <v>318.5615302350995</v>
      </c>
      <c r="J165" s="781">
        <f>'T 6.1'!J162+'T 6.2'!J162</f>
        <v>295.98910132456012</v>
      </c>
    </row>
    <row r="166" spans="1:12" ht="14.25" customHeight="1" x14ac:dyDescent="0.2">
      <c r="A166" s="778" t="s">
        <v>717</v>
      </c>
      <c r="B166" s="773">
        <f>'T 6.1'!B163+'T 6.2'!B163</f>
        <v>17.858044463038897</v>
      </c>
      <c r="C166" s="773">
        <f>'T 6.1'!C163+'T 6.2'!C163</f>
        <v>16.962630117148468</v>
      </c>
      <c r="D166" s="773">
        <f>'T 6.1'!D163+'T 6.2'!D163</f>
        <v>36.009031739798829</v>
      </c>
      <c r="E166" s="773">
        <f>'T 6.1'!E163+'T 6.2'!E163</f>
        <v>49.060787695457705</v>
      </c>
      <c r="F166" s="773">
        <f>'T 6.1'!F163+'T 6.2'!F163</f>
        <v>49.178639678505661</v>
      </c>
      <c r="G166" s="773">
        <f>'T 6.1'!G163+'T 6.2'!G163</f>
        <v>38.826924264513622</v>
      </c>
      <c r="H166" s="774">
        <f>'T 6.1'!H163+'T 6.2'!H163</f>
        <v>17.255557968380366</v>
      </c>
      <c r="I166" s="774">
        <f>'T 6.1'!I163+'T 6.2'!I163</f>
        <v>43.239165746053089</v>
      </c>
      <c r="J166" s="774">
        <f>'T 6.1'!J163+'T 6.2'!J163</f>
        <v>36.329321497842784</v>
      </c>
    </row>
    <row r="167" spans="1:12" ht="14.25" customHeight="1" x14ac:dyDescent="0.2">
      <c r="A167" s="770" t="s">
        <v>528</v>
      </c>
      <c r="B167" s="771">
        <f>'T 6.1'!B164+'T 6.2'!B164</f>
        <v>116.31514084752936</v>
      </c>
      <c r="C167" s="771">
        <f>'T 6.1'!C164+'T 6.2'!C164</f>
        <v>146.26502448392526</v>
      </c>
      <c r="D167" s="771">
        <f>'T 6.1'!D164+'T 6.2'!D164</f>
        <v>154.36176792729634</v>
      </c>
      <c r="E167" s="771">
        <f>'T 6.1'!E164+'T 6.2'!E164</f>
        <v>178.80536071738794</v>
      </c>
      <c r="F167" s="771">
        <f>'T 6.1'!F164+'T 6.2'!F164</f>
        <v>202.29185718419092</v>
      </c>
      <c r="G167" s="771">
        <f>'T 6.1'!G164+'T 6.2'!G164</f>
        <v>208.10781951343293</v>
      </c>
      <c r="H167" s="316">
        <f>'T 6.1'!H164+'T 6.2'!H164</f>
        <v>136.46715258415068</v>
      </c>
      <c r="I167" s="316">
        <f>'T 6.1'!I164+'T 6.2'!I164</f>
        <v>186.32128645322425</v>
      </c>
      <c r="J167" s="316">
        <f>'T 6.1'!J164+'T 6.2'!J164</f>
        <v>173.06353167520092</v>
      </c>
    </row>
    <row r="168" spans="1:12" ht="14.25" customHeight="1" x14ac:dyDescent="0.2">
      <c r="A168" s="772" t="s">
        <v>529</v>
      </c>
      <c r="B168" s="773">
        <f>'T 6.1'!B165+'T 6.2'!B165</f>
        <v>0.40954474505033162</v>
      </c>
      <c r="C168" s="773">
        <f>'T 6.1'!C165+'T 6.2'!C165</f>
        <v>0.66200624355686943</v>
      </c>
      <c r="D168" s="773">
        <f>'T 6.1'!D165+'T 6.2'!D165</f>
        <v>0.69691831374160118</v>
      </c>
      <c r="E168" s="773">
        <f>'T 6.1'!E165+'T 6.2'!E165</f>
        <v>0.31259050684930634</v>
      </c>
      <c r="F168" s="773">
        <f>'T 6.1'!F165+'T 6.2'!F165</f>
        <v>0.22152263336249517</v>
      </c>
      <c r="G168" s="773">
        <f>'T 6.1'!G165+'T 6.2'!G165</f>
        <v>9.3165573092906104</v>
      </c>
      <c r="H168" s="774">
        <f>'T 6.1'!H165+'T 6.2'!H165</f>
        <v>0.57941542443975547</v>
      </c>
      <c r="I168" s="774">
        <f>'T 6.1'!I165+'T 6.2'!I165</f>
        <v>3.0433967873351908</v>
      </c>
      <c r="J168" s="774">
        <f>'T 6.1'!J165+'T 6.2'!J165</f>
        <v>2.3881480014937444</v>
      </c>
      <c r="L168" s="943"/>
    </row>
    <row r="169" spans="1:12" ht="14.25" customHeight="1" x14ac:dyDescent="0.2">
      <c r="A169" s="770" t="s">
        <v>718</v>
      </c>
      <c r="B169" s="771">
        <f>'T 6.1'!B166+'T 6.2'!B166</f>
        <v>3.4978675836358617</v>
      </c>
      <c r="C169" s="771">
        <f>'T 6.1'!C166+'T 6.2'!C166</f>
        <v>2.5564108540391839</v>
      </c>
      <c r="D169" s="771">
        <f>'T 6.1'!D166+'T 6.2'!D166</f>
        <v>1.1698647839166678</v>
      </c>
      <c r="E169" s="771">
        <f>'T 6.1'!E166+'T 6.2'!E166</f>
        <v>1.1431350156373461</v>
      </c>
      <c r="F169" s="771">
        <f>'T 6.1'!F166+'T 6.2'!F166</f>
        <v>3.6633319410953411</v>
      </c>
      <c r="G169" s="771">
        <f>'T 6.1'!G166+'T 6.2'!G166</f>
        <v>10.460283962312356</v>
      </c>
      <c r="H169" s="316">
        <f>'T 6.1'!H166+'T 6.2'!H166</f>
        <v>2.8644011136260152</v>
      </c>
      <c r="I169" s="316">
        <f>'T 6.1'!I166+'T 6.2'!I166</f>
        <v>4.3472909762969785</v>
      </c>
      <c r="J169" s="316">
        <f>'T 6.1'!J166+'T 6.2'!J166</f>
        <v>3.95294473785387</v>
      </c>
    </row>
    <row r="170" spans="1:12" s="8" customFormat="1" ht="14.25" customHeight="1" x14ac:dyDescent="0.2">
      <c r="A170" s="772" t="s">
        <v>719</v>
      </c>
      <c r="B170" s="773">
        <f>'T 6.1'!B167+'T 6.2'!B167</f>
        <v>63.354103932847757</v>
      </c>
      <c r="C170" s="773">
        <f>'T 6.1'!C167+'T 6.2'!C167</f>
        <v>68.626081609176126</v>
      </c>
      <c r="D170" s="773">
        <f>'T 6.1'!D167+'T 6.2'!D167</f>
        <v>73.092062841088307</v>
      </c>
      <c r="E170" s="773">
        <f>'T 6.1'!E167+'T 6.2'!E167</f>
        <v>75.342144235799481</v>
      </c>
      <c r="F170" s="773">
        <f>'T 6.1'!F167+'T 6.2'!F167</f>
        <v>73.319915185956916</v>
      </c>
      <c r="G170" s="773">
        <f>'T 6.1'!G167+'T 6.2'!G167</f>
        <v>56.586654236807455</v>
      </c>
      <c r="H170" s="774">
        <f>'T 6.1'!H167+'T 6.2'!H167</f>
        <v>66.90139504417175</v>
      </c>
      <c r="I170" s="774">
        <f>'T 6.1'!I167+'T 6.2'!I167</f>
        <v>68.953434611077341</v>
      </c>
      <c r="J170" s="774">
        <f>'T 6.1'!J167+'T 6.2'!J167</f>
        <v>68.407733878530621</v>
      </c>
    </row>
    <row r="171" spans="1:12" s="8" customFormat="1" ht="14.25" customHeight="1" x14ac:dyDescent="0.2">
      <c r="A171" s="782" t="s">
        <v>530</v>
      </c>
      <c r="B171" s="783">
        <f>'T 6.1'!B168+'T 6.2'!B168</f>
        <v>6.8429892917642769</v>
      </c>
      <c r="C171" s="783">
        <f>'T 6.1'!C168+'T 6.2'!C168</f>
        <v>10.959482200985692</v>
      </c>
      <c r="D171" s="783">
        <f>'T 6.1'!D168+'T 6.2'!D168</f>
        <v>9.7818032985673966</v>
      </c>
      <c r="E171" s="783">
        <f>'T 6.1'!E168+'T 6.2'!E168</f>
        <v>12.994711401378687</v>
      </c>
      <c r="F171" s="783">
        <f>'T 6.1'!F168+'T 6.2'!F168</f>
        <v>12.929486327590453</v>
      </c>
      <c r="G171" s="783">
        <f>'T 6.1'!G168+'T 6.2'!G168</f>
        <v>14.233546805812779</v>
      </c>
      <c r="H171" s="385">
        <f>'T 6.1'!H168+'T 6.2'!H168</f>
        <v>9.6128035063189721</v>
      </c>
      <c r="I171" s="385">
        <f>'T 6.1'!I168+'T 6.2'!I168</f>
        <v>12.656955660769716</v>
      </c>
      <c r="J171" s="385">
        <f>'T 6.1'!J168+'T 6.2'!J168</f>
        <v>11.84742153313471</v>
      </c>
    </row>
    <row r="172" spans="1:12" s="68" customFormat="1" ht="14.25" customHeight="1" x14ac:dyDescent="0.2">
      <c r="A172" s="775" t="s">
        <v>720</v>
      </c>
      <c r="B172" s="776">
        <f>'T 6.1'!B169+'T 6.2'!B169</f>
        <v>206.47587385998776</v>
      </c>
      <c r="C172" s="776">
        <f>'T 6.1'!C169+'T 6.2'!C169</f>
        <v>258.36164643628717</v>
      </c>
      <c r="D172" s="776">
        <f>'T 6.1'!D169+'T 6.2'!D169</f>
        <v>319.75792683634387</v>
      </c>
      <c r="E172" s="776">
        <f>'T 6.1'!E169+'T 6.2'!E169</f>
        <v>350.92775933935968</v>
      </c>
      <c r="F172" s="776">
        <f>'T 6.1'!F169+'T 6.2'!F169</f>
        <v>399.90836143466532</v>
      </c>
      <c r="G172" s="776">
        <f>'T 6.1'!G169+'T 6.2'!G169</f>
        <v>373.23606319135604</v>
      </c>
      <c r="H172" s="777">
        <f>'T 6.1'!H169+'T 6.2'!H169</f>
        <v>241.38761878077958</v>
      </c>
      <c r="I172" s="777">
        <f>'T 6.1'!I169+'T 6.2'!I169</f>
        <v>359.39355908659934</v>
      </c>
      <c r="J172" s="777">
        <f>'T 6.1'!J169+'T 6.2'!J169</f>
        <v>328.01213296387749</v>
      </c>
    </row>
    <row r="173" spans="1:12" ht="14.25" customHeight="1" x14ac:dyDescent="0.2">
      <c r="A173" s="782" t="s">
        <v>721</v>
      </c>
      <c r="B173" s="783">
        <f>'T 6.1'!B170+'T 6.2'!B170</f>
        <v>11.403838941209237</v>
      </c>
      <c r="C173" s="783">
        <f>'T 6.1'!C170+'T 6.2'!C170</f>
        <v>17.392770724619094</v>
      </c>
      <c r="D173" s="783">
        <f>'T 6.1'!D170+'T 6.2'!D170</f>
        <v>34.260089408404788</v>
      </c>
      <c r="E173" s="783">
        <f>'T 6.1'!E170+'T 6.2'!E170</f>
        <v>42.677714929807827</v>
      </c>
      <c r="F173" s="783">
        <f>'T 6.1'!F170+'T 6.2'!F170</f>
        <v>43.10925042793265</v>
      </c>
      <c r="G173" s="783">
        <f>'T 6.1'!G170+'T 6.2'!G170</f>
        <v>47.320587579645675</v>
      </c>
      <c r="H173" s="385">
        <f>'T 6.1'!H170+'T 6.2'!H170</f>
        <v>15.433538189938048</v>
      </c>
      <c r="I173" s="385">
        <f>'T 6.1'!I170+'T 6.2'!I170</f>
        <v>42.311803698299997</v>
      </c>
      <c r="J173" s="385">
        <f>'T 6.1'!J170+'T 6.2'!J170</f>
        <v>35.164042312969421</v>
      </c>
    </row>
    <row r="174" spans="1:12" s="8" customFormat="1" ht="14.25" customHeight="1" x14ac:dyDescent="0.2">
      <c r="A174" s="772" t="s">
        <v>531</v>
      </c>
      <c r="B174" s="773">
        <f>'T 6.1'!B171+'T 6.2'!B171</f>
        <v>57.952303699184597</v>
      </c>
      <c r="C174" s="773">
        <f>'T 6.1'!C171+'T 6.2'!C171</f>
        <v>86.268288885087671</v>
      </c>
      <c r="D174" s="773">
        <f>'T 6.1'!D171+'T 6.2'!D171</f>
        <v>109.47226877559403</v>
      </c>
      <c r="E174" s="773">
        <f>'T 6.1'!E171+'T 6.2'!E171</f>
        <v>118.28645236228272</v>
      </c>
      <c r="F174" s="773">
        <f>'T 6.1'!F171+'T 6.2'!F171</f>
        <v>133.51518241626727</v>
      </c>
      <c r="G174" s="773">
        <f>'T 6.1'!G171+'T 6.2'!G171</f>
        <v>175.60127645200404</v>
      </c>
      <c r="H174" s="774">
        <f>'T 6.1'!H171+'T 6.2'!H171</f>
        <v>77.004934177751039</v>
      </c>
      <c r="I174" s="774">
        <f>'T 6.1'!I171+'T 6.2'!I171</f>
        <v>136.01267657589307</v>
      </c>
      <c r="J174" s="774">
        <f>'T 6.1'!J171+'T 6.2'!J171</f>
        <v>120.32069442705395</v>
      </c>
    </row>
    <row r="175" spans="1:12" s="8" customFormat="1" ht="14.25" customHeight="1" x14ac:dyDescent="0.2">
      <c r="A175" s="770" t="s">
        <v>722</v>
      </c>
      <c r="B175" s="771">
        <f>'T 6.1'!B172+'T 6.2'!B172</f>
        <v>24.934475587503723</v>
      </c>
      <c r="C175" s="771">
        <f>'T 6.1'!C172+'T 6.2'!C172</f>
        <v>46.427158259992197</v>
      </c>
      <c r="D175" s="771">
        <f>'T 6.1'!D172+'T 6.2'!D172</f>
        <v>68.455856579111284</v>
      </c>
      <c r="E175" s="771">
        <f>'T 6.1'!E172+'T 6.2'!E172</f>
        <v>71.40329085162557</v>
      </c>
      <c r="F175" s="771">
        <f>'T 6.1'!F172+'T 6.2'!F172</f>
        <v>76.218640899423889</v>
      </c>
      <c r="G175" s="771">
        <f>'T 6.1'!G172+'T 6.2'!G172</f>
        <v>95.496866762758728</v>
      </c>
      <c r="H175" s="316">
        <f>'T 6.1'!H172+'T 6.2'!H172</f>
        <v>39.395993993576113</v>
      </c>
      <c r="I175" s="316">
        <f>'T 6.1'!I172+'T 6.2'!I172</f>
        <v>78.740198340069171</v>
      </c>
      <c r="J175" s="316">
        <f>'T 6.1'!J172+'T 6.2'!J172</f>
        <v>68.277358597790084</v>
      </c>
    </row>
    <row r="176" spans="1:12" s="68" customFormat="1" ht="14.25" customHeight="1" x14ac:dyDescent="0.2">
      <c r="A176" s="772" t="s">
        <v>820</v>
      </c>
      <c r="B176" s="773">
        <f>'T 6.1'!B173+'T 6.2'!B173</f>
        <v>33.017828111680871</v>
      </c>
      <c r="C176" s="773">
        <f>'T 6.1'!C173+'T 6.2'!C173</f>
        <v>39.841130624860995</v>
      </c>
      <c r="D176" s="773">
        <f>'T 6.1'!D173+'T 6.2'!D173</f>
        <v>41.016412196217715</v>
      </c>
      <c r="E176" s="773">
        <f>'T 6.1'!E173+'T 6.2'!E173</f>
        <v>46.883161510657146</v>
      </c>
      <c r="F176" s="773">
        <f>'T 6.1'!F173+'T 6.2'!F173</f>
        <v>57.296541516517365</v>
      </c>
      <c r="G176" s="773">
        <f>'T 6.1'!G173+'T 6.2'!G173</f>
        <v>80.104409688955514</v>
      </c>
      <c r="H176" s="774">
        <f>'T 6.1'!H173+'T 6.2'!H173</f>
        <v>37.608940184017143</v>
      </c>
      <c r="I176" s="774">
        <f>'T 6.1'!I173+'T 6.2'!I173</f>
        <v>57.272478235623829</v>
      </c>
      <c r="J176" s="774">
        <f>'T 6.1'!J173+'T 6.2'!J173</f>
        <v>52.043335829075062</v>
      </c>
    </row>
    <row r="177" spans="1:10" s="68" customFormat="1" ht="14.25" customHeight="1" x14ac:dyDescent="0.2">
      <c r="A177" s="770" t="s">
        <v>532</v>
      </c>
      <c r="B177" s="771">
        <f>'T 6.1'!B174+'T 6.2'!B174</f>
        <v>85.919943375624996</v>
      </c>
      <c r="C177" s="771">
        <f>'T 6.1'!C174+'T 6.2'!C174</f>
        <v>93.619682250742812</v>
      </c>
      <c r="D177" s="771">
        <f>'T 6.1'!D174+'T 6.2'!D174</f>
        <v>107.2860615158302</v>
      </c>
      <c r="E177" s="771">
        <f>'T 6.1'!E174+'T 6.2'!E174</f>
        <v>105.06035804416965</v>
      </c>
      <c r="F177" s="771">
        <f>'T 6.1'!F174+'T 6.2'!F174</f>
        <v>121.08011428365108</v>
      </c>
      <c r="G177" s="771">
        <f>'T 6.1'!G174+'T 6.2'!G174</f>
        <v>101.16391613909241</v>
      </c>
      <c r="H177" s="316">
        <f>'T 6.1'!H174+'T 6.2'!H174</f>
        <v>91.100772458771502</v>
      </c>
      <c r="I177" s="316">
        <f>'T 6.1'!I174+'T 6.2'!I174</f>
        <v>107.19609687617624</v>
      </c>
      <c r="J177" s="316">
        <f>'T 6.1'!J174+'T 6.2'!J174</f>
        <v>102.91585273916887</v>
      </c>
    </row>
    <row r="178" spans="1:10" s="8" customFormat="1" ht="14.25" customHeight="1" x14ac:dyDescent="0.2">
      <c r="A178" s="772" t="s">
        <v>533</v>
      </c>
      <c r="B178" s="773">
        <f>'T 6.1'!B175+'T 6.2'!B175</f>
        <v>51.199787843727812</v>
      </c>
      <c r="C178" s="773">
        <f>'T 6.1'!C175+'T 6.2'!C175</f>
        <v>61.080904575720339</v>
      </c>
      <c r="D178" s="773">
        <f>'T 6.1'!D175+'T 6.2'!D175</f>
        <v>68.739507136382315</v>
      </c>
      <c r="E178" s="773">
        <f>'T 6.1'!E175+'T 6.2'!E175</f>
        <v>84.90323400273445</v>
      </c>
      <c r="F178" s="773">
        <f>'T 6.1'!F175+'T 6.2'!F175</f>
        <v>102.2038143064883</v>
      </c>
      <c r="G178" s="773">
        <f>'T 6.1'!G175+'T 6.2'!G175</f>
        <v>49.150283020324139</v>
      </c>
      <c r="H178" s="774">
        <f>'T 6.1'!H175+'T 6.2'!H175</f>
        <v>57.848373954161218</v>
      </c>
      <c r="I178" s="774">
        <f>'T 6.1'!I175+'T 6.2'!I175</f>
        <v>73.872981935944281</v>
      </c>
      <c r="J178" s="774">
        <f>'T 6.1'!J175+'T 6.2'!J175</f>
        <v>69.611543484433525</v>
      </c>
    </row>
    <row r="179" spans="1:10" ht="14.25" customHeight="1" x14ac:dyDescent="0.2">
      <c r="A179" s="779" t="s">
        <v>724</v>
      </c>
      <c r="B179" s="780">
        <f>'T 6.1'!B176+'T 6.2'!B176</f>
        <v>57.426865884333118</v>
      </c>
      <c r="C179" s="780">
        <f>'T 6.1'!C176+'T 6.2'!C176</f>
        <v>93.352233380343094</v>
      </c>
      <c r="D179" s="780">
        <f>'T 6.1'!D176+'T 6.2'!D176</f>
        <v>130.08741736220628</v>
      </c>
      <c r="E179" s="780">
        <f>'T 6.1'!E176+'T 6.2'!E176</f>
        <v>172.59856930023003</v>
      </c>
      <c r="F179" s="780">
        <f>'T 6.1'!F176+'T 6.2'!F176</f>
        <v>195.0746157473674</v>
      </c>
      <c r="G179" s="780">
        <f>'T 6.1'!G176+'T 6.2'!G176</f>
        <v>399.93550700787273</v>
      </c>
      <c r="H179" s="781">
        <f>'T 6.1'!H176+'T 6.2'!H176</f>
        <v>81.599528329747159</v>
      </c>
      <c r="I179" s="781">
        <f>'T 6.1'!I176+'T 6.2'!I176</f>
        <v>234.63127592458429</v>
      </c>
      <c r="J179" s="781">
        <f>'T 6.1'!J176+'T 6.2'!J176</f>
        <v>193.93540528338784</v>
      </c>
    </row>
    <row r="180" spans="1:10" s="8" customFormat="1" ht="14.25" customHeight="1" x14ac:dyDescent="0.2">
      <c r="A180" s="772" t="s">
        <v>725</v>
      </c>
      <c r="B180" s="773">
        <f>'T 6.1'!B177+'T 6.2'!B177</f>
        <v>0.76984232679325637</v>
      </c>
      <c r="C180" s="773">
        <f>'T 6.1'!C177+'T 6.2'!C177</f>
        <v>1.031160608213934</v>
      </c>
      <c r="D180" s="773">
        <f>'T 6.1'!D177+'T 6.2'!D177</f>
        <v>0.39289193447923987</v>
      </c>
      <c r="E180" s="773">
        <f>'T 6.1'!E177+'T 6.2'!E177</f>
        <v>0.59217757725117237</v>
      </c>
      <c r="F180" s="773">
        <f>'T 6.1'!F177+'T 6.2'!F177</f>
        <v>0.29251461866192252</v>
      </c>
      <c r="G180" s="773">
        <f>'T 6.1'!G177+'T 6.2'!G177</f>
        <v>58.076293945726135</v>
      </c>
      <c r="H180" s="774">
        <f>'T 6.1'!H177+'T 6.2'!H177</f>
        <v>0.94567236133081012</v>
      </c>
      <c r="I180" s="774">
        <f>'T 6.1'!I177+'T 6.2'!I177</f>
        <v>17.503796986165206</v>
      </c>
      <c r="J180" s="774">
        <f>'T 6.1'!J177+'T 6.2'!J177</f>
        <v>13.100479972645031</v>
      </c>
    </row>
    <row r="181" spans="1:10" s="68" customFormat="1" ht="14.25" customHeight="1" x14ac:dyDescent="0.2">
      <c r="A181" s="782" t="s">
        <v>534</v>
      </c>
      <c r="B181" s="783">
        <f>'T 6.1'!B178+'T 6.2'!B178</f>
        <v>7.0137374334909977</v>
      </c>
      <c r="C181" s="783">
        <f>'T 6.1'!C178+'T 6.2'!C178</f>
        <v>6.5949331602698562</v>
      </c>
      <c r="D181" s="783">
        <f>'T 6.1'!D178+'T 6.2'!D178</f>
        <v>6.1478575040089058</v>
      </c>
      <c r="E181" s="783">
        <f>'T 6.1'!E178+'T 6.2'!E178</f>
        <v>14.252023726899747</v>
      </c>
      <c r="F181" s="783">
        <f>'T 6.1'!F178+'T 6.2'!F178</f>
        <v>19.741780078885334</v>
      </c>
      <c r="G181" s="783">
        <f>'T 6.1'!G178+'T 6.2'!G178</f>
        <v>23.522346855578196</v>
      </c>
      <c r="H181" s="385">
        <f>'T 6.1'!H178+'T 6.2'!H178</f>
        <v>6.7319417266441306</v>
      </c>
      <c r="I181" s="385">
        <f>'T 6.1'!I178+'T 6.2'!I178</f>
        <v>16.209580227099003</v>
      </c>
      <c r="J181" s="385">
        <f>'T 6.1'!J178+'T 6.2'!J178</f>
        <v>13.68918327378376</v>
      </c>
    </row>
    <row r="182" spans="1:10" ht="14.25" customHeight="1" x14ac:dyDescent="0.2">
      <c r="A182" s="784" t="s">
        <v>726</v>
      </c>
      <c r="B182" s="773">
        <f>'T 6.1'!B179+'T 6.2'!B179</f>
        <v>49.643286123807727</v>
      </c>
      <c r="C182" s="773">
        <f>'T 6.1'!C179+'T 6.2'!C179</f>
        <v>85.726139611859324</v>
      </c>
      <c r="D182" s="773">
        <f>'T 6.1'!D179+'T 6.2'!D179</f>
        <v>123.54666792332057</v>
      </c>
      <c r="E182" s="773">
        <f>'T 6.1'!E179+'T 6.2'!E179</f>
        <v>157.75436799580535</v>
      </c>
      <c r="F182" s="773">
        <f>'T 6.1'!F179+'T 6.2'!F179</f>
        <v>175.04032104933114</v>
      </c>
      <c r="G182" s="773">
        <f>'T 6.1'!G179+'T 6.2'!G179</f>
        <v>318.33686620647177</v>
      </c>
      <c r="H182" s="774">
        <f>'T 6.1'!H179+'T 6.2'!H179</f>
        <v>73.921914241693315</v>
      </c>
      <c r="I182" s="774">
        <f>'T 6.1'!I179+'T 6.2'!I179</f>
        <v>200.91789871103427</v>
      </c>
      <c r="J182" s="774">
        <f>'T 6.1'!J179+'T 6.2'!J179</f>
        <v>167.14574203672819</v>
      </c>
    </row>
    <row r="183" spans="1:10" ht="14.25" customHeight="1" x14ac:dyDescent="0.2">
      <c r="A183" s="782" t="s">
        <v>727</v>
      </c>
      <c r="B183" s="771">
        <f>'T 6.1'!B180+'T 6.2'!B180</f>
        <v>9.857967200346275</v>
      </c>
      <c r="C183" s="771">
        <f>'T 6.1'!C180+'T 6.2'!C180</f>
        <v>23.186992690956128</v>
      </c>
      <c r="D183" s="771">
        <f>'T 6.1'!D180+'T 6.2'!D180</f>
        <v>43.294314583140071</v>
      </c>
      <c r="E183" s="771">
        <f>'T 6.1'!E180+'T 6.2'!E180</f>
        <v>50.996450336586427</v>
      </c>
      <c r="F183" s="771">
        <f>'T 6.1'!F180+'T 6.2'!F180</f>
        <v>55.615259223108062</v>
      </c>
      <c r="G183" s="771">
        <f>'T 6.1'!G180+'T 6.2'!G180</f>
        <v>41.456145652128342</v>
      </c>
      <c r="H183" s="316">
        <f>'T 6.1'!H180+'T 6.2'!H180</f>
        <v>18.826505488691293</v>
      </c>
      <c r="I183" s="316">
        <f>'T 6.1'!I180+'T 6.2'!I180</f>
        <v>47.322734585365524</v>
      </c>
      <c r="J183" s="316">
        <f>'T 6.1'!J180+'T 6.2'!J180</f>
        <v>39.744706683923198</v>
      </c>
    </row>
    <row r="184" spans="1:10" ht="14.25" customHeight="1" x14ac:dyDescent="0.2">
      <c r="A184" s="784" t="s">
        <v>821</v>
      </c>
      <c r="B184" s="785">
        <f>'T 6.1'!B181+'T 6.2'!B181</f>
        <v>33.921934680413166</v>
      </c>
      <c r="C184" s="785">
        <f>'T 6.1'!C181+'T 6.2'!C181</f>
        <v>53.758310687240282</v>
      </c>
      <c r="D184" s="785">
        <f>'T 6.1'!D181+'T 6.2'!D181</f>
        <v>65.712479344394822</v>
      </c>
      <c r="E184" s="785">
        <f>'T 6.1'!E181+'T 6.2'!E181</f>
        <v>91.07734221054119</v>
      </c>
      <c r="F184" s="785">
        <f>'T 6.1'!F181+'T 6.2'!F181</f>
        <v>96.959739936267738</v>
      </c>
      <c r="G184" s="785">
        <f>'T 6.1'!G181+'T 6.2'!G181</f>
        <v>161.98386628587235</v>
      </c>
      <c r="H184" s="786">
        <f>'T 6.1'!H181+'T 6.2'!H181</f>
        <v>47.268994286876392</v>
      </c>
      <c r="I184" s="786">
        <f>'T 6.1'!I181+'T 6.2'!I181</f>
        <v>107.61715307473351</v>
      </c>
      <c r="J184" s="786">
        <f>'T 6.1'!J181+'T 6.2'!J181</f>
        <v>91.568712786596365</v>
      </c>
    </row>
    <row r="185" spans="1:10" s="8" customFormat="1" ht="14.25" customHeight="1" x14ac:dyDescent="0.2">
      <c r="A185" s="782" t="s">
        <v>822</v>
      </c>
      <c r="B185" s="783">
        <f>'T 6.1'!B182+'T 6.2'!B182</f>
        <v>3.0108502877384709</v>
      </c>
      <c r="C185" s="783">
        <f>'T 6.1'!C182+'T 6.2'!C182</f>
        <v>4.5804828020807475</v>
      </c>
      <c r="D185" s="783">
        <f>'T 6.1'!D182+'T 6.2'!D182</f>
        <v>7.0545911910094485</v>
      </c>
      <c r="E185" s="783">
        <f>'T 6.1'!E182+'T 6.2'!E182</f>
        <v>6.8330696894641072</v>
      </c>
      <c r="F185" s="783">
        <f>'T 6.1'!F182+'T 6.2'!F182</f>
        <v>10.543309772219693</v>
      </c>
      <c r="G185" s="783">
        <f>'T 6.1'!G182+'T 6.2'!G182</f>
        <v>15.323725730545579</v>
      </c>
      <c r="H185" s="385">
        <f>'T 6.1'!H182+'T 6.2'!H182</f>
        <v>4.0669897116916536</v>
      </c>
      <c r="I185" s="385">
        <f>'T 6.1'!I182+'T 6.2'!I182</f>
        <v>10.043344340839237</v>
      </c>
      <c r="J185" s="385">
        <f>'T 6.1'!J182+'T 6.2'!J182</f>
        <v>8.4540469648618668</v>
      </c>
    </row>
    <row r="186" spans="1:10" ht="14.25" customHeight="1" x14ac:dyDescent="0.2">
      <c r="A186" s="784" t="s">
        <v>823</v>
      </c>
      <c r="B186" s="785">
        <f>'T 6.1'!B183+'T 6.2'!B183</f>
        <v>4.1122374152850444E-2</v>
      </c>
      <c r="C186" s="785">
        <f>'T 6.1'!C183+'T 6.2'!C183</f>
        <v>0.1150433855333643</v>
      </c>
      <c r="D186" s="785">
        <f>'T 6.1'!D183+'T 6.2'!D183</f>
        <v>7.901247863021324E-2</v>
      </c>
      <c r="E186" s="785">
        <f>'T 6.1'!E183+'T 6.2'!E183</f>
        <v>0.37925847762430964</v>
      </c>
      <c r="F186" s="785">
        <f>'T 6.1'!F183+'T 6.2'!F183</f>
        <v>0.78785975969264799</v>
      </c>
      <c r="G186" s="785">
        <f>'T 6.1'!G183+'T 6.2'!G183</f>
        <v>34.577567345348321</v>
      </c>
      <c r="H186" s="786">
        <f>'T 6.1'!H183+'T 6.2'!H183</f>
        <v>9.086070058536995E-2</v>
      </c>
      <c r="I186" s="786">
        <f>'T 6.1'!I183+'T 6.2'!I183</f>
        <v>10.503988680515342</v>
      </c>
      <c r="J186" s="786">
        <f>'T 6.1'!J183+'T 6.2'!J183</f>
        <v>7.7348161663033252</v>
      </c>
    </row>
    <row r="187" spans="1:10" ht="14.25" customHeight="1" x14ac:dyDescent="0.2">
      <c r="A187" s="782" t="s">
        <v>824</v>
      </c>
      <c r="B187" s="783">
        <f>'T 6.1'!B184+'T 6.2'!B184</f>
        <v>2.8114115811569582</v>
      </c>
      <c r="C187" s="783">
        <f>'T 6.1'!C184+'T 6.2'!C184</f>
        <v>4.0853100455798179</v>
      </c>
      <c r="D187" s="783">
        <f>'T 6.1'!D184+'T 6.2'!D184</f>
        <v>7.406270326013491</v>
      </c>
      <c r="E187" s="783">
        <f>'T 6.1'!E184+'T 6.2'!E184</f>
        <v>8.4682472811330456</v>
      </c>
      <c r="F187" s="783">
        <f>'T 6.1'!F184+'T 6.2'!F184</f>
        <v>11.134152357390965</v>
      </c>
      <c r="G187" s="783">
        <f>'T 6.1'!G184+'T 6.2'!G184</f>
        <v>64.995561192480594</v>
      </c>
      <c r="H187" s="385">
        <f>'T 6.1'!H184+'T 6.2'!H184</f>
        <v>3.6685640535330615</v>
      </c>
      <c r="I187" s="385">
        <f>'T 6.1'!I184+'T 6.2'!I184</f>
        <v>25.430678029266314</v>
      </c>
      <c r="J187" s="385">
        <f>'T 6.1'!J184+'T 6.2'!J184</f>
        <v>19.643459434728786</v>
      </c>
    </row>
    <row r="188" spans="1:10" s="8" customFormat="1" ht="14.25" customHeight="1" x14ac:dyDescent="0.2">
      <c r="A188" s="790" t="s">
        <v>732</v>
      </c>
      <c r="B188" s="791">
        <f>'T 6.1'!B185+'T 6.2'!B185</f>
        <v>175.96878318131559</v>
      </c>
      <c r="C188" s="791">
        <f>'T 6.1'!C185+'T 6.2'!C185</f>
        <v>185.05535984619377</v>
      </c>
      <c r="D188" s="791">
        <f>'T 6.1'!D185+'T 6.2'!D185</f>
        <v>183.83584071855495</v>
      </c>
      <c r="E188" s="791">
        <f>'T 6.1'!E185+'T 6.2'!E185</f>
        <v>199.84830413102793</v>
      </c>
      <c r="F188" s="791">
        <f>'T 6.1'!F185+'T 6.2'!F185</f>
        <v>199.79490037274681</v>
      </c>
      <c r="G188" s="791">
        <f>'T 6.1'!G185+'T 6.2'!G185</f>
        <v>234.28523003686715</v>
      </c>
      <c r="H188" s="792">
        <f>'T 6.1'!H185+'T 6.2'!H185</f>
        <v>182.08275683875615</v>
      </c>
      <c r="I188" s="792">
        <f>'T 6.1'!I185+'T 6.2'!I185</f>
        <v>206.57440959428692</v>
      </c>
      <c r="J188" s="792">
        <f>'T 6.1'!J185+'T 6.2'!J185</f>
        <v>200.06132229055277</v>
      </c>
    </row>
    <row r="189" spans="1:10" s="8" customFormat="1" ht="14.25" customHeight="1" x14ac:dyDescent="0.2">
      <c r="A189" s="782" t="s">
        <v>733</v>
      </c>
      <c r="B189" s="783">
        <f>'T 6.1'!B186+'T 6.2'!B186</f>
        <v>7.2623544904201713</v>
      </c>
      <c r="C189" s="783">
        <f>'T 6.1'!C186+'T 6.2'!C186</f>
        <v>8.3214338536922661</v>
      </c>
      <c r="D189" s="783">
        <f>'T 6.1'!D186+'T 6.2'!D186</f>
        <v>4.2175983261990266</v>
      </c>
      <c r="E189" s="783">
        <f>'T 6.1'!E186+'T 6.2'!E186</f>
        <v>6.0592536442047287</v>
      </c>
      <c r="F189" s="783">
        <f>'T 6.1'!F186+'T 6.2'!F186</f>
        <v>2.5233690219629987</v>
      </c>
      <c r="G189" s="783">
        <f>'T 6.1'!G186+'T 6.2'!G186</f>
        <v>5.6197138391033485</v>
      </c>
      <c r="H189" s="385">
        <f>'T 6.1'!H186+'T 6.2'!H186</f>
        <v>7.9749642627244839</v>
      </c>
      <c r="I189" s="385">
        <f>'T 6.1'!I186+'T 6.2'!I186</f>
        <v>4.9121635176674339</v>
      </c>
      <c r="J189" s="385">
        <f>'T 6.1'!J186+'T 6.2'!J186</f>
        <v>5.7266568818195855</v>
      </c>
    </row>
    <row r="190" spans="1:10" s="68" customFormat="1" ht="14.25" customHeight="1" x14ac:dyDescent="0.2">
      <c r="A190" s="784" t="s">
        <v>734</v>
      </c>
      <c r="B190" s="785">
        <f>'T 6.1'!B187+'T 6.2'!B187</f>
        <v>153.33086977896042</v>
      </c>
      <c r="C190" s="785">
        <f>'T 6.1'!C187+'T 6.2'!C187</f>
        <v>166.19226284197322</v>
      </c>
      <c r="D190" s="785">
        <f>'T 6.1'!D187+'T 6.2'!D187</f>
        <v>172.38827433107599</v>
      </c>
      <c r="E190" s="785">
        <f>'T 6.1'!E187+'T 6.2'!E187</f>
        <v>185.63858346696384</v>
      </c>
      <c r="F190" s="785">
        <f>'T 6.1'!F187+'T 6.2'!F187</f>
        <v>188.36293686744335</v>
      </c>
      <c r="G190" s="785">
        <f>'T 6.1'!G187+'T 6.2'!G187</f>
        <v>192.75699976054256</v>
      </c>
      <c r="H190" s="786">
        <f>'T 6.1'!H187+'T 6.2'!H187</f>
        <v>161.98475795768334</v>
      </c>
      <c r="I190" s="786">
        <f>'T 6.1'!I187+'T 6.2'!I187</f>
        <v>185.36492475732604</v>
      </c>
      <c r="J190" s="786">
        <f>'T 6.1'!J187+'T 6.2'!J187</f>
        <v>179.14741591617394</v>
      </c>
    </row>
    <row r="191" spans="1:10" s="68" customFormat="1" ht="14.25" customHeight="1" x14ac:dyDescent="0.2">
      <c r="A191" s="782" t="s">
        <v>735</v>
      </c>
      <c r="B191" s="783">
        <f>'T 6.1'!B188+'T 6.2'!B188</f>
        <v>40.121058361295347</v>
      </c>
      <c r="C191" s="783">
        <f>'T 6.1'!C188+'T 6.2'!C188</f>
        <v>51.784706379662055</v>
      </c>
      <c r="D191" s="783">
        <f>'T 6.1'!D188+'T 6.2'!D188</f>
        <v>59.172973310494719</v>
      </c>
      <c r="E191" s="783">
        <f>'T 6.1'!E188+'T 6.2'!E188</f>
        <v>63.293332006138328</v>
      </c>
      <c r="F191" s="783">
        <f>'T 6.1'!F188+'T 6.2'!F188</f>
        <v>64.63497329710026</v>
      </c>
      <c r="G191" s="783">
        <f>'T 6.1'!G188+'T 6.2'!G188</f>
        <v>65.269048756004665</v>
      </c>
      <c r="H191" s="385">
        <f>'T 6.1'!H188+'T 6.2'!H188</f>
        <v>47.969034487396613</v>
      </c>
      <c r="I191" s="385">
        <f>'T 6.1'!I188+'T 6.2'!I188</f>
        <v>63.22455456184052</v>
      </c>
      <c r="J191" s="385">
        <f>'T 6.1'!J188+'T 6.2'!J188</f>
        <v>59.167640351088266</v>
      </c>
    </row>
    <row r="192" spans="1:10" s="8" customFormat="1" ht="14.25" customHeight="1" x14ac:dyDescent="0.2">
      <c r="A192" s="784" t="s">
        <v>825</v>
      </c>
      <c r="B192" s="785">
        <f>'T 6.1'!B189+'T 6.2'!B189</f>
        <v>19.434525199572221</v>
      </c>
      <c r="C192" s="785">
        <f>'T 6.1'!C189+'T 6.2'!C189</f>
        <v>23.149079904607959</v>
      </c>
      <c r="D192" s="785">
        <f>'T 6.1'!D189+'T 6.2'!D189</f>
        <v>25.96113600037107</v>
      </c>
      <c r="E192" s="785">
        <f>'T 6.1'!E189+'T 6.2'!E189</f>
        <v>26.340037108412758</v>
      </c>
      <c r="F192" s="785">
        <f>'T 6.1'!F189+'T 6.2'!F189</f>
        <v>25.28480830508024</v>
      </c>
      <c r="G192" s="785">
        <f>'T 6.1'!G189+'T 6.2'!G189</f>
        <v>19.410822262315325</v>
      </c>
      <c r="H192" s="786">
        <f>'T 6.1'!H189+'T 6.2'!H189</f>
        <v>21.93389217277927</v>
      </c>
      <c r="I192" s="786">
        <f>'T 6.1'!I189+'T 6.2'!I189</f>
        <v>24.023264682175046</v>
      </c>
      <c r="J192" s="786">
        <f>'T 6.1'!J189+'T 6.2'!J189</f>
        <v>23.467635966565247</v>
      </c>
    </row>
    <row r="193" spans="1:10" s="68" customFormat="1" ht="14.25" customHeight="1" x14ac:dyDescent="0.2">
      <c r="A193" s="770" t="s">
        <v>826</v>
      </c>
      <c r="B193" s="771">
        <f>'T 6.1'!B190+'T 6.2'!B190</f>
        <v>93.775286217851715</v>
      </c>
      <c r="C193" s="771">
        <f>'T 6.1'!C190+'T 6.2'!C190</f>
        <v>91.258476557351457</v>
      </c>
      <c r="D193" s="771">
        <f>'T 6.1'!D190+'T 6.2'!D190</f>
        <v>87.254165019680073</v>
      </c>
      <c r="E193" s="771">
        <f>'T 6.1'!E190+'T 6.2'!E190</f>
        <v>96.005214352321502</v>
      </c>
      <c r="F193" s="771">
        <f>'T 6.1'!F190+'T 6.2'!F190</f>
        <v>98.443155264936806</v>
      </c>
      <c r="G193" s="771">
        <f>'T 6.1'!G190+'T 6.2'!G190</f>
        <v>108.07712874212599</v>
      </c>
      <c r="H193" s="316">
        <f>'T 6.1'!H190+'T 6.2'!H190</f>
        <v>92.081831297191926</v>
      </c>
      <c r="I193" s="316">
        <f>'T 6.1'!I190+'T 6.2'!I190</f>
        <v>98.117105513081839</v>
      </c>
      <c r="J193" s="316">
        <f>'T 6.1'!J190+'T 6.2'!J190</f>
        <v>96.512139598268675</v>
      </c>
    </row>
    <row r="194" spans="1:10" ht="14.25" customHeight="1" x14ac:dyDescent="0.2">
      <c r="A194" s="772" t="s">
        <v>738</v>
      </c>
      <c r="B194" s="773">
        <f>'T 6.1'!B191+'T 6.2'!B191</f>
        <v>15.375558911935029</v>
      </c>
      <c r="C194" s="773">
        <f>'T 6.1'!C191+'T 6.2'!C191</f>
        <v>10.541663150176571</v>
      </c>
      <c r="D194" s="773">
        <f>'T 6.1'!D191+'T 6.2'!D191</f>
        <v>7.2299680611474084</v>
      </c>
      <c r="E194" s="773">
        <f>'T 6.1'!E191+'T 6.2'!E191</f>
        <v>8.1504670195856246</v>
      </c>
      <c r="F194" s="773">
        <f>'T 6.1'!F191+'T 6.2'!F191</f>
        <v>8.9085944833404973</v>
      </c>
      <c r="G194" s="773">
        <f>'T 6.1'!G191+'T 6.2'!G191</f>
        <v>35.908516437028055</v>
      </c>
      <c r="H194" s="774">
        <f>'T 6.1'!H191+'T 6.2'!H191</f>
        <v>12.123034618111664</v>
      </c>
      <c r="I194" s="774">
        <f>'T 6.1'!I191+'T 6.2'!I191</f>
        <v>16.297321319121998</v>
      </c>
      <c r="J194" s="774">
        <f>'T 6.1'!J191+'T 6.2'!J191</f>
        <v>15.187249492370446</v>
      </c>
    </row>
    <row r="195" spans="1:10" s="8" customFormat="1" ht="14.25" customHeight="1" x14ac:dyDescent="0.2">
      <c r="A195" s="779" t="s">
        <v>739</v>
      </c>
      <c r="B195" s="780">
        <f>'T 6.1'!B192+'T 6.2'!B192</f>
        <v>24.682629062489827</v>
      </c>
      <c r="C195" s="780">
        <f>'T 6.1'!C192+'T 6.2'!C192</f>
        <v>26.356258934093272</v>
      </c>
      <c r="D195" s="780">
        <f>'T 6.1'!D192+'T 6.2'!D192</f>
        <v>32.769663812369963</v>
      </c>
      <c r="E195" s="780">
        <f>'T 6.1'!E192+'T 6.2'!E192</f>
        <v>39.624183898164574</v>
      </c>
      <c r="F195" s="780">
        <f>'T 6.1'!F192+'T 6.2'!F192</f>
        <v>53.145784089332743</v>
      </c>
      <c r="G195" s="780">
        <f>'T 6.1'!G192+'T 6.2'!G192</f>
        <v>116.27927397928494</v>
      </c>
      <c r="H195" s="781">
        <f>'T 6.1'!H192+'T 6.2'!H192</f>
        <v>25.808743915715059</v>
      </c>
      <c r="I195" s="781">
        <f>'T 6.1'!I192+'T 6.2'!I192</f>
        <v>63.19567255725422</v>
      </c>
      <c r="J195" s="781">
        <f>'T 6.1'!J192+'T 6.2'!J192</f>
        <v>53.253332908255445</v>
      </c>
    </row>
    <row r="196" spans="1:10" ht="14.25" customHeight="1" x14ac:dyDescent="0.2">
      <c r="A196" s="772" t="s">
        <v>740</v>
      </c>
      <c r="B196" s="773">
        <f>'T 6.1'!B193+'T 6.2'!B193</f>
        <v>4.004260793176746</v>
      </c>
      <c r="C196" s="773">
        <f>'T 6.1'!C193+'T 6.2'!C193</f>
        <v>4.1392466473445539</v>
      </c>
      <c r="D196" s="773">
        <f>'T 6.1'!D193+'T 6.2'!D193</f>
        <v>4.0460635193553944</v>
      </c>
      <c r="E196" s="773">
        <f>'T 6.1'!E193+'T 6.2'!E193</f>
        <v>5.3890491362981798</v>
      </c>
      <c r="F196" s="773">
        <f>'T 6.1'!F193+'T 6.2'!F193</f>
        <v>4.7859857379146611</v>
      </c>
      <c r="G196" s="773">
        <f>'T 6.1'!G193+'T 6.2'!G193</f>
        <v>20.723486447859184</v>
      </c>
      <c r="H196" s="774">
        <f>'T 6.1'!H193+'T 6.2'!H193</f>
        <v>4.0950870731881253</v>
      </c>
      <c r="I196" s="774">
        <f>'T 6.1'!I193+'T 6.2'!I193</f>
        <v>9.5305300952663075</v>
      </c>
      <c r="J196" s="774">
        <f>'T 6.1'!J193+'T 6.2'!J193</f>
        <v>8.0850778307484159</v>
      </c>
    </row>
    <row r="197" spans="1:10" ht="14.25" customHeight="1" x14ac:dyDescent="0.2">
      <c r="A197" s="770" t="s">
        <v>741</v>
      </c>
      <c r="B197" s="771">
        <f>'T 6.1'!B194+'T 6.2'!B194</f>
        <v>3.7210017009907173</v>
      </c>
      <c r="C197" s="771">
        <f>'T 6.1'!C194+'T 6.2'!C194</f>
        <v>1.6506133772315228</v>
      </c>
      <c r="D197" s="771">
        <f>'T 6.1'!D194+'T 6.2'!D194</f>
        <v>2.4555728004028783</v>
      </c>
      <c r="E197" s="771">
        <f>'T 6.1'!E194+'T 6.2'!E194</f>
        <v>2.685047787050673</v>
      </c>
      <c r="F197" s="771">
        <f>'T 6.1'!F194+'T 6.2'!F194</f>
        <v>2.5667597399199669</v>
      </c>
      <c r="G197" s="771">
        <f>'T 6.1'!G194+'T 6.2'!G194</f>
        <v>62.040952332420616</v>
      </c>
      <c r="H197" s="316">
        <f>'T 6.1'!H194+'T 6.2'!H194</f>
        <v>2.3279248427869428</v>
      </c>
      <c r="I197" s="316">
        <f>'T 6.1'!I194+'T 6.2'!I194</f>
        <v>20.175738987609602</v>
      </c>
      <c r="J197" s="316">
        <f>'T 6.1'!J194+'T 6.2'!J194</f>
        <v>15.429453677003083</v>
      </c>
    </row>
    <row r="198" spans="1:10" ht="14.25" customHeight="1" x14ac:dyDescent="0.2">
      <c r="A198" s="772" t="s">
        <v>742</v>
      </c>
      <c r="B198" s="773">
        <f>'T 6.1'!B195+'T 6.2'!B195</f>
        <v>7.5756985672758219</v>
      </c>
      <c r="C198" s="773">
        <f>'T 6.1'!C195+'T 6.2'!C195</f>
        <v>9.2776692295959187</v>
      </c>
      <c r="D198" s="773">
        <f>'T 6.1'!D195+'T 6.2'!D195</f>
        <v>17.901831501252367</v>
      </c>
      <c r="E198" s="773">
        <f>'T 6.1'!E195+'T 6.2'!E195</f>
        <v>24.766546666343025</v>
      </c>
      <c r="F198" s="773">
        <f>'T 6.1'!F195+'T 6.2'!F195</f>
        <v>35.7015084583226</v>
      </c>
      <c r="G198" s="773">
        <f>'T 6.1'!G195+'T 6.2'!G195</f>
        <v>25.295180453145406</v>
      </c>
      <c r="H198" s="774">
        <f>'T 6.1'!H195+'T 6.2'!H195</f>
        <v>8.7208827415735737</v>
      </c>
      <c r="I198" s="774">
        <f>'T 6.1'!I195+'T 6.2'!I195</f>
        <v>25.359734294610845</v>
      </c>
      <c r="J198" s="774">
        <f>'T 6.1'!J195+'T 6.2'!J195</f>
        <v>20.934949496274527</v>
      </c>
    </row>
    <row r="199" spans="1:10" s="8" customFormat="1" ht="14.25" customHeight="1" x14ac:dyDescent="0.2">
      <c r="A199" s="770" t="s">
        <v>743</v>
      </c>
      <c r="B199" s="771">
        <f>'T 6.1'!B196+'T 6.2'!B196</f>
        <v>4.6293592249327524</v>
      </c>
      <c r="C199" s="771">
        <f>'T 6.1'!C196+'T 6.2'!C196</f>
        <v>4.9771006091495176</v>
      </c>
      <c r="D199" s="771">
        <f>'T 6.1'!D196+'T 6.2'!D196</f>
        <v>3.6746511349510316</v>
      </c>
      <c r="E199" s="771">
        <f>'T 6.1'!E196+'T 6.2'!E196</f>
        <v>1.4323768610896492</v>
      </c>
      <c r="F199" s="771">
        <f>'T 6.1'!F196+'T 6.2'!F196</f>
        <v>6.7577417070066845</v>
      </c>
      <c r="G199" s="771">
        <f>'T 6.1'!G196+'T 6.2'!G196</f>
        <v>3.4903678120150059</v>
      </c>
      <c r="H199" s="316">
        <f>'T 6.1'!H196+'T 6.2'!H196</f>
        <v>4.863339715178439</v>
      </c>
      <c r="I199" s="316">
        <f>'T 6.1'!I196+'T 6.2'!I196</f>
        <v>3.458419835744472</v>
      </c>
      <c r="J199" s="316">
        <f>'T 6.1'!J196+'T 6.2'!J196</f>
        <v>3.8320314462324054</v>
      </c>
    </row>
    <row r="200" spans="1:10" s="68" customFormat="1" ht="14.25" customHeight="1" x14ac:dyDescent="0.2">
      <c r="A200" s="784" t="s">
        <v>744</v>
      </c>
      <c r="B200" s="785">
        <f>'T 6.1'!B197+'T 6.2'!B197</f>
        <v>4.7523087753903726</v>
      </c>
      <c r="C200" s="785">
        <f>'T 6.1'!C197+'T 6.2'!C197</f>
        <v>6.3116290706545204</v>
      </c>
      <c r="D200" s="785">
        <f>'T 6.1'!D197+'T 6.2'!D197</f>
        <v>4.691544855878182</v>
      </c>
      <c r="E200" s="785">
        <f>'T 6.1'!E197+'T 6.2'!E197</f>
        <v>5.3511634472005394</v>
      </c>
      <c r="F200" s="785">
        <f>'T 6.1'!F197+'T 6.2'!F197</f>
        <v>3.3337884455168094</v>
      </c>
      <c r="G200" s="785">
        <f>'T 6.1'!G197+'T 6.2'!G197</f>
        <v>4.7292869335549597</v>
      </c>
      <c r="H200" s="786">
        <f>'T 6.1'!H197+'T 6.2'!H197</f>
        <v>5.8015095426724299</v>
      </c>
      <c r="I200" s="786">
        <f>'T 6.1'!I197+'T 6.2'!I197</f>
        <v>4.6712493436514757</v>
      </c>
      <c r="J200" s="786">
        <f>'T 6.1'!J197+'T 6.2'!J197</f>
        <v>4.9718204576403853</v>
      </c>
    </row>
    <row r="201" spans="1:10" s="68" customFormat="1" ht="14.25" customHeight="1" x14ac:dyDescent="0.2">
      <c r="A201" s="787" t="s">
        <v>745</v>
      </c>
      <c r="B201" s="788">
        <f>'T 6.1'!B198+'T 6.2'!B198</f>
        <v>108.69112310914289</v>
      </c>
      <c r="C201" s="788">
        <f>'T 6.1'!C198+'T 6.2'!C198</f>
        <v>115.40468913103602</v>
      </c>
      <c r="D201" s="788">
        <f>'T 6.1'!D198+'T 6.2'!D198</f>
        <v>104.04308373497489</v>
      </c>
      <c r="E201" s="788">
        <f>'T 6.1'!E198+'T 6.2'!E198</f>
        <v>95.847409412849203</v>
      </c>
      <c r="F201" s="788">
        <f>'T 6.1'!F198+'T 6.2'!F198</f>
        <v>101.30014993169215</v>
      </c>
      <c r="G201" s="788">
        <f>'T 6.1'!G198+'T 6.2'!G198</f>
        <v>120.5101228544098</v>
      </c>
      <c r="H201" s="789">
        <f>'T 6.1'!H198+'T 6.2'!H198</f>
        <v>113.208398131319</v>
      </c>
      <c r="I201" s="789">
        <f>'T 6.1'!I198+'T 6.2'!I198</f>
        <v>105.86737632482493</v>
      </c>
      <c r="J201" s="789">
        <f>'T 6.1'!J198+'T 6.2'!J198</f>
        <v>107.81958087392442</v>
      </c>
    </row>
    <row r="202" spans="1:10" ht="14.25" customHeight="1" x14ac:dyDescent="0.2">
      <c r="A202" s="784" t="s">
        <v>746</v>
      </c>
      <c r="B202" s="785">
        <f>'T 6.1'!B199+'T 6.2'!B199</f>
        <v>1.0011359138364044</v>
      </c>
      <c r="C202" s="785">
        <f>'T 6.1'!C199+'T 6.2'!C199</f>
        <v>0.97052210387255511</v>
      </c>
      <c r="D202" s="785">
        <f>'T 6.1'!D199+'T 6.2'!D199</f>
        <v>0.55891146467524555</v>
      </c>
      <c r="E202" s="785">
        <f>'T 6.1'!E199+'T 6.2'!E199</f>
        <v>0.50907534113760378</v>
      </c>
      <c r="F202" s="785">
        <f>'T 6.1'!F199+'T 6.2'!F199</f>
        <v>0.22006735426042592</v>
      </c>
      <c r="G202" s="785">
        <f>'T 6.1'!G199+'T 6.2'!G199</f>
        <v>2.7953017833927438</v>
      </c>
      <c r="H202" s="786">
        <f>'T 6.1'!H199+'T 6.2'!H199</f>
        <v>0.98053717411561037</v>
      </c>
      <c r="I202" s="786">
        <f>'T 6.1'!I199+'T 6.2'!I199</f>
        <v>1.1455515780471248</v>
      </c>
      <c r="J202" s="786">
        <f>'T 6.1'!J199+'T 6.2'!J199</f>
        <v>1.1016691488004133</v>
      </c>
    </row>
    <row r="203" spans="1:10" ht="14.25" customHeight="1" x14ac:dyDescent="0.2">
      <c r="A203" s="782" t="s">
        <v>535</v>
      </c>
      <c r="B203" s="783">
        <f>'T 6.1'!B200+'T 6.2'!B200</f>
        <v>1.3689475415330861</v>
      </c>
      <c r="C203" s="783">
        <f>'T 6.1'!C200+'T 6.2'!C200</f>
        <v>2.1020341809355907</v>
      </c>
      <c r="D203" s="783">
        <f>'T 6.1'!D200+'T 6.2'!D200</f>
        <v>1.7136393070225426</v>
      </c>
      <c r="E203" s="783">
        <f>'T 6.1'!E200+'T 6.2'!E200</f>
        <v>1.9286481171445411</v>
      </c>
      <c r="F203" s="783">
        <f>'T 6.1'!F200+'T 6.2'!F200</f>
        <v>0.62934628859605324</v>
      </c>
      <c r="G203" s="783">
        <f>'T 6.1'!G200+'T 6.2'!G200</f>
        <v>0.26208385916889626</v>
      </c>
      <c r="H203" s="385">
        <f>'T 6.1'!H200+'T 6.2'!H200</f>
        <v>1.862210578563614</v>
      </c>
      <c r="I203" s="385">
        <f>'T 6.1'!I200+'T 6.2'!I200</f>
        <v>1.1614239022232102</v>
      </c>
      <c r="J203" s="385">
        <f>'T 6.1'!J200+'T 6.2'!J200</f>
        <v>1.3477847350285024</v>
      </c>
    </row>
    <row r="204" spans="1:10" ht="14.25" customHeight="1" x14ac:dyDescent="0.2">
      <c r="A204" s="793" t="s">
        <v>747</v>
      </c>
      <c r="B204" s="773">
        <f>'T 6.1'!B201+'T 6.2'!B201</f>
        <v>7.3258052421090447</v>
      </c>
      <c r="C204" s="773">
        <f>'T 6.1'!C201+'T 6.2'!C201</f>
        <v>7.9668017252729459</v>
      </c>
      <c r="D204" s="773">
        <f>'T 6.1'!D201+'T 6.2'!D201</f>
        <v>2.5918277442781981</v>
      </c>
      <c r="E204" s="773">
        <f>'T 6.1'!E201+'T 6.2'!E201</f>
        <v>1.8945181522883048</v>
      </c>
      <c r="F204" s="773">
        <f>'T 6.1'!F201+'T 6.2'!F201</f>
        <v>1.8337987703446299</v>
      </c>
      <c r="G204" s="773">
        <f>'T 6.1'!G201+'T 6.2'!G201</f>
        <v>60.795050112672499</v>
      </c>
      <c r="H204" s="774">
        <f>'T 6.1'!H201+'T 6.2'!H201</f>
        <v>7.7571047025234554</v>
      </c>
      <c r="I204" s="774">
        <f>'T 6.1'!I201+'T 6.2'!I201</f>
        <v>19.460430891023609</v>
      </c>
      <c r="J204" s="774">
        <f>'T 6.1'!J201+'T 6.2'!J201</f>
        <v>16.348154803711921</v>
      </c>
    </row>
    <row r="205" spans="1:10" s="8" customFormat="1" ht="14.25" customHeight="1" x14ac:dyDescent="0.2">
      <c r="A205" s="770" t="s">
        <v>748</v>
      </c>
      <c r="B205" s="771">
        <f>'T 6.1'!B202+'T 6.2'!B202</f>
        <v>97.353743543939629</v>
      </c>
      <c r="C205" s="771">
        <f>'T 6.1'!C202+'T 6.2'!C202</f>
        <v>102.66350368869773</v>
      </c>
      <c r="D205" s="771">
        <f>'T 6.1'!D202+'T 6.2'!D202</f>
        <v>96.50241099672661</v>
      </c>
      <c r="E205" s="771">
        <f>'T 6.1'!E202+'T 6.2'!E202</f>
        <v>90.052147109406491</v>
      </c>
      <c r="F205" s="771">
        <f>'T 6.1'!F202+'T 6.2'!F202</f>
        <v>97.096474649809196</v>
      </c>
      <c r="G205" s="771">
        <f>'T 6.1'!G202+'T 6.2'!G202</f>
        <v>48.677423766521379</v>
      </c>
      <c r="H205" s="316">
        <f>'T 6.1'!H202+'T 6.2'!H202</f>
        <v>100.92645688249088</v>
      </c>
      <c r="I205" s="316">
        <f>'T 6.1'!I202+'T 6.2'!I202</f>
        <v>80.43706730321955</v>
      </c>
      <c r="J205" s="316">
        <f>'T 6.1'!J202+'T 6.2'!J202</f>
        <v>85.885829151269149</v>
      </c>
    </row>
    <row r="206" spans="1:10" s="8" customFormat="1" ht="14.25" customHeight="1" x14ac:dyDescent="0.2">
      <c r="A206" s="772" t="s">
        <v>749</v>
      </c>
      <c r="B206" s="773">
        <f>'T 6.1'!B203+'T 6.2'!B203</f>
        <v>1.6414908674835633</v>
      </c>
      <c r="C206" s="773">
        <f>'T 6.1'!C203+'T 6.2'!C203</f>
        <v>1.7018274321399791</v>
      </c>
      <c r="D206" s="773">
        <f>'T 6.1'!D203+'T 6.2'!D203</f>
        <v>2.6762942218747101</v>
      </c>
      <c r="E206" s="773">
        <f>'T 6.1'!E203+'T 6.2'!E203</f>
        <v>1.4630206928722664</v>
      </c>
      <c r="F206" s="773">
        <f>'T 6.1'!F203+'T 6.2'!F203</f>
        <v>1.5204628681928307</v>
      </c>
      <c r="G206" s="773">
        <f>'T 6.1'!G203+'T 6.2'!G203</f>
        <v>7.9802633326542747</v>
      </c>
      <c r="H206" s="774">
        <f>'T 6.1'!H203+'T 6.2'!H203</f>
        <v>1.6820887934676865</v>
      </c>
      <c r="I206" s="774">
        <f>'T 6.1'!I203+'T 6.2'!I203</f>
        <v>3.6629026501399657</v>
      </c>
      <c r="J206" s="774">
        <f>'T 6.1'!J203+'T 6.2'!J203</f>
        <v>3.1361430349466008</v>
      </c>
    </row>
    <row r="207" spans="1:10" s="68" customFormat="1" ht="14.25" customHeight="1" x14ac:dyDescent="0.2">
      <c r="A207" s="779" t="s">
        <v>750</v>
      </c>
      <c r="B207" s="780">
        <f>'T 6.1'!B204+'T 6.2'!B204</f>
        <v>16.178897765249296</v>
      </c>
      <c r="C207" s="780">
        <f>'T 6.1'!C204+'T 6.2'!C204</f>
        <v>15.123507216599275</v>
      </c>
      <c r="D207" s="780">
        <f>'T 6.1'!D204+'T 6.2'!D204</f>
        <v>15.971537495394728</v>
      </c>
      <c r="E207" s="780">
        <f>'T 6.1'!E204+'T 6.2'!E204</f>
        <v>18.81361043886497</v>
      </c>
      <c r="F207" s="780">
        <f>'T 6.1'!F204+'T 6.2'!F204</f>
        <v>28.015731242645352</v>
      </c>
      <c r="G207" s="780">
        <f>'T 6.1'!G204+'T 6.2'!G204</f>
        <v>23.613234074897914</v>
      </c>
      <c r="H207" s="781">
        <f>'T 6.1'!H204+'T 6.2'!H204</f>
        <v>15.468770040503522</v>
      </c>
      <c r="I207" s="781">
        <f>'T 6.1'!I204+'T 6.2'!I204</f>
        <v>21.234056316842462</v>
      </c>
      <c r="J207" s="781">
        <f>'T 6.1'!J204+'T 6.2'!J204</f>
        <v>19.700888538267925</v>
      </c>
    </row>
    <row r="208" spans="1:10" s="8" customFormat="1" ht="14.25" customHeight="1" x14ac:dyDescent="0.2">
      <c r="A208" s="784" t="s">
        <v>751</v>
      </c>
      <c r="B208" s="785">
        <f>'T 6.1'!B205+'T 6.2'!B205</f>
        <v>4.6572230393333003</v>
      </c>
      <c r="C208" s="785">
        <f>'T 6.1'!C205+'T 6.2'!C205</f>
        <v>6.0737665704156427</v>
      </c>
      <c r="D208" s="785">
        <f>'T 6.1'!D205+'T 6.2'!D205</f>
        <v>5.8101562690008883</v>
      </c>
      <c r="E208" s="785">
        <f>'T 6.1'!E205+'T 6.2'!E205</f>
        <v>7.4508481442280425</v>
      </c>
      <c r="F208" s="785">
        <f>'T 6.1'!F205+'T 6.2'!F205</f>
        <v>13.693581335893187</v>
      </c>
      <c r="G208" s="785">
        <f>'T 6.1'!G205+'T 6.2'!G205</f>
        <v>12.878364079705417</v>
      </c>
      <c r="H208" s="786">
        <f>'T 6.1'!H205+'T 6.2'!H205</f>
        <v>5.6103553523121814</v>
      </c>
      <c r="I208" s="786">
        <f>'T 6.1'!I205+'T 6.2'!I205</f>
        <v>9.7972914894758336</v>
      </c>
      <c r="J208" s="786">
        <f>'T 6.1'!J205+'T 6.2'!J205</f>
        <v>8.6838557867608266</v>
      </c>
    </row>
    <row r="209" spans="1:10" s="68" customFormat="1" ht="14.25" customHeight="1" x14ac:dyDescent="0.2">
      <c r="A209" s="782" t="s">
        <v>536</v>
      </c>
      <c r="B209" s="783">
        <f>'T 6.1'!B206+'T 6.2'!B206</f>
        <v>0.77719709813973736</v>
      </c>
      <c r="C209" s="783">
        <f>'T 6.1'!C206+'T 6.2'!C206</f>
        <v>0.71426533862215691</v>
      </c>
      <c r="D209" s="783">
        <f>'T 6.1'!D206+'T 6.2'!D206</f>
        <v>0.96120426733106279</v>
      </c>
      <c r="E209" s="783">
        <f>'T 6.1'!E206+'T 6.2'!E206</f>
        <v>2.5773637157360163</v>
      </c>
      <c r="F209" s="783">
        <f>'T 6.1'!F206+'T 6.2'!F206</f>
        <v>2.8816650944695663</v>
      </c>
      <c r="G209" s="783">
        <f>'T 6.1'!G206+'T 6.2'!G206</f>
        <v>0.93804394270756519</v>
      </c>
      <c r="H209" s="385">
        <f>'T 6.1'!H206+'T 6.2'!H206</f>
        <v>0.73485297514410197</v>
      </c>
      <c r="I209" s="385">
        <f>'T 6.1'!I206+'T 6.2'!I206</f>
        <v>1.7971951732609495</v>
      </c>
      <c r="J209" s="385">
        <f>'T 6.1'!J206+'T 6.2'!J206</f>
        <v>1.5146855545005993</v>
      </c>
    </row>
    <row r="210" spans="1:10" ht="14.25" customHeight="1" x14ac:dyDescent="0.2">
      <c r="A210" s="784" t="s">
        <v>752</v>
      </c>
      <c r="B210" s="785">
        <f>'T 6.1'!B207+'T 6.2'!B207</f>
        <v>0.63202195541590966</v>
      </c>
      <c r="C210" s="785">
        <f>'T 6.1'!C207+'T 6.2'!C207</f>
        <v>0.83146890866016521</v>
      </c>
      <c r="D210" s="785">
        <f>'T 6.1'!D207+'T 6.2'!D207</f>
        <v>0.53631443842188264</v>
      </c>
      <c r="E210" s="785">
        <f>'T 6.1'!E207+'T 6.2'!E207</f>
        <v>0.51806961965656328</v>
      </c>
      <c r="F210" s="785">
        <f>'T 6.1'!F207+'T 6.2'!F207</f>
        <v>0.25409570955643179</v>
      </c>
      <c r="G210" s="785">
        <f>'T 6.1'!G207+'T 6.2'!G207</f>
        <v>1.4680374768741022</v>
      </c>
      <c r="H210" s="786">
        <f>'T 6.1'!H207+'T 6.2'!H207</f>
        <v>0.76622138641895021</v>
      </c>
      <c r="I210" s="786">
        <f>'T 6.1'!I207+'T 6.2'!I207</f>
        <v>0.75677971329714522</v>
      </c>
      <c r="J210" s="786">
        <f>'T 6.1'!J207+'T 6.2'!J207</f>
        <v>0.75929054594488266</v>
      </c>
    </row>
    <row r="211" spans="1:10" ht="14.25" customHeight="1" x14ac:dyDescent="0.2">
      <c r="A211" s="782" t="s">
        <v>753</v>
      </c>
      <c r="B211" s="783">
        <f>'T 6.1'!B208+'T 6.2'!B208</f>
        <v>1.2674744746497164</v>
      </c>
      <c r="C211" s="783">
        <f>'T 6.1'!C208+'T 6.2'!C208</f>
        <v>2.5563117125135983</v>
      </c>
      <c r="D211" s="783">
        <f>'T 6.1'!D208+'T 6.2'!D208</f>
        <v>3.6432799992048452</v>
      </c>
      <c r="E211" s="783">
        <f>'T 6.1'!E208+'T 6.2'!E208</f>
        <v>5.1928714461686649</v>
      </c>
      <c r="F211" s="783">
        <f>'T 6.1'!F208+'T 6.2'!F208</f>
        <v>8.1893906734562112</v>
      </c>
      <c r="G211" s="783">
        <f>'T 6.1'!G208+'T 6.2'!G208</f>
        <v>4.8980675417729573</v>
      </c>
      <c r="H211" s="385">
        <f>'T 6.1'!H208+'T 6.2'!H208</f>
        <v>2.1346786167207354</v>
      </c>
      <c r="I211" s="385">
        <f>'T 6.1'!I208+'T 6.2'!I208</f>
        <v>5.2968417300057373</v>
      </c>
      <c r="J211" s="385">
        <f>'T 6.1'!J208+'T 6.2'!J208</f>
        <v>4.4559248416662154</v>
      </c>
    </row>
    <row r="212" spans="1:10" s="8" customFormat="1" ht="14.25" customHeight="1" x14ac:dyDescent="0.2">
      <c r="A212" s="793" t="s">
        <v>754</v>
      </c>
      <c r="B212" s="773">
        <f>'T 6.1'!B209+'T 6.2'!B209</f>
        <v>8.8449811972283552</v>
      </c>
      <c r="C212" s="773">
        <f>'T 6.1'!C209+'T 6.2'!C209</f>
        <v>4.9476946860359883</v>
      </c>
      <c r="D212" s="773">
        <f>'T 6.1'!D209+'T 6.2'!D209</f>
        <v>5.020582521170998</v>
      </c>
      <c r="E212" s="773">
        <f>'T 6.1'!E209+'T 6.2'!E209</f>
        <v>3.0744575127106759</v>
      </c>
      <c r="F212" s="773">
        <f>'T 6.1'!F209+'T 6.2'!F209</f>
        <v>2.9969984287809388</v>
      </c>
      <c r="G212" s="773">
        <f>'T 6.1'!G209+'T 6.2'!G209</f>
        <v>3.4307210334514973</v>
      </c>
      <c r="H212" s="774">
        <f>'T 6.1'!H209+'T 6.2'!H209</f>
        <v>6.2226617095131216</v>
      </c>
      <c r="I212" s="774">
        <f>'T 6.1'!I209+'T 6.2'!I209</f>
        <v>3.5859482104312801</v>
      </c>
      <c r="J212" s="774">
        <f>'T 6.1'!J209+'T 6.2'!J209</f>
        <v>4.2871318090177946</v>
      </c>
    </row>
    <row r="213" spans="1:10" ht="14.25" customHeight="1" x14ac:dyDescent="0.2">
      <c r="A213" s="935" t="s">
        <v>802</v>
      </c>
      <c r="B213" s="936">
        <f>'T 6.1'!B210+'T 6.2'!B210</f>
        <v>1420.2051591115978</v>
      </c>
      <c r="C213" s="936">
        <f>'T 6.1'!C210+'T 6.2'!C210</f>
        <v>1525.5783093986436</v>
      </c>
      <c r="D213" s="936">
        <f>'T 6.1'!D210+'T 6.2'!D210</f>
        <v>1637.6031080270882</v>
      </c>
      <c r="E213" s="936">
        <f>'T 6.1'!E210+'T 6.2'!E210</f>
        <v>1800.8956785625414</v>
      </c>
      <c r="F213" s="936">
        <f>'T 6.1'!F210+'T 6.2'!F210</f>
        <v>1942.8955105433381</v>
      </c>
      <c r="G213" s="936">
        <f>'T 6.1'!G210+'T 6.2'!G210</f>
        <v>2199.7116940883575</v>
      </c>
      <c r="H213" s="995">
        <f>'T 6.1'!H210+'T 6.2'!H210</f>
        <v>1491.1063014028086</v>
      </c>
      <c r="I213" s="995">
        <f>'T 6.1'!I210+'T 6.2'!I210</f>
        <v>1908.5710609561429</v>
      </c>
      <c r="J213" s="995">
        <f>'T 6.1'!J210+'T 6.2'!J210</f>
        <v>1797.5542809803919</v>
      </c>
    </row>
    <row r="214" spans="1:10" ht="14.25" customHeight="1" x14ac:dyDescent="0.2">
      <c r="A214" s="968" t="s">
        <v>163</v>
      </c>
      <c r="B214" s="969">
        <f>'T 6.1'!B211</f>
        <v>18.139734677760647</v>
      </c>
      <c r="C214" s="969">
        <f>'T 6.1'!C211</f>
        <v>20.053753196607559</v>
      </c>
      <c r="D214" s="969">
        <f>'T 6.1'!D211</f>
        <v>21.645543065454497</v>
      </c>
      <c r="E214" s="969">
        <f>'T 6.1'!E211</f>
        <v>27.496297627702408</v>
      </c>
      <c r="F214" s="969">
        <f>'T 6.1'!F211</f>
        <v>39.122248725982431</v>
      </c>
      <c r="G214" s="969">
        <f>'T 6.1'!G211</f>
        <v>43.189457360881654</v>
      </c>
      <c r="H214" s="970">
        <f>'T 6.1'!H211</f>
        <v>19.427596898668934</v>
      </c>
      <c r="I214" s="970">
        <f>'T 6.1'!I211</f>
        <v>32.91582720684697</v>
      </c>
      <c r="J214" s="970">
        <f>'T 6.1'!J211</f>
        <v>29.328889957371306</v>
      </c>
    </row>
    <row r="215" spans="1:10" x14ac:dyDescent="0.2">
      <c r="A215" s="794" t="s">
        <v>762</v>
      </c>
      <c r="B215" s="3"/>
      <c r="C215" s="3"/>
      <c r="D215" s="245"/>
      <c r="E215" s="3"/>
      <c r="F215" s="3"/>
      <c r="G215" s="245"/>
      <c r="H215" s="3"/>
      <c r="I215" s="3"/>
      <c r="J215" s="3"/>
    </row>
    <row r="216" spans="1:10" x14ac:dyDescent="0.2">
      <c r="A216" s="794" t="s">
        <v>316</v>
      </c>
      <c r="B216" s="3"/>
      <c r="C216" s="3"/>
      <c r="D216" s="245"/>
      <c r="E216" s="3"/>
      <c r="F216" s="3"/>
      <c r="G216" s="245"/>
      <c r="H216" s="3"/>
      <c r="I216" s="3"/>
      <c r="J216" s="3"/>
    </row>
    <row r="217" spans="1:10" ht="15" customHeight="1" x14ac:dyDescent="0.2">
      <c r="A217" s="37" t="s">
        <v>798</v>
      </c>
      <c r="B217" s="3"/>
      <c r="C217" s="3"/>
      <c r="D217" s="245"/>
      <c r="E217" s="3"/>
      <c r="F217" s="3"/>
      <c r="G217" s="245"/>
      <c r="H217" s="3"/>
      <c r="I217" s="3"/>
      <c r="J217" s="3"/>
    </row>
    <row r="218" spans="1:10" x14ac:dyDescent="0.2">
      <c r="A218" s="286" t="s">
        <v>951</v>
      </c>
      <c r="B218" s="3"/>
      <c r="C218" s="3"/>
      <c r="D218" s="245"/>
      <c r="E218" s="3"/>
      <c r="F218" s="3"/>
      <c r="G218" s="245"/>
      <c r="H218" s="3"/>
      <c r="I218" s="3"/>
      <c r="J218" s="3"/>
    </row>
    <row r="219" spans="1:10" x14ac:dyDescent="0.2">
      <c r="E219" s="14"/>
      <c r="F219" s="14"/>
      <c r="G219" s="14"/>
      <c r="H219" s="14"/>
      <c r="I219" s="14"/>
      <c r="J219" s="14"/>
    </row>
    <row r="220" spans="1:10" ht="40.5" customHeight="1" x14ac:dyDescent="0.2">
      <c r="A220" s="1025" t="s">
        <v>538</v>
      </c>
      <c r="B220" s="1026"/>
      <c r="C220" s="1026"/>
      <c r="D220" s="1026"/>
      <c r="E220" s="1026"/>
      <c r="F220" s="1026"/>
      <c r="G220" s="1026"/>
      <c r="H220" s="1026"/>
      <c r="I220" s="1026"/>
      <c r="J220" s="1027"/>
    </row>
    <row r="223" spans="1:10" x14ac:dyDescent="0.2">
      <c r="B223" s="913"/>
      <c r="C223" s="913"/>
      <c r="D223" s="913"/>
      <c r="E223" s="913"/>
      <c r="F223" s="913"/>
      <c r="G223" s="913"/>
      <c r="H223" s="913"/>
      <c r="I223" s="913"/>
    </row>
  </sheetData>
  <mergeCells count="1">
    <mergeCell ref="A220:J220"/>
  </mergeCells>
  <pageMargins left="0.70866141732283472" right="0.70866141732283472" top="0.35433070866141736" bottom="0.43307086614173229" header="0.31496062992125984" footer="0.31496062992125984"/>
  <pageSetup paperSize="9" scale="50" firstPageNumber="105" fitToHeight="3" orientation="landscape" useFirstPageNumber="1" r:id="rId1"/>
  <headerFooter>
    <oddHeader>&amp;Rles finances des communes en 2024</oddHeader>
    <oddFooter>&amp;LDirection Générale des collectivités locales / DESL&amp;C&amp;P&amp;RMise en ligne : janvier 2026</oddFooter>
  </headerFooter>
  <rowBreaks count="2" manualBreakCount="2">
    <brk id="73" max="9" man="1"/>
    <brk id="145" max="9"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64"/>
  <sheetViews>
    <sheetView topLeftCell="A52" zoomScaleNormal="100" workbookViewId="0">
      <selection sqref="A1:I1"/>
    </sheetView>
  </sheetViews>
  <sheetFormatPr baseColWidth="10" defaultRowHeight="12.75" x14ac:dyDescent="0.2"/>
  <cols>
    <col min="9" max="9" width="18.85546875" customWidth="1"/>
  </cols>
  <sheetData>
    <row r="1" spans="1:9" ht="18" x14ac:dyDescent="0.25">
      <c r="A1" s="1031" t="s">
        <v>349</v>
      </c>
      <c r="B1" s="1031"/>
      <c r="C1" s="1031"/>
      <c r="D1" s="1031"/>
      <c r="E1" s="1031"/>
      <c r="F1" s="1031"/>
      <c r="G1" s="1031"/>
      <c r="H1" s="1031"/>
      <c r="I1" s="1031"/>
    </row>
    <row r="2" spans="1:9" ht="21" customHeight="1" x14ac:dyDescent="0.25">
      <c r="A2" s="1032" t="s">
        <v>342</v>
      </c>
      <c r="B2" s="1033"/>
      <c r="C2" s="1033"/>
      <c r="D2" s="1033"/>
      <c r="E2" s="1033"/>
      <c r="F2" s="1033"/>
      <c r="G2" s="1033"/>
      <c r="H2" s="1033"/>
      <c r="I2" s="1033"/>
    </row>
    <row r="4" spans="1:9" x14ac:dyDescent="0.2">
      <c r="A4" s="1036" t="s">
        <v>954</v>
      </c>
      <c r="B4" s="1037"/>
      <c r="C4" s="1037"/>
      <c r="D4" s="1037"/>
      <c r="E4" s="1037"/>
      <c r="F4" s="1037"/>
      <c r="G4" s="1037"/>
      <c r="H4" s="1037"/>
      <c r="I4" s="1033"/>
    </row>
    <row r="5" spans="1:9" x14ac:dyDescent="0.2">
      <c r="A5" s="1037"/>
      <c r="B5" s="1037"/>
      <c r="C5" s="1037"/>
      <c r="D5" s="1037"/>
      <c r="E5" s="1037"/>
      <c r="F5" s="1037"/>
      <c r="G5" s="1037"/>
      <c r="H5" s="1037"/>
      <c r="I5" s="1033"/>
    </row>
    <row r="7" spans="1:9" ht="305.25" customHeight="1" x14ac:dyDescent="0.2">
      <c r="A7" s="1016" t="s">
        <v>657</v>
      </c>
      <c r="B7" s="1016"/>
      <c r="C7" s="1016"/>
      <c r="D7" s="1016"/>
      <c r="E7" s="1016"/>
      <c r="F7" s="1016"/>
      <c r="G7" s="1016"/>
      <c r="H7" s="1016"/>
      <c r="I7" s="1016"/>
    </row>
    <row r="8" spans="1:9" ht="12" customHeight="1" x14ac:dyDescent="0.2">
      <c r="A8" s="297"/>
      <c r="B8" s="297"/>
      <c r="C8" s="297"/>
      <c r="D8" s="297"/>
      <c r="E8" s="297"/>
      <c r="F8" s="297"/>
      <c r="G8" s="297"/>
      <c r="H8" s="297"/>
      <c r="I8" s="297"/>
    </row>
    <row r="9" spans="1:9" ht="270.75" customHeight="1" x14ac:dyDescent="0.2">
      <c r="A9" s="1016" t="s">
        <v>507</v>
      </c>
      <c r="B9" s="1034"/>
      <c r="C9" s="1034"/>
      <c r="D9" s="1034"/>
      <c r="E9" s="1034"/>
      <c r="F9" s="1034"/>
      <c r="G9" s="1034"/>
      <c r="H9" s="1034"/>
      <c r="I9" s="1034"/>
    </row>
    <row r="10" spans="1:9" ht="27" customHeight="1" x14ac:dyDescent="0.2">
      <c r="A10" s="1016" t="s">
        <v>955</v>
      </c>
      <c r="B10" s="1016"/>
      <c r="C10" s="1016"/>
      <c r="D10" s="1016"/>
      <c r="E10" s="1016"/>
      <c r="F10" s="1016"/>
      <c r="G10" s="1016"/>
      <c r="H10" s="1016"/>
      <c r="I10" s="1016"/>
    </row>
    <row r="11" spans="1:9" x14ac:dyDescent="0.2">
      <c r="A11" s="1016" t="s">
        <v>335</v>
      </c>
      <c r="B11" s="1034"/>
      <c r="C11" s="1034"/>
      <c r="D11" s="1034"/>
      <c r="E11" s="1034"/>
      <c r="F11" s="1034"/>
      <c r="G11" s="1034"/>
      <c r="H11" s="1034"/>
      <c r="I11" s="1034"/>
    </row>
    <row r="12" spans="1:9" x14ac:dyDescent="0.2">
      <c r="A12" s="1034"/>
      <c r="B12" s="1034"/>
      <c r="C12" s="1034"/>
      <c r="D12" s="1034"/>
      <c r="E12" s="1034"/>
      <c r="F12" s="1034"/>
      <c r="G12" s="1034"/>
      <c r="H12" s="1034"/>
      <c r="I12" s="1034"/>
    </row>
    <row r="13" spans="1:9" x14ac:dyDescent="0.2">
      <c r="A13" s="1034"/>
      <c r="B13" s="1034"/>
      <c r="C13" s="1034"/>
      <c r="D13" s="1034"/>
      <c r="E13" s="1034"/>
      <c r="F13" s="1034"/>
      <c r="G13" s="1034"/>
      <c r="H13" s="1034"/>
      <c r="I13" s="1034"/>
    </row>
    <row r="14" spans="1:9" ht="22.5" customHeight="1" x14ac:dyDescent="0.2">
      <c r="A14" s="1034"/>
      <c r="B14" s="1034"/>
      <c r="C14" s="1034"/>
      <c r="D14" s="1034"/>
      <c r="E14" s="1034"/>
      <c r="F14" s="1034"/>
      <c r="G14" s="1034"/>
      <c r="H14" s="1034"/>
      <c r="I14" s="1034"/>
    </row>
    <row r="16" spans="1:9" ht="16.5" customHeight="1" x14ac:dyDescent="0.25">
      <c r="A16" s="1038" t="s">
        <v>590</v>
      </c>
      <c r="B16" s="1039"/>
      <c r="C16" s="1039"/>
      <c r="D16" s="1039"/>
      <c r="E16" s="1039"/>
      <c r="F16" s="1039"/>
      <c r="G16" s="1039"/>
      <c r="H16" s="1039"/>
      <c r="I16" s="1039"/>
    </row>
    <row r="18" spans="1:9" ht="26.25" customHeight="1" x14ac:dyDescent="0.2">
      <c r="A18" s="1035" t="s">
        <v>8</v>
      </c>
      <c r="B18" s="1033"/>
      <c r="C18" s="1033"/>
      <c r="D18" s="1033"/>
      <c r="E18" s="1033"/>
      <c r="F18" s="1033"/>
      <c r="G18" s="1033"/>
      <c r="H18" s="1033"/>
      <c r="I18" s="1033"/>
    </row>
    <row r="20" spans="1:9" ht="27" customHeight="1" x14ac:dyDescent="0.2">
      <c r="A20" s="1035" t="s">
        <v>9</v>
      </c>
      <c r="B20" s="1033"/>
      <c r="C20" s="1033"/>
      <c r="D20" s="1033"/>
      <c r="E20" s="1033"/>
      <c r="F20" s="1033"/>
      <c r="G20" s="1033"/>
      <c r="H20" s="1033"/>
      <c r="I20" s="1033"/>
    </row>
    <row r="22" spans="1:9" ht="26.25" customHeight="1" x14ac:dyDescent="0.2">
      <c r="A22" s="1040" t="s">
        <v>843</v>
      </c>
      <c r="B22" s="1040"/>
      <c r="C22" s="1040"/>
      <c r="D22" s="1040"/>
      <c r="E22" s="1040"/>
      <c r="F22" s="1040"/>
      <c r="G22" s="1040"/>
      <c r="H22" s="1040"/>
      <c r="I22" s="1040"/>
    </row>
    <row r="23" spans="1:9" x14ac:dyDescent="0.2">
      <c r="A23" s="234"/>
      <c r="B23" s="234"/>
      <c r="C23" s="234"/>
      <c r="D23" s="234"/>
      <c r="E23" s="234"/>
      <c r="F23" s="234"/>
      <c r="G23" s="234"/>
      <c r="H23" s="234"/>
      <c r="I23" s="234"/>
    </row>
    <row r="24" spans="1:9" x14ac:dyDescent="0.2">
      <c r="A24" s="1028" t="s">
        <v>586</v>
      </c>
      <c r="B24" s="1029"/>
      <c r="C24" s="1029"/>
      <c r="D24" s="1029"/>
      <c r="E24" s="1029"/>
      <c r="F24" s="1029"/>
      <c r="G24" s="1029"/>
      <c r="H24" s="1029"/>
      <c r="I24" s="1029"/>
    </row>
    <row r="26" spans="1:9" x14ac:dyDescent="0.2">
      <c r="A26" s="1028" t="s">
        <v>587</v>
      </c>
      <c r="B26" s="1029"/>
      <c r="C26" s="1029"/>
      <c r="D26" s="1029"/>
      <c r="E26" s="1029"/>
      <c r="F26" s="1029"/>
      <c r="G26" s="1029"/>
      <c r="H26" s="1029"/>
      <c r="I26" s="1029"/>
    </row>
    <row r="28" spans="1:9" x14ac:dyDescent="0.2">
      <c r="A28" s="68" t="s">
        <v>588</v>
      </c>
      <c r="G28" s="215"/>
    </row>
    <row r="29" spans="1:9" x14ac:dyDescent="0.2">
      <c r="A29" t="s">
        <v>566</v>
      </c>
    </row>
    <row r="31" spans="1:9" x14ac:dyDescent="0.2">
      <c r="A31" s="1028" t="s">
        <v>589</v>
      </c>
      <c r="B31" s="1029"/>
      <c r="C31" s="1029"/>
      <c r="D31" s="1029"/>
      <c r="E31" s="1029"/>
      <c r="F31" s="1029"/>
      <c r="G31" s="1029"/>
      <c r="H31" s="1029"/>
      <c r="I31" s="1029"/>
    </row>
    <row r="33" spans="1:9" ht="27.75" customHeight="1" x14ac:dyDescent="0.2">
      <c r="A33" s="1030" t="s">
        <v>844</v>
      </c>
      <c r="B33" s="1030"/>
      <c r="C33" s="1030"/>
      <c r="D33" s="1030"/>
      <c r="E33" s="1030"/>
      <c r="F33" s="1030"/>
      <c r="G33" s="1030"/>
      <c r="H33" s="1030"/>
      <c r="I33" s="1030"/>
    </row>
    <row r="35" spans="1:9" x14ac:dyDescent="0.2">
      <c r="A35" s="1028" t="s">
        <v>591</v>
      </c>
      <c r="B35" s="1029"/>
      <c r="C35" s="1029"/>
      <c r="D35" s="1029"/>
      <c r="E35" s="1029"/>
      <c r="F35" s="1029"/>
      <c r="G35" s="1029"/>
      <c r="H35" s="1029"/>
      <c r="I35" s="1029"/>
    </row>
    <row r="37" spans="1:9" ht="40.5" customHeight="1" x14ac:dyDescent="0.2">
      <c r="A37" s="1035" t="s">
        <v>608</v>
      </c>
      <c r="B37" s="1033"/>
      <c r="C37" s="1033"/>
      <c r="D37" s="1033"/>
      <c r="E37" s="1033"/>
      <c r="F37" s="1033"/>
      <c r="G37" s="1033"/>
      <c r="H37" s="1033"/>
      <c r="I37" s="1033"/>
    </row>
    <row r="39" spans="1:9" ht="39.75" customHeight="1" x14ac:dyDescent="0.2">
      <c r="A39" s="1042" t="s">
        <v>641</v>
      </c>
      <c r="B39" s="1034"/>
      <c r="C39" s="1034"/>
      <c r="D39" s="1034"/>
      <c r="E39" s="1034"/>
      <c r="F39" s="1034"/>
      <c r="G39" s="1034"/>
      <c r="H39" s="1034"/>
      <c r="I39" s="1034"/>
    </row>
    <row r="41" spans="1:9" ht="25.5" customHeight="1" x14ac:dyDescent="0.2">
      <c r="A41" s="1042" t="s">
        <v>642</v>
      </c>
      <c r="B41" s="1034"/>
      <c r="C41" s="1034"/>
      <c r="D41" s="1034"/>
      <c r="E41" s="1034"/>
      <c r="F41" s="1034"/>
      <c r="G41" s="1034"/>
      <c r="H41" s="1034"/>
      <c r="I41" s="1034"/>
    </row>
    <row r="43" spans="1:9" ht="25.5" customHeight="1" x14ac:dyDescent="0.2">
      <c r="A43" s="1030" t="s">
        <v>592</v>
      </c>
      <c r="B43" s="1030"/>
      <c r="C43" s="1030"/>
      <c r="D43" s="1030"/>
      <c r="E43" s="1030"/>
      <c r="F43" s="1030"/>
      <c r="G43" s="1030"/>
      <c r="H43" s="1030"/>
      <c r="I43" s="1030"/>
    </row>
    <row r="44" spans="1:9" x14ac:dyDescent="0.2">
      <c r="A44" s="299"/>
      <c r="B44" s="299"/>
      <c r="C44" s="299"/>
      <c r="D44" s="299"/>
      <c r="E44" s="299"/>
      <c r="F44" s="299"/>
      <c r="G44" s="299"/>
      <c r="H44" s="299"/>
      <c r="I44" s="299"/>
    </row>
    <row r="45" spans="1:9" ht="12.75" customHeight="1" x14ac:dyDescent="0.2">
      <c r="A45" s="1030" t="s">
        <v>593</v>
      </c>
      <c r="B45" s="1030"/>
      <c r="C45" s="1030"/>
      <c r="D45" s="1030"/>
      <c r="E45" s="1030"/>
      <c r="F45" s="1030"/>
      <c r="G45" s="1030"/>
      <c r="H45" s="1030"/>
      <c r="I45" s="1030"/>
    </row>
    <row r="47" spans="1:9" x14ac:dyDescent="0.2">
      <c r="A47" s="1040" t="s">
        <v>376</v>
      </c>
      <c r="B47" s="1041"/>
      <c r="C47" s="1041"/>
      <c r="D47" s="1041"/>
      <c r="E47" s="1041"/>
      <c r="F47" s="1041"/>
      <c r="G47" s="1041"/>
      <c r="H47" s="1041"/>
      <c r="I47" s="1041"/>
    </row>
    <row r="48" spans="1:9" x14ac:dyDescent="0.2">
      <c r="A48" s="1041"/>
      <c r="B48" s="1041"/>
      <c r="C48" s="1041"/>
      <c r="D48" s="1041"/>
      <c r="E48" s="1041"/>
      <c r="F48" s="1041"/>
      <c r="G48" s="1041"/>
      <c r="H48" s="1041"/>
      <c r="I48" s="1041"/>
    </row>
    <row r="49" spans="1:9" x14ac:dyDescent="0.2">
      <c r="A49" s="298"/>
      <c r="B49" s="298"/>
      <c r="C49" s="298"/>
      <c r="D49" s="298"/>
      <c r="E49" s="298"/>
      <c r="F49" s="298"/>
      <c r="G49" s="298"/>
      <c r="H49" s="298"/>
      <c r="I49" s="298"/>
    </row>
    <row r="50" spans="1:9" ht="37.5" customHeight="1" x14ac:dyDescent="0.2">
      <c r="A50" s="1016" t="s">
        <v>601</v>
      </c>
      <c r="B50" s="1016"/>
      <c r="C50" s="1016"/>
      <c r="D50" s="1016"/>
      <c r="E50" s="1016"/>
      <c r="F50" s="1016"/>
      <c r="G50" s="1016"/>
      <c r="H50" s="1016"/>
      <c r="I50" s="1016"/>
    </row>
    <row r="51" spans="1:9" x14ac:dyDescent="0.2">
      <c r="A51" s="270"/>
      <c r="B51" s="270"/>
      <c r="C51" s="270"/>
      <c r="D51" s="270"/>
      <c r="E51" s="270"/>
      <c r="F51" s="270"/>
      <c r="G51" s="270"/>
      <c r="H51" s="270"/>
      <c r="I51" s="270"/>
    </row>
    <row r="52" spans="1:9" ht="24.75" customHeight="1" x14ac:dyDescent="0.2">
      <c r="A52" s="1043" t="s">
        <v>694</v>
      </c>
      <c r="B52" s="1043"/>
      <c r="C52" s="1043"/>
      <c r="D52" s="1043"/>
      <c r="E52" s="1043"/>
      <c r="F52" s="1043"/>
      <c r="G52" s="1043"/>
      <c r="H52" s="1043"/>
      <c r="I52" s="1043"/>
    </row>
    <row r="53" spans="1:9" ht="12.75" customHeight="1" x14ac:dyDescent="0.2">
      <c r="A53" s="427"/>
      <c r="B53" s="427"/>
      <c r="C53" s="427"/>
      <c r="D53" s="427"/>
      <c r="E53" s="427"/>
      <c r="F53" s="427"/>
      <c r="G53" s="427"/>
      <c r="H53" s="427"/>
      <c r="I53" s="427"/>
    </row>
    <row r="54" spans="1:9" ht="42" customHeight="1" x14ac:dyDescent="0.2">
      <c r="A54" s="1043" t="s">
        <v>600</v>
      </c>
      <c r="B54" s="1043"/>
      <c r="C54" s="1043"/>
      <c r="D54" s="1043"/>
      <c r="E54" s="1043"/>
      <c r="F54" s="1043"/>
      <c r="G54" s="1043"/>
      <c r="H54" s="1043"/>
      <c r="I54" s="1043"/>
    </row>
    <row r="55" spans="1:9" ht="12.75" customHeight="1" x14ac:dyDescent="0.2">
      <c r="A55" s="427"/>
      <c r="B55" s="427"/>
      <c r="C55" s="427"/>
      <c r="D55" s="427"/>
      <c r="E55" s="427"/>
      <c r="F55" s="427"/>
      <c r="G55" s="427"/>
      <c r="H55" s="427"/>
      <c r="I55" s="427"/>
    </row>
    <row r="56" spans="1:9" ht="26.25" customHeight="1" x14ac:dyDescent="0.2">
      <c r="A56" s="1043" t="s">
        <v>598</v>
      </c>
      <c r="B56" s="1043"/>
      <c r="C56" s="1043"/>
      <c r="D56" s="1043"/>
      <c r="E56" s="1043"/>
      <c r="F56" s="1043"/>
      <c r="G56" s="1043"/>
      <c r="H56" s="1043"/>
      <c r="I56" s="1043"/>
    </row>
    <row r="57" spans="1:9" x14ac:dyDescent="0.2">
      <c r="A57" s="297"/>
      <c r="B57" s="297"/>
      <c r="C57" s="297"/>
      <c r="D57" s="297"/>
      <c r="E57" s="297"/>
      <c r="F57" s="297"/>
      <c r="G57" s="297"/>
      <c r="H57" s="297"/>
      <c r="I57" s="297"/>
    </row>
    <row r="58" spans="1:9" ht="14.25" x14ac:dyDescent="0.2">
      <c r="A58" s="1028" t="s">
        <v>602</v>
      </c>
      <c r="B58" s="1029"/>
      <c r="C58" s="1029"/>
      <c r="D58" s="1029"/>
      <c r="E58" s="1029"/>
      <c r="F58" s="1029"/>
      <c r="G58" s="1029"/>
      <c r="H58" s="1029"/>
      <c r="I58" s="1029"/>
    </row>
    <row r="60" spans="1:9" x14ac:dyDescent="0.2">
      <c r="A60" s="1035" t="s">
        <v>597</v>
      </c>
      <c r="B60" s="1033"/>
      <c r="C60" s="1033"/>
      <c r="D60" s="1033"/>
      <c r="E60" s="1033"/>
      <c r="F60" s="1033"/>
      <c r="G60" s="1033"/>
      <c r="H60" s="1033"/>
      <c r="I60" s="1033"/>
    </row>
    <row r="62" spans="1:9" ht="24.75" customHeight="1" x14ac:dyDescent="0.2">
      <c r="A62" s="1044" t="s">
        <v>599</v>
      </c>
      <c r="B62" s="1044"/>
      <c r="C62" s="1044"/>
      <c r="D62" s="1044"/>
      <c r="E62" s="1044"/>
      <c r="F62" s="1044"/>
      <c r="G62" s="1044"/>
      <c r="H62" s="1044"/>
      <c r="I62" s="1044"/>
    </row>
    <row r="63" spans="1:9" x14ac:dyDescent="0.2">
      <c r="A63" s="88"/>
    </row>
    <row r="64" spans="1:9" x14ac:dyDescent="0.2">
      <c r="A64" s="68" t="s">
        <v>609</v>
      </c>
    </row>
  </sheetData>
  <mergeCells count="29">
    <mergeCell ref="A50:I50"/>
    <mergeCell ref="A54:I54"/>
    <mergeCell ref="A56:I56"/>
    <mergeCell ref="A62:I62"/>
    <mergeCell ref="A52:I52"/>
    <mergeCell ref="A58:I58"/>
    <mergeCell ref="A60:I60"/>
    <mergeCell ref="A47:I48"/>
    <mergeCell ref="A41:I41"/>
    <mergeCell ref="A43:I43"/>
    <mergeCell ref="A45:I45"/>
    <mergeCell ref="A35:I35"/>
    <mergeCell ref="A37:I37"/>
    <mergeCell ref="A39:I39"/>
    <mergeCell ref="A31:I31"/>
    <mergeCell ref="A33:I33"/>
    <mergeCell ref="A1:I1"/>
    <mergeCell ref="A2:I2"/>
    <mergeCell ref="A11:I14"/>
    <mergeCell ref="A24:I24"/>
    <mergeCell ref="A26:I26"/>
    <mergeCell ref="A18:I18"/>
    <mergeCell ref="A20:I20"/>
    <mergeCell ref="A4:I5"/>
    <mergeCell ref="A16:I16"/>
    <mergeCell ref="A9:I9"/>
    <mergeCell ref="A22:I22"/>
    <mergeCell ref="A7:I7"/>
    <mergeCell ref="A10:I10"/>
  </mergeCells>
  <phoneticPr fontId="2" type="noConversion"/>
  <pageMargins left="0.59055118110236227" right="0.59055118110236227" top="0.78740157480314965" bottom="0.78740157480314965" header="0.39370078740157483" footer="0.39370078740157483"/>
  <pageSetup paperSize="9" scale="83" firstPageNumber="108" fitToHeight="3" orientation="portrait" useFirstPageNumber="1" r:id="rId1"/>
  <headerFooter alignWithMargins="0">
    <oddHeader>&amp;R&amp;12Les finances des communes en 2024</oddHeader>
    <oddFooter>&amp;LDirection Générale des Collectivités Locales / DESL&amp;C&amp;P&amp;RMise en ligne : janvier 2026</oddFooter>
  </headerFooter>
  <rowBreaks count="1" manualBreakCount="1">
    <brk id="15" max="8"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O22"/>
  <sheetViews>
    <sheetView zoomScaleNormal="100" workbookViewId="0">
      <selection activeCell="L22" sqref="L22"/>
    </sheetView>
  </sheetViews>
  <sheetFormatPr baseColWidth="10" defaultRowHeight="12.75" x14ac:dyDescent="0.2"/>
  <sheetData>
    <row r="1" spans="1:15" ht="21" customHeight="1" x14ac:dyDescent="0.2">
      <c r="A1" s="1045" t="s">
        <v>423</v>
      </c>
      <c r="B1" s="1046"/>
      <c r="C1" s="1046"/>
      <c r="D1" s="1046"/>
      <c r="E1" s="1046"/>
      <c r="F1" s="1046"/>
      <c r="G1" s="1046"/>
      <c r="H1" s="1046"/>
      <c r="I1" s="1046"/>
    </row>
    <row r="3" spans="1:15" ht="26.25" customHeight="1" x14ac:dyDescent="0.2">
      <c r="A3" s="1047" t="s">
        <v>830</v>
      </c>
      <c r="B3" s="1047"/>
      <c r="C3" s="1047"/>
      <c r="D3" s="1047"/>
      <c r="E3" s="1047"/>
      <c r="F3" s="1047"/>
      <c r="G3" s="1047"/>
      <c r="H3" s="1047"/>
      <c r="I3" s="1047"/>
    </row>
    <row r="5" spans="1:15" ht="105" customHeight="1" x14ac:dyDescent="0.2">
      <c r="A5" s="1015" t="s">
        <v>341</v>
      </c>
      <c r="B5" s="1015"/>
      <c r="C5" s="1015"/>
      <c r="D5" s="1015"/>
      <c r="E5" s="1015"/>
      <c r="F5" s="1015"/>
      <c r="G5" s="1015"/>
      <c r="H5" s="1015"/>
      <c r="I5" s="1015"/>
    </row>
    <row r="6" spans="1:15" ht="246.75" customHeight="1" x14ac:dyDescent="0.2">
      <c r="A6" s="1015" t="s">
        <v>706</v>
      </c>
      <c r="B6" s="1015"/>
      <c r="C6" s="1015"/>
      <c r="D6" s="1015"/>
      <c r="E6" s="1015"/>
      <c r="F6" s="1015"/>
      <c r="G6" s="1015"/>
      <c r="H6" s="1015"/>
      <c r="I6" s="1015"/>
      <c r="J6" s="267"/>
      <c r="K6" s="267"/>
      <c r="L6" s="267"/>
      <c r="M6" s="267"/>
      <c r="N6" s="267"/>
      <c r="O6" s="267"/>
    </row>
    <row r="7" spans="1:15" ht="13.5" customHeight="1" x14ac:dyDescent="0.2">
      <c r="A7" s="300"/>
      <c r="B7" s="300"/>
      <c r="C7" s="300"/>
      <c r="D7" s="300"/>
      <c r="E7" s="300"/>
      <c r="F7" s="300"/>
      <c r="G7" s="68"/>
      <c r="H7" s="68"/>
      <c r="I7" s="68"/>
    </row>
    <row r="8" spans="1:15" ht="66" customHeight="1" x14ac:dyDescent="0.2">
      <c r="A8" s="1049" t="s">
        <v>354</v>
      </c>
      <c r="B8" s="1050"/>
      <c r="C8" s="1050"/>
      <c r="D8" s="1050"/>
      <c r="E8" s="1050"/>
      <c r="F8" s="1050"/>
      <c r="G8" s="1050"/>
      <c r="H8" s="1050"/>
      <c r="I8" s="1050"/>
    </row>
    <row r="10" spans="1:15" x14ac:dyDescent="0.2">
      <c r="A10" s="1048" t="s">
        <v>17</v>
      </c>
      <c r="B10" s="1048"/>
      <c r="C10" s="1048"/>
      <c r="D10" s="1048"/>
      <c r="E10" s="1048"/>
      <c r="F10" s="1048"/>
      <c r="G10" s="1048"/>
      <c r="H10" s="1048"/>
      <c r="I10" s="1048"/>
    </row>
    <row r="11" spans="1:15" x14ac:dyDescent="0.2">
      <c r="A11" s="68"/>
      <c r="B11" s="68"/>
      <c r="C11" s="68"/>
      <c r="D11" s="68"/>
      <c r="E11" s="68"/>
      <c r="F11" s="68"/>
      <c r="G11" s="68"/>
      <c r="H11" s="68"/>
      <c r="I11" s="68"/>
    </row>
    <row r="12" spans="1:15" ht="40.5" customHeight="1" x14ac:dyDescent="0.2">
      <c r="A12" s="1017" t="s">
        <v>338</v>
      </c>
      <c r="B12" s="1017"/>
      <c r="C12" s="1017"/>
      <c r="D12" s="1017"/>
      <c r="E12" s="1017"/>
      <c r="F12" s="1017"/>
      <c r="G12" s="1017"/>
      <c r="H12" s="1017"/>
      <c r="I12" s="1017"/>
    </row>
    <row r="13" spans="1:15" x14ac:dyDescent="0.2">
      <c r="A13" s="68"/>
      <c r="B13" s="68"/>
      <c r="C13" s="68"/>
      <c r="D13" s="68"/>
      <c r="E13" s="68"/>
      <c r="F13" s="68"/>
      <c r="G13" s="68"/>
      <c r="H13" s="68"/>
      <c r="I13" s="68"/>
    </row>
    <row r="14" spans="1:15" ht="53.25" customHeight="1" x14ac:dyDescent="0.2">
      <c r="A14" s="1017" t="s">
        <v>339</v>
      </c>
      <c r="B14" s="1017"/>
      <c r="C14" s="1017"/>
      <c r="D14" s="1017"/>
      <c r="E14" s="1017"/>
      <c r="F14" s="1017"/>
      <c r="G14" s="1017"/>
      <c r="H14" s="1017"/>
      <c r="I14" s="1017"/>
    </row>
    <row r="15" spans="1:15" x14ac:dyDescent="0.2">
      <c r="A15" s="68"/>
      <c r="B15" s="68"/>
      <c r="C15" s="68"/>
      <c r="D15" s="68"/>
      <c r="E15" s="68"/>
      <c r="F15" s="68"/>
      <c r="G15" s="68"/>
      <c r="H15" s="68"/>
      <c r="I15" s="68"/>
    </row>
    <row r="16" spans="1:15" ht="67.5" customHeight="1" x14ac:dyDescent="0.2">
      <c r="A16" s="1017" t="s">
        <v>340</v>
      </c>
      <c r="B16" s="1017"/>
      <c r="C16" s="1017"/>
      <c r="D16" s="1017"/>
      <c r="E16" s="1017"/>
      <c r="F16" s="1017"/>
      <c r="G16" s="1017"/>
      <c r="H16" s="1017"/>
      <c r="I16" s="1017"/>
    </row>
    <row r="17" spans="1:9" x14ac:dyDescent="0.2">
      <c r="A17" s="267"/>
      <c r="B17" s="267"/>
      <c r="C17" s="267"/>
      <c r="D17" s="267"/>
      <c r="E17" s="267"/>
      <c r="F17" s="267"/>
      <c r="G17" s="68"/>
      <c r="H17" s="68"/>
      <c r="I17" s="68"/>
    </row>
    <row r="18" spans="1:9" x14ac:dyDescent="0.2">
      <c r="A18" s="267"/>
      <c r="B18" s="267"/>
      <c r="C18" s="267"/>
      <c r="D18" s="267"/>
      <c r="E18" s="267"/>
      <c r="F18" s="267"/>
      <c r="G18" s="68"/>
      <c r="H18" s="68"/>
      <c r="I18" s="68"/>
    </row>
    <row r="22" spans="1:9" x14ac:dyDescent="0.2">
      <c r="A22" s="68"/>
    </row>
  </sheetData>
  <mergeCells count="9">
    <mergeCell ref="A16:I16"/>
    <mergeCell ref="A1:I1"/>
    <mergeCell ref="A3:I3"/>
    <mergeCell ref="A10:I10"/>
    <mergeCell ref="A12:I12"/>
    <mergeCell ref="A14:I14"/>
    <mergeCell ref="A5:I5"/>
    <mergeCell ref="A8:I8"/>
    <mergeCell ref="A6:I6"/>
  </mergeCells>
  <pageMargins left="0.51181102362204722" right="0.51181102362204722" top="0.74803149606299213" bottom="0.74803149606299213" header="0.31496062992125984" footer="0.31496062992125984"/>
  <pageSetup paperSize="9" scale="86" firstPageNumber="110" orientation="portrait" useFirstPageNumber="1" r:id="rId1"/>
  <headerFooter>
    <oddHeader>&amp;R&amp;12Les finances des communes en 2024</oddHeader>
    <oddFooter xml:space="preserve">&amp;LDirection Générale des Collectivités Locales / DESL&amp;C&amp;P&amp;RMise en ligne : janvier 2026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30"/>
  <sheetViews>
    <sheetView zoomScaleNormal="100" workbookViewId="0">
      <selection activeCell="P20" sqref="P20"/>
    </sheetView>
  </sheetViews>
  <sheetFormatPr baseColWidth="10" defaultRowHeight="12.75" x14ac:dyDescent="0.2"/>
  <sheetData>
    <row r="1" spans="1:9" ht="21" customHeight="1" x14ac:dyDescent="0.2">
      <c r="A1" s="1045" t="s">
        <v>424</v>
      </c>
      <c r="B1" s="1046"/>
      <c r="C1" s="1046"/>
      <c r="D1" s="1046"/>
      <c r="E1" s="1046"/>
      <c r="F1" s="1046"/>
      <c r="G1" s="1046"/>
      <c r="H1" s="1046"/>
      <c r="I1" s="1046"/>
    </row>
    <row r="3" spans="1:9" s="68" customFormat="1" ht="12.75" customHeight="1" x14ac:dyDescent="0.2">
      <c r="A3" s="305" t="s">
        <v>206</v>
      </c>
    </row>
    <row r="4" spans="1:9" s="68" customFormat="1" ht="72" customHeight="1" x14ac:dyDescent="0.2">
      <c r="A4" s="1021" t="s">
        <v>207</v>
      </c>
      <c r="B4" s="1021"/>
      <c r="C4" s="1021"/>
      <c r="D4" s="1021"/>
      <c r="E4" s="1021"/>
      <c r="F4" s="1021"/>
      <c r="G4" s="1021"/>
      <c r="H4" s="1021"/>
      <c r="I4" s="1021"/>
    </row>
    <row r="5" spans="1:9" s="68" customFormat="1" ht="12.75" customHeight="1" x14ac:dyDescent="0.3">
      <c r="A5" s="233"/>
    </row>
    <row r="6" spans="1:9" s="68" customFormat="1" ht="42.75" customHeight="1" x14ac:dyDescent="0.2">
      <c r="A6" s="1022" t="s">
        <v>343</v>
      </c>
      <c r="B6" s="1022"/>
      <c r="C6" s="1022"/>
      <c r="D6" s="1022"/>
      <c r="E6" s="1022"/>
      <c r="F6" s="1022"/>
      <c r="G6" s="1022"/>
      <c r="H6" s="1022"/>
      <c r="I6" s="1022"/>
    </row>
    <row r="7" spans="1:9" s="68" customFormat="1" ht="12.75" customHeight="1" x14ac:dyDescent="0.3">
      <c r="A7" s="233"/>
    </row>
    <row r="8" spans="1:9" s="68" customFormat="1" ht="40.5" customHeight="1" x14ac:dyDescent="0.2">
      <c r="A8" s="1023" t="s">
        <v>603</v>
      </c>
      <c r="B8" s="1023"/>
      <c r="C8" s="1023"/>
      <c r="D8" s="1023"/>
      <c r="E8" s="1023"/>
      <c r="F8" s="1023"/>
      <c r="G8" s="1023"/>
      <c r="H8" s="1023"/>
      <c r="I8" s="1023"/>
    </row>
    <row r="9" spans="1:9" s="68" customFormat="1" ht="12.75" customHeight="1" x14ac:dyDescent="0.2">
      <c r="A9" s="301"/>
    </row>
    <row r="10" spans="1:9" s="68" customFormat="1" ht="12.75" customHeight="1" x14ac:dyDescent="0.2">
      <c r="A10" s="1023" t="s">
        <v>696</v>
      </c>
      <c r="B10" s="1023"/>
      <c r="C10" s="1023"/>
      <c r="D10" s="1023"/>
      <c r="E10" s="1023"/>
      <c r="F10" s="1023"/>
      <c r="G10" s="1023"/>
      <c r="H10" s="1023"/>
      <c r="I10" s="1023"/>
    </row>
    <row r="11" spans="1:9" s="68" customFormat="1" ht="12.75" customHeight="1" x14ac:dyDescent="0.2">
      <c r="A11" s="302"/>
      <c r="B11" s="302"/>
      <c r="C11" s="302"/>
      <c r="D11" s="302"/>
      <c r="E11" s="302"/>
      <c r="F11" s="302"/>
    </row>
    <row r="12" spans="1:9" s="68" customFormat="1" ht="32.25" customHeight="1" x14ac:dyDescent="0.2">
      <c r="A12" s="1023" t="s">
        <v>344</v>
      </c>
      <c r="B12" s="1023"/>
      <c r="C12" s="1023"/>
      <c r="D12" s="1023"/>
      <c r="E12" s="1023"/>
      <c r="F12" s="1023"/>
      <c r="G12" s="1023"/>
      <c r="H12" s="1023"/>
      <c r="I12" s="1023"/>
    </row>
    <row r="13" spans="1:9" s="68" customFormat="1" ht="12.75" customHeight="1" x14ac:dyDescent="0.2">
      <c r="A13" s="303"/>
    </row>
    <row r="14" spans="1:9" s="68" customFormat="1" ht="44.25" customHeight="1" x14ac:dyDescent="0.2">
      <c r="A14" s="1023" t="s">
        <v>345</v>
      </c>
      <c r="B14" s="1023"/>
      <c r="C14" s="1023"/>
      <c r="D14" s="1023"/>
      <c r="E14" s="1023"/>
      <c r="F14" s="1023"/>
      <c r="G14" s="1023"/>
      <c r="H14" s="1023"/>
      <c r="I14" s="1023"/>
    </row>
    <row r="15" spans="1:9" s="68" customFormat="1" ht="12.75" customHeight="1" x14ac:dyDescent="0.2">
      <c r="A15" s="303"/>
    </row>
    <row r="16" spans="1:9" s="68" customFormat="1" ht="69.75" customHeight="1" x14ac:dyDescent="0.2">
      <c r="A16" s="1023" t="s">
        <v>695</v>
      </c>
      <c r="B16" s="1023"/>
      <c r="C16" s="1023"/>
      <c r="D16" s="1023"/>
      <c r="E16" s="1023"/>
      <c r="F16" s="1023"/>
      <c r="G16" s="1023"/>
      <c r="H16" s="1023"/>
      <c r="I16" s="1023"/>
    </row>
    <row r="17" spans="1:9" s="68" customFormat="1" ht="12.75" customHeight="1" x14ac:dyDescent="0.2">
      <c r="A17" s="301"/>
    </row>
    <row r="18" spans="1:9" s="68" customFormat="1" ht="29.25" customHeight="1" x14ac:dyDescent="0.2">
      <c r="A18" s="1023" t="s">
        <v>346</v>
      </c>
      <c r="B18" s="1023"/>
      <c r="C18" s="1023"/>
      <c r="D18" s="1023"/>
      <c r="E18" s="1023"/>
      <c r="F18" s="1023"/>
      <c r="G18" s="1023"/>
      <c r="H18" s="1023"/>
      <c r="I18" s="1023"/>
    </row>
    <row r="19" spans="1:9" s="68" customFormat="1" ht="12.75" customHeight="1" x14ac:dyDescent="0.2">
      <c r="A19" s="304"/>
    </row>
    <row r="20" spans="1:9" s="68" customFormat="1" ht="29.25" customHeight="1" x14ac:dyDescent="0.2">
      <c r="A20" s="1023" t="s">
        <v>367</v>
      </c>
      <c r="B20" s="1023"/>
      <c r="C20" s="1023"/>
      <c r="D20" s="1023"/>
      <c r="E20" s="1023"/>
      <c r="F20" s="1023"/>
      <c r="G20" s="1023"/>
      <c r="H20" s="1023"/>
      <c r="I20" s="1023"/>
    </row>
    <row r="21" spans="1:9" s="68" customFormat="1" ht="12.75" customHeight="1" x14ac:dyDescent="0.2">
      <c r="A21" s="304"/>
    </row>
    <row r="22" spans="1:9" s="68" customFormat="1" ht="35.25" customHeight="1" x14ac:dyDescent="0.2">
      <c r="A22" s="1023" t="s">
        <v>347</v>
      </c>
      <c r="B22" s="1023"/>
      <c r="C22" s="1023"/>
      <c r="D22" s="1023"/>
      <c r="E22" s="1023"/>
      <c r="F22" s="1023"/>
      <c r="G22" s="1023"/>
      <c r="H22" s="1023"/>
      <c r="I22" s="1023"/>
    </row>
    <row r="23" spans="1:9" s="68" customFormat="1" ht="12" customHeight="1" x14ac:dyDescent="0.2">
      <c r="A23" s="302"/>
      <c r="B23" s="302"/>
      <c r="C23" s="302"/>
      <c r="D23" s="302"/>
      <c r="E23" s="302"/>
      <c r="F23" s="302"/>
      <c r="G23" s="302"/>
      <c r="H23" s="302"/>
      <c r="I23" s="302"/>
    </row>
    <row r="24" spans="1:9" s="68" customFormat="1" ht="78.75" customHeight="1" x14ac:dyDescent="0.2">
      <c r="A24" s="1023" t="s">
        <v>643</v>
      </c>
      <c r="B24" s="1023"/>
      <c r="C24" s="1023"/>
      <c r="D24" s="1023"/>
      <c r="E24" s="1023"/>
      <c r="F24" s="1023"/>
      <c r="G24" s="1023"/>
      <c r="H24" s="1023"/>
      <c r="I24" s="1023"/>
    </row>
    <row r="25" spans="1:9" s="68" customFormat="1" ht="12.75" customHeight="1" x14ac:dyDescent="0.2">
      <c r="A25" s="304"/>
    </row>
    <row r="26" spans="1:9" s="68" customFormat="1" ht="44.25" customHeight="1" x14ac:dyDescent="0.2">
      <c r="A26" s="1023" t="s">
        <v>542</v>
      </c>
      <c r="B26" s="1023"/>
      <c r="C26" s="1023"/>
      <c r="D26" s="1023"/>
      <c r="E26" s="1023"/>
      <c r="F26" s="1023"/>
      <c r="G26" s="1023"/>
      <c r="H26" s="1023"/>
      <c r="I26" s="1023"/>
    </row>
    <row r="27" spans="1:9" s="68" customFormat="1" ht="12.75" customHeight="1" x14ac:dyDescent="0.2">
      <c r="A27" s="304"/>
    </row>
    <row r="28" spans="1:9" s="68" customFormat="1" ht="29.25" customHeight="1" x14ac:dyDescent="0.2">
      <c r="A28" s="1023" t="s">
        <v>348</v>
      </c>
      <c r="B28" s="1023"/>
      <c r="C28" s="1023"/>
      <c r="D28" s="1023"/>
      <c r="E28" s="1023"/>
      <c r="F28" s="1023"/>
      <c r="G28" s="1023"/>
      <c r="H28" s="1023"/>
      <c r="I28" s="1023"/>
    </row>
    <row r="30" spans="1:9" ht="26.25" customHeight="1" x14ac:dyDescent="0.2">
      <c r="A30" s="1051" t="s">
        <v>604</v>
      </c>
      <c r="B30" s="1052"/>
      <c r="C30" s="1052"/>
      <c r="D30" s="1052"/>
      <c r="E30" s="1052"/>
      <c r="F30" s="1052"/>
      <c r="G30" s="1052"/>
      <c r="H30" s="1052"/>
      <c r="I30" s="1053"/>
    </row>
  </sheetData>
  <mergeCells count="15">
    <mergeCell ref="A30:I30"/>
    <mergeCell ref="A28:I28"/>
    <mergeCell ref="A1:I1"/>
    <mergeCell ref="A4:I4"/>
    <mergeCell ref="A6:I6"/>
    <mergeCell ref="A8:I8"/>
    <mergeCell ref="A10:I10"/>
    <mergeCell ref="A12:I12"/>
    <mergeCell ref="A14:I14"/>
    <mergeCell ref="A16:I16"/>
    <mergeCell ref="A18:I18"/>
    <mergeCell ref="A20:I20"/>
    <mergeCell ref="A22:I22"/>
    <mergeCell ref="A24:I24"/>
    <mergeCell ref="A26:I26"/>
  </mergeCells>
  <pageMargins left="0.51181102362204722" right="0.31496062992125984" top="0.74803149606299213" bottom="0.74803149606299213" header="0.31496062992125984" footer="0.31496062992125984"/>
  <pageSetup paperSize="9" scale="86" firstPageNumber="111" orientation="portrait" useFirstPageNumber="1" r:id="rId1"/>
  <headerFooter>
    <oddHeader>&amp;R&amp;12Les finances des communes en 2024</oddHeader>
    <oddFooter>&amp;LDirection Générale des Collectivités Locales / DESL&amp;C&amp;P&amp;RMise en ligne : janvier 2026</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33</vt:i4>
      </vt:variant>
      <vt:variant>
        <vt:lpstr>Plages nommées</vt:lpstr>
      </vt:variant>
      <vt:variant>
        <vt:i4>31</vt:i4>
      </vt:variant>
    </vt:vector>
  </HeadingPairs>
  <TitlesOfParts>
    <vt:vector size="64" baseType="lpstr">
      <vt:lpstr>Couv</vt:lpstr>
      <vt:lpstr>Index</vt:lpstr>
      <vt:lpstr>T 1.1</vt:lpstr>
      <vt:lpstr>T 1.2</vt:lpstr>
      <vt:lpstr>T 1.3</vt:lpstr>
      <vt:lpstr>T 1.4</vt:lpstr>
      <vt:lpstr>T 1.5</vt:lpstr>
      <vt:lpstr>T 2.1</vt:lpstr>
      <vt:lpstr>T 2.2</vt:lpstr>
      <vt:lpstr>T 2.3</vt:lpstr>
      <vt:lpstr>T 3</vt:lpstr>
      <vt:lpstr>T 4.1</vt:lpstr>
      <vt:lpstr>T 4.2</vt:lpstr>
      <vt:lpstr>T 4.3</vt:lpstr>
      <vt:lpstr>T 4.4</vt:lpstr>
      <vt:lpstr>T 4.5</vt:lpstr>
      <vt:lpstr>T 4.6</vt:lpstr>
      <vt:lpstr>T 4.7</vt:lpstr>
      <vt:lpstr>T 4.8</vt:lpstr>
      <vt:lpstr>T 4.9</vt:lpstr>
      <vt:lpstr>T 4.10</vt:lpstr>
      <vt:lpstr>T 5.1</vt:lpstr>
      <vt:lpstr>T 5.2</vt:lpstr>
      <vt:lpstr>T 5.3</vt:lpstr>
      <vt:lpstr>T 5.4</vt:lpstr>
      <vt:lpstr>T 5.5</vt:lpstr>
      <vt:lpstr>T 5.6</vt:lpstr>
      <vt:lpstr>T 6.1</vt:lpstr>
      <vt:lpstr>T 6.2</vt:lpstr>
      <vt:lpstr>T 6.3</vt:lpstr>
      <vt:lpstr>Annexe 1</vt:lpstr>
      <vt:lpstr>Annexe 2</vt:lpstr>
      <vt:lpstr>Annexe 3</vt:lpstr>
      <vt:lpstr>'Annexe 1'!Zone_d_impression</vt:lpstr>
      <vt:lpstr>Couv!Zone_d_impression</vt:lpstr>
      <vt:lpstr>Index!Zone_d_impression</vt:lpstr>
      <vt:lpstr>'T 1.1'!Zone_d_impression</vt:lpstr>
      <vt:lpstr>'T 1.2'!Zone_d_impression</vt:lpstr>
      <vt:lpstr>'T 1.3'!Zone_d_impression</vt:lpstr>
      <vt:lpstr>'T 1.4'!Zone_d_impression</vt:lpstr>
      <vt:lpstr>'T 1.5'!Zone_d_impression</vt:lpstr>
      <vt:lpstr>'T 2.1'!Zone_d_impression</vt:lpstr>
      <vt:lpstr>'T 2.2'!Zone_d_impression</vt:lpstr>
      <vt:lpstr>'T 2.3'!Zone_d_impression</vt:lpstr>
      <vt:lpstr>'T 3'!Zone_d_impression</vt:lpstr>
      <vt:lpstr>'T 4.1'!Zone_d_impression</vt:lpstr>
      <vt:lpstr>'T 4.10'!Zone_d_impression</vt:lpstr>
      <vt:lpstr>'T 4.2'!Zone_d_impression</vt:lpstr>
      <vt:lpstr>'T 4.3'!Zone_d_impression</vt:lpstr>
      <vt:lpstr>'T 4.4'!Zone_d_impression</vt:lpstr>
      <vt:lpstr>'T 4.5'!Zone_d_impression</vt:lpstr>
      <vt:lpstr>'T 4.6'!Zone_d_impression</vt:lpstr>
      <vt:lpstr>'T 4.7'!Zone_d_impression</vt:lpstr>
      <vt:lpstr>'T 4.8'!Zone_d_impression</vt:lpstr>
      <vt:lpstr>'T 4.9'!Zone_d_impression</vt:lpstr>
      <vt:lpstr>'T 5.1'!Zone_d_impression</vt:lpstr>
      <vt:lpstr>'T 5.2'!Zone_d_impression</vt:lpstr>
      <vt:lpstr>'T 5.3'!Zone_d_impression</vt:lpstr>
      <vt:lpstr>'T 5.4'!Zone_d_impression</vt:lpstr>
      <vt:lpstr>'T 5.5'!Zone_d_impression</vt:lpstr>
      <vt:lpstr>'T 5.6'!Zone_d_impression</vt:lpstr>
      <vt:lpstr>'T 6.1'!Zone_d_impression</vt:lpstr>
      <vt:lpstr>'T 6.2'!Zone_d_impression</vt:lpstr>
      <vt:lpstr>'T 6.3'!Zone_d_impression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LEFORESTIER</dc:creator>
  <cp:lastModifiedBy>DE LAPASSE Benoit</cp:lastModifiedBy>
  <cp:lastPrinted>2026-01-28T10:06:12Z</cp:lastPrinted>
  <dcterms:created xsi:type="dcterms:W3CDTF">2012-01-25T10:12:26Z</dcterms:created>
  <dcterms:modified xsi:type="dcterms:W3CDTF">2026-01-28T10:11:28Z</dcterms:modified>
</cp:coreProperties>
</file>