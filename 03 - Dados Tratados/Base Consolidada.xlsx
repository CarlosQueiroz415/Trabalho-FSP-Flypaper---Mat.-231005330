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arlo\OneDrive\Área de Trabalho\P2 - FSP\Programação de dados\Repositorio_Flypaper_Auditado_Entrega v2\03 - Dados Tratados\"/>
    </mc:Choice>
  </mc:AlternateContent>
  <xr:revisionPtr revIDLastSave="0" documentId="13_ncr:1_{C5BE3D58-DC0A-4702-8C0E-283861FE0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Original" sheetId="2" r:id="rId1"/>
    <sheet name="Base_Auditada" sheetId="3" r:id="rId2"/>
    <sheet name="Reconciliacao_Externa" sheetId="4" r:id="rId3"/>
    <sheet name="Dicionario" sheetId="5" r:id="rId4"/>
    <sheet name="Font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S31" i="3"/>
  <c r="R31" i="3"/>
  <c r="Q31" i="3"/>
  <c r="P31" i="3"/>
  <c r="L31" i="3"/>
  <c r="K31" i="3"/>
  <c r="J31" i="3"/>
  <c r="I31" i="3"/>
  <c r="S30" i="3"/>
  <c r="R30" i="3"/>
  <c r="Q30" i="3"/>
  <c r="P30" i="3"/>
  <c r="L30" i="3"/>
  <c r="K30" i="3"/>
  <c r="J30" i="3"/>
  <c r="I30" i="3"/>
  <c r="S29" i="3"/>
  <c r="R29" i="3"/>
  <c r="Q29" i="3"/>
  <c r="P29" i="3"/>
  <c r="L29" i="3"/>
  <c r="K29" i="3"/>
  <c r="J29" i="3"/>
  <c r="I29" i="3"/>
  <c r="S28" i="3"/>
  <c r="R28" i="3"/>
  <c r="Q28" i="3"/>
  <c r="P28" i="3"/>
  <c r="L28" i="3"/>
  <c r="K28" i="3"/>
  <c r="J28" i="3"/>
  <c r="I28" i="3"/>
  <c r="S27" i="3"/>
  <c r="R27" i="3"/>
  <c r="Q27" i="3"/>
  <c r="P27" i="3"/>
  <c r="L27" i="3"/>
  <c r="K27" i="3"/>
  <c r="J27" i="3"/>
  <c r="I27" i="3"/>
  <c r="S26" i="3"/>
  <c r="R26" i="3"/>
  <c r="Q26" i="3"/>
  <c r="P26" i="3"/>
  <c r="L26" i="3"/>
  <c r="K26" i="3"/>
  <c r="J26" i="3"/>
  <c r="I26" i="3"/>
  <c r="S25" i="3"/>
  <c r="R25" i="3"/>
  <c r="Q25" i="3"/>
  <c r="P25" i="3"/>
  <c r="L25" i="3"/>
  <c r="K25" i="3"/>
  <c r="J25" i="3"/>
  <c r="I25" i="3"/>
  <c r="S24" i="3"/>
  <c r="R24" i="3"/>
  <c r="Q24" i="3"/>
  <c r="P24" i="3"/>
  <c r="L24" i="3"/>
  <c r="K24" i="3"/>
  <c r="J24" i="3"/>
  <c r="I24" i="3"/>
  <c r="S23" i="3"/>
  <c r="R23" i="3"/>
  <c r="Q23" i="3"/>
  <c r="P23" i="3"/>
  <c r="L23" i="3"/>
  <c r="K23" i="3"/>
  <c r="J23" i="3"/>
  <c r="I23" i="3"/>
  <c r="S22" i="3"/>
  <c r="R22" i="3"/>
  <c r="Q22" i="3"/>
  <c r="P22" i="3"/>
  <c r="L22" i="3"/>
  <c r="K22" i="3"/>
  <c r="J22" i="3"/>
  <c r="I22" i="3"/>
  <c r="S21" i="3"/>
  <c r="R21" i="3"/>
  <c r="Q21" i="3"/>
  <c r="P21" i="3"/>
  <c r="L21" i="3"/>
  <c r="K21" i="3"/>
  <c r="J21" i="3"/>
  <c r="I21" i="3"/>
  <c r="S20" i="3"/>
  <c r="R20" i="3"/>
  <c r="Q20" i="3"/>
  <c r="P20" i="3"/>
  <c r="L20" i="3"/>
  <c r="K20" i="3"/>
  <c r="J20" i="3"/>
  <c r="I20" i="3"/>
  <c r="S19" i="3"/>
  <c r="R19" i="3"/>
  <c r="Q19" i="3"/>
  <c r="P19" i="3"/>
  <c r="L19" i="3"/>
  <c r="K19" i="3"/>
  <c r="J19" i="3"/>
  <c r="I19" i="3"/>
  <c r="S18" i="3"/>
  <c r="R18" i="3"/>
  <c r="Q18" i="3"/>
  <c r="P18" i="3"/>
  <c r="L18" i="3"/>
  <c r="K18" i="3"/>
  <c r="J18" i="3"/>
  <c r="I18" i="3"/>
  <c r="S17" i="3"/>
  <c r="R17" i="3"/>
  <c r="Q17" i="3"/>
  <c r="P17" i="3"/>
  <c r="L17" i="3"/>
  <c r="K17" i="3"/>
  <c r="J17" i="3"/>
  <c r="I17" i="3"/>
  <c r="S16" i="3"/>
  <c r="R16" i="3"/>
  <c r="Q16" i="3"/>
  <c r="P16" i="3"/>
  <c r="L16" i="3"/>
  <c r="K16" i="3"/>
  <c r="J16" i="3"/>
  <c r="I16" i="3"/>
  <c r="S15" i="3"/>
  <c r="R15" i="3"/>
  <c r="Q15" i="3"/>
  <c r="P15" i="3"/>
  <c r="L15" i="3"/>
  <c r="K15" i="3"/>
  <c r="J15" i="3"/>
  <c r="I15" i="3"/>
  <c r="S14" i="3"/>
  <c r="R14" i="3"/>
  <c r="Q14" i="3"/>
  <c r="P14" i="3"/>
  <c r="L14" i="3"/>
  <c r="K14" i="3"/>
  <c r="J14" i="3"/>
  <c r="I14" i="3"/>
  <c r="S13" i="3"/>
  <c r="R13" i="3"/>
  <c r="Q13" i="3"/>
  <c r="P13" i="3"/>
  <c r="L13" i="3"/>
  <c r="K13" i="3"/>
  <c r="J13" i="3"/>
  <c r="I13" i="3"/>
  <c r="S12" i="3"/>
  <c r="R12" i="3"/>
  <c r="Q12" i="3"/>
  <c r="P12" i="3"/>
  <c r="L12" i="3"/>
  <c r="K12" i="3"/>
  <c r="J12" i="3"/>
  <c r="I12" i="3"/>
  <c r="S11" i="3"/>
  <c r="R11" i="3"/>
  <c r="Q11" i="3"/>
  <c r="P11" i="3"/>
  <c r="L11" i="3"/>
  <c r="K11" i="3"/>
  <c r="J11" i="3"/>
  <c r="I11" i="3"/>
  <c r="S10" i="3"/>
  <c r="R10" i="3"/>
  <c r="Q10" i="3"/>
  <c r="P10" i="3"/>
  <c r="L10" i="3"/>
  <c r="K10" i="3"/>
  <c r="J10" i="3"/>
  <c r="I10" i="3"/>
  <c r="S9" i="3"/>
  <c r="R9" i="3"/>
  <c r="Q9" i="3"/>
  <c r="P9" i="3"/>
  <c r="L9" i="3"/>
  <c r="K9" i="3"/>
  <c r="J9" i="3"/>
  <c r="I9" i="3"/>
  <c r="S8" i="3"/>
  <c r="R8" i="3"/>
  <c r="Q8" i="3"/>
  <c r="P8" i="3"/>
  <c r="L8" i="3"/>
  <c r="K8" i="3"/>
  <c r="J8" i="3"/>
  <c r="I8" i="3"/>
  <c r="S7" i="3"/>
  <c r="R7" i="3"/>
  <c r="Q7" i="3"/>
  <c r="P7" i="3"/>
  <c r="L7" i="3"/>
  <c r="K7" i="3"/>
  <c r="J7" i="3"/>
  <c r="I7" i="3"/>
  <c r="S6" i="3"/>
  <c r="R6" i="3"/>
  <c r="Q6" i="3"/>
  <c r="P6" i="3"/>
  <c r="L6" i="3"/>
  <c r="K6" i="3"/>
  <c r="J6" i="3"/>
  <c r="I6" i="3"/>
  <c r="S5" i="3"/>
  <c r="R5" i="3"/>
  <c r="Q5" i="3"/>
  <c r="P5" i="3"/>
  <c r="L5" i="3"/>
  <c r="K5" i="3"/>
  <c r="J5" i="3"/>
  <c r="I5" i="3"/>
  <c r="S4" i="3"/>
  <c r="R4" i="3"/>
  <c r="Q4" i="3"/>
  <c r="P4" i="3"/>
  <c r="L4" i="3"/>
  <c r="K4" i="3"/>
  <c r="J4" i="3"/>
  <c r="I4" i="3"/>
  <c r="S3" i="3"/>
  <c r="R3" i="3"/>
  <c r="Q3" i="3"/>
  <c r="P3" i="3"/>
  <c r="L3" i="3"/>
  <c r="K3" i="3"/>
  <c r="J3" i="3"/>
  <c r="I3" i="3"/>
  <c r="S2" i="3"/>
  <c r="R2" i="3"/>
  <c r="Q2" i="3"/>
  <c r="P2" i="3"/>
  <c r="L2" i="3"/>
  <c r="K2" i="3"/>
  <c r="J2" i="3"/>
  <c r="I2" i="3"/>
</calcChain>
</file>

<file path=xl/sharedStrings.xml><?xml version="1.0" encoding="utf-8"?>
<sst xmlns="http://schemas.openxmlformats.org/spreadsheetml/2006/main" count="309" uniqueCount="98">
  <si>
    <t>unidade</t>
  </si>
  <si>
    <t>ano</t>
  </si>
  <si>
    <t>despesa_total</t>
  </si>
  <si>
    <t>receita_tributaria</t>
  </si>
  <si>
    <t>transf_correntes</t>
  </si>
  <si>
    <t>royalties_compens_total</t>
  </si>
  <si>
    <t>populacao_ibge</t>
  </si>
  <si>
    <t>pib_reais</t>
  </si>
  <si>
    <t>Rio de Janeiro</t>
  </si>
  <si>
    <t>Niterói</t>
  </si>
  <si>
    <t>França</t>
  </si>
  <si>
    <t>Unidade</t>
  </si>
  <si>
    <t>Ano</t>
  </si>
  <si>
    <t>Moeda</t>
  </si>
  <si>
    <t>Despesa nominal</t>
  </si>
  <si>
    <t>Tributos próprios nominal</t>
  </si>
  <si>
    <t>Transferências correntes nominal</t>
  </si>
  <si>
    <t>Compensações petróleo nominal</t>
  </si>
  <si>
    <t>Fator usado (base 2023)</t>
  </si>
  <si>
    <t>Despesa real</t>
  </si>
  <si>
    <t>Tributos reais</t>
  </si>
  <si>
    <t>Transferências correntes reais</t>
  </si>
  <si>
    <t>Petróleo real</t>
  </si>
  <si>
    <t>População usada</t>
  </si>
  <si>
    <t>Fonte população / ressalva</t>
  </si>
  <si>
    <t>PIB nominal</t>
  </si>
  <si>
    <t>Despesa/PIB</t>
  </si>
  <si>
    <t>Petróleo/Despesa</t>
  </si>
  <si>
    <t>Tributos/Despesa</t>
  </si>
  <si>
    <t>Transferências correntes/Despesa</t>
  </si>
  <si>
    <t>Soma transf.+petróleo autorizada?</t>
  </si>
  <si>
    <t>Escopo da comparação</t>
  </si>
  <si>
    <t>BRL</t>
  </si>
  <si>
    <t>Estimativa recebida; método não identificado</t>
  </si>
  <si>
    <t>NÃO; risco de sobreposição e rubricas não conciliadas</t>
  </si>
  <si>
    <t>Município; despesa base precisa rubrica Siconfi</t>
  </si>
  <si>
    <t>Censo IBGE 2022; QUEBRA de série em relação às estimativas</t>
  </si>
  <si>
    <t>AUSENTE: não imputado</t>
  </si>
  <si>
    <t>EUR</t>
  </si>
  <si>
    <t>INSEE (alegado na base); aferir série</t>
  </si>
  <si>
    <t>Agregado nacional APUL; não commune</t>
  </si>
  <si>
    <t>Teste / rubrica</t>
  </si>
  <si>
    <t>Valor planilha</t>
  </si>
  <si>
    <t>Valor público</t>
  </si>
  <si>
    <t>Diferença planilha-público</t>
  </si>
  <si>
    <t>Diferença %</t>
  </si>
  <si>
    <t>Diagnóstico</t>
  </si>
  <si>
    <t>Fonte online</t>
  </si>
  <si>
    <t>Despesa bruta empenhada 2025 (IBGE)</t>
  </si>
  <si>
    <t>COINCIDE valor até centavos</t>
  </si>
  <si>
    <t>https://www.ibge.gov.br/cidades-e-estados/rj/rio-de-janeiro.html</t>
  </si>
  <si>
    <t>https://www.ibge.gov.br/cidades-e-estados/rj/niteroi.html</t>
  </si>
  <si>
    <t>PIB 2023 calculado por PIB per capita Censo</t>
  </si>
  <si>
    <t>APROXIMADO devido arredondamento PIB per capita</t>
  </si>
  <si>
    <t>Despesa APUL 2024 (INSEE)</t>
  </si>
  <si>
    <t>COINCIDE arredondamento 1 casa bilhão</t>
  </si>
  <si>
    <t>https://www.insee.fr/fr/statistiques/8574492</t>
  </si>
  <si>
    <t>Despesa APUL 2015 (INSEE)</t>
  </si>
  <si>
    <t>DIVERGÊNCIA; provável revisão de série; não harmonizada</t>
  </si>
  <si>
    <t>https://www.insee.fr/fr/statistiques/2121561</t>
  </si>
  <si>
    <t>Fator deflator IPC médio 2024 (INSEE)</t>
  </si>
  <si>
    <t>CORRIGIDO na Base_Auditada, mudança de 2,64% para 2,0%</t>
  </si>
  <si>
    <t>https://www.insee.fr/fr/statistiques/8330913</t>
  </si>
  <si>
    <t>População Censo 2022 (IBGE)</t>
  </si>
  <si>
    <t>INSERIDO como referência censitária</t>
  </si>
  <si>
    <t>Coluna</t>
  </si>
  <si>
    <t>Definição e ressalva</t>
  </si>
  <si>
    <t>Total reportado em base recebida; situação de empenho/liquidação/pagamento e códigos Siconfi precisam validação; França APUL contas nacionais.</t>
  </si>
  <si>
    <t>Municípios: receita tributária informada; França agregação fiscal não idêntica, não comparável em níveis.</t>
  </si>
  <si>
    <t>Série consolidada por unidade e ano, ainda sem detalhamento de modalidade e códigos contábeis; não somar ao petróleo sem conciliação por rubrica.</t>
  </si>
  <si>
    <t>Royalties/participação especial potencialmente misturados; separar por rubrica ANP após disponibilização dados originais; França não aplicável (NA).</t>
  </si>
  <si>
    <t>Fator 2023 = 1; demais conforme planilha, exceto IPC França 2024 corrigido pela média anual INSEE 2,0%.</t>
  </si>
  <si>
    <t>Despesa nominal × fator; moeda original em poder de compra de 2023.</t>
  </si>
  <si>
    <t>Compensações petróleo / despesa total nominal; exposição fiscal descritiva, NÃO índice Flypaper.</t>
  </si>
  <si>
    <t>Municípios: IBGE anos até 2023; França ausente.</t>
  </si>
  <si>
    <t>Valores originais mantidos, inseridos dados censitários oficiais 2022; quebras precisam consideração temporal.</t>
  </si>
  <si>
    <t>Período</t>
  </si>
  <si>
    <t>2015-2024. 2025 fica nos brutos como evidência adicional, sem entrar na janela analítica.</t>
  </si>
  <si>
    <t>Instituição</t>
  </si>
  <si>
    <t>Indicador</t>
  </si>
  <si>
    <t>URL</t>
  </si>
  <si>
    <t>IBGE</t>
  </si>
  <si>
    <t>Despesa municipal 2025, população 2022, PIB per capita 2023</t>
  </si>
  <si>
    <t>INSEE</t>
  </si>
  <si>
    <t>Contas nacionais APUL 2024</t>
  </si>
  <si>
    <t>Contas APUL 2015 (série publicada à época)</t>
  </si>
  <si>
    <t>IPC média anual França 2024</t>
  </si>
  <si>
    <t>IPCA médias anuais 2015-2024</t>
  </si>
  <si>
    <t>https://www.ibge.gov.br/estatisticas/economicas/precos-e-custos/9256-indice-nacional-de-precos-ao-consumidoramplo.html</t>
  </si>
  <si>
    <t>ANP</t>
  </si>
  <si>
    <t>Distribuição observada de royalties</t>
  </si>
  <si>
    <t>https://www.gov.br/anp/pt-br/assuntos/royalties-e-outras-participacoes/royalties</t>
  </si>
  <si>
    <t>Siconfi</t>
  </si>
  <si>
    <t>DCA 2023: rubricas demonstrativo receitas e despesas</t>
  </si>
  <si>
    <t>https://siconfi.tesouro.gov.br/siconfi/pages/public/arquivo/conteudo/2024_Regras_Gerais_e_Instrucoes_de_preenchimento_DCA_2023.pdf</t>
  </si>
  <si>
    <t>DGCL</t>
  </si>
  <si>
    <t>Contas das communes</t>
  </si>
  <si>
    <t>https://www.collectivites-locales.gouv.fr/etudes-et-statistiques/acces-aux-statistiques-par-thematique/budget/les-finances-locales-des-collectivites/finances-locales-des-communes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</si>
</sst>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19" customWidth="1"/>
    <col min="2" max="2" width="10" customWidth="1"/>
    <col min="3" max="3" width="20" customWidth="1"/>
    <col min="4" max="5" width="21" customWidth="1"/>
    <col min="6" max="6" width="23" customWidth="1"/>
    <col min="7" max="7" width="17" customWidth="1"/>
    <col min="8" max="8" width="2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customHeight="1">
      <c r="A2" t="s">
        <v>8</v>
      </c>
      <c r="B2">
        <v>2015</v>
      </c>
      <c r="C2" s="2">
        <v>27292597321.02</v>
      </c>
      <c r="D2" s="2">
        <v>9617789213.6299992</v>
      </c>
      <c r="E2" s="2">
        <v>7687905301.04</v>
      </c>
      <c r="F2" s="2">
        <v>209624119.05000001</v>
      </c>
      <c r="G2" s="3">
        <v>6476631</v>
      </c>
      <c r="H2" s="2">
        <v>320186615000</v>
      </c>
    </row>
    <row r="3" spans="1:8" ht="21" customHeight="1">
      <c r="A3" t="s">
        <v>8</v>
      </c>
      <c r="B3">
        <v>2016</v>
      </c>
      <c r="C3" s="2">
        <v>28879203466.810001</v>
      </c>
      <c r="D3" s="2">
        <v>9922153337.9599991</v>
      </c>
      <c r="E3" s="2">
        <v>7823605643.6499996</v>
      </c>
      <c r="F3" s="2">
        <v>191123861.72</v>
      </c>
      <c r="G3" s="3">
        <v>6498837</v>
      </c>
      <c r="H3" s="2">
        <v>328440481000</v>
      </c>
    </row>
    <row r="4" spans="1:8" ht="21" customHeight="1">
      <c r="A4" t="s">
        <v>8</v>
      </c>
      <c r="B4">
        <v>2017</v>
      </c>
      <c r="C4" s="2">
        <v>26572047257.880001</v>
      </c>
      <c r="D4" s="2">
        <v>9926930720.0400009</v>
      </c>
      <c r="E4" s="2">
        <v>7897068702.9399996</v>
      </c>
      <c r="F4" s="2">
        <v>336549102.42000002</v>
      </c>
      <c r="G4" s="3">
        <v>6520266</v>
      </c>
      <c r="H4" s="2">
        <v>337675255000</v>
      </c>
    </row>
    <row r="5" spans="1:8" ht="21" customHeight="1">
      <c r="A5" t="s">
        <v>8</v>
      </c>
      <c r="B5">
        <v>2018</v>
      </c>
      <c r="C5" s="2">
        <v>27842363790.130001</v>
      </c>
      <c r="D5" s="2">
        <v>11540445965.219999</v>
      </c>
      <c r="E5" s="2">
        <v>8992123014.7700005</v>
      </c>
      <c r="F5" s="2">
        <v>578506592.01999998</v>
      </c>
      <c r="G5" s="3">
        <v>6688927</v>
      </c>
      <c r="H5" s="2">
        <v>363403233000</v>
      </c>
    </row>
    <row r="6" spans="1:8" ht="21" customHeight="1">
      <c r="A6" t="s">
        <v>8</v>
      </c>
      <c r="B6">
        <v>2019</v>
      </c>
      <c r="C6" s="2">
        <v>30002061369.040001</v>
      </c>
      <c r="D6" s="2">
        <v>12843926491.32</v>
      </c>
      <c r="E6" s="2">
        <v>8954978050.9099998</v>
      </c>
      <c r="F6" s="2">
        <v>521066113.66000003</v>
      </c>
      <c r="G6" s="3">
        <v>6718903</v>
      </c>
      <c r="H6" s="2">
        <v>354932611000</v>
      </c>
    </row>
    <row r="7" spans="1:8" ht="21" customHeight="1">
      <c r="A7" t="s">
        <v>8</v>
      </c>
      <c r="B7">
        <v>2020</v>
      </c>
      <c r="C7" s="2">
        <v>30488990138.5</v>
      </c>
      <c r="D7" s="2">
        <v>12327306850.110001</v>
      </c>
      <c r="E7" s="2">
        <v>10580802633.309999</v>
      </c>
      <c r="F7" s="2">
        <v>587752690.01999998</v>
      </c>
      <c r="G7" s="3">
        <v>6747815</v>
      </c>
      <c r="H7" s="2">
        <v>331471515000</v>
      </c>
    </row>
    <row r="8" spans="1:8" ht="21" customHeight="1">
      <c r="A8" t="s">
        <v>8</v>
      </c>
      <c r="B8">
        <v>2021</v>
      </c>
      <c r="C8" s="2">
        <v>32441982485.189999</v>
      </c>
      <c r="D8" s="2">
        <v>14109674239.799999</v>
      </c>
      <c r="E8" s="2">
        <v>11976044910.83</v>
      </c>
      <c r="F8" s="2">
        <v>763469243.83999991</v>
      </c>
      <c r="G8" s="3">
        <v>6775561</v>
      </c>
      <c r="H8" s="2">
        <v>359632648000</v>
      </c>
    </row>
    <row r="9" spans="1:8" ht="21" customHeight="1">
      <c r="A9" t="s">
        <v>8</v>
      </c>
      <c r="B9">
        <v>2022</v>
      </c>
      <c r="C9" s="2">
        <v>38757833160.400002</v>
      </c>
      <c r="D9" s="2">
        <v>15088481969.9</v>
      </c>
      <c r="E9" s="2">
        <v>12306767679.42</v>
      </c>
      <c r="F9" s="2">
        <v>1328679525.27</v>
      </c>
      <c r="G9" s="3"/>
      <c r="H9" s="2">
        <v>380381515000</v>
      </c>
    </row>
    <row r="10" spans="1:8" ht="21" customHeight="1">
      <c r="A10" t="s">
        <v>8</v>
      </c>
      <c r="B10">
        <v>2023</v>
      </c>
      <c r="C10" s="2">
        <v>43242247097.540001</v>
      </c>
      <c r="D10" s="2">
        <v>16928033445.74</v>
      </c>
      <c r="E10" s="2">
        <v>12954135808.32</v>
      </c>
      <c r="F10" s="2">
        <v>860522227.86999989</v>
      </c>
      <c r="G10" s="3"/>
      <c r="H10" s="2">
        <v>418462360000</v>
      </c>
    </row>
    <row r="11" spans="1:8" ht="21" customHeight="1">
      <c r="A11" t="s">
        <v>8</v>
      </c>
      <c r="B11">
        <v>2024</v>
      </c>
      <c r="C11" s="2">
        <v>46313135940.900002</v>
      </c>
      <c r="D11" s="2">
        <v>17876279031.639999</v>
      </c>
      <c r="E11" s="2">
        <v>13999487930.1</v>
      </c>
      <c r="F11" s="2">
        <v>869529833.3900001</v>
      </c>
      <c r="G11" s="3">
        <v>6729894</v>
      </c>
      <c r="H11" s="2"/>
    </row>
    <row r="12" spans="1:8" ht="21" customHeight="1">
      <c r="A12" t="s">
        <v>8</v>
      </c>
      <c r="B12">
        <v>2025</v>
      </c>
      <c r="C12" s="2">
        <v>46433922387.739998</v>
      </c>
      <c r="D12" s="2">
        <v>19011714523.540001</v>
      </c>
      <c r="E12" s="2">
        <v>15625636168.719999</v>
      </c>
      <c r="F12" s="2">
        <v>896416274.57999992</v>
      </c>
      <c r="G12" s="3">
        <v>6730729</v>
      </c>
      <c r="H12" s="2"/>
    </row>
    <row r="13" spans="1:8" ht="21" customHeight="1">
      <c r="A13" t="s">
        <v>9</v>
      </c>
      <c r="B13">
        <v>2015</v>
      </c>
      <c r="C13" s="2">
        <v>1984173872.23</v>
      </c>
      <c r="D13" s="2">
        <v>714492251.78999996</v>
      </c>
      <c r="E13" s="2">
        <v>928646299.30999994</v>
      </c>
      <c r="F13" s="2">
        <v>251899403.93000001</v>
      </c>
      <c r="G13" s="3">
        <v>496696</v>
      </c>
      <c r="H13" s="2">
        <v>25496901000</v>
      </c>
    </row>
    <row r="14" spans="1:8" ht="21" customHeight="1">
      <c r="A14" t="s">
        <v>9</v>
      </c>
      <c r="B14">
        <v>2016</v>
      </c>
      <c r="C14" s="2">
        <v>2312265113.6500001</v>
      </c>
      <c r="D14" s="2">
        <v>755989304.97000003</v>
      </c>
      <c r="E14" s="2">
        <v>1011552196.15</v>
      </c>
      <c r="F14" s="2">
        <v>300236785.49000001</v>
      </c>
      <c r="G14" s="3">
        <v>497883</v>
      </c>
      <c r="H14" s="2">
        <v>23019309000</v>
      </c>
    </row>
    <row r="15" spans="1:8" ht="21" customHeight="1">
      <c r="A15" t="s">
        <v>9</v>
      </c>
      <c r="B15">
        <v>2017</v>
      </c>
      <c r="C15" s="2">
        <v>2462638231.3499999</v>
      </c>
      <c r="D15" s="2">
        <v>805281204.20000005</v>
      </c>
      <c r="E15" s="2">
        <v>1426053712.95</v>
      </c>
      <c r="F15" s="2">
        <v>632343994.32000005</v>
      </c>
      <c r="G15" s="3">
        <v>499028</v>
      </c>
      <c r="H15" s="2">
        <v>27489576000</v>
      </c>
    </row>
    <row r="16" spans="1:8" ht="21" customHeight="1">
      <c r="A16" t="s">
        <v>9</v>
      </c>
      <c r="B16">
        <v>2018</v>
      </c>
      <c r="C16" s="2">
        <v>2802918895.9400001</v>
      </c>
      <c r="D16" s="2">
        <v>857852698.72000003</v>
      </c>
      <c r="E16" s="2">
        <v>2211418757.8200002</v>
      </c>
      <c r="F16" s="2">
        <v>1281865831.6099999</v>
      </c>
      <c r="G16" s="3">
        <v>511786</v>
      </c>
      <c r="H16" s="2">
        <v>40376961000</v>
      </c>
    </row>
    <row r="17" spans="1:8" ht="21" customHeight="1">
      <c r="A17" t="s">
        <v>9</v>
      </c>
      <c r="B17">
        <v>2019</v>
      </c>
      <c r="C17" s="2">
        <v>3350419494.6599998</v>
      </c>
      <c r="D17" s="2">
        <v>971998097.29999995</v>
      </c>
      <c r="E17" s="2">
        <v>2344944070.5500002</v>
      </c>
      <c r="F17" s="2">
        <v>1386418424.9300001</v>
      </c>
      <c r="G17" s="3">
        <v>513584</v>
      </c>
      <c r="H17" s="2">
        <v>46549869000</v>
      </c>
    </row>
    <row r="18" spans="1:8" ht="21" customHeight="1">
      <c r="A18" t="s">
        <v>9</v>
      </c>
      <c r="B18">
        <v>2020</v>
      </c>
      <c r="C18" s="2">
        <v>3838515263.8400002</v>
      </c>
      <c r="D18" s="2">
        <v>957781750.29999995</v>
      </c>
      <c r="E18" s="2">
        <v>2419915462.79</v>
      </c>
      <c r="F18" s="2">
        <v>1267192882.02</v>
      </c>
      <c r="G18" s="3">
        <v>515317</v>
      </c>
      <c r="H18" s="2">
        <v>40975718000</v>
      </c>
    </row>
    <row r="19" spans="1:8" ht="21" customHeight="1">
      <c r="A19" t="s">
        <v>9</v>
      </c>
      <c r="B19">
        <v>2021</v>
      </c>
      <c r="C19" s="2">
        <v>4114112667.54</v>
      </c>
      <c r="D19" s="2">
        <v>1132806655.79</v>
      </c>
      <c r="E19" s="2">
        <v>3092951820.3800001</v>
      </c>
      <c r="F19" s="2">
        <v>1958918635.1800001</v>
      </c>
      <c r="G19" s="3">
        <v>516981</v>
      </c>
      <c r="H19" s="2">
        <v>66345488000</v>
      </c>
    </row>
    <row r="20" spans="1:8" ht="21" customHeight="1">
      <c r="A20" t="s">
        <v>9</v>
      </c>
      <c r="B20">
        <v>2022</v>
      </c>
      <c r="C20" s="2">
        <v>4865677114.3699999</v>
      </c>
      <c r="D20" s="2">
        <v>1321369386.24</v>
      </c>
      <c r="E20" s="2">
        <v>3976880089.1999998</v>
      </c>
      <c r="F20" s="2">
        <v>2667064212.0599999</v>
      </c>
      <c r="G20" s="3"/>
      <c r="H20" s="2">
        <v>88716289000</v>
      </c>
    </row>
    <row r="21" spans="1:8" ht="21" customHeight="1">
      <c r="A21" t="s">
        <v>9</v>
      </c>
      <c r="B21">
        <v>2023</v>
      </c>
      <c r="C21" s="2">
        <v>5303439599.54</v>
      </c>
      <c r="D21" s="2">
        <v>1501761771.24</v>
      </c>
      <c r="E21" s="2">
        <v>3731014551.02</v>
      </c>
      <c r="F21" s="2">
        <v>2346495079.9400001</v>
      </c>
      <c r="G21" s="3"/>
      <c r="H21" s="2">
        <v>76268005000</v>
      </c>
    </row>
    <row r="22" spans="1:8" ht="21" customHeight="1">
      <c r="A22" t="s">
        <v>9</v>
      </c>
      <c r="B22">
        <v>2024</v>
      </c>
      <c r="C22" s="2">
        <v>6060018447.6999998</v>
      </c>
      <c r="D22" s="2">
        <v>1669329948.95</v>
      </c>
      <c r="E22" s="2">
        <v>3816772301.8000002</v>
      </c>
      <c r="F22" s="2">
        <v>2319631040.3899999</v>
      </c>
      <c r="G22" s="3">
        <v>516720</v>
      </c>
      <c r="H22" s="2"/>
    </row>
    <row r="23" spans="1:8" ht="21" customHeight="1">
      <c r="A23" t="s">
        <v>9</v>
      </c>
      <c r="B23">
        <v>2025</v>
      </c>
      <c r="C23" s="2">
        <v>6765300174.8800001</v>
      </c>
      <c r="D23" s="2">
        <v>1854672167.7</v>
      </c>
      <c r="E23" s="2">
        <v>3868923395.9200001</v>
      </c>
      <c r="F23" s="2">
        <v>2236801578.1500001</v>
      </c>
      <c r="G23" s="3">
        <v>516787</v>
      </c>
      <c r="H23" s="2"/>
    </row>
    <row r="24" spans="1:8" ht="21" customHeight="1">
      <c r="A24" t="s">
        <v>10</v>
      </c>
      <c r="B24">
        <v>2015</v>
      </c>
      <c r="C24" s="2">
        <v>246161100000</v>
      </c>
      <c r="D24" s="2">
        <v>133874600000</v>
      </c>
      <c r="E24" s="2">
        <v>56969800000</v>
      </c>
      <c r="F24" s="2">
        <v>0</v>
      </c>
      <c r="G24" s="3">
        <v>66422469</v>
      </c>
      <c r="H24" s="2"/>
    </row>
    <row r="25" spans="1:8" ht="21" customHeight="1">
      <c r="A25" t="s">
        <v>10</v>
      </c>
      <c r="B25">
        <v>2016</v>
      </c>
      <c r="C25" s="2">
        <v>245295700000</v>
      </c>
      <c r="D25" s="2">
        <v>138244500000</v>
      </c>
      <c r="E25" s="2">
        <v>54645200000</v>
      </c>
      <c r="F25" s="2">
        <v>0</v>
      </c>
      <c r="G25" s="3">
        <v>66602645</v>
      </c>
      <c r="H25" s="2"/>
    </row>
    <row r="26" spans="1:8" ht="21" customHeight="1">
      <c r="A26" t="s">
        <v>10</v>
      </c>
      <c r="B26">
        <v>2017</v>
      </c>
      <c r="C26" s="2">
        <v>250770800000</v>
      </c>
      <c r="D26" s="2">
        <v>143853300000</v>
      </c>
      <c r="E26" s="2">
        <v>53249900000</v>
      </c>
      <c r="F26" s="2">
        <v>0</v>
      </c>
      <c r="G26" s="3">
        <v>66774482</v>
      </c>
      <c r="H26" s="2"/>
    </row>
    <row r="27" spans="1:8" ht="21" customHeight="1">
      <c r="A27" t="s">
        <v>10</v>
      </c>
      <c r="B27">
        <v>2018</v>
      </c>
      <c r="C27" s="2">
        <v>256030700000</v>
      </c>
      <c r="D27" s="2">
        <v>151302800000</v>
      </c>
      <c r="E27" s="2">
        <v>49355600000</v>
      </c>
      <c r="F27" s="2">
        <v>0</v>
      </c>
      <c r="G27" s="3">
        <v>66992159</v>
      </c>
      <c r="H27" s="2"/>
    </row>
    <row r="28" spans="1:8" ht="21" customHeight="1">
      <c r="A28" t="s">
        <v>10</v>
      </c>
      <c r="B28">
        <v>2019</v>
      </c>
      <c r="C28" s="2">
        <v>268690000000</v>
      </c>
      <c r="D28" s="2">
        <v>156237000000</v>
      </c>
      <c r="E28" s="2">
        <v>50781000000</v>
      </c>
      <c r="F28" s="2">
        <v>0</v>
      </c>
      <c r="G28" s="3">
        <v>67257982</v>
      </c>
      <c r="H28" s="2"/>
    </row>
    <row r="29" spans="1:8" ht="21" customHeight="1">
      <c r="A29" t="s">
        <v>10</v>
      </c>
      <c r="B29">
        <v>2020</v>
      </c>
      <c r="C29" s="2">
        <v>266297800000</v>
      </c>
      <c r="D29" s="2">
        <v>153994000000</v>
      </c>
      <c r="E29" s="2">
        <v>51784000000</v>
      </c>
      <c r="F29" s="2">
        <v>0</v>
      </c>
      <c r="G29" s="3">
        <v>67441850</v>
      </c>
      <c r="H29" s="2"/>
    </row>
    <row r="30" spans="1:8" ht="21" customHeight="1">
      <c r="A30" t="s">
        <v>10</v>
      </c>
      <c r="B30">
        <v>2021</v>
      </c>
      <c r="C30" s="2">
        <v>279450700000</v>
      </c>
      <c r="D30" s="2">
        <v>166200000000</v>
      </c>
      <c r="E30" s="2">
        <v>50740000000</v>
      </c>
      <c r="F30" s="2">
        <v>0</v>
      </c>
      <c r="G30" s="3">
        <v>67697091</v>
      </c>
      <c r="H30" s="2"/>
    </row>
    <row r="31" spans="1:8" ht="21" customHeight="1">
      <c r="A31" t="s">
        <v>10</v>
      </c>
      <c r="B31">
        <v>2022</v>
      </c>
      <c r="C31" s="2">
        <v>294959800000</v>
      </c>
      <c r="D31" s="2">
        <v>174357000000</v>
      </c>
      <c r="E31" s="2">
        <v>52002000000</v>
      </c>
      <c r="F31" s="2">
        <v>0</v>
      </c>
      <c r="G31" s="3">
        <v>68060207</v>
      </c>
      <c r="H31" s="2"/>
    </row>
    <row r="32" spans="1:8" ht="21" customHeight="1">
      <c r="A32" t="s">
        <v>10</v>
      </c>
      <c r="B32">
        <v>2023</v>
      </c>
      <c r="C32" s="2">
        <v>315732600000.00012</v>
      </c>
      <c r="D32" s="2">
        <v>179329000000</v>
      </c>
      <c r="E32" s="2">
        <v>53470000000</v>
      </c>
      <c r="F32" s="2">
        <v>0</v>
      </c>
      <c r="G32" s="3"/>
      <c r="H32" s="2"/>
    </row>
    <row r="33" spans="1:8" ht="21" customHeight="1">
      <c r="A33" t="s">
        <v>10</v>
      </c>
      <c r="B33">
        <v>2024</v>
      </c>
      <c r="C33" s="2">
        <v>329746600000</v>
      </c>
      <c r="D33" s="2">
        <v>184935000000</v>
      </c>
      <c r="E33" s="2">
        <v>50698000000</v>
      </c>
      <c r="F33" s="2">
        <v>0</v>
      </c>
      <c r="G33" s="3"/>
      <c r="H33" s="2"/>
    </row>
    <row r="34" spans="1:8" ht="21" customHeight="1">
      <c r="A34" t="s">
        <v>10</v>
      </c>
      <c r="B34">
        <v>2025</v>
      </c>
      <c r="C34" s="2">
        <v>335500000000</v>
      </c>
      <c r="D34" s="2">
        <v>191100000000</v>
      </c>
      <c r="E34" s="2">
        <v>50200000000</v>
      </c>
      <c r="F34" s="2">
        <v>0</v>
      </c>
      <c r="G34" s="3"/>
      <c r="H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2" width="10" customWidth="1"/>
    <col min="3" max="3" width="9" customWidth="1"/>
    <col min="4" max="4" width="21" customWidth="1"/>
    <col min="5" max="5" width="22" customWidth="1"/>
    <col min="6" max="6" width="25" customWidth="1"/>
    <col min="7" max="7" width="24" customWidth="1"/>
    <col min="8" max="8" width="16" customWidth="1"/>
    <col min="9" max="10" width="20" customWidth="1"/>
    <col min="11" max="11" width="23" customWidth="1"/>
    <col min="12" max="12" width="20" customWidth="1"/>
    <col min="13" max="13" width="16" customWidth="1"/>
    <col min="14" max="14" width="57" customWidth="1"/>
    <col min="15" max="15" width="23" customWidth="1"/>
    <col min="16" max="18" width="17" customWidth="1"/>
    <col min="19" max="19" width="21" customWidth="1"/>
    <col min="20" max="20" width="59" customWidth="1"/>
    <col min="21" max="21" width="50" customWidth="1"/>
  </cols>
  <sheetData>
    <row r="1" spans="1:21" ht="28.0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ht="21" customHeight="1">
      <c r="A2" t="s">
        <v>8</v>
      </c>
      <c r="B2">
        <v>2015</v>
      </c>
      <c r="C2" t="s">
        <v>32</v>
      </c>
      <c r="D2" s="2">
        <v>27292597321.02</v>
      </c>
      <c r="E2" s="2">
        <v>9617789213.6299992</v>
      </c>
      <c r="F2" s="2">
        <v>7687905301.04</v>
      </c>
      <c r="G2" s="2">
        <v>209624119.05000001</v>
      </c>
      <c r="H2" s="5">
        <v>1.545467710386198</v>
      </c>
      <c r="I2" s="2">
        <f t="shared" ref="I2:I31" si="0">IF(OR(D2="",H2=""),"",D2*H2)</f>
        <v>42179827892.209259</v>
      </c>
      <c r="J2" s="2">
        <f t="shared" ref="J2:J31" si="1">IF(OR(E2="",H2=""),"",E2*H2)</f>
        <v>14863982674.965826</v>
      </c>
      <c r="K2" s="2">
        <f t="shared" ref="K2:K31" si="2">IF(OR(F2="",H2=""),"",F2*H2)</f>
        <v>11881409403.264204</v>
      </c>
      <c r="L2" s="2">
        <f t="shared" ref="L2:L31" si="3">IF(OR(G2="",H2=""),"",G2*H2)</f>
        <v>323967307.30992728</v>
      </c>
      <c r="M2" s="3">
        <v>6476631</v>
      </c>
      <c r="N2" t="s">
        <v>33</v>
      </c>
      <c r="O2">
        <v>320186615000</v>
      </c>
      <c r="P2" s="4">
        <f t="shared" ref="P2:P31" si="4">IF(OR(D2="",O2="",O2=0),"",D2/O2)</f>
        <v>8.5239657257440329E-2</v>
      </c>
      <c r="Q2" s="4">
        <f t="shared" ref="Q2:Q31" si="5">IF(OR(G2="",D2="",D2=0),"",G2/D2)</f>
        <v>7.6806218398478817E-3</v>
      </c>
      <c r="R2" s="4">
        <f t="shared" ref="R2:R31" si="6">IF(OR(E2="",D2="",D2=0),"",E2/D2)</f>
        <v>0.35239552690804715</v>
      </c>
      <c r="S2" s="4">
        <f t="shared" ref="S2:S31" si="7">IF(OR(F2="",D2="",D2=0),"",F2/D2)</f>
        <v>0.28168463450413306</v>
      </c>
      <c r="T2" t="s">
        <v>34</v>
      </c>
      <c r="U2" t="s">
        <v>35</v>
      </c>
    </row>
    <row r="3" spans="1:21" ht="21" customHeight="1">
      <c r="A3" t="s">
        <v>8</v>
      </c>
      <c r="B3">
        <v>2016</v>
      </c>
      <c r="C3" t="s">
        <v>32</v>
      </c>
      <c r="D3" s="2">
        <v>28879203466.810001</v>
      </c>
      <c r="E3" s="2">
        <v>9922153337.9599991</v>
      </c>
      <c r="F3" s="2">
        <v>7823605643.6499996</v>
      </c>
      <c r="G3" s="2">
        <v>191123861.72</v>
      </c>
      <c r="H3" s="5">
        <v>1.421261617767966</v>
      </c>
      <c r="I3" s="2">
        <f t="shared" si="0"/>
        <v>41044903439.088638</v>
      </c>
      <c r="J3" s="2">
        <f t="shared" si="1"/>
        <v>14101975704.850853</v>
      </c>
      <c r="K3" s="2">
        <f t="shared" si="2"/>
        <v>11119390413.872587</v>
      </c>
      <c r="L3" s="2">
        <f t="shared" si="3"/>
        <v>271637008.90222824</v>
      </c>
      <c r="M3" s="3">
        <v>6498837</v>
      </c>
      <c r="N3" t="s">
        <v>33</v>
      </c>
      <c r="O3">
        <v>328440481000</v>
      </c>
      <c r="P3" s="4">
        <f t="shared" si="4"/>
        <v>8.7928270531335631E-2</v>
      </c>
      <c r="Q3" s="4">
        <f t="shared" si="5"/>
        <v>6.6180447788199174E-3</v>
      </c>
      <c r="R3" s="4">
        <f t="shared" si="6"/>
        <v>0.34357434232433837</v>
      </c>
      <c r="S3" s="4">
        <f t="shared" si="7"/>
        <v>0.27090794428043813</v>
      </c>
      <c r="T3" t="s">
        <v>34</v>
      </c>
      <c r="U3" t="s">
        <v>35</v>
      </c>
    </row>
    <row r="4" spans="1:21" ht="21" customHeight="1">
      <c r="A4" t="s">
        <v>8</v>
      </c>
      <c r="B4">
        <v>2017</v>
      </c>
      <c r="C4" t="s">
        <v>32</v>
      </c>
      <c r="D4" s="2">
        <v>26572047257.880001</v>
      </c>
      <c r="E4" s="2">
        <v>9926930720.0400009</v>
      </c>
      <c r="F4" s="2">
        <v>7897068702.9399996</v>
      </c>
      <c r="G4" s="2">
        <v>336549102.42000002</v>
      </c>
      <c r="H4" s="5">
        <v>1.373911498042359</v>
      </c>
      <c r="I4" s="2">
        <f t="shared" si="0"/>
        <v>36507641254.126266</v>
      </c>
      <c r="J4" s="2">
        <f t="shared" si="1"/>
        <v>13638724256.532871</v>
      </c>
      <c r="K4" s="2">
        <f t="shared" si="2"/>
        <v>10849873491.799725</v>
      </c>
      <c r="L4" s="2">
        <f t="shared" si="3"/>
        <v>462388681.47067356</v>
      </c>
      <c r="M4" s="3">
        <v>6520266</v>
      </c>
      <c r="N4" t="s">
        <v>33</v>
      </c>
      <c r="O4">
        <v>337675255000</v>
      </c>
      <c r="P4" s="4">
        <f t="shared" si="4"/>
        <v>7.8691129611733024E-2</v>
      </c>
      <c r="Q4" s="4">
        <f t="shared" si="5"/>
        <v>1.266553153220799E-2</v>
      </c>
      <c r="R4" s="4">
        <f t="shared" si="6"/>
        <v>0.37358546835702117</v>
      </c>
      <c r="S4" s="4">
        <f t="shared" si="7"/>
        <v>0.29719459047695718</v>
      </c>
      <c r="T4" t="s">
        <v>34</v>
      </c>
      <c r="U4" t="s">
        <v>35</v>
      </c>
    </row>
    <row r="5" spans="1:21" ht="21" customHeight="1">
      <c r="A5" t="s">
        <v>8</v>
      </c>
      <c r="B5">
        <v>2018</v>
      </c>
      <c r="C5" t="s">
        <v>32</v>
      </c>
      <c r="D5" s="2">
        <v>27842363790.130001</v>
      </c>
      <c r="E5" s="2">
        <v>11540445965.219999</v>
      </c>
      <c r="F5" s="2">
        <v>8992123014.7700005</v>
      </c>
      <c r="G5" s="2">
        <v>578506592.01999998</v>
      </c>
      <c r="H5" s="5">
        <v>1.3253397793769821</v>
      </c>
      <c r="I5" s="2">
        <f t="shared" si="0"/>
        <v>36900592282.944572</v>
      </c>
      <c r="J5" s="2">
        <f t="shared" si="1"/>
        <v>15295012109.456657</v>
      </c>
      <c r="K5" s="2">
        <f t="shared" si="2"/>
        <v>11917618332.525955</v>
      </c>
      <c r="L5" s="2">
        <f t="shared" si="3"/>
        <v>766717799.03591657</v>
      </c>
      <c r="M5" s="3">
        <v>6688927</v>
      </c>
      <c r="N5" t="s">
        <v>33</v>
      </c>
      <c r="O5">
        <v>363403233000</v>
      </c>
      <c r="P5" s="4">
        <f t="shared" si="4"/>
        <v>7.661561940515263E-2</v>
      </c>
      <c r="Q5" s="4">
        <f t="shared" si="5"/>
        <v>2.0777926629386191E-2</v>
      </c>
      <c r="R5" s="4">
        <f t="shared" si="6"/>
        <v>0.4144923201280431</v>
      </c>
      <c r="S5" s="4">
        <f t="shared" si="7"/>
        <v>0.32296550258989393</v>
      </c>
      <c r="T5" t="s">
        <v>34</v>
      </c>
      <c r="U5" t="s">
        <v>35</v>
      </c>
    </row>
    <row r="6" spans="1:21" ht="21" customHeight="1">
      <c r="A6" t="s">
        <v>8</v>
      </c>
      <c r="B6">
        <v>2019</v>
      </c>
      <c r="C6" t="s">
        <v>32</v>
      </c>
      <c r="D6" s="2">
        <v>30002061369.040001</v>
      </c>
      <c r="E6" s="2">
        <v>12843926491.32</v>
      </c>
      <c r="F6" s="2">
        <v>8954978050.9099998</v>
      </c>
      <c r="G6" s="2">
        <v>521066113.66000003</v>
      </c>
      <c r="H6" s="5">
        <v>1.277645574022878</v>
      </c>
      <c r="I6" s="2">
        <f t="shared" si="0"/>
        <v>38332000919.716728</v>
      </c>
      <c r="J6" s="2">
        <f t="shared" si="1"/>
        <v>16409985834.710192</v>
      </c>
      <c r="K6" s="2">
        <f t="shared" si="2"/>
        <v>11441288072.21718</v>
      </c>
      <c r="L6" s="2">
        <f t="shared" si="3"/>
        <v>665737813.89100099</v>
      </c>
      <c r="M6" s="3">
        <v>6718903</v>
      </c>
      <c r="N6" t="s">
        <v>33</v>
      </c>
      <c r="O6">
        <v>354932611000</v>
      </c>
      <c r="P6" s="4">
        <f t="shared" si="4"/>
        <v>8.4528894892219417E-2</v>
      </c>
      <c r="Q6" s="4">
        <f t="shared" si="5"/>
        <v>1.7367677082272198E-2</v>
      </c>
      <c r="R6" s="4">
        <f t="shared" si="6"/>
        <v>0.428101467206984</v>
      </c>
      <c r="S6" s="4">
        <f t="shared" si="7"/>
        <v>0.2984787592012228</v>
      </c>
      <c r="T6" t="s">
        <v>34</v>
      </c>
      <c r="U6" t="s">
        <v>35</v>
      </c>
    </row>
    <row r="7" spans="1:21" ht="21" customHeight="1">
      <c r="A7" t="s">
        <v>8</v>
      </c>
      <c r="B7">
        <v>2020</v>
      </c>
      <c r="C7" t="s">
        <v>32</v>
      </c>
      <c r="D7" s="2">
        <v>30488990138.5</v>
      </c>
      <c r="E7" s="2">
        <v>12327306850.110001</v>
      </c>
      <c r="F7" s="2">
        <v>10580802633.309999</v>
      </c>
      <c r="G7" s="2">
        <v>587752690.01999998</v>
      </c>
      <c r="H7" s="5">
        <v>1.2378874989837041</v>
      </c>
      <c r="I7" s="2">
        <f t="shared" si="0"/>
        <v>37741939749.086586</v>
      </c>
      <c r="J7" s="2">
        <f t="shared" si="1"/>
        <v>15259819045.887352</v>
      </c>
      <c r="K7" s="2">
        <f t="shared" si="2"/>
        <v>13097843308.988306</v>
      </c>
      <c r="L7" s="2">
        <f t="shared" si="3"/>
        <v>727571707.46980202</v>
      </c>
      <c r="M7" s="3">
        <v>6747815</v>
      </c>
      <c r="N7" t="s">
        <v>33</v>
      </c>
      <c r="O7">
        <v>331471515000</v>
      </c>
      <c r="P7" s="4">
        <f t="shared" si="4"/>
        <v>9.1980724613697204E-2</v>
      </c>
      <c r="Q7" s="4">
        <f t="shared" si="5"/>
        <v>1.9277538788594208E-2</v>
      </c>
      <c r="R7" s="4">
        <f t="shared" si="6"/>
        <v>0.40431994612191774</v>
      </c>
      <c r="S7" s="4">
        <f t="shared" si="7"/>
        <v>0.34703683478020747</v>
      </c>
      <c r="T7" t="s">
        <v>34</v>
      </c>
      <c r="U7" t="s">
        <v>35</v>
      </c>
    </row>
    <row r="8" spans="1:21" ht="21" customHeight="1">
      <c r="A8" t="s">
        <v>8</v>
      </c>
      <c r="B8">
        <v>2021</v>
      </c>
      <c r="C8" t="s">
        <v>32</v>
      </c>
      <c r="D8" s="2">
        <v>32441982485.189999</v>
      </c>
      <c r="E8" s="2">
        <v>14109674239.799999</v>
      </c>
      <c r="F8" s="2">
        <v>11976044910.83</v>
      </c>
      <c r="G8" s="2">
        <v>763469243.83999991</v>
      </c>
      <c r="H8" s="5">
        <v>1.1429995641565061</v>
      </c>
      <c r="I8" s="2">
        <f t="shared" si="0"/>
        <v>37081171840.945175</v>
      </c>
      <c r="J8" s="2">
        <f t="shared" si="1"/>
        <v>16127351506.48168</v>
      </c>
      <c r="K8" s="2">
        <f t="shared" si="2"/>
        <v>13688614113.397432</v>
      </c>
      <c r="L8" s="2">
        <f t="shared" si="3"/>
        <v>872645012.95601714</v>
      </c>
      <c r="M8" s="3">
        <v>6775561</v>
      </c>
      <c r="N8" t="s">
        <v>33</v>
      </c>
      <c r="O8">
        <v>359632648000</v>
      </c>
      <c r="P8" s="4">
        <f t="shared" si="4"/>
        <v>9.0208668944845069E-2</v>
      </c>
      <c r="Q8" s="4">
        <f t="shared" si="5"/>
        <v>2.3533372049273783E-2</v>
      </c>
      <c r="R8" s="4">
        <f t="shared" si="6"/>
        <v>0.43492022246917766</v>
      </c>
      <c r="S8" s="4">
        <f t="shared" si="7"/>
        <v>0.36915268406599849</v>
      </c>
      <c r="T8" t="s">
        <v>34</v>
      </c>
      <c r="U8" t="s">
        <v>35</v>
      </c>
    </row>
    <row r="9" spans="1:21" ht="21" customHeight="1">
      <c r="A9" t="s">
        <v>8</v>
      </c>
      <c r="B9">
        <v>2022</v>
      </c>
      <c r="C9" t="s">
        <v>32</v>
      </c>
      <c r="D9" s="2">
        <v>38757833160.400002</v>
      </c>
      <c r="E9" s="2">
        <v>15088481969.9</v>
      </c>
      <c r="F9" s="2">
        <v>12306767679.42</v>
      </c>
      <c r="G9" s="2">
        <v>1328679525.27</v>
      </c>
      <c r="H9" s="5">
        <v>1.0459356282283201</v>
      </c>
      <c r="I9" s="2">
        <f t="shared" si="0"/>
        <v>40538198575.391396</v>
      </c>
      <c r="J9" s="2">
        <f t="shared" si="1"/>
        <v>15781580868.199038</v>
      </c>
      <c r="K9" s="2">
        <f t="shared" si="2"/>
        <v>12872086784.234142</v>
      </c>
      <c r="L9" s="2">
        <f t="shared" si="3"/>
        <v>1389713253.9773836</v>
      </c>
      <c r="M9" s="3">
        <v>6211223</v>
      </c>
      <c r="N9" t="s">
        <v>36</v>
      </c>
      <c r="O9">
        <v>380381515000</v>
      </c>
      <c r="P9" s="4">
        <f t="shared" si="4"/>
        <v>0.10189199956364862</v>
      </c>
      <c r="Q9" s="4">
        <f t="shared" si="5"/>
        <v>3.4281573992313644E-2</v>
      </c>
      <c r="R9" s="4">
        <f t="shared" si="6"/>
        <v>0.3893014841014471</v>
      </c>
      <c r="S9" s="4">
        <f t="shared" si="7"/>
        <v>0.31752981722399748</v>
      </c>
      <c r="T9" t="s">
        <v>34</v>
      </c>
      <c r="U9" t="s">
        <v>35</v>
      </c>
    </row>
    <row r="10" spans="1:21" ht="21" customHeight="1">
      <c r="A10" t="s">
        <v>8</v>
      </c>
      <c r="B10">
        <v>2023</v>
      </c>
      <c r="C10" t="s">
        <v>32</v>
      </c>
      <c r="D10" s="2">
        <v>43242247097.540001</v>
      </c>
      <c r="E10" s="2">
        <v>16928033445.74</v>
      </c>
      <c r="F10" s="2">
        <v>12954135808.32</v>
      </c>
      <c r="G10" s="2">
        <v>860522227.86999989</v>
      </c>
      <c r="H10" s="5">
        <v>1</v>
      </c>
      <c r="I10" s="2">
        <f t="shared" si="0"/>
        <v>43242247097.540001</v>
      </c>
      <c r="J10" s="2">
        <f t="shared" si="1"/>
        <v>16928033445.74</v>
      </c>
      <c r="K10" s="2">
        <f t="shared" si="2"/>
        <v>12954135808.32</v>
      </c>
      <c r="L10" s="2">
        <f t="shared" si="3"/>
        <v>860522227.86999989</v>
      </c>
      <c r="M10" s="3"/>
      <c r="N10" t="s">
        <v>37</v>
      </c>
      <c r="O10">
        <v>418462360000</v>
      </c>
      <c r="P10" s="4">
        <f t="shared" si="4"/>
        <v>0.10333604938217143</v>
      </c>
      <c r="Q10" s="4">
        <f t="shared" si="5"/>
        <v>1.9900034934099295E-2</v>
      </c>
      <c r="R10" s="4">
        <f t="shared" si="6"/>
        <v>0.39146979127971854</v>
      </c>
      <c r="S10" s="4">
        <f t="shared" si="7"/>
        <v>0.29957129145254213</v>
      </c>
      <c r="T10" t="s">
        <v>34</v>
      </c>
      <c r="U10" t="s">
        <v>35</v>
      </c>
    </row>
    <row r="11" spans="1:21" ht="21" customHeight="1">
      <c r="A11" t="s">
        <v>8</v>
      </c>
      <c r="B11">
        <v>2024</v>
      </c>
      <c r="C11" t="s">
        <v>32</v>
      </c>
      <c r="D11" s="2">
        <v>46313135940.900002</v>
      </c>
      <c r="E11" s="2">
        <v>17876279031.639999</v>
      </c>
      <c r="F11" s="2">
        <v>13999487930.1</v>
      </c>
      <c r="G11" s="2">
        <v>869529833.3900001</v>
      </c>
      <c r="H11" s="5">
        <v>0.95815301142776621</v>
      </c>
      <c r="I11" s="2">
        <f t="shared" si="0"/>
        <v>44375070670.436852</v>
      </c>
      <c r="J11" s="2">
        <f t="shared" si="1"/>
        <v>17128210587.288898</v>
      </c>
      <c r="K11" s="2">
        <f t="shared" si="2"/>
        <v>13413651518.67198</v>
      </c>
      <c r="L11" s="2">
        <f t="shared" si="3"/>
        <v>833142628.38891244</v>
      </c>
      <c r="M11" s="3">
        <v>6729894</v>
      </c>
      <c r="N11" t="s">
        <v>33</v>
      </c>
      <c r="P11" s="4" t="str">
        <f t="shared" si="4"/>
        <v/>
      </c>
      <c r="Q11" s="4">
        <f t="shared" si="5"/>
        <v>1.8775015246205815E-2</v>
      </c>
      <c r="R11" s="4">
        <f t="shared" si="6"/>
        <v>0.38598722950766806</v>
      </c>
      <c r="S11" s="4">
        <f t="shared" si="7"/>
        <v>0.30227898944188725</v>
      </c>
      <c r="T11" t="s">
        <v>34</v>
      </c>
      <c r="U11" t="s">
        <v>35</v>
      </c>
    </row>
    <row r="12" spans="1:21" ht="21" customHeight="1">
      <c r="A12" t="s">
        <v>9</v>
      </c>
      <c r="B12">
        <v>2015</v>
      </c>
      <c r="C12" t="s">
        <v>32</v>
      </c>
      <c r="D12" s="2">
        <v>1984173872.23</v>
      </c>
      <c r="E12" s="2">
        <v>714492251.78999996</v>
      </c>
      <c r="F12" s="2">
        <v>928646299.30999994</v>
      </c>
      <c r="G12" s="2">
        <v>251899403.93000001</v>
      </c>
      <c r="H12" s="5">
        <v>1.545467710386198</v>
      </c>
      <c r="I12" s="2">
        <f t="shared" si="0"/>
        <v>3066476651.3234148</v>
      </c>
      <c r="J12" s="2">
        <f t="shared" si="1"/>
        <v>1104224704.4625702</v>
      </c>
      <c r="K12" s="2">
        <f t="shared" si="2"/>
        <v>1435192869.9532416</v>
      </c>
      <c r="L12" s="2">
        <f t="shared" si="3"/>
        <v>389302395.03934515</v>
      </c>
      <c r="M12" s="3">
        <v>496696</v>
      </c>
      <c r="N12" t="s">
        <v>33</v>
      </c>
      <c r="O12">
        <v>25496901000</v>
      </c>
      <c r="P12" s="4">
        <f t="shared" si="4"/>
        <v>7.7820197530280244E-2</v>
      </c>
      <c r="Q12" s="4">
        <f t="shared" si="5"/>
        <v>0.12695429944699954</v>
      </c>
      <c r="R12" s="4">
        <f t="shared" si="6"/>
        <v>0.36009558526591562</v>
      </c>
      <c r="S12" s="4">
        <f t="shared" si="7"/>
        <v>0.46802667463124109</v>
      </c>
      <c r="T12" t="s">
        <v>34</v>
      </c>
      <c r="U12" t="s">
        <v>35</v>
      </c>
    </row>
    <row r="13" spans="1:21" ht="21" customHeight="1">
      <c r="A13" t="s">
        <v>9</v>
      </c>
      <c r="B13">
        <v>2016</v>
      </c>
      <c r="C13" t="s">
        <v>32</v>
      </c>
      <c r="D13" s="2">
        <v>2312265113.6500001</v>
      </c>
      <c r="E13" s="2">
        <v>755989304.97000003</v>
      </c>
      <c r="F13" s="2">
        <v>1011552196.15</v>
      </c>
      <c r="G13" s="2">
        <v>300236785.49000001</v>
      </c>
      <c r="H13" s="5">
        <v>1.421261617767966</v>
      </c>
      <c r="I13" s="2">
        <f t="shared" si="0"/>
        <v>3286333656.1346288</v>
      </c>
      <c r="J13" s="2">
        <f t="shared" si="1"/>
        <v>1074458582.5969424</v>
      </c>
      <c r="K13" s="2">
        <f t="shared" si="2"/>
        <v>1437680310.7568879</v>
      </c>
      <c r="L13" s="2">
        <f t="shared" si="3"/>
        <v>426715019.4589712</v>
      </c>
      <c r="M13" s="3">
        <v>497883</v>
      </c>
      <c r="N13" t="s">
        <v>33</v>
      </c>
      <c r="O13">
        <v>23019309000</v>
      </c>
      <c r="P13" s="4">
        <f t="shared" si="4"/>
        <v>0.10044893674479977</v>
      </c>
      <c r="Q13" s="4">
        <f t="shared" si="5"/>
        <v>0.1298453121649466</v>
      </c>
      <c r="R13" s="4">
        <f t="shared" si="6"/>
        <v>0.32694750290836744</v>
      </c>
      <c r="S13" s="4">
        <f t="shared" si="7"/>
        <v>0.43747241186942687</v>
      </c>
      <c r="T13" t="s">
        <v>34</v>
      </c>
      <c r="U13" t="s">
        <v>35</v>
      </c>
    </row>
    <row r="14" spans="1:21" ht="21" customHeight="1">
      <c r="A14" t="s">
        <v>9</v>
      </c>
      <c r="B14">
        <v>2017</v>
      </c>
      <c r="C14" t="s">
        <v>32</v>
      </c>
      <c r="D14" s="2">
        <v>2462638231.3499999</v>
      </c>
      <c r="E14" s="2">
        <v>805281204.20000005</v>
      </c>
      <c r="F14" s="2">
        <v>1426053712.95</v>
      </c>
      <c r="G14" s="2">
        <v>632343994.32000005</v>
      </c>
      <c r="H14" s="5">
        <v>1.373911498042359</v>
      </c>
      <c r="I14" s="2">
        <f t="shared" si="0"/>
        <v>3383446981.5704637</v>
      </c>
      <c r="J14" s="2">
        <f t="shared" si="1"/>
        <v>1106385105.6077769</v>
      </c>
      <c r="K14" s="2">
        <f t="shared" si="2"/>
        <v>1959271593.0480027</v>
      </c>
      <c r="L14" s="2">
        <f t="shared" si="3"/>
        <v>868784684.5142802</v>
      </c>
      <c r="M14" s="3">
        <v>499028</v>
      </c>
      <c r="N14" t="s">
        <v>33</v>
      </c>
      <c r="O14">
        <v>27489576000</v>
      </c>
      <c r="P14" s="4">
        <f t="shared" si="4"/>
        <v>8.958443852862627E-2</v>
      </c>
      <c r="Q14" s="4">
        <f t="shared" si="5"/>
        <v>0.25677502536511576</v>
      </c>
      <c r="R14" s="4">
        <f t="shared" si="6"/>
        <v>0.32699939193202199</v>
      </c>
      <c r="S14" s="4">
        <f t="shared" si="7"/>
        <v>0.57907560062861851</v>
      </c>
      <c r="T14" t="s">
        <v>34</v>
      </c>
      <c r="U14" t="s">
        <v>35</v>
      </c>
    </row>
    <row r="15" spans="1:21" ht="21" customHeight="1">
      <c r="A15" t="s">
        <v>9</v>
      </c>
      <c r="B15">
        <v>2018</v>
      </c>
      <c r="C15" t="s">
        <v>32</v>
      </c>
      <c r="D15" s="2">
        <v>2802918895.9400001</v>
      </c>
      <c r="E15" s="2">
        <v>857852698.72000003</v>
      </c>
      <c r="F15" s="2">
        <v>2211418757.8200002</v>
      </c>
      <c r="G15" s="2">
        <v>1281865831.6099999</v>
      </c>
      <c r="H15" s="5">
        <v>1.3253397793769821</v>
      </c>
      <c r="I15" s="2">
        <f t="shared" si="0"/>
        <v>3714819911.1566939</v>
      </c>
      <c r="J15" s="2">
        <f t="shared" si="1"/>
        <v>1136946306.4595134</v>
      </c>
      <c r="K15" s="2">
        <f t="shared" si="2"/>
        <v>2930881248.5992789</v>
      </c>
      <c r="L15" s="2">
        <f t="shared" si="3"/>
        <v>1698907778.4568889</v>
      </c>
      <c r="M15" s="3">
        <v>511786</v>
      </c>
      <c r="N15" t="s">
        <v>33</v>
      </c>
      <c r="O15">
        <v>40376961000</v>
      </c>
      <c r="P15" s="4">
        <f t="shared" si="4"/>
        <v>6.9418768191593219E-2</v>
      </c>
      <c r="Q15" s="4">
        <f t="shared" si="5"/>
        <v>0.45733247346784445</v>
      </c>
      <c r="R15" s="4">
        <f t="shared" si="6"/>
        <v>0.30605691087337245</v>
      </c>
      <c r="S15" s="4">
        <f t="shared" si="7"/>
        <v>0.78896994166446199</v>
      </c>
      <c r="T15" t="s">
        <v>34</v>
      </c>
      <c r="U15" t="s">
        <v>35</v>
      </c>
    </row>
    <row r="16" spans="1:21" ht="21" customHeight="1">
      <c r="A16" t="s">
        <v>9</v>
      </c>
      <c r="B16">
        <v>2019</v>
      </c>
      <c r="C16" t="s">
        <v>32</v>
      </c>
      <c r="D16" s="2">
        <v>3350419494.6599998</v>
      </c>
      <c r="E16" s="2">
        <v>971998097.29999995</v>
      </c>
      <c r="F16" s="2">
        <v>2344944070.5500002</v>
      </c>
      <c r="G16" s="2">
        <v>1386418424.9300001</v>
      </c>
      <c r="H16" s="5">
        <v>1.277645574022878</v>
      </c>
      <c r="I16" s="2">
        <f t="shared" si="0"/>
        <v>4280648638.4723163</v>
      </c>
      <c r="J16" s="2">
        <f t="shared" si="1"/>
        <v>1241869066.9740038</v>
      </c>
      <c r="K16" s="2">
        <f t="shared" si="2"/>
        <v>2996007413.0693994</v>
      </c>
      <c r="L16" s="2">
        <f t="shared" si="3"/>
        <v>1771351364.3555844</v>
      </c>
      <c r="M16" s="3">
        <v>513584</v>
      </c>
      <c r="N16" t="s">
        <v>33</v>
      </c>
      <c r="O16">
        <v>46549869000</v>
      </c>
      <c r="P16" s="4">
        <f t="shared" si="4"/>
        <v>7.1974842607183273E-2</v>
      </c>
      <c r="Q16" s="4">
        <f t="shared" si="5"/>
        <v>0.41380442871100642</v>
      </c>
      <c r="R16" s="4">
        <f t="shared" si="6"/>
        <v>0.29011235722846052</v>
      </c>
      <c r="S16" s="4">
        <f t="shared" si="7"/>
        <v>0.69989566210662368</v>
      </c>
      <c r="T16" t="s">
        <v>34</v>
      </c>
      <c r="U16" t="s">
        <v>35</v>
      </c>
    </row>
    <row r="17" spans="1:21" ht="21" customHeight="1">
      <c r="A17" t="s">
        <v>9</v>
      </c>
      <c r="B17">
        <v>2020</v>
      </c>
      <c r="C17" t="s">
        <v>32</v>
      </c>
      <c r="D17" s="2">
        <v>3838515263.8400002</v>
      </c>
      <c r="E17" s="2">
        <v>957781750.29999995</v>
      </c>
      <c r="F17" s="2">
        <v>2419915462.79</v>
      </c>
      <c r="G17" s="2">
        <v>1267192882.02</v>
      </c>
      <c r="H17" s="5">
        <v>1.2378874989837041</v>
      </c>
      <c r="I17" s="2">
        <f t="shared" si="0"/>
        <v>4751650059.7656708</v>
      </c>
      <c r="J17" s="2">
        <f t="shared" si="1"/>
        <v>1185626055.4511015</v>
      </c>
      <c r="K17" s="2">
        <f t="shared" si="2"/>
        <v>2995583099.985106</v>
      </c>
      <c r="L17" s="2">
        <f t="shared" si="3"/>
        <v>1568642227.4536898</v>
      </c>
      <c r="M17" s="3">
        <v>515317</v>
      </c>
      <c r="N17" t="s">
        <v>33</v>
      </c>
      <c r="O17">
        <v>40975718000</v>
      </c>
      <c r="P17" s="4">
        <f t="shared" si="4"/>
        <v>9.367780361627831E-2</v>
      </c>
      <c r="Q17" s="4">
        <f t="shared" si="5"/>
        <v>0.33012578950964411</v>
      </c>
      <c r="R17" s="4">
        <f t="shared" si="6"/>
        <v>0.24951880726451708</v>
      </c>
      <c r="S17" s="4">
        <f t="shared" si="7"/>
        <v>0.63043007424937225</v>
      </c>
      <c r="T17" t="s">
        <v>34</v>
      </c>
      <c r="U17" t="s">
        <v>35</v>
      </c>
    </row>
    <row r="18" spans="1:21" ht="21" customHeight="1">
      <c r="A18" t="s">
        <v>9</v>
      </c>
      <c r="B18">
        <v>2021</v>
      </c>
      <c r="C18" t="s">
        <v>32</v>
      </c>
      <c r="D18" s="2">
        <v>4114112667.54</v>
      </c>
      <c r="E18" s="2">
        <v>1132806655.79</v>
      </c>
      <c r="F18" s="2">
        <v>3092951820.3800001</v>
      </c>
      <c r="G18" s="2">
        <v>1958918635.1800001</v>
      </c>
      <c r="H18" s="5">
        <v>1.1429995641565061</v>
      </c>
      <c r="I18" s="2">
        <f t="shared" si="0"/>
        <v>4702428985.8889809</v>
      </c>
      <c r="J18" s="2">
        <f t="shared" si="1"/>
        <v>1294797513.8415592</v>
      </c>
      <c r="K18" s="2">
        <f t="shared" si="2"/>
        <v>3535242582.651412</v>
      </c>
      <c r="L18" s="2">
        <f t="shared" si="3"/>
        <v>2239043146.2287979</v>
      </c>
      <c r="M18" s="3">
        <v>516981</v>
      </c>
      <c r="N18" t="s">
        <v>33</v>
      </c>
      <c r="O18">
        <v>66345488000</v>
      </c>
      <c r="P18" s="4">
        <f t="shared" si="4"/>
        <v>6.2010436452588906E-2</v>
      </c>
      <c r="Q18" s="4">
        <f t="shared" si="5"/>
        <v>0.47614608385319684</v>
      </c>
      <c r="R18" s="4">
        <f t="shared" si="6"/>
        <v>0.27534653212775345</v>
      </c>
      <c r="S18" s="4">
        <f t="shared" si="7"/>
        <v>0.75179074330733031</v>
      </c>
      <c r="T18" t="s">
        <v>34</v>
      </c>
      <c r="U18" t="s">
        <v>35</v>
      </c>
    </row>
    <row r="19" spans="1:21" ht="21" customHeight="1">
      <c r="A19" t="s">
        <v>9</v>
      </c>
      <c r="B19">
        <v>2022</v>
      </c>
      <c r="C19" t="s">
        <v>32</v>
      </c>
      <c r="D19" s="2">
        <v>4865677114.3699999</v>
      </c>
      <c r="E19" s="2">
        <v>1321369386.24</v>
      </c>
      <c r="F19" s="2">
        <v>3976880089.1999998</v>
      </c>
      <c r="G19" s="2">
        <v>2667064212.0599999</v>
      </c>
      <c r="H19" s="5">
        <v>1.0459356282283201</v>
      </c>
      <c r="I19" s="2">
        <f t="shared" si="0"/>
        <v>5089185049.3747454</v>
      </c>
      <c r="J19" s="2">
        <f t="shared" si="1"/>
        <v>1382067319.1186042</v>
      </c>
      <c r="K19" s="2">
        <f t="shared" si="2"/>
        <v>4159560574.4860992</v>
      </c>
      <c r="L19" s="2">
        <f t="shared" si="3"/>
        <v>2789577482.1662455</v>
      </c>
      <c r="M19" s="3">
        <v>481749</v>
      </c>
      <c r="N19" t="s">
        <v>36</v>
      </c>
      <c r="O19">
        <v>88716289000</v>
      </c>
      <c r="P19" s="4">
        <f t="shared" si="4"/>
        <v>5.4845363452589863E-2</v>
      </c>
      <c r="Q19" s="4">
        <f t="shared" si="5"/>
        <v>0.54813834731927691</v>
      </c>
      <c r="R19" s="4">
        <f t="shared" si="6"/>
        <v>0.27156947639158929</v>
      </c>
      <c r="S19" s="4">
        <f t="shared" si="7"/>
        <v>0.81733333218000015</v>
      </c>
      <c r="T19" t="s">
        <v>34</v>
      </c>
      <c r="U19" t="s">
        <v>35</v>
      </c>
    </row>
    <row r="20" spans="1:21" ht="21" customHeight="1">
      <c r="A20" t="s">
        <v>9</v>
      </c>
      <c r="B20">
        <v>2023</v>
      </c>
      <c r="C20" t="s">
        <v>32</v>
      </c>
      <c r="D20" s="2">
        <v>5303439599.54</v>
      </c>
      <c r="E20" s="2">
        <v>1501761771.24</v>
      </c>
      <c r="F20" s="2">
        <v>3731014551.02</v>
      </c>
      <c r="G20" s="2">
        <v>2346495079.9400001</v>
      </c>
      <c r="H20" s="5">
        <v>1</v>
      </c>
      <c r="I20" s="2">
        <f t="shared" si="0"/>
        <v>5303439599.54</v>
      </c>
      <c r="J20" s="2">
        <f t="shared" si="1"/>
        <v>1501761771.24</v>
      </c>
      <c r="K20" s="2">
        <f t="shared" si="2"/>
        <v>3731014551.02</v>
      </c>
      <c r="L20" s="2">
        <f t="shared" si="3"/>
        <v>2346495079.9400001</v>
      </c>
      <c r="M20" s="3"/>
      <c r="N20" t="s">
        <v>37</v>
      </c>
      <c r="O20">
        <v>76268005000</v>
      </c>
      <c r="P20" s="4">
        <f t="shared" si="4"/>
        <v>6.9536886398693654E-2</v>
      </c>
      <c r="Q20" s="4">
        <f t="shared" si="5"/>
        <v>0.44244778052031103</v>
      </c>
      <c r="R20" s="4">
        <f t="shared" si="6"/>
        <v>0.28316750724760908</v>
      </c>
      <c r="S20" s="4">
        <f t="shared" si="7"/>
        <v>0.70350844597977769</v>
      </c>
      <c r="T20" t="s">
        <v>34</v>
      </c>
      <c r="U20" t="s">
        <v>35</v>
      </c>
    </row>
    <row r="21" spans="1:21" ht="21" customHeight="1">
      <c r="A21" t="s">
        <v>9</v>
      </c>
      <c r="B21">
        <v>2024</v>
      </c>
      <c r="C21" t="s">
        <v>32</v>
      </c>
      <c r="D21" s="2">
        <v>6060018447.6999998</v>
      </c>
      <c r="E21" s="2">
        <v>1669329948.95</v>
      </c>
      <c r="F21" s="2">
        <v>3816772301.8000002</v>
      </c>
      <c r="G21" s="2">
        <v>2319631040.3899999</v>
      </c>
      <c r="H21" s="5">
        <v>0.95815301142776621</v>
      </c>
      <c r="I21" s="2">
        <f t="shared" si="0"/>
        <v>5806424924.9715719</v>
      </c>
      <c r="J21" s="2">
        <f t="shared" si="1"/>
        <v>1599473517.6530018</v>
      </c>
      <c r="K21" s="2">
        <f t="shared" si="2"/>
        <v>3657051874.9037571</v>
      </c>
      <c r="L21" s="2">
        <f t="shared" si="3"/>
        <v>2222561466.7510009</v>
      </c>
      <c r="M21" s="3">
        <v>516720</v>
      </c>
      <c r="N21" t="s">
        <v>33</v>
      </c>
      <c r="P21" s="4" t="str">
        <f t="shared" si="4"/>
        <v/>
      </c>
      <c r="Q21" s="4">
        <f t="shared" si="5"/>
        <v>0.38277623416647938</v>
      </c>
      <c r="R21" s="4">
        <f t="shared" si="6"/>
        <v>0.27546614970843403</v>
      </c>
      <c r="S21" s="4">
        <f t="shared" si="7"/>
        <v>0.6298284955301755</v>
      </c>
      <c r="T21" t="s">
        <v>34</v>
      </c>
      <c r="U21" t="s">
        <v>35</v>
      </c>
    </row>
    <row r="22" spans="1:21" ht="21" customHeight="1">
      <c r="A22" t="s">
        <v>10</v>
      </c>
      <c r="B22">
        <v>2015</v>
      </c>
      <c r="C22" t="s">
        <v>38</v>
      </c>
      <c r="D22" s="2">
        <v>246161100000</v>
      </c>
      <c r="E22" s="2">
        <v>133874600000</v>
      </c>
      <c r="F22" s="2">
        <v>56969800000</v>
      </c>
      <c r="G22" s="2"/>
      <c r="H22" s="5">
        <v>1.1739999999999999</v>
      </c>
      <c r="I22" s="2">
        <f t="shared" si="0"/>
        <v>288993131400</v>
      </c>
      <c r="J22" s="2">
        <f t="shared" si="1"/>
        <v>157168780400</v>
      </c>
      <c r="K22" s="2">
        <f t="shared" si="2"/>
        <v>66882545199.999992</v>
      </c>
      <c r="L22" s="2" t="str">
        <f t="shared" si="3"/>
        <v/>
      </c>
      <c r="M22" s="3">
        <v>66422469</v>
      </c>
      <c r="N22" t="s">
        <v>39</v>
      </c>
      <c r="P22" s="4" t="str">
        <f t="shared" si="4"/>
        <v/>
      </c>
      <c r="Q22" s="4" t="str">
        <f t="shared" si="5"/>
        <v/>
      </c>
      <c r="R22" s="4">
        <f t="shared" si="6"/>
        <v>0.54384953593398799</v>
      </c>
      <c r="S22" s="4">
        <f t="shared" si="7"/>
        <v>0.23143299245900348</v>
      </c>
      <c r="T22" t="s">
        <v>34</v>
      </c>
      <c r="U22" t="s">
        <v>40</v>
      </c>
    </row>
    <row r="23" spans="1:21" ht="21" customHeight="1">
      <c r="A23" t="s">
        <v>10</v>
      </c>
      <c r="B23">
        <v>2016</v>
      </c>
      <c r="C23" t="s">
        <v>38</v>
      </c>
      <c r="D23" s="2">
        <v>245295700000</v>
      </c>
      <c r="E23" s="2">
        <v>138244500000</v>
      </c>
      <c r="F23" s="2">
        <v>54645200000</v>
      </c>
      <c r="G23" s="2"/>
      <c r="H23" s="5">
        <v>1.171656686626747</v>
      </c>
      <c r="I23" s="2">
        <f t="shared" si="0"/>
        <v>287402347105.78857</v>
      </c>
      <c r="J23" s="2">
        <f t="shared" si="1"/>
        <v>161975092814.37134</v>
      </c>
      <c r="K23" s="2">
        <f t="shared" si="2"/>
        <v>64025413972.055916</v>
      </c>
      <c r="L23" s="2" t="str">
        <f t="shared" si="3"/>
        <v/>
      </c>
      <c r="M23" s="3">
        <v>66602645</v>
      </c>
      <c r="N23" t="s">
        <v>39</v>
      </c>
      <c r="P23" s="4" t="str">
        <f t="shared" si="4"/>
        <v/>
      </c>
      <c r="Q23" s="4" t="str">
        <f t="shared" si="5"/>
        <v/>
      </c>
      <c r="R23" s="4">
        <f t="shared" si="6"/>
        <v>0.56358305506374551</v>
      </c>
      <c r="S23" s="4">
        <f t="shared" si="7"/>
        <v>0.22277275957140708</v>
      </c>
      <c r="T23" t="s">
        <v>34</v>
      </c>
      <c r="U23" t="s">
        <v>40</v>
      </c>
    </row>
    <row r="24" spans="1:21" ht="21" customHeight="1">
      <c r="A24" t="s">
        <v>10</v>
      </c>
      <c r="B24">
        <v>2017</v>
      </c>
      <c r="C24" t="s">
        <v>38</v>
      </c>
      <c r="D24" s="2">
        <v>250770800000</v>
      </c>
      <c r="E24" s="2">
        <v>143853300000</v>
      </c>
      <c r="F24" s="2">
        <v>53249900000</v>
      </c>
      <c r="G24" s="2"/>
      <c r="H24" s="5">
        <v>1.160079051383399</v>
      </c>
      <c r="I24" s="2">
        <f t="shared" si="0"/>
        <v>290913951778.65607</v>
      </c>
      <c r="J24" s="2">
        <f t="shared" si="1"/>
        <v>166881199802.37149</v>
      </c>
      <c r="K24" s="2">
        <f t="shared" si="2"/>
        <v>61774093478.260857</v>
      </c>
      <c r="L24" s="2" t="str">
        <f t="shared" si="3"/>
        <v/>
      </c>
      <c r="M24" s="3">
        <v>66774482</v>
      </c>
      <c r="N24" t="s">
        <v>39</v>
      </c>
      <c r="P24" s="4" t="str">
        <f t="shared" si="4"/>
        <v/>
      </c>
      <c r="Q24" s="4" t="str">
        <f t="shared" si="5"/>
        <v/>
      </c>
      <c r="R24" s="4">
        <f t="shared" si="6"/>
        <v>0.57364453915687152</v>
      </c>
      <c r="S24" s="4">
        <f t="shared" si="7"/>
        <v>0.21234489820983943</v>
      </c>
      <c r="T24" t="s">
        <v>34</v>
      </c>
      <c r="U24" t="s">
        <v>40</v>
      </c>
    </row>
    <row r="25" spans="1:21" ht="21" customHeight="1">
      <c r="A25" t="s">
        <v>10</v>
      </c>
      <c r="B25">
        <v>2018</v>
      </c>
      <c r="C25" t="s">
        <v>38</v>
      </c>
      <c r="D25" s="2">
        <v>256030700000</v>
      </c>
      <c r="E25" s="2">
        <v>151302800000</v>
      </c>
      <c r="F25" s="2">
        <v>49355600000</v>
      </c>
      <c r="G25" s="2"/>
      <c r="H25" s="5">
        <v>1.138700290979632</v>
      </c>
      <c r="I25" s="2">
        <f t="shared" si="0"/>
        <v>291542232589.71887</v>
      </c>
      <c r="J25" s="2">
        <f t="shared" si="1"/>
        <v>172288542386.03305</v>
      </c>
      <c r="K25" s="2">
        <f t="shared" si="2"/>
        <v>56201236081.474327</v>
      </c>
      <c r="L25" s="2" t="str">
        <f t="shared" si="3"/>
        <v/>
      </c>
      <c r="M25" s="3">
        <v>66992159</v>
      </c>
      <c r="N25" t="s">
        <v>39</v>
      </c>
      <c r="P25" s="4" t="str">
        <f t="shared" si="4"/>
        <v/>
      </c>
      <c r="Q25" s="4" t="str">
        <f t="shared" si="5"/>
        <v/>
      </c>
      <c r="R25" s="4">
        <f t="shared" si="6"/>
        <v>0.59095569398513537</v>
      </c>
      <c r="S25" s="4">
        <f t="shared" si="7"/>
        <v>0.19277219489694009</v>
      </c>
      <c r="T25" t="s">
        <v>34</v>
      </c>
      <c r="U25" t="s">
        <v>40</v>
      </c>
    </row>
    <row r="26" spans="1:21" ht="21" customHeight="1">
      <c r="A26" t="s">
        <v>10</v>
      </c>
      <c r="B26">
        <v>2019</v>
      </c>
      <c r="C26" t="s">
        <v>38</v>
      </c>
      <c r="D26" s="2">
        <v>268690000000</v>
      </c>
      <c r="E26" s="2">
        <v>156237000000</v>
      </c>
      <c r="F26" s="2">
        <v>50781000000</v>
      </c>
      <c r="G26" s="2"/>
      <c r="H26" s="5">
        <v>1.1266794625719769</v>
      </c>
      <c r="I26" s="2">
        <f t="shared" si="0"/>
        <v>302727504798.46448</v>
      </c>
      <c r="J26" s="2">
        <f t="shared" si="1"/>
        <v>176029019193.85797</v>
      </c>
      <c r="K26" s="2">
        <f t="shared" si="2"/>
        <v>57213909788.867561</v>
      </c>
      <c r="L26" s="2" t="str">
        <f t="shared" si="3"/>
        <v/>
      </c>
      <c r="M26" s="3">
        <v>67257982</v>
      </c>
      <c r="N26" t="s">
        <v>39</v>
      </c>
      <c r="P26" s="4" t="str">
        <f t="shared" si="4"/>
        <v/>
      </c>
      <c r="Q26" s="4" t="str">
        <f t="shared" si="5"/>
        <v/>
      </c>
      <c r="R26" s="4">
        <f t="shared" si="6"/>
        <v>0.58147679481930847</v>
      </c>
      <c r="S26" s="4">
        <f t="shared" si="7"/>
        <v>0.1889947523167963</v>
      </c>
      <c r="T26" t="s">
        <v>34</v>
      </c>
      <c r="U26" t="s">
        <v>40</v>
      </c>
    </row>
    <row r="27" spans="1:21" ht="21" customHeight="1">
      <c r="A27" t="s">
        <v>10</v>
      </c>
      <c r="B27">
        <v>2020</v>
      </c>
      <c r="C27" t="s">
        <v>38</v>
      </c>
      <c r="D27" s="2">
        <v>266297800000</v>
      </c>
      <c r="E27" s="2">
        <v>153994000000</v>
      </c>
      <c r="F27" s="2">
        <v>51784000000</v>
      </c>
      <c r="G27" s="2"/>
      <c r="H27" s="5">
        <v>1.121298949379179</v>
      </c>
      <c r="I27" s="2">
        <f t="shared" si="0"/>
        <v>298599443361.98669</v>
      </c>
      <c r="J27" s="2">
        <f t="shared" si="1"/>
        <v>172673310410.6973</v>
      </c>
      <c r="K27" s="2">
        <f t="shared" si="2"/>
        <v>58065344794.651405</v>
      </c>
      <c r="L27" s="2" t="str">
        <f t="shared" si="3"/>
        <v/>
      </c>
      <c r="M27" s="3">
        <v>67441850</v>
      </c>
      <c r="N27" t="s">
        <v>39</v>
      </c>
      <c r="P27" s="4" t="str">
        <f t="shared" si="4"/>
        <v/>
      </c>
      <c r="Q27" s="4" t="str">
        <f t="shared" si="5"/>
        <v/>
      </c>
      <c r="R27" s="4">
        <f t="shared" si="6"/>
        <v>0.57827740221661617</v>
      </c>
      <c r="S27" s="4">
        <f t="shared" si="7"/>
        <v>0.19445898539154285</v>
      </c>
      <c r="T27" t="s">
        <v>34</v>
      </c>
      <c r="U27" t="s">
        <v>40</v>
      </c>
    </row>
    <row r="28" spans="1:21" ht="21" customHeight="1">
      <c r="A28" t="s">
        <v>10</v>
      </c>
      <c r="B28">
        <v>2021</v>
      </c>
      <c r="C28" t="s">
        <v>38</v>
      </c>
      <c r="D28" s="2">
        <v>279450700000</v>
      </c>
      <c r="E28" s="2">
        <v>166200000000</v>
      </c>
      <c r="F28" s="2">
        <v>50740000000</v>
      </c>
      <c r="G28" s="2"/>
      <c r="H28" s="5">
        <v>1.103383458646616</v>
      </c>
      <c r="I28" s="2">
        <f t="shared" si="0"/>
        <v>308341279887.2179</v>
      </c>
      <c r="J28" s="2">
        <f t="shared" si="1"/>
        <v>183382330827.0676</v>
      </c>
      <c r="K28" s="2">
        <f t="shared" si="2"/>
        <v>55985676691.729294</v>
      </c>
      <c r="L28" s="2" t="str">
        <f t="shared" si="3"/>
        <v/>
      </c>
      <c r="M28" s="3">
        <v>67697091</v>
      </c>
      <c r="N28" t="s">
        <v>39</v>
      </c>
      <c r="P28" s="4" t="str">
        <f t="shared" si="4"/>
        <v/>
      </c>
      <c r="Q28" s="4" t="str">
        <f t="shared" si="5"/>
        <v/>
      </c>
      <c r="R28" s="4">
        <f t="shared" si="6"/>
        <v>0.59473817743165436</v>
      </c>
      <c r="S28" s="4">
        <f t="shared" si="7"/>
        <v>0.18157048810398399</v>
      </c>
      <c r="T28" t="s">
        <v>34</v>
      </c>
      <c r="U28" t="s">
        <v>40</v>
      </c>
    </row>
    <row r="29" spans="1:21" ht="21" customHeight="1">
      <c r="A29" t="s">
        <v>10</v>
      </c>
      <c r="B29">
        <v>2022</v>
      </c>
      <c r="C29" t="s">
        <v>38</v>
      </c>
      <c r="D29" s="2">
        <v>294959800000</v>
      </c>
      <c r="E29" s="2">
        <v>174357000000</v>
      </c>
      <c r="F29" s="2">
        <v>52002000000</v>
      </c>
      <c r="G29" s="2"/>
      <c r="H29" s="5">
        <v>1.049151027703306</v>
      </c>
      <c r="I29" s="2">
        <f t="shared" si="0"/>
        <v>309457377301.16162</v>
      </c>
      <c r="J29" s="2">
        <f t="shared" si="1"/>
        <v>182926825737.26532</v>
      </c>
      <c r="K29" s="2">
        <f t="shared" si="2"/>
        <v>54557951742.627319</v>
      </c>
      <c r="L29" s="2" t="str">
        <f t="shared" si="3"/>
        <v/>
      </c>
      <c r="M29" s="3">
        <v>68060207</v>
      </c>
      <c r="N29" t="s">
        <v>39</v>
      </c>
      <c r="P29" s="4" t="str">
        <f t="shared" si="4"/>
        <v/>
      </c>
      <c r="Q29" s="4" t="str">
        <f t="shared" si="5"/>
        <v/>
      </c>
      <c r="R29" s="4">
        <f t="shared" si="6"/>
        <v>0.5911212307575473</v>
      </c>
      <c r="S29" s="4">
        <f t="shared" si="7"/>
        <v>0.17630199098317806</v>
      </c>
      <c r="T29" t="s">
        <v>34</v>
      </c>
      <c r="U29" t="s">
        <v>40</v>
      </c>
    </row>
    <row r="30" spans="1:21" ht="21" customHeight="1">
      <c r="A30" t="s">
        <v>10</v>
      </c>
      <c r="B30">
        <v>2023</v>
      </c>
      <c r="C30" t="s">
        <v>38</v>
      </c>
      <c r="D30" s="2">
        <v>315732600000.00012</v>
      </c>
      <c r="E30" s="2">
        <v>179329000000</v>
      </c>
      <c r="F30" s="2">
        <v>53470000000</v>
      </c>
      <c r="G30" s="2"/>
      <c r="H30" s="5">
        <v>1</v>
      </c>
      <c r="I30" s="2">
        <f t="shared" si="0"/>
        <v>315732600000.00012</v>
      </c>
      <c r="J30" s="2">
        <f t="shared" si="1"/>
        <v>179329000000</v>
      </c>
      <c r="K30" s="2">
        <f t="shared" si="2"/>
        <v>53470000000</v>
      </c>
      <c r="L30" s="2" t="str">
        <f t="shared" si="3"/>
        <v/>
      </c>
      <c r="M30" s="3"/>
      <c r="N30" t="s">
        <v>39</v>
      </c>
      <c r="P30" s="4" t="str">
        <f t="shared" si="4"/>
        <v/>
      </c>
      <c r="Q30" s="4" t="str">
        <f t="shared" si="5"/>
        <v/>
      </c>
      <c r="R30" s="4">
        <f t="shared" si="6"/>
        <v>0.56797745940710564</v>
      </c>
      <c r="S30" s="4">
        <f t="shared" si="7"/>
        <v>0.16935216699194186</v>
      </c>
      <c r="T30" t="s">
        <v>34</v>
      </c>
      <c r="U30" t="s">
        <v>40</v>
      </c>
    </row>
    <row r="31" spans="1:21" ht="21" customHeight="1">
      <c r="A31" t="s">
        <v>10</v>
      </c>
      <c r="B31">
        <v>2024</v>
      </c>
      <c r="C31" t="s">
        <v>38</v>
      </c>
      <c r="D31" s="2">
        <v>329746600000</v>
      </c>
      <c r="E31" s="2">
        <v>184935000000</v>
      </c>
      <c r="F31" s="2">
        <v>50698000000</v>
      </c>
      <c r="G31" s="2"/>
      <c r="H31" s="5">
        <v>0.98039215686274506</v>
      </c>
      <c r="I31" s="2">
        <f t="shared" si="0"/>
        <v>323280980392.15686</v>
      </c>
      <c r="J31" s="2">
        <f t="shared" si="1"/>
        <v>181308823529.41174</v>
      </c>
      <c r="K31" s="2">
        <f t="shared" si="2"/>
        <v>49703921568.627449</v>
      </c>
      <c r="L31" s="2" t="str">
        <f t="shared" si="3"/>
        <v/>
      </c>
      <c r="M31" s="3"/>
      <c r="N31" t="s">
        <v>39</v>
      </c>
      <c r="P31" s="4" t="str">
        <f t="shared" si="4"/>
        <v/>
      </c>
      <c r="Q31" s="4" t="str">
        <f t="shared" si="5"/>
        <v/>
      </c>
      <c r="R31" s="4">
        <f t="shared" si="6"/>
        <v>0.5608397478548679</v>
      </c>
      <c r="S31" s="4">
        <f t="shared" si="7"/>
        <v>0.15374836313702703</v>
      </c>
      <c r="T31" t="s">
        <v>34</v>
      </c>
      <c r="U3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47" customWidth="1"/>
    <col min="2" max="2" width="10" customWidth="1"/>
    <col min="3" max="3" width="17" customWidth="1"/>
    <col min="4" max="5" width="23" customWidth="1"/>
    <col min="6" max="6" width="24" customWidth="1"/>
    <col min="7" max="7" width="16" customWidth="1"/>
    <col min="8" max="8" width="64" customWidth="1"/>
    <col min="9" max="9" width="80" customWidth="1"/>
  </cols>
  <sheetData>
    <row r="1" spans="1:9" ht="28.05" customHeight="1">
      <c r="A1" s="1" t="s">
        <v>41</v>
      </c>
      <c r="B1" s="1" t="s">
        <v>12</v>
      </c>
      <c r="C1" s="1" t="s">
        <v>11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ht="21" customHeight="1">
      <c r="A2" t="s">
        <v>48</v>
      </c>
      <c r="B2">
        <v>2025</v>
      </c>
      <c r="C2" t="s">
        <v>8</v>
      </c>
      <c r="D2" s="2">
        <v>46433922387.739998</v>
      </c>
      <c r="E2" s="2">
        <v>46433922387.739998</v>
      </c>
      <c r="F2" s="2">
        <f t="shared" ref="F2:F10" si="0">IF(OR(D2="",E2=""),"",D2-E2)</f>
        <v>0</v>
      </c>
      <c r="G2" s="4">
        <f t="shared" ref="G2:G10" si="1">IF(OR(D2="",E2="",E2=0),"",(D2-E2)/E2)</f>
        <v>0</v>
      </c>
      <c r="H2" t="s">
        <v>49</v>
      </c>
      <c r="I2" t="s">
        <v>50</v>
      </c>
    </row>
    <row r="3" spans="1:9" ht="21" customHeight="1">
      <c r="A3" t="s">
        <v>48</v>
      </c>
      <c r="B3">
        <v>2025</v>
      </c>
      <c r="C3" t="s">
        <v>9</v>
      </c>
      <c r="D3" s="2">
        <v>6765300174.8800001</v>
      </c>
      <c r="E3" s="2">
        <v>6765300174.8800001</v>
      </c>
      <c r="F3" s="2">
        <f t="shared" si="0"/>
        <v>0</v>
      </c>
      <c r="G3" s="4">
        <f t="shared" si="1"/>
        <v>0</v>
      </c>
      <c r="H3" t="s">
        <v>49</v>
      </c>
      <c r="I3" t="s">
        <v>51</v>
      </c>
    </row>
    <row r="4" spans="1:9" ht="21" customHeight="1">
      <c r="A4" t="s">
        <v>52</v>
      </c>
      <c r="B4">
        <v>2023</v>
      </c>
      <c r="C4" t="s">
        <v>8</v>
      </c>
      <c r="D4" s="2">
        <v>418462360000</v>
      </c>
      <c r="E4" s="2">
        <v>418462329619.31</v>
      </c>
      <c r="F4" s="2">
        <f t="shared" si="0"/>
        <v>30380.690002441406</v>
      </c>
      <c r="G4" s="4">
        <f t="shared" si="1"/>
        <v>7.260077634725161E-8</v>
      </c>
      <c r="H4" t="s">
        <v>53</v>
      </c>
      <c r="I4" t="s">
        <v>50</v>
      </c>
    </row>
    <row r="5" spans="1:9" ht="21" customHeight="1">
      <c r="A5" t="s">
        <v>52</v>
      </c>
      <c r="B5">
        <v>2023</v>
      </c>
      <c r="C5" t="s">
        <v>9</v>
      </c>
      <c r="D5" s="2">
        <v>76268005000</v>
      </c>
      <c r="E5" s="2">
        <v>76268006220.180008</v>
      </c>
      <c r="F5" s="2">
        <f t="shared" si="0"/>
        <v>-1220.1800079345703</v>
      </c>
      <c r="G5" s="4">
        <f t="shared" si="1"/>
        <v>-1.5998582740081107E-8</v>
      </c>
      <c r="H5" t="s">
        <v>53</v>
      </c>
      <c r="I5" t="s">
        <v>51</v>
      </c>
    </row>
    <row r="6" spans="1:9" ht="21" customHeight="1">
      <c r="A6" t="s">
        <v>54</v>
      </c>
      <c r="B6">
        <v>2024</v>
      </c>
      <c r="C6" t="s">
        <v>10</v>
      </c>
      <c r="D6" s="2">
        <v>329746600000</v>
      </c>
      <c r="E6" s="2">
        <v>329700000000</v>
      </c>
      <c r="F6" s="2">
        <f t="shared" si="0"/>
        <v>46600000</v>
      </c>
      <c r="G6" s="4">
        <f t="shared" si="1"/>
        <v>1.413406126781923E-4</v>
      </c>
      <c r="H6" t="s">
        <v>55</v>
      </c>
      <c r="I6" t="s">
        <v>56</v>
      </c>
    </row>
    <row r="7" spans="1:9" ht="21" customHeight="1">
      <c r="A7" t="s">
        <v>57</v>
      </c>
      <c r="B7">
        <v>2015</v>
      </c>
      <c r="C7" t="s">
        <v>10</v>
      </c>
      <c r="D7" s="2">
        <v>246161100000</v>
      </c>
      <c r="E7" s="2">
        <v>249200000000</v>
      </c>
      <c r="F7" s="2">
        <f t="shared" si="0"/>
        <v>-3038900000</v>
      </c>
      <c r="G7" s="4">
        <f t="shared" si="1"/>
        <v>-1.21946227929374E-2</v>
      </c>
      <c r="H7" t="s">
        <v>58</v>
      </c>
      <c r="I7" t="s">
        <v>59</v>
      </c>
    </row>
    <row r="8" spans="1:9" ht="21" customHeight="1">
      <c r="A8" t="s">
        <v>60</v>
      </c>
      <c r="B8">
        <v>2024</v>
      </c>
      <c r="C8" t="s">
        <v>10</v>
      </c>
      <c r="D8" s="2">
        <v>0.97427385892116192</v>
      </c>
      <c r="E8" s="2">
        <v>0.98039215686274506</v>
      </c>
      <c r="F8" s="2">
        <f t="shared" si="0"/>
        <v>-6.1182979415831396E-3</v>
      </c>
      <c r="G8" s="4">
        <f t="shared" si="1"/>
        <v>-6.2406639004148022E-3</v>
      </c>
      <c r="H8" t="s">
        <v>61</v>
      </c>
      <c r="I8" t="s">
        <v>62</v>
      </c>
    </row>
    <row r="9" spans="1:9" ht="21" customHeight="1">
      <c r="A9" t="s">
        <v>63</v>
      </c>
      <c r="B9">
        <v>2022</v>
      </c>
      <c r="C9" t="s">
        <v>8</v>
      </c>
      <c r="D9" s="2"/>
      <c r="E9" s="2">
        <v>6211223</v>
      </c>
      <c r="F9" s="2" t="str">
        <f t="shared" si="0"/>
        <v/>
      </c>
      <c r="G9" s="4" t="str">
        <f t="shared" si="1"/>
        <v/>
      </c>
      <c r="H9" t="s">
        <v>64</v>
      </c>
      <c r="I9" t="s">
        <v>50</v>
      </c>
    </row>
    <row r="10" spans="1:9" ht="21" customHeight="1">
      <c r="A10" t="s">
        <v>63</v>
      </c>
      <c r="B10">
        <v>2022</v>
      </c>
      <c r="C10" t="s">
        <v>9</v>
      </c>
      <c r="D10" s="2"/>
      <c r="E10" s="2">
        <v>481749</v>
      </c>
      <c r="F10" s="2" t="str">
        <f t="shared" si="0"/>
        <v/>
      </c>
      <c r="G10" s="4" t="str">
        <f t="shared" si="1"/>
        <v/>
      </c>
      <c r="H10" t="s">
        <v>64</v>
      </c>
      <c r="I10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 activeCell="B17" sqref="B17"/>
    </sheetView>
  </sheetViews>
  <sheetFormatPr defaultRowHeight="13.8"/>
  <cols>
    <col min="1" max="1" width="40" customWidth="1"/>
    <col min="2" max="2" width="110" customWidth="1"/>
  </cols>
  <sheetData>
    <row r="1" spans="1:2" ht="28.05" customHeight="1">
      <c r="A1" s="1" t="s">
        <v>65</v>
      </c>
      <c r="B1" s="1" t="s">
        <v>66</v>
      </c>
    </row>
    <row r="2" spans="1:2" ht="21" customHeight="1">
      <c r="A2" t="s">
        <v>14</v>
      </c>
      <c r="B2" t="s">
        <v>67</v>
      </c>
    </row>
    <row r="3" spans="1:2" ht="21" customHeight="1">
      <c r="A3" t="s">
        <v>15</v>
      </c>
      <c r="B3" t="s">
        <v>68</v>
      </c>
    </row>
    <row r="4" spans="1:2" ht="21" customHeight="1">
      <c r="A4" t="s">
        <v>16</v>
      </c>
      <c r="B4" t="s">
        <v>69</v>
      </c>
    </row>
    <row r="5" spans="1:2" ht="21" customHeight="1">
      <c r="A5" t="s">
        <v>17</v>
      </c>
      <c r="B5" t="s">
        <v>70</v>
      </c>
    </row>
    <row r="6" spans="1:2" ht="21" customHeight="1">
      <c r="A6" t="s">
        <v>18</v>
      </c>
      <c r="B6" t="s">
        <v>71</v>
      </c>
    </row>
    <row r="7" spans="1:2" ht="21" customHeight="1">
      <c r="A7" t="s">
        <v>19</v>
      </c>
      <c r="B7" t="s">
        <v>72</v>
      </c>
    </row>
    <row r="8" spans="1:2" ht="21" customHeight="1">
      <c r="A8" t="s">
        <v>27</v>
      </c>
      <c r="B8" t="s">
        <v>73</v>
      </c>
    </row>
    <row r="9" spans="1:2" ht="21" customHeight="1">
      <c r="A9" t="s">
        <v>25</v>
      </c>
      <c r="B9" t="s">
        <v>74</v>
      </c>
    </row>
    <row r="10" spans="1:2" ht="21" customHeight="1">
      <c r="A10" t="s">
        <v>23</v>
      </c>
      <c r="B10" t="s">
        <v>75</v>
      </c>
    </row>
    <row r="11" spans="1:2" ht="21" customHeight="1">
      <c r="A11" t="s">
        <v>76</v>
      </c>
      <c r="B11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pane="bottomLeft" activeCell="B14" sqref="B14"/>
    </sheetView>
  </sheetViews>
  <sheetFormatPr defaultRowHeight="13.8"/>
  <cols>
    <col min="1" max="1" width="20" customWidth="1"/>
    <col min="2" max="2" width="44" customWidth="1"/>
    <col min="3" max="3" width="108" customWidth="1"/>
  </cols>
  <sheetData>
    <row r="1" spans="1:3" ht="28.05" customHeight="1">
      <c r="A1" s="1" t="s">
        <v>78</v>
      </c>
      <c r="B1" s="1" t="s">
        <v>79</v>
      </c>
      <c r="C1" s="1" t="s">
        <v>80</v>
      </c>
    </row>
    <row r="2" spans="1:3" ht="21" customHeight="1">
      <c r="A2" t="s">
        <v>81</v>
      </c>
      <c r="B2" t="s">
        <v>82</v>
      </c>
      <c r="C2" t="s">
        <v>50</v>
      </c>
    </row>
    <row r="3" spans="1:3" ht="21" customHeight="1">
      <c r="A3" t="s">
        <v>81</v>
      </c>
      <c r="B3" t="s">
        <v>82</v>
      </c>
      <c r="C3" t="s">
        <v>51</v>
      </c>
    </row>
    <row r="4" spans="1:3" ht="21" customHeight="1">
      <c r="A4" t="s">
        <v>83</v>
      </c>
      <c r="B4" t="s">
        <v>84</v>
      </c>
      <c r="C4" t="s">
        <v>56</v>
      </c>
    </row>
    <row r="5" spans="1:3" ht="21" customHeight="1">
      <c r="A5" t="s">
        <v>83</v>
      </c>
      <c r="B5" t="s">
        <v>85</v>
      </c>
      <c r="C5" t="s">
        <v>59</v>
      </c>
    </row>
    <row r="6" spans="1:3" ht="21" customHeight="1">
      <c r="A6" t="s">
        <v>83</v>
      </c>
      <c r="B6" t="s">
        <v>86</v>
      </c>
      <c r="C6" t="s">
        <v>62</v>
      </c>
    </row>
    <row r="7" spans="1:3" ht="21" customHeight="1">
      <c r="A7" t="s">
        <v>81</v>
      </c>
      <c r="B7" t="s">
        <v>87</v>
      </c>
      <c r="C7" t="s">
        <v>88</v>
      </c>
    </row>
    <row r="8" spans="1:3" ht="21" customHeight="1">
      <c r="A8" t="s">
        <v>89</v>
      </c>
      <c r="B8" t="s">
        <v>90</v>
      </c>
      <c r="C8" t="s">
        <v>91</v>
      </c>
    </row>
    <row r="9" spans="1:3" ht="21" customHeight="1">
      <c r="A9" t="s">
        <v>92</v>
      </c>
      <c r="B9" t="s">
        <v>93</v>
      </c>
      <c r="C9" t="s">
        <v>94</v>
      </c>
    </row>
    <row r="10" spans="1:3" ht="21" customHeight="1">
      <c r="A10" t="s">
        <v>95</v>
      </c>
      <c r="B10" t="s">
        <v>96</v>
      </c>
      <c r="C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Base_Original</vt:lpstr>
      <vt:lpstr>Base_Auditada</vt:lpstr>
      <vt:lpstr>Reconciliacao_Externa</vt:lpstr>
      <vt:lpstr>Dicionario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Henrique Ferreira Queiroz</cp:lastModifiedBy>
  <dcterms:modified xsi:type="dcterms:W3CDTF">2026-10-24T23:00:58Z</dcterms:modified>
</cp:coreProperties>
</file>